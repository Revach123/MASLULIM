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גמל לאתר\"/>
    </mc:Choice>
  </mc:AlternateContent>
  <xr:revisionPtr revIDLastSave="0" documentId="13_ncr:1_{E6F5546A-3916-4DFD-98C4-EC38ADE71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חוות דעת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4" hidden="1">הלוואות!$A$1:$BA$33</definedName>
    <definedName name="_xlnm._FilterDatabase" localSheetId="23" hidden="1">'לא סחיר נגזרים אחרים'!$A$1:$AO$10</definedName>
    <definedName name="_xlnm._FilterDatabase" localSheetId="33" hidden="1">'מיפוי סעיפים'!$A$1:$D$795</definedName>
    <definedName name="_xlnm._FilterDatabase" localSheetId="20" hidden="1">'קרנות השקעה'!$A$1:$Z$47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2" i="2" l="1"/>
  <c r="E11" i="2"/>
  <c r="E9" i="2"/>
  <c r="E5" i="2"/>
  <c r="E6" i="2"/>
  <c r="E19" i="2"/>
  <c r="E27" i="2"/>
  <c r="E23" i="2"/>
  <c r="E13" i="2"/>
  <c r="E14" i="2"/>
  <c r="E12" i="2"/>
  <c r="E28" i="2"/>
  <c r="E16" i="2"/>
  <c r="E30" i="2"/>
  <c r="E20" i="2"/>
  <c r="E25" i="2"/>
  <c r="E8" i="2"/>
  <c r="E29" i="2"/>
  <c r="E24" i="2"/>
  <c r="E10" i="2"/>
  <c r="E15" i="2"/>
  <c r="E18" i="2"/>
  <c r="E4" i="2"/>
  <c r="E26" i="2"/>
  <c r="E7" i="2"/>
  <c r="E3" i="2"/>
  <c r="E21" i="2"/>
</calcChain>
</file>

<file path=xl/sharedStrings.xml><?xml version="1.0" encoding="utf-8"?>
<sst xmlns="http://schemas.openxmlformats.org/spreadsheetml/2006/main" count="6100" uniqueCount="1480">
  <si>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</si>
  <si>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</si>
  <si>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</si>
  <si>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</si>
  <si>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</si>
  <si>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</si>
  <si>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</si>
  <si>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</si>
  <si>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</si>
  <si>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</si>
  <si>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</si>
  <si>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</si>
  <si>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</si>
  <si>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</si>
  <si>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</si>
  <si>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</si>
  <si>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</si>
  <si>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</si>
  <si>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</si>
  <si>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</si>
  <si>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</si>
  <si>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</si>
  <si>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</si>
  <si>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</si>
  <si>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</si>
  <si>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</si>
  <si>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</si>
  <si>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</si>
  <si>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</si>
  <si>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</si>
  <si>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</si>
  <si>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</si>
  <si>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</si>
  <si>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</si>
  <si>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</si>
  <si>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</si>
  <si>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</si>
  <si>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</si>
  <si>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</si>
  <si>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</si>
  <si>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</si>
  <si>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</si>
  <si>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</si>
  <si>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</si>
  <si>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</si>
  <si>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</si>
  <si>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</si>
  <si>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</si>
  <si>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</si>
  <si>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</si>
  <si>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</si>
  <si>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</si>
  <si>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</si>
  <si>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</si>
  <si>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</si>
  <si>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</si>
  <si>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</si>
  <si>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</si>
  <si>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</si>
  <si>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</si>
  <si>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</si>
  <si>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</si>
  <si>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</si>
  <si>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</si>
  <si>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</si>
  <si>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</si>
  <si>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</si>
  <si>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</si>
  <si>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</si>
  <si>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</si>
  <si>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</si>
  <si>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</si>
  <si>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</si>
  <si>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</si>
  <si>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</si>
  <si>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</si>
  <si>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</si>
  <si>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</si>
  <si>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</si>
  <si>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</si>
  <si>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</si>
  <si>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</si>
  <si>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</si>
  <si>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</si>
  <si>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</si>
  <si>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</si>
  <si>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</si>
  <si>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</si>
  <si>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</si>
  <si>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</si>
  <si>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</si>
  <si>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</si>
  <si>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</si>
  <si>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</si>
  <si>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</si>
  <si>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</si>
  <si>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</si>
  <si>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</si>
  <si>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</si>
  <si>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</si>
  <si>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</si>
  <si>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</si>
  <si>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</si>
  <si>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</si>
  <si>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</si>
  <si>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</si>
  <si>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</si>
  <si>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</si>
  <si>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</si>
  <si>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</si>
  <si>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</si>
  <si>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</si>
  <si>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</si>
  <si>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</si>
  <si>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</si>
  <si>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</si>
  <si>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</si>
  <si>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</si>
  <si>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</si>
  <si>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</si>
  <si>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</si>
  <si>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</si>
  <si>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</si>
  <si>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</si>
  <si>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</si>
  <si>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</si>
  <si>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</si>
  <si>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</si>
  <si>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</si>
  <si>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</si>
  <si>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</si>
  <si>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</si>
  <si>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</si>
  <si>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</si>
  <si>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</si>
  <si>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</si>
  <si>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</si>
  <si>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</si>
  <si>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</si>
  <si>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</si>
  <si>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</si>
  <si>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</si>
  <si>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</si>
  <si>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</si>
  <si>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</si>
  <si>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</si>
  <si>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</si>
  <si>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</si>
  <si>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</si>
  <si>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</si>
  <si>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</si>
  <si>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</si>
  <si>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</si>
  <si>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</si>
  <si>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</si>
  <si>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</si>
  <si>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</si>
  <si>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</si>
  <si>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</si>
  <si>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</si>
  <si>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</si>
  <si>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</si>
  <si>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</si>
  <si>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</si>
  <si>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</si>
  <si>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</si>
  <si>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</si>
  <si>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</si>
  <si>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</si>
  <si>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</si>
  <si>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</si>
  <si>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</si>
  <si>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</si>
  <si>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</si>
  <si>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</si>
  <si>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</si>
  <si>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</si>
  <si>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</si>
  <si>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</si>
  <si>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</si>
  <si>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</si>
  <si>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</si>
  <si>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</si>
  <si>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</si>
  <si>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</si>
  <si>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</si>
  <si>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</si>
  <si>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</si>
  <si>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</si>
  <si>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</si>
  <si>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</si>
  <si>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</si>
  <si>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</si>
  <si>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</si>
  <si>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</si>
  <si>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</si>
  <si>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</si>
  <si>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</si>
  <si>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</si>
  <si>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</si>
  <si>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</si>
  <si>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</si>
  <si>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</si>
  <si>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</si>
  <si>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</si>
  <si>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</si>
  <si>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</si>
  <si>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</si>
  <si>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</si>
  <si>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</si>
  <si>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</si>
  <si>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</si>
  <si>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</si>
  <si>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</si>
  <si>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</si>
  <si>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</si>
  <si>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</si>
  <si>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</si>
  <si>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</si>
  <si>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</si>
  <si>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</si>
  <si>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</si>
  <si>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</si>
  <si>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</si>
  <si>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</si>
  <si>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</si>
  <si>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</si>
  <si>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</si>
  <si>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</si>
  <si>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</si>
  <si>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</si>
  <si>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</si>
  <si>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</si>
  <si>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</si>
  <si>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</si>
  <si>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</si>
  <si>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</si>
  <si>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</si>
  <si>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</si>
  <si>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</si>
  <si>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</si>
  <si>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</si>
  <si>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</si>
  <si>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</si>
  <si>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</si>
  <si>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</si>
  <si>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</si>
  <si>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</si>
  <si>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</si>
  <si>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</si>
  <si>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</si>
  <si>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</si>
  <si>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</si>
  <si>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</si>
  <si>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</si>
  <si>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</si>
  <si>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</si>
  <si>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</si>
  <si>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</si>
  <si>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</si>
  <si>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</si>
  <si>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</si>
  <si>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</si>
  <si>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</si>
  <si>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</si>
  <si>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</si>
  <si>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</si>
  <si>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</si>
  <si>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</si>
  <si>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</si>
  <si>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</si>
  <si>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</si>
  <si>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</si>
  <si>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</si>
  <si>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</si>
  <si>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</si>
  <si>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</si>
  <si>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</si>
  <si>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</si>
  <si>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</si>
  <si>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</si>
  <si>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</si>
  <si>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</si>
  <si>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</si>
  <si>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</si>
  <si>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</si>
  <si>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</si>
  <si>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</si>
  <si>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</si>
  <si>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</si>
  <si>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</si>
  <si>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</si>
  <si>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</si>
  <si>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</si>
  <si>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</si>
  <si>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</si>
  <si>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</si>
  <si>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</si>
  <si>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</si>
  <si>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</si>
  <si>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</si>
  <si>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</si>
  <si>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</si>
  <si>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</si>
  <si>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</si>
  <si>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</si>
  <si>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</si>
  <si>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</si>
  <si>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</si>
  <si>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</si>
  <si>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</si>
  <si>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</si>
  <si>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</si>
  <si>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</si>
  <si>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</si>
  <si>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</si>
  <si>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</si>
  <si>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</si>
  <si>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</si>
  <si>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</si>
  <si>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</si>
  <si>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</si>
  <si>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</si>
  <si>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</si>
  <si>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</si>
  <si>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</si>
  <si>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</si>
  <si>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</si>
  <si>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</si>
  <si>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</si>
  <si>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</si>
  <si>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</si>
  <si>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</si>
  <si>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</si>
  <si>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</si>
  <si>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</si>
  <si>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</si>
  <si>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</si>
  <si>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</si>
  <si>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</si>
  <si>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</si>
  <si>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</si>
  <si>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</si>
  <si>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</si>
  <si>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</si>
  <si>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</si>
  <si>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</si>
  <si>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</si>
  <si>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</si>
  <si>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</si>
  <si>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</si>
  <si>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</si>
  <si>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</si>
  <si>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</si>
  <si>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</si>
  <si>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</si>
  <si>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</si>
  <si>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</si>
  <si>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</si>
  <si>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</si>
  <si>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</si>
  <si>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</si>
  <si>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</si>
  <si>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</si>
  <si>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</si>
  <si>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</si>
  <si>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</si>
  <si>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</si>
  <si>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</si>
  <si>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</si>
  <si>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</si>
  <si>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</si>
  <si>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</si>
  <si>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</si>
  <si>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</si>
  <si>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</si>
  <si>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</si>
  <si>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</si>
  <si>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</si>
  <si>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</si>
  <si>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</si>
  <si>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</si>
  <si>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</si>
  <si>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</si>
  <si>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</si>
  <si>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</si>
  <si>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</si>
  <si>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</si>
  <si>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</si>
  <si>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</si>
  <si>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</si>
  <si>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</si>
  <si>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</si>
  <si>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</si>
  <si>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</si>
  <si>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</si>
  <si>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</si>
  <si>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</si>
  <si>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</si>
  <si>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</si>
  <si>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</si>
  <si>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</si>
  <si>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</si>
  <si>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</si>
  <si>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</si>
  <si>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</si>
  <si>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</si>
  <si>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</si>
  <si>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</si>
  <si>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</si>
  <si>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</si>
  <si>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</si>
  <si>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</si>
  <si>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</si>
  <si>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</si>
  <si>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</si>
  <si>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</si>
  <si>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</si>
  <si>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</si>
  <si>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</si>
  <si>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</si>
  <si>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</si>
  <si>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</si>
  <si>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</si>
  <si>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</si>
  <si>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</si>
  <si>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</si>
  <si>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</si>
  <si>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</si>
  <si>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</si>
  <si>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</si>
  <si>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</si>
  <si>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</si>
  <si>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</si>
  <si>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</si>
  <si>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</si>
  <si>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</si>
  <si>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</si>
  <si>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</si>
  <si>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</si>
  <si>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</si>
  <si>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</si>
  <si>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</si>
  <si>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</si>
  <si>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</si>
  <si>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</si>
  <si>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</si>
  <si>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</si>
  <si>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</si>
  <si>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</si>
  <si>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</si>
  <si>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</si>
  <si>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</si>
  <si>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</si>
  <si>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</si>
  <si>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</si>
  <si>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</si>
  <si>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</si>
  <si>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</si>
  <si>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</si>
  <si>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</si>
  <si>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</si>
  <si>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</si>
  <si>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</si>
  <si>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</si>
  <si>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</si>
  <si>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</si>
  <si>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</si>
  <si>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</si>
  <si>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</si>
  <si>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</si>
  <si>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</si>
  <si>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</si>
  <si>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</si>
  <si>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</si>
  <si>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</si>
  <si>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</si>
  <si>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</si>
  <si>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</si>
  <si>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</si>
  <si>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</si>
  <si>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</si>
  <si>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</si>
  <si>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</si>
  <si>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</si>
  <si>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</si>
  <si>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</si>
  <si>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</si>
  <si>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</si>
  <si>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</si>
  <si>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</si>
  <si>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</si>
  <si>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</si>
  <si>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</si>
  <si>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</si>
  <si>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</si>
  <si>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</si>
  <si>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</si>
  <si>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</si>
  <si>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</si>
  <si>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</si>
  <si>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</si>
  <si>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</si>
  <si>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</si>
  <si>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</si>
  <si>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</si>
  <si>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</si>
  <si>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</si>
  <si>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</si>
  <si>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</si>
  <si>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</si>
  <si>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</si>
  <si>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</si>
  <si>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</si>
  <si>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</si>
  <si>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</si>
  <si>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</si>
  <si>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</si>
  <si>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</si>
  <si>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</si>
  <si>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</si>
  <si>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</si>
  <si>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</si>
  <si>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</si>
  <si>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</si>
  <si>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</si>
  <si>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</si>
  <si>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</si>
  <si>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</si>
  <si>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</si>
  <si>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</si>
  <si>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</si>
  <si>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</si>
  <si>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</si>
  <si>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</si>
  <si>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</si>
  <si>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</si>
  <si>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</si>
  <si>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</si>
  <si>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</si>
  <si>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</si>
  <si>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</si>
  <si>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</si>
  <si>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</si>
  <si>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</si>
  <si>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</si>
  <si>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</si>
  <si>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</si>
  <si>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</si>
  <si>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</si>
  <si>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</si>
  <si>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</si>
  <si>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</si>
  <si>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</si>
  <si>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</si>
  <si>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</si>
  <si>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</si>
  <si>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</si>
  <si>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</si>
  <si>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</si>
  <si>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</si>
  <si>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</si>
  <si>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</si>
  <si>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</si>
  <si>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</si>
  <si>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</si>
  <si>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</si>
  <si>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</si>
  <si>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</si>
  <si>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</si>
  <si>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</si>
  <si>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</si>
  <si>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</si>
  <si>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</si>
  <si>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</si>
  <si>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</si>
  <si>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</si>
  <si>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</si>
  <si>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</si>
  <si>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</si>
  <si>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</si>
  <si>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</si>
  <si>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</si>
  <si>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</si>
  <si>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</si>
  <si>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</si>
  <si>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</si>
  <si>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</si>
  <si>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</si>
  <si>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</si>
  <si>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</si>
  <si>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</si>
  <si>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</si>
  <si>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</si>
  <si>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</si>
  <si>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</si>
  <si>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</si>
  <si>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</si>
  <si>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</si>
  <si>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</si>
  <si>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</si>
  <si>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</si>
  <si>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</si>
  <si>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</si>
  <si>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</si>
  <si>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</si>
  <si>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</si>
  <si>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</si>
  <si>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</si>
  <si>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</si>
  <si>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</si>
  <si>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</si>
  <si>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</si>
  <si>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</si>
  <si>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</si>
  <si>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</si>
  <si>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</si>
  <si>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</si>
  <si>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</si>
  <si>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</si>
  <si>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</si>
  <si>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</si>
  <si>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</si>
  <si>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</si>
  <si>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</si>
  <si>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</si>
  <si>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</si>
  <si>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</si>
  <si>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</si>
  <si>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</si>
  <si>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</si>
  <si>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</si>
  <si>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</si>
  <si>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</si>
  <si>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</si>
  <si>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</si>
  <si>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</si>
  <si>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</si>
  <si>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</si>
  <si>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</si>
  <si>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</si>
  <si>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</si>
  <si>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</si>
  <si>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</si>
  <si>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</si>
  <si>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</si>
  <si>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</si>
  <si>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</si>
  <si>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</si>
  <si>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</si>
  <si>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</si>
  <si>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</si>
  <si>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</si>
  <si>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</si>
  <si>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</si>
  <si>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</si>
  <si>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</si>
  <si>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</si>
  <si>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</si>
  <si>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</si>
  <si>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</si>
  <si>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</si>
  <si>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</si>
  <si>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</si>
  <si>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</si>
  <si>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</si>
  <si>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</si>
  <si>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</si>
  <si>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</si>
  <si>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</si>
  <si>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</si>
  <si>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</si>
  <si>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</si>
  <si>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</si>
  <si>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</si>
  <si>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</si>
  <si>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</si>
  <si>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</si>
  <si>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</si>
  <si>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</si>
  <si>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</si>
  <si>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</si>
  <si>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</si>
  <si>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</si>
  <si>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</si>
  <si>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</si>
  <si>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</si>
  <si>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</si>
  <si>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</si>
  <si>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</si>
  <si>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</si>
  <si>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</si>
  <si>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</si>
  <si>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</si>
  <si>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</si>
  <si>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</si>
  <si>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</si>
  <si>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</si>
  <si>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</si>
  <si>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</si>
  <si>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</si>
  <si>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</si>
  <si>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</si>
  <si>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</si>
  <si>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</si>
  <si>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</si>
  <si>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</si>
  <si>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</si>
  <si>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</si>
  <si>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</si>
  <si>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</si>
  <si>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</si>
  <si>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</si>
  <si>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</si>
  <si>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</si>
  <si>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</si>
  <si>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</si>
  <si>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</si>
  <si>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</si>
  <si>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</si>
  <si>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</si>
  <si>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</si>
  <si>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</si>
  <si>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</si>
  <si>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</si>
  <si>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</si>
  <si>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</si>
  <si>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</si>
  <si>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</si>
  <si>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</si>
  <si>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</si>
  <si>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</si>
  <si>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</si>
  <si>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</si>
  <si>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</si>
  <si>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</si>
  <si>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</si>
  <si>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</si>
  <si>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</si>
  <si>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</si>
  <si>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</si>
  <si>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</si>
  <si>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</si>
  <si>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</si>
  <si>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</si>
  <si>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</si>
  <si>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</si>
  <si>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</si>
  <si>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</si>
  <si>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</si>
  <si>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</si>
  <si>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</si>
  <si>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</si>
  <si>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</si>
  <si>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</si>
  <si>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</si>
  <si>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</si>
  <si>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</si>
  <si>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</si>
  <si>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</si>
  <si>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</si>
  <si>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</si>
  <si>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</si>
  <si>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</si>
  <si>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</si>
  <si>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</si>
  <si>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</si>
  <si>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</si>
  <si>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</si>
  <si>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</si>
  <si>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</si>
  <si>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</si>
  <si>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</si>
  <si>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</si>
  <si>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</si>
  <si>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</si>
  <si>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</si>
  <si>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</si>
  <si>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</si>
  <si>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</si>
  <si>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</si>
  <si>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</si>
  <si>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</si>
  <si>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</si>
  <si>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</si>
  <si>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</si>
  <si>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</si>
  <si>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</si>
  <si>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</si>
  <si>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</si>
  <si>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</si>
  <si>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</si>
  <si>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</si>
  <si>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</si>
  <si>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</si>
  <si>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</si>
  <si>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</si>
  <si>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</si>
  <si>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</si>
  <si>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</si>
  <si>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</si>
  <si>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</si>
  <si>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</si>
  <si>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</si>
  <si>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</si>
  <si>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</si>
  <si>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</si>
  <si>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</si>
  <si>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</si>
  <si>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</si>
  <si>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</si>
  <si>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</si>
  <si>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</si>
  <si>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</si>
  <si>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</si>
  <si>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</si>
  <si>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</si>
  <si>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</si>
  <si>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</si>
  <si>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</si>
  <si>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</si>
  <si>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</si>
  <si>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</si>
  <si>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</si>
  <si>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</si>
  <si>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</si>
  <si>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</si>
  <si>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</si>
  <si>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</si>
  <si>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</si>
  <si>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</si>
  <si>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</si>
  <si>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</si>
  <si>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</si>
  <si>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</si>
  <si>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</si>
  <si>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</si>
  <si>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</si>
  <si>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</si>
  <si>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</si>
  <si>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</si>
  <si>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</si>
  <si>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</si>
  <si>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</si>
  <si>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</si>
  <si>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</si>
  <si>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</si>
  <si>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</si>
  <si>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</si>
  <si>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</si>
  <si>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</si>
  <si>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</si>
  <si>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</si>
  <si>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</si>
  <si>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</si>
  <si>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</si>
  <si>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</si>
  <si>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</si>
  <si>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</si>
  <si>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</si>
  <si>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</si>
  <si>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</si>
  <si>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</si>
  <si>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</si>
  <si>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</si>
  <si>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</si>
  <si>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</si>
  <si>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</si>
  <si>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</si>
  <si>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</si>
  <si>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</si>
  <si>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</si>
  <si>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</si>
  <si>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</si>
  <si>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</si>
  <si>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</si>
  <si>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</si>
  <si>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</si>
  <si>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</si>
  <si>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</si>
  <si>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</si>
  <si>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</si>
  <si>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</si>
  <si>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</si>
  <si>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</si>
  <si>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</si>
  <si>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</si>
  <si>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</si>
  <si>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</si>
  <si>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</si>
  <si>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</si>
  <si>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</si>
  <si>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</si>
  <si>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</si>
  <si>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</si>
  <si>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</si>
  <si>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</si>
  <si>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</si>
  <si>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</si>
  <si>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</si>
  <si>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</si>
  <si>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</si>
  <si>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</si>
  <si>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</si>
  <si>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</si>
  <si>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</si>
  <si>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</si>
  <si>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</si>
  <si>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</si>
  <si>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</si>
  <si>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</si>
  <si>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</si>
  <si>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</si>
  <si>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</si>
  <si>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</si>
  <si>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</si>
  <si>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</si>
  <si>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</si>
  <si>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</si>
  <si>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</si>
  <si>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</si>
  <si>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</si>
  <si>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</si>
  <si>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</si>
  <si>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</si>
  <si>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</si>
  <si>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</si>
  <si>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</si>
  <si>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</si>
  <si>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</si>
  <si>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</si>
  <si>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</si>
  <si>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</si>
  <si>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</si>
  <si>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</si>
  <si>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</si>
  <si>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</si>
  <si>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</si>
  <si>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</si>
  <si>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</si>
  <si>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</si>
  <si>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</si>
  <si>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</si>
  <si>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</si>
  <si>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</si>
  <si>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</si>
  <si>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</si>
  <si>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</si>
  <si>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</si>
  <si>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</si>
  <si>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</si>
  <si>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</si>
  <si>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</si>
  <si>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</si>
  <si>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</si>
  <si>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</si>
  <si>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</si>
  <si>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</si>
  <si>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</si>
  <si>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</si>
  <si>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</si>
  <si>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</si>
  <si>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</si>
  <si>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</si>
  <si>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</si>
  <si>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</si>
  <si>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</si>
  <si>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</si>
  <si>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</si>
  <si>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</si>
  <si>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</si>
  <si>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</si>
  <si>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</si>
  <si>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</si>
  <si>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</si>
  <si>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</si>
  <si>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</si>
  <si>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</si>
  <si>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</si>
  <si>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</si>
  <si>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</si>
  <si>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</si>
  <si>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</si>
  <si>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</si>
  <si>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</si>
  <si>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</si>
  <si>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</si>
  <si>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</si>
  <si>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</si>
  <si>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</si>
  <si>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</si>
  <si>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</si>
  <si>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</si>
  <si>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</si>
  <si>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</si>
  <si>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</si>
  <si>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</si>
  <si>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</si>
  <si>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</si>
  <si>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</si>
  <si>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</si>
  <si>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</si>
  <si>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</si>
  <si>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</si>
  <si>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</si>
  <si>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</si>
  <si>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</si>
  <si>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</si>
  <si>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</si>
  <si>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</si>
  <si>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</si>
  <si>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</si>
  <si>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</si>
  <si>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</si>
  <si>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</si>
  <si>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</si>
  <si>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</si>
  <si>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</si>
  <si>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</si>
  <si>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</si>
  <si>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</si>
  <si>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</si>
  <si>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</si>
  <si>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</si>
  <si>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</si>
  <si>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</si>
  <si>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</si>
  <si>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</si>
  <si>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</si>
  <si>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</si>
  <si>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</si>
  <si>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</si>
  <si>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</si>
  <si>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</si>
  <si>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</si>
  <si>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</si>
  <si>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</si>
  <si>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</si>
  <si>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</si>
  <si>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</si>
  <si>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</si>
  <si>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</si>
  <si>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</si>
  <si>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</si>
  <si>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</si>
  <si>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</si>
  <si>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</si>
  <si>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</si>
  <si>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</si>
  <si>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</si>
  <si>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</si>
  <si>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</si>
  <si>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</si>
  <si>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</si>
  <si>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</si>
  <si>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</si>
  <si>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</si>
  <si>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</si>
  <si>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</si>
  <si>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</si>
  <si>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</si>
  <si>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</si>
  <si>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</si>
  <si>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</si>
  <si>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</si>
  <si>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</si>
  <si>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</si>
  <si>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</si>
  <si>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</si>
  <si>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</si>
  <si>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</si>
  <si>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</si>
  <si>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</si>
  <si>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</si>
  <si>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</si>
  <si>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</si>
  <si>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</si>
  <si>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</si>
  <si>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</si>
  <si>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</si>
  <si>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</si>
  <si>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</si>
  <si>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</si>
  <si>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</si>
  <si>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</si>
  <si>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</si>
  <si>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</si>
  <si>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</si>
  <si>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</si>
  <si>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</si>
  <si>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</si>
  <si>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</si>
  <si>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</si>
  <si>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</si>
  <si>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</si>
  <si>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</si>
  <si>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</si>
  <si>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</si>
  <si>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</si>
  <si>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</si>
  <si>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</si>
  <si>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</si>
  <si>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</si>
  <si>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</si>
  <si>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</si>
  <si>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</si>
  <si>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</si>
  <si>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</si>
  <si>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</si>
  <si>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</si>
  <si>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</si>
  <si>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</si>
  <si>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</si>
  <si>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</si>
  <si>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</si>
  <si>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</si>
  <si>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</si>
  <si>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</si>
  <si>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</si>
  <si>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</si>
  <si>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</si>
  <si>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</si>
  <si>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</si>
  <si>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</si>
  <si>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</si>
  <si>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</si>
  <si>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</si>
  <si>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</si>
  <si>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</si>
  <si>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</si>
  <si>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</si>
  <si>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</si>
  <si>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</si>
  <si>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</si>
  <si>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</si>
  <si>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</si>
  <si>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</si>
  <si>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</si>
  <si>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</si>
  <si>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</si>
  <si>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</si>
  <si>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</si>
  <si>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</si>
  <si>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</si>
  <si>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</si>
  <si>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</si>
  <si>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</si>
  <si>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</si>
  <si>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</si>
  <si>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</si>
  <si>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</si>
  <si>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</si>
  <si>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</si>
  <si>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</si>
  <si>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</si>
  <si>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</si>
  <si>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</si>
  <si>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</si>
  <si>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</si>
  <si>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</si>
  <si>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</si>
  <si>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</si>
  <si>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</si>
  <si>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</si>
  <si>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</si>
  <si>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</si>
  <si>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</si>
  <si>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</si>
  <si>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</si>
  <si>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</si>
  <si>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</si>
  <si>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</si>
  <si>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</si>
  <si>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</si>
  <si>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</si>
  <si>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</si>
  <si>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</si>
  <si>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</si>
  <si>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</si>
  <si>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</si>
  <si>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</si>
  <si>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</si>
  <si>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</si>
  <si>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</si>
  <si>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</si>
  <si>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</si>
  <si>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</si>
  <si>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</si>
  <si>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</si>
  <si>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</si>
  <si>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</si>
  <si>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</si>
  <si>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</si>
  <si>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</si>
  <si>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</si>
  <si>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</si>
  <si>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</si>
  <si>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</si>
  <si>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</si>
  <si>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</si>
  <si>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</si>
  <si>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</si>
  <si>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</si>
  <si>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</si>
  <si>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</si>
  <si>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</si>
  <si>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</si>
  <si>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</si>
  <si>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</si>
  <si>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</si>
  <si>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</si>
  <si>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</si>
  <si>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</si>
  <si>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</si>
  <si>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</si>
  <si>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</si>
  <si>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</si>
  <si>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</si>
  <si>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</si>
  <si>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</si>
  <si>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</si>
  <si>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</si>
  <si>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</si>
  <si>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</si>
  <si>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</si>
  <si>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</si>
  <si>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</si>
  <si>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</si>
  <si>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</si>
  <si>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</si>
  <si>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</si>
  <si>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</si>
  <si>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ilAAA</t>
  </si>
  <si>
    <t>GBP</t>
  </si>
  <si>
    <t>בנק הפועלים</t>
  </si>
  <si>
    <t>12-600</t>
  </si>
  <si>
    <t>EUR</t>
  </si>
  <si>
    <t>ILS</t>
  </si>
  <si>
    <t>בנק מזרחי</t>
  </si>
  <si>
    <t>20-21</t>
  </si>
  <si>
    <t>CAD</t>
  </si>
  <si>
    <t>USD</t>
  </si>
  <si>
    <t>ממשלת ישראל</t>
  </si>
  <si>
    <t>ממשל צמודה 0431</t>
  </si>
  <si>
    <t>IL0012207226</t>
  </si>
  <si>
    <t>ilRF</t>
  </si>
  <si>
    <t>ממשל שקלית 1035</t>
  </si>
  <si>
    <t>IL0012277849</t>
  </si>
  <si>
    <t>ממשלתי צמוד 0837</t>
  </si>
  <si>
    <t>IL0012372053</t>
  </si>
  <si>
    <t>ממשלתי שקלי 142</t>
  </si>
  <si>
    <t>IL0011254005</t>
  </si>
  <si>
    <t>מימון ישיר</t>
  </si>
  <si>
    <t>מימון ישיר אג' 5</t>
  </si>
  <si>
    <t>IL0011828311</t>
  </si>
  <si>
    <t>A1.il</t>
  </si>
  <si>
    <t>ביג מרכזי קניות</t>
  </si>
  <si>
    <t>ביג אגח יח</t>
  </si>
  <si>
    <t>IL0011742264</t>
  </si>
  <si>
    <t>Aa3.il</t>
  </si>
  <si>
    <t>הראל קרנות נאמנות בע"מ</t>
  </si>
  <si>
    <t>הראל סל תלבונד שקלי</t>
  </si>
  <si>
    <t>IL0011505232</t>
  </si>
  <si>
    <t>הראל סל תא 35</t>
  </si>
  <si>
    <t>IL0011489072</t>
  </si>
  <si>
    <t>מגדל קרנות נאמנות בע"מ</t>
  </si>
  <si>
    <t>MTF סל (4A) ת"א 35</t>
  </si>
  <si>
    <t>IL0011501843</t>
  </si>
  <si>
    <t>מיטב תכלית קרנות נאמנות בע"מ</t>
  </si>
  <si>
    <t>תכלית סל (40) ת"א 125</t>
  </si>
  <si>
    <t>IL0011437188</t>
  </si>
  <si>
    <t>אי.בי.אי - קרנות נאמנות בע"מ</t>
  </si>
  <si>
    <t>אי.בי.אי. סל (4A) אינדקס בנקים ישראל</t>
  </si>
  <si>
    <t>IL0011487746</t>
  </si>
  <si>
    <t>קסם קרנות נאמנות בע"מ</t>
  </si>
  <si>
    <t>קסם ETF תא 35</t>
  </si>
  <si>
    <t>IL0011465700</t>
  </si>
  <si>
    <t>אי.בי.אי (פסגות לשעבר) ETF תלבונד 60</t>
  </si>
  <si>
    <t>IL0011480063</t>
  </si>
  <si>
    <t>תכלית סל (00) תל בונד שקלי</t>
  </si>
  <si>
    <t>IL0011451841</t>
  </si>
  <si>
    <t>הראל סל (4A) ת"א 125</t>
  </si>
  <si>
    <t>IL0011488991</t>
  </si>
  <si>
    <t>קסם ETFי (00) תל בונד שקלי</t>
  </si>
  <si>
    <t>IL0011464141</t>
  </si>
  <si>
    <t>אי בי אי   ETF תא 125</t>
  </si>
  <si>
    <t>IL0011488082</t>
  </si>
  <si>
    <t>תכלית סל תא 35</t>
  </si>
  <si>
    <t>IL0011437006</t>
  </si>
  <si>
    <t>קסם ETF ת"א 125</t>
  </si>
  <si>
    <t>IL0011463564</t>
  </si>
  <si>
    <t>תכלית סל (00) תל בונד צמודות-יתר</t>
  </si>
  <si>
    <t>IL0011446908</t>
  </si>
  <si>
    <t>MTF סל (00) תל בונד שקלי</t>
  </si>
  <si>
    <t>IL0011500027</t>
  </si>
  <si>
    <t>קסם ETFי (00) תל בונד צמודות-יתר</t>
  </si>
  <si>
    <t>IL0011469355</t>
  </si>
  <si>
    <t>מור ניהול קרנות נאמנות (2013) בע"מ</t>
  </si>
  <si>
    <t>מור סל (4A) תא 90</t>
  </si>
  <si>
    <t>IL0011961468</t>
  </si>
  <si>
    <t>AMUNDI INVT SOLUTIONS</t>
  </si>
  <si>
    <t>213800WAVVOPS85N2205</t>
  </si>
  <si>
    <t>LCJD  LN -   MSCI Japan (P)</t>
  </si>
  <si>
    <t>LU1781541252</t>
  </si>
  <si>
    <t>ISHARES</t>
  </si>
  <si>
    <t>529900VBK42Y5HHRMD23</t>
  </si>
  <si>
    <t>IVV US Ishares S&amp;P (Poalim)</t>
  </si>
  <si>
    <t>US4642872000</t>
  </si>
  <si>
    <t>U127  LN -  MSCI Emerging Markets (P)</t>
  </si>
  <si>
    <t>LU2573966905</t>
  </si>
  <si>
    <t>UBS</t>
  </si>
  <si>
    <t>549300SZJ9VS8SGXAN81</t>
  </si>
  <si>
    <t>USMEGA SW UBS  Poalim</t>
  </si>
  <si>
    <t>IE000YCD1TY0</t>
  </si>
  <si>
    <t>INVESCO</t>
  </si>
  <si>
    <t>ECPGFXU8A2SHKVVGJI15</t>
  </si>
  <si>
    <t>PBUS MSCI US Invesco</t>
  </si>
  <si>
    <t>US46138E4614</t>
  </si>
  <si>
    <t>HSBC</t>
  </si>
  <si>
    <t>MLU0ZO3ML4LN2LL2TL39</t>
  </si>
  <si>
    <t>HMWD LN HSBC MSCI WORLD (Poalim)</t>
  </si>
  <si>
    <t>IE00B4X9L533</t>
  </si>
  <si>
    <t>Xtrackers</t>
  </si>
  <si>
    <t>549300PKYNYSI1CU4632</t>
  </si>
  <si>
    <t>XPXD LN DB Pacific Ex- Japan  (POALIM)</t>
  </si>
  <si>
    <t>LU0322252338</t>
  </si>
  <si>
    <t>Global X</t>
  </si>
  <si>
    <t>988400XS10PE37QW6R37</t>
  </si>
  <si>
    <t>HXT  CN -  Canada TSX 60 (P)</t>
  </si>
  <si>
    <t>CA37963M1086</t>
  </si>
  <si>
    <t>State Street</t>
  </si>
  <si>
    <t>549300ZFEEJ2IP5VME73</t>
  </si>
  <si>
    <t>SPY SPDR S&amp;P 500 (poalim)</t>
  </si>
  <si>
    <t>US78462F1030</t>
  </si>
  <si>
    <t>LYXOR INTL</t>
  </si>
  <si>
    <t>L100  LN -   FTSE 100 (P)</t>
  </si>
  <si>
    <t>LU1650492173</t>
  </si>
  <si>
    <t>MXUK GY Invesco Europe ex UK (POALIM)</t>
  </si>
  <si>
    <t>IE00BYX5K108</t>
  </si>
  <si>
    <t>Vanguard Group Inc</t>
  </si>
  <si>
    <t>5493002789CX3L0CJP65</t>
  </si>
  <si>
    <t>VOO VANGUARD S&amp;P 500 ETF (POALIM)</t>
  </si>
  <si>
    <t>US9229083632</t>
  </si>
  <si>
    <t>AUEM  FP -  MSCI Emerging Markets (P)</t>
  </si>
  <si>
    <t>LU1681045453</t>
  </si>
  <si>
    <t>תעשיות אלקטרומכניות</t>
  </si>
  <si>
    <t>אלכמ תעש' אלקטרוכימי</t>
  </si>
  <si>
    <t>IL0075099536</t>
  </si>
  <si>
    <t>לאומי</t>
  </si>
  <si>
    <t>בלל ש.הון 31.01.27 6.6%</t>
  </si>
  <si>
    <t>Aaa.il</t>
  </si>
  <si>
    <t>פועלים-ש.הון 12/27 6.6%</t>
  </si>
  <si>
    <t>ilAA+</t>
  </si>
  <si>
    <t>פויכטונגר השקעות</t>
  </si>
  <si>
    <t>פויכטונגר הש</t>
  </si>
  <si>
    <t>IL0010853237</t>
  </si>
  <si>
    <t>ARBEL</t>
  </si>
  <si>
    <t>ARBEL FUND 3</t>
  </si>
  <si>
    <t>CVC Capital Partners</t>
  </si>
  <si>
    <t>Klirmark IV</t>
  </si>
  <si>
    <t>Greenfield Partners</t>
  </si>
  <si>
    <t>Greenfield Partners Fund III</t>
  </si>
  <si>
    <t>NOY</t>
  </si>
  <si>
    <t>Noy Fund V</t>
  </si>
  <si>
    <t>Shaked Partners</t>
  </si>
  <si>
    <t>Shaked Partners Fund II</t>
  </si>
  <si>
    <t>Kedma</t>
  </si>
  <si>
    <t>Kedma Capital Partners IV</t>
  </si>
  <si>
    <t>Green Lantern</t>
  </si>
  <si>
    <t>Green Lantern VI</t>
  </si>
  <si>
    <t>Hamilton Lane</t>
  </si>
  <si>
    <t>Hamilton Lane SO IX</t>
  </si>
  <si>
    <t>KPS Special Situations Fund VI</t>
  </si>
  <si>
    <t>Faropoint</t>
  </si>
  <si>
    <t>Faropoint Industrial SLB Fund Parallel 2</t>
  </si>
  <si>
    <t>Harbourvest</t>
  </si>
  <si>
    <t>Dover Street XI - MVM</t>
  </si>
  <si>
    <t>stepstone</t>
  </si>
  <si>
    <t>StepStone Secondaries Infrastructure Fund Parallel</t>
  </si>
  <si>
    <t>HgCapital</t>
  </si>
  <si>
    <t>HG Saturn 4</t>
  </si>
  <si>
    <t>HarbourVest Co-Investment VII Combined</t>
  </si>
  <si>
    <t>Clearlake Capital Partners</t>
  </si>
  <si>
    <t>Clearlake VIII</t>
  </si>
  <si>
    <t>Pantheon Global</t>
  </si>
  <si>
    <t>PANTHEON GLOBAL INFRASTRUCTURE FUND V</t>
  </si>
  <si>
    <t>Starlight Capital</t>
  </si>
  <si>
    <t>SCGF IV Canadian Holdings 1 LTD - LOAN ACCR</t>
  </si>
  <si>
    <t>MONARCH</t>
  </si>
  <si>
    <t>MONARCH CAPITAL PARTNERS OFFSHORE VI LP</t>
  </si>
  <si>
    <t>Court Square</t>
  </si>
  <si>
    <t>Court Square V</t>
  </si>
  <si>
    <t>Electra Multifamily Investments</t>
  </si>
  <si>
    <t>Electra Multifamily Investments Fund V - MVM</t>
  </si>
  <si>
    <t>Starlight Canadian Residential Growth Fund IV.-הל'</t>
  </si>
  <si>
    <t>Arjun</t>
  </si>
  <si>
    <t>Arjun IAE3</t>
  </si>
  <si>
    <t>Hamilton Lane EO VI</t>
  </si>
  <si>
    <t>Hamilton Secondary Fund VI - MVM</t>
  </si>
  <si>
    <t>Kayne Anderson Real Estate Partners  VII  L.P</t>
  </si>
  <si>
    <t>KAREP VII MVM</t>
  </si>
  <si>
    <t>VINTAGE CREDIT OPPORTUNITY PARTNERS</t>
  </si>
  <si>
    <t>VCOP- VINTAGE CREDIT OPPORTUNITY PARTNERS OFFSHORE</t>
  </si>
  <si>
    <t>Vintage Investment Partners</t>
  </si>
  <si>
    <t>Vintage FOF VIII (Access)</t>
  </si>
  <si>
    <t>Neuberger Berman</t>
  </si>
  <si>
    <t>NB Strategic Co-Investment Partners V</t>
  </si>
  <si>
    <t>Copenhagen Infrastructure Partners</t>
  </si>
  <si>
    <t>COPENHAGEN INFRASTRUCTURE V non QFPF</t>
  </si>
  <si>
    <t>Kohlberg Investors X - TE-B</t>
  </si>
  <si>
    <t>Waterland Private Equity Investments B.V.</t>
  </si>
  <si>
    <t>Macquarie Infrastructure Partners VI</t>
  </si>
  <si>
    <t>Starlight Canadian Residential Growth Fund IV.-הון</t>
  </si>
  <si>
    <t>Prime Green Energy Infrastructure Fund II</t>
  </si>
  <si>
    <t>Lindsay Goldberg</t>
  </si>
  <si>
    <t>Lindsay Goldberg VI - MVM</t>
  </si>
  <si>
    <t>Berkshire Fund</t>
  </si>
  <si>
    <t>Berkshire Fund XI-F</t>
  </si>
  <si>
    <t>DIGITALBRIDGE PARTNERS</t>
  </si>
  <si>
    <t>DIGITALBRIDGE PARTNERS III, LP</t>
  </si>
  <si>
    <t>Kohlberg Investors X - TE</t>
  </si>
  <si>
    <t>LS Power Equity Partners</t>
  </si>
  <si>
    <t>LS POWER FUND V</t>
  </si>
  <si>
    <t>Thoma Bravo</t>
  </si>
  <si>
    <t>Thoma Bravo Fund XVI</t>
  </si>
  <si>
    <t>CVC IX</t>
  </si>
  <si>
    <t>Bridgepoint</t>
  </si>
  <si>
    <t>BRIDGEPOINT EUROPE VII</t>
  </si>
  <si>
    <t>Pantheon Global Co-Investment VI</t>
  </si>
  <si>
    <t>One Equity Partners</t>
  </si>
  <si>
    <t>One Equity Partners IX</t>
  </si>
  <si>
    <t>Levine Leichtman Capital Partners Inc.</t>
  </si>
  <si>
    <t>Levine Leichtman VII</t>
  </si>
  <si>
    <t>Pantheon Ventures Inc.</t>
  </si>
  <si>
    <t>Pantheon Senior Debt Secondary III</t>
  </si>
  <si>
    <t>Mirova Infrastructure</t>
  </si>
  <si>
    <t>Mirova Energy Transition 6 S.L.P</t>
  </si>
  <si>
    <t>MIZBILIT</t>
  </si>
  <si>
    <t>USDILS</t>
  </si>
  <si>
    <t>קבועה</t>
  </si>
  <si>
    <t>Baa1.il</t>
  </si>
  <si>
    <t>ilA-</t>
  </si>
  <si>
    <t>Aa2.il</t>
  </si>
  <si>
    <t>A3.il</t>
  </si>
  <si>
    <t>A2.il</t>
  </si>
  <si>
    <t>Aa1.il</t>
  </si>
  <si>
    <t>Kedma Capital G.P.G.P. Ltd.</t>
  </si>
  <si>
    <t>Klirmark Capital Ltd.</t>
  </si>
  <si>
    <t>NOY Infrastructure and Energy</t>
  </si>
  <si>
    <t xml:space="preserve">ARBEL FUND </t>
  </si>
  <si>
    <t>קרן תשתיות ישראל וי, שותפות מוגבלת</t>
  </si>
  <si>
    <t>ISRAEL INFRASTRUCTURE FUND V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</si>
  <si>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</si>
  <si>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</si>
  <si>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</si>
  <si>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</si>
  <si>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</si>
  <si>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</si>
  <si>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COPENHAGEN INFRASTRUCTURE V</t>
  </si>
  <si>
    <t>Dover Street XI</t>
  </si>
  <si>
    <t>Hamilton Secondary Fund VI</t>
  </si>
  <si>
    <t>Levine Leichtman Capital Partners, Inc.</t>
  </si>
  <si>
    <t xml:space="preserve">One Equity Partners </t>
  </si>
  <si>
    <t xml:space="preserve">HarbourVest 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</si>
  <si>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</si>
  <si>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</si>
  <si>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</si>
  <si>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</si>
  <si>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</si>
  <si>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</si>
  <si>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 xml:space="preserve">Electra Multifamily Investments </t>
  </si>
  <si>
    <t xml:space="preserve">Hamilton Lane </t>
  </si>
  <si>
    <t xml:space="preserve">Lindsay Goldberg </t>
  </si>
  <si>
    <t xml:space="preserve">Pantheon Global </t>
  </si>
  <si>
    <t xml:space="preserve">STEPSTONE </t>
  </si>
  <si>
    <t>Francisco Partners</t>
  </si>
  <si>
    <t>Francisco Partners Agility IV</t>
  </si>
  <si>
    <t>Francisco Partners VIII</t>
  </si>
  <si>
    <t>Starlight Canadian Residential Growth Fund IV</t>
  </si>
  <si>
    <t>520019688_gm_p_0226.xlsx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</si>
</sst>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dd/mm/yyyy"/>
    <numFmt numFmtId="171" formatCode="#,##0.000_ ;\-#,##0.000\ "/>
  </numFmts>
  <fonts count="30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</font>
    <font>
      <b/>
      <sz val="12"/>
      <color theme="1"/>
      <name val="David"/>
    </font>
    <font>
      <sz val="12"/>
      <color theme="1"/>
      <name val="David"/>
    </font>
    <font>
      <b/>
      <sz val="12"/>
      <color rgb="FF2F5317"/>
      <name val="David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sz val="11"/>
      <color theme="1"/>
      <name val="Calibri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name val="Arial"/>
      <family val="2"/>
      <charset val="177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6" fillId="0" borderId="2" applyFont="0" applyFill="0" applyBorder="0" applyAlignment="0" applyProtection="0"/>
  </cellStyleXfs>
  <cellXfs count="13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70" fontId="0" fillId="0" borderId="0" xfId="0" applyNumberFormat="1" applyAlignment="1">
      <alignment horizontal="right"/>
    </xf>
    <xf numFmtId="170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quotePrefix="1" applyAlignment="1">
      <alignment horizontal="left"/>
    </xf>
    <xf numFmtId="167" fontId="0" fillId="0" borderId="0" xfId="0" applyNumberFormat="1"/>
    <xf numFmtId="171" fontId="0" fillId="0" borderId="0" xfId="0" applyNumberFormat="1"/>
    <xf numFmtId="0" fontId="0" fillId="0" borderId="0" xfId="0" quotePrefix="1" applyAlignment="1">
      <alignment horizontal="right"/>
    </xf>
    <xf numFmtId="0" fontId="24" fillId="0" borderId="0" xfId="0" applyFont="1" applyAlignment="1">
      <alignment horizontal="right" vertical="center" readingOrder="2"/>
    </xf>
    <xf numFmtId="169" fontId="25" fillId="0" borderId="0" xfId="0" applyNumberFormat="1" applyFont="1"/>
    <xf numFmtId="0" fontId="27" fillId="0" borderId="2" xfId="3" applyFont="1" applyAlignment="1">
      <alignment horizontal="right"/>
    </xf>
    <xf numFmtId="0" fontId="27" fillId="0" borderId="2" xfId="3" applyFont="1"/>
    <xf numFmtId="3" fontId="27" fillId="0" borderId="2" xfId="3" applyNumberFormat="1" applyFont="1"/>
    <xf numFmtId="169" fontId="0" fillId="0" borderId="0" xfId="0" applyNumberFormat="1"/>
    <xf numFmtId="167" fontId="2" fillId="0" borderId="2" xfId="4" applyNumberFormat="1" applyFont="1" applyFill="1" applyBorder="1"/>
    <xf numFmtId="3" fontId="27" fillId="0" borderId="2" xfId="3" quotePrefix="1" applyNumberFormat="1" applyFont="1" applyAlignment="1">
      <alignment horizontal="left"/>
    </xf>
    <xf numFmtId="0" fontId="27" fillId="0" borderId="2" xfId="3" quotePrefix="1" applyFont="1" applyAlignment="1">
      <alignment horizontal="right"/>
    </xf>
    <xf numFmtId="169" fontId="28" fillId="0" borderId="0" xfId="0" applyNumberFormat="1" applyFont="1"/>
    <xf numFmtId="0" fontId="29" fillId="0" borderId="0" xfId="0" applyFont="1"/>
    <xf numFmtId="0" fontId="24" fillId="0" borderId="0" xfId="0" applyFont="1" applyAlignment="1">
      <alignment horizontal="left"/>
    </xf>
    <xf numFmtId="0" fontId="24" fillId="0" borderId="0" xfId="0" quotePrefix="1" applyFont="1" applyAlignment="1">
      <alignment horizontal="left"/>
    </xf>
    <xf numFmtId="0" fontId="27" fillId="0" borderId="2" xfId="3" quotePrefix="1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BE49D9CA-C793-4E28-A4B9-02918FA10F7A}"/>
    <cellStyle name="Normal" xfId="0" builtinId="0"/>
    <cellStyle name="Normal 2" xfId="3" xr:uid="{CA5723C1-177F-4CC2-ACF1-09045B1EB9C1}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658274</xdr:colOff>
      <xdr:row>45</xdr:row>
      <xdr:rowOff>96400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7E95C1D-0124-DC2F-DC51-EAA49F63F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30926" y="0"/>
          <a:ext cx="7516274" cy="824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618-5FBD-4999-9668-3239C945F977}">
  <dimension ref="A1"/>
  <sheetViews>
    <sheetView rightToLeft="1" tabSelected="1" workbookViewId="0">
      <selection activeCell="M14" sqref="M14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3" sqref="D1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1183</v>
      </c>
    </row>
    <row r="12" spans="1:4" ht="13.5" customHeight="1"/>
    <row r="13" spans="1:4" ht="13.5" customHeight="1">
      <c r="A13" s="3" t="s">
        <v>6</v>
      </c>
      <c r="D13" s="4">
        <v>520019688</v>
      </c>
    </row>
    <row r="14" spans="1:4" ht="13.5" customHeight="1"/>
    <row r="15" spans="1:4" ht="13.5" customHeight="1">
      <c r="A15" s="6" t="s">
        <v>7</v>
      </c>
      <c r="D15" s="134" t="s">
        <v>1479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33" priority="4" operator="containsText" text="Please fill in data">
      <formula>NOT(ISERROR(SEARCH(("Please fill in data"),(D3))))</formula>
    </cfRule>
  </conditionalFormatting>
  <conditionalFormatting sqref="D5">
    <cfRule type="containsText" dxfId="32" priority="5" operator="containsText" text="Please fill in data">
      <formula>NOT(ISERROR(SEARCH(("Please fill in data"),(D5))))</formula>
    </cfRule>
  </conditionalFormatting>
  <conditionalFormatting sqref="D7:D9">
    <cfRule type="containsText" dxfId="31" priority="6" operator="containsText" text="Please fill in data">
      <formula>NOT(ISERROR(SEARCH(("Please fill in data"),(D7))))</formula>
    </cfRule>
  </conditionalFormatting>
  <conditionalFormatting sqref="D11">
    <cfRule type="containsText" dxfId="30" priority="7" operator="containsText" text="Please fill in data">
      <formula>NOT(ISERROR(SEARCH(("Please fill in data"),(D11))))</formula>
    </cfRule>
  </conditionalFormatting>
  <conditionalFormatting sqref="D13">
    <cfRule type="containsText" dxfId="29" priority="8" operator="containsText" text="Please fill in data">
      <formula>NOT(ISERROR(SEARCH(("Please fill in data"),(D13))))</formula>
    </cfRule>
  </conditionalFormatting>
  <conditionalFormatting sqref="D15:D17">
    <cfRule type="containsText" dxfId="28" priority="3" operator="containsText" text="Please fill in data">
      <formula>NOT(ISERROR(SEARCH(("Please fill in data"),(D15))))</formula>
    </cfRule>
  </conditionalFormatting>
  <conditionalFormatting sqref="D19">
    <cfRule type="containsText" dxfId="27" priority="2" operator="containsText" text="Please fill in data">
      <formula>NOT(ISERROR(SEARCH(("Please fill in data"),(D19))))</formula>
    </cfRule>
  </conditionalFormatting>
  <conditionalFormatting sqref="D21">
    <cfRule type="containsText" dxfId="26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27" sqref="B27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17707.006469999997</v>
      </c>
      <c r="C3" s="93"/>
      <c r="D3" s="96"/>
      <c r="E3" s="97">
        <f>IFERROR(B3/$B$30,0)</f>
        <v>1.8109576155549388E-2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119797.88558999999</v>
      </c>
      <c r="C4" s="93"/>
      <c r="D4" s="96"/>
      <c r="E4" s="97">
        <f t="shared" ref="E4:E30" si="0">IFERROR(B4/$B$30,0)</f>
        <v>0.12252149656360847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4.4999999999999999E-4</v>
      </c>
      <c r="C6" s="93"/>
      <c r="D6" s="96"/>
      <c r="E6" s="97">
        <f t="shared" si="0"/>
        <v>4.6023077270594269E-10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0</v>
      </c>
      <c r="C7" s="93"/>
      <c r="D7" s="96"/>
      <c r="E7" s="97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765312.02783000004</v>
      </c>
      <c r="C8" s="93"/>
      <c r="D8" s="96"/>
      <c r="E8" s="97">
        <f t="shared" si="0"/>
        <v>0.78271143539856192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0</v>
      </c>
      <c r="C9" s="93"/>
      <c r="D9" s="96"/>
      <c r="E9" s="97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0</v>
      </c>
      <c r="C15" s="93"/>
      <c r="D15" s="96"/>
      <c r="E15" s="97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233.92000999999999</v>
      </c>
      <c r="C18" s="93"/>
      <c r="D18" s="96"/>
      <c r="E18" s="97">
        <f t="shared" si="0"/>
        <v>2.3923819323040408E-4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2.0899999999999998E-3</v>
      </c>
      <c r="C19" s="93"/>
      <c r="D19" s="96"/>
      <c r="E19" s="97">
        <f t="shared" si="0"/>
        <v>2.1375162554564894E-9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46959.510049999983</v>
      </c>
      <c r="C20" s="93"/>
      <c r="D20" s="96"/>
      <c r="E20" s="97">
        <f t="shared" si="0"/>
        <v>4.8027136880453278E-2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17370.957249999999</v>
      </c>
      <c r="C23" s="93"/>
      <c r="D23" s="96"/>
      <c r="E23" s="97">
        <f t="shared" si="0"/>
        <v>1.7765886839576438E-2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10389.032200000003</v>
      </c>
      <c r="C24" s="93"/>
      <c r="D24" s="96"/>
      <c r="E24" s="97">
        <f t="shared" si="0"/>
        <v>1.0625227371273159E-2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0</v>
      </c>
      <c r="C26" s="93"/>
      <c r="D26" s="96"/>
      <c r="E26" s="97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מוחזקות'!U:U)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0</v>
      </c>
      <c r="C29" s="93"/>
      <c r="D29" s="96"/>
      <c r="E29" s="97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977770.34193999995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6449.1940000000004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>
        <v>73995.144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2">
        <v>526</v>
      </c>
      <c r="B2" s="102">
        <v>526</v>
      </c>
      <c r="C2" s="102" t="s">
        <v>1230</v>
      </c>
      <c r="D2" s="102" t="s">
        <v>1231</v>
      </c>
      <c r="E2" s="102" t="s">
        <v>314</v>
      </c>
      <c r="F2" s="102" t="s">
        <v>943</v>
      </c>
      <c r="G2" s="102" t="s">
        <v>202</v>
      </c>
      <c r="H2" s="102" t="s">
        <v>336</v>
      </c>
      <c r="I2" s="102" t="s">
        <v>1232</v>
      </c>
      <c r="J2" s="102" t="s">
        <v>411</v>
      </c>
      <c r="K2" s="102" t="s">
        <v>1233</v>
      </c>
      <c r="L2" s="105">
        <v>5.6509999999999998E-2</v>
      </c>
      <c r="M2" s="105">
        <v>3.9388999999999998</v>
      </c>
      <c r="N2" s="104"/>
      <c r="O2" s="105">
        <v>0.22259000000000001</v>
      </c>
      <c r="P2" s="104">
        <v>1.2E-5</v>
      </c>
      <c r="Q2" s="104">
        <v>0</v>
      </c>
    </row>
    <row r="3" spans="1:26" ht="13.5" customHeight="1">
      <c r="A3" s="102">
        <v>526</v>
      </c>
      <c r="B3" s="102">
        <v>526</v>
      </c>
      <c r="C3" s="102" t="s">
        <v>1234</v>
      </c>
      <c r="D3" s="102" t="s">
        <v>1235</v>
      </c>
      <c r="E3" s="102" t="s">
        <v>314</v>
      </c>
      <c r="F3" s="102" t="s">
        <v>943</v>
      </c>
      <c r="G3" s="102" t="s">
        <v>202</v>
      </c>
      <c r="H3" s="102" t="s">
        <v>336</v>
      </c>
      <c r="I3" s="102" t="s">
        <v>1232</v>
      </c>
      <c r="J3" s="102" t="s">
        <v>411</v>
      </c>
      <c r="K3" s="102" t="s">
        <v>1236</v>
      </c>
      <c r="L3" s="105">
        <v>0.95689000000000002</v>
      </c>
      <c r="M3" s="105">
        <v>3.3944999999999999</v>
      </c>
      <c r="N3" s="104"/>
      <c r="O3" s="105">
        <v>3.2481599999999999</v>
      </c>
      <c r="P3" s="104">
        <v>1.83E-4</v>
      </c>
      <c r="Q3" s="104">
        <v>3.0000000000000001E-6</v>
      </c>
    </row>
    <row r="4" spans="1:26" ht="13.5" customHeight="1">
      <c r="A4" s="102">
        <v>526</v>
      </c>
      <c r="B4" s="102">
        <v>526</v>
      </c>
      <c r="C4" s="102" t="s">
        <v>1230</v>
      </c>
      <c r="D4" s="102" t="s">
        <v>1231</v>
      </c>
      <c r="E4" s="102" t="s">
        <v>314</v>
      </c>
      <c r="F4" s="102" t="s">
        <v>943</v>
      </c>
      <c r="G4" s="102" t="s">
        <v>202</v>
      </c>
      <c r="H4" s="102" t="s">
        <v>336</v>
      </c>
      <c r="I4" s="102" t="s">
        <v>1232</v>
      </c>
      <c r="J4" s="102" t="s">
        <v>411</v>
      </c>
      <c r="K4" s="102" t="s">
        <v>1236</v>
      </c>
      <c r="L4" s="105">
        <v>8.8000000000000003E-4</v>
      </c>
      <c r="M4" s="105">
        <v>3.3944999999999999</v>
      </c>
      <c r="N4" s="104"/>
      <c r="O4" s="105">
        <v>2.99E-3</v>
      </c>
      <c r="P4" s="104">
        <v>0</v>
      </c>
      <c r="Q4" s="104">
        <v>0</v>
      </c>
    </row>
    <row r="5" spans="1:26" ht="13.5" customHeight="1">
      <c r="A5" s="102">
        <v>526</v>
      </c>
      <c r="B5" s="102">
        <v>526</v>
      </c>
      <c r="C5" s="102" t="s">
        <v>1234</v>
      </c>
      <c r="D5" s="102" t="s">
        <v>1235</v>
      </c>
      <c r="E5" s="102" t="s">
        <v>314</v>
      </c>
      <c r="F5" s="102" t="s">
        <v>940</v>
      </c>
      <c r="G5" s="102" t="s">
        <v>202</v>
      </c>
      <c r="H5" s="102" t="s">
        <v>336</v>
      </c>
      <c r="I5" s="102" t="s">
        <v>1232</v>
      </c>
      <c r="J5" s="102" t="s">
        <v>411</v>
      </c>
      <c r="K5" s="102" t="s">
        <v>1237</v>
      </c>
      <c r="L5" s="105">
        <v>8411.8120299999991</v>
      </c>
      <c r="M5" s="105">
        <v>1</v>
      </c>
      <c r="N5" s="104"/>
      <c r="O5" s="105">
        <v>8411.8120299999991</v>
      </c>
      <c r="P5" s="104">
        <v>0.47505500000000001</v>
      </c>
      <c r="Q5" s="104">
        <v>8.6029999999999995E-3</v>
      </c>
    </row>
    <row r="6" spans="1:26" ht="13.5" customHeight="1">
      <c r="A6" s="102">
        <v>526</v>
      </c>
      <c r="B6" s="102">
        <v>526</v>
      </c>
      <c r="C6" s="102" t="s">
        <v>1238</v>
      </c>
      <c r="D6" s="102" t="s">
        <v>1239</v>
      </c>
      <c r="E6" s="102" t="s">
        <v>314</v>
      </c>
      <c r="F6" s="102" t="s">
        <v>943</v>
      </c>
      <c r="G6" s="102" t="s">
        <v>202</v>
      </c>
      <c r="H6" s="102" t="s">
        <v>336</v>
      </c>
      <c r="I6" s="102" t="s">
        <v>1232</v>
      </c>
      <c r="J6" s="102" t="s">
        <v>411</v>
      </c>
      <c r="K6" s="102" t="s">
        <v>1236</v>
      </c>
      <c r="L6" s="105">
        <v>13.55565</v>
      </c>
      <c r="M6" s="105">
        <v>3.3944999999999999</v>
      </c>
      <c r="N6" s="104"/>
      <c r="O6" s="105">
        <v>46.014650000000003</v>
      </c>
      <c r="P6" s="104">
        <v>2.598E-3</v>
      </c>
      <c r="Q6" s="104">
        <v>4.6999999999999997E-5</v>
      </c>
    </row>
    <row r="7" spans="1:26" ht="13.5" customHeight="1">
      <c r="A7" s="102">
        <v>526</v>
      </c>
      <c r="B7" s="102">
        <v>526</v>
      </c>
      <c r="C7" s="102" t="s">
        <v>1230</v>
      </c>
      <c r="D7" s="102" t="s">
        <v>1231</v>
      </c>
      <c r="E7" s="102" t="s">
        <v>314</v>
      </c>
      <c r="F7" s="102" t="s">
        <v>943</v>
      </c>
      <c r="G7" s="102" t="s">
        <v>202</v>
      </c>
      <c r="H7" s="102" t="s">
        <v>336</v>
      </c>
      <c r="I7" s="102" t="s">
        <v>1232</v>
      </c>
      <c r="J7" s="102" t="s">
        <v>411</v>
      </c>
      <c r="K7" s="102" t="s">
        <v>1240</v>
      </c>
      <c r="L7" s="105">
        <v>2.4160000000000001E-2</v>
      </c>
      <c r="M7" s="105">
        <v>2.0916999999999999</v>
      </c>
      <c r="N7" s="104"/>
      <c r="O7" s="105">
        <v>5.0540000000000002E-2</v>
      </c>
      <c r="P7" s="104">
        <v>1.9999999999999999E-6</v>
      </c>
      <c r="Q7" s="104">
        <v>0</v>
      </c>
    </row>
    <row r="8" spans="1:26" ht="13.5" customHeight="1">
      <c r="A8" s="102">
        <v>526</v>
      </c>
      <c r="B8" s="102">
        <v>526</v>
      </c>
      <c r="C8" s="102" t="s">
        <v>1234</v>
      </c>
      <c r="D8" s="102" t="s">
        <v>1235</v>
      </c>
      <c r="E8" s="102" t="s">
        <v>314</v>
      </c>
      <c r="F8" s="102" t="s">
        <v>943</v>
      </c>
      <c r="G8" s="102" t="s">
        <v>202</v>
      </c>
      <c r="H8" s="102" t="s">
        <v>336</v>
      </c>
      <c r="I8" s="102" t="s">
        <v>1232</v>
      </c>
      <c r="J8" s="102" t="s">
        <v>411</v>
      </c>
      <c r="K8" s="102" t="s">
        <v>1241</v>
      </c>
      <c r="L8" s="105">
        <v>118.99751999999999</v>
      </c>
      <c r="M8" s="105">
        <v>2.9780000000000002</v>
      </c>
      <c r="N8" s="104"/>
      <c r="O8" s="105">
        <v>354.37461000000002</v>
      </c>
      <c r="P8" s="104">
        <v>2.0013E-2</v>
      </c>
      <c r="Q8" s="104">
        <v>3.6200000000000002E-4</v>
      </c>
    </row>
    <row r="9" spans="1:26" ht="13.5" customHeight="1">
      <c r="A9" s="102">
        <v>526</v>
      </c>
      <c r="B9" s="102">
        <v>526</v>
      </c>
      <c r="C9" s="102" t="s">
        <v>1234</v>
      </c>
      <c r="D9" s="102" t="s">
        <v>1235</v>
      </c>
      <c r="E9" s="102" t="s">
        <v>314</v>
      </c>
      <c r="F9" s="102" t="s">
        <v>943</v>
      </c>
      <c r="G9" s="102" t="s">
        <v>202</v>
      </c>
      <c r="H9" s="102" t="s">
        <v>336</v>
      </c>
      <c r="I9" s="102" t="s">
        <v>1232</v>
      </c>
      <c r="J9" s="102" t="s">
        <v>411</v>
      </c>
      <c r="K9" s="102" t="s">
        <v>1240</v>
      </c>
      <c r="L9" s="105">
        <v>0.56545999999999996</v>
      </c>
      <c r="M9" s="105">
        <v>2.0916999999999999</v>
      </c>
      <c r="N9" s="104"/>
      <c r="O9" s="105">
        <v>1.1827700000000001</v>
      </c>
      <c r="P9" s="104">
        <v>6.6000000000000005E-5</v>
      </c>
      <c r="Q9" s="104">
        <v>9.9999999999999995E-7</v>
      </c>
    </row>
    <row r="10" spans="1:26" ht="13.5" customHeight="1">
      <c r="A10" s="102">
        <v>526</v>
      </c>
      <c r="B10" s="102">
        <v>526</v>
      </c>
      <c r="C10" s="102" t="s">
        <v>1234</v>
      </c>
      <c r="D10" s="102" t="s">
        <v>1235</v>
      </c>
      <c r="E10" s="102" t="s">
        <v>314</v>
      </c>
      <c r="F10" s="102" t="s">
        <v>943</v>
      </c>
      <c r="G10" s="102" t="s">
        <v>202</v>
      </c>
      <c r="H10" s="102" t="s">
        <v>336</v>
      </c>
      <c r="I10" s="102" t="s">
        <v>1232</v>
      </c>
      <c r="J10" s="102" t="s">
        <v>411</v>
      </c>
      <c r="K10" s="102" t="s">
        <v>1233</v>
      </c>
      <c r="L10" s="105">
        <v>0.55847999999999998</v>
      </c>
      <c r="M10" s="105">
        <v>3.9388999999999998</v>
      </c>
      <c r="N10" s="104"/>
      <c r="O10" s="105">
        <v>2.1998000000000002</v>
      </c>
      <c r="P10" s="104">
        <v>1.2400000000000001E-4</v>
      </c>
      <c r="Q10" s="104">
        <v>1.9999999999999999E-6</v>
      </c>
    </row>
    <row r="11" spans="1:26" ht="13.5" customHeight="1">
      <c r="A11" s="102">
        <v>526</v>
      </c>
      <c r="B11" s="102">
        <v>526</v>
      </c>
      <c r="C11" s="102" t="s">
        <v>1238</v>
      </c>
      <c r="D11" s="102" t="s">
        <v>1239</v>
      </c>
      <c r="E11" s="102" t="s">
        <v>314</v>
      </c>
      <c r="F11" s="102" t="s">
        <v>943</v>
      </c>
      <c r="G11" s="102" t="s">
        <v>202</v>
      </c>
      <c r="H11" s="102" t="s">
        <v>336</v>
      </c>
      <c r="I11" s="102" t="s">
        <v>1232</v>
      </c>
      <c r="J11" s="102" t="s">
        <v>411</v>
      </c>
      <c r="K11" s="102" t="s">
        <v>1240</v>
      </c>
      <c r="L11" s="105">
        <v>3.8980000000000001E-2</v>
      </c>
      <c r="M11" s="105">
        <v>2.0916999999999999</v>
      </c>
      <c r="N11" s="104"/>
      <c r="O11" s="105">
        <v>8.1530000000000005E-2</v>
      </c>
      <c r="P11" s="104">
        <v>3.9999999999999998E-6</v>
      </c>
      <c r="Q11" s="104">
        <v>0</v>
      </c>
    </row>
    <row r="12" spans="1:26" ht="13.5" customHeight="1">
      <c r="A12" s="102">
        <v>526</v>
      </c>
      <c r="B12" s="102">
        <v>526</v>
      </c>
      <c r="C12" s="102" t="s">
        <v>1238</v>
      </c>
      <c r="D12" s="102" t="s">
        <v>1239</v>
      </c>
      <c r="E12" s="102" t="s">
        <v>314</v>
      </c>
      <c r="F12" s="102" t="s">
        <v>943</v>
      </c>
      <c r="G12" s="102" t="s">
        <v>202</v>
      </c>
      <c r="H12" s="102" t="s">
        <v>336</v>
      </c>
      <c r="I12" s="102" t="s">
        <v>1232</v>
      </c>
      <c r="J12" s="102" t="s">
        <v>411</v>
      </c>
      <c r="K12" s="102" t="s">
        <v>1241</v>
      </c>
      <c r="L12" s="105">
        <v>39.022469999999998</v>
      </c>
      <c r="M12" s="105">
        <v>2.9780000000000002</v>
      </c>
      <c r="N12" s="104"/>
      <c r="O12" s="105">
        <v>116.20892000000001</v>
      </c>
      <c r="P12" s="104">
        <v>6.5620000000000001E-3</v>
      </c>
      <c r="Q12" s="104">
        <v>1.18E-4</v>
      </c>
    </row>
    <row r="13" spans="1:26" ht="13.5" customHeight="1">
      <c r="A13" s="102">
        <v>526</v>
      </c>
      <c r="B13" s="102">
        <v>526</v>
      </c>
      <c r="C13" s="102" t="s">
        <v>1238</v>
      </c>
      <c r="D13" s="102" t="s">
        <v>1239</v>
      </c>
      <c r="E13" s="102" t="s">
        <v>314</v>
      </c>
      <c r="F13" s="102" t="s">
        <v>940</v>
      </c>
      <c r="G13" s="102" t="s">
        <v>202</v>
      </c>
      <c r="H13" s="102" t="s">
        <v>336</v>
      </c>
      <c r="I13" s="102" t="s">
        <v>1232</v>
      </c>
      <c r="J13" s="102" t="s">
        <v>411</v>
      </c>
      <c r="K13" s="102" t="s">
        <v>1237</v>
      </c>
      <c r="L13" s="105">
        <v>8771.0898899999993</v>
      </c>
      <c r="M13" s="105">
        <v>1</v>
      </c>
      <c r="N13" s="104"/>
      <c r="O13" s="105">
        <v>8771.0898899999993</v>
      </c>
      <c r="P13" s="104">
        <v>0.49534499999999998</v>
      </c>
      <c r="Q13" s="104">
        <v>8.9689999999999995E-3</v>
      </c>
    </row>
    <row r="14" spans="1:26" ht="13.5" customHeight="1">
      <c r="A14" s="102">
        <v>526</v>
      </c>
      <c r="B14" s="102">
        <v>526</v>
      </c>
      <c r="C14" s="102" t="s">
        <v>1230</v>
      </c>
      <c r="D14" s="102" t="s">
        <v>1231</v>
      </c>
      <c r="E14" s="102" t="s">
        <v>314</v>
      </c>
      <c r="F14" s="102" t="s">
        <v>940</v>
      </c>
      <c r="G14" s="102" t="s">
        <v>202</v>
      </c>
      <c r="H14" s="102" t="s">
        <v>336</v>
      </c>
      <c r="I14" s="102" t="s">
        <v>1232</v>
      </c>
      <c r="J14" s="102" t="s">
        <v>411</v>
      </c>
      <c r="K14" s="102" t="s">
        <v>1237</v>
      </c>
      <c r="L14" s="105">
        <v>9.196E-2</v>
      </c>
      <c r="M14" s="105">
        <v>1</v>
      </c>
      <c r="N14" s="104"/>
      <c r="O14" s="105">
        <v>9.196E-2</v>
      </c>
      <c r="P14" s="104">
        <v>5.0000000000000004E-6</v>
      </c>
      <c r="Q14" s="104">
        <v>0</v>
      </c>
    </row>
    <row r="15" spans="1:26" ht="13.5" customHeight="1">
      <c r="A15" s="102">
        <v>526</v>
      </c>
      <c r="B15" s="102">
        <v>526</v>
      </c>
      <c r="C15" s="102" t="s">
        <v>1230</v>
      </c>
      <c r="D15" s="102" t="s">
        <v>1231</v>
      </c>
      <c r="E15" s="102" t="s">
        <v>314</v>
      </c>
      <c r="F15" s="102" t="s">
        <v>943</v>
      </c>
      <c r="G15" s="102" t="s">
        <v>202</v>
      </c>
      <c r="H15" s="102" t="s">
        <v>336</v>
      </c>
      <c r="I15" s="102" t="s">
        <v>1232</v>
      </c>
      <c r="J15" s="102" t="s">
        <v>411</v>
      </c>
      <c r="K15" s="102" t="s">
        <v>1241</v>
      </c>
      <c r="L15" s="105">
        <v>0.14305999999999999</v>
      </c>
      <c r="M15" s="105">
        <v>2.9780000000000002</v>
      </c>
      <c r="N15" s="104"/>
      <c r="O15" s="105">
        <v>0.42603000000000002</v>
      </c>
      <c r="P15" s="104">
        <v>2.4000000000000001E-5</v>
      </c>
      <c r="Q15" s="104">
        <v>0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3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6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2">
        <v>526</v>
      </c>
      <c r="B2" s="102">
        <v>526</v>
      </c>
      <c r="C2" s="102" t="s">
        <v>1242</v>
      </c>
      <c r="D2" s="102" t="s">
        <v>1243</v>
      </c>
      <c r="E2" s="102" t="s">
        <v>1244</v>
      </c>
      <c r="F2" s="102" t="s">
        <v>950</v>
      </c>
      <c r="G2" s="102" t="s">
        <v>202</v>
      </c>
      <c r="H2" s="102" t="s">
        <v>202</v>
      </c>
      <c r="I2" s="102" t="s">
        <v>337</v>
      </c>
      <c r="J2" s="102" t="s">
        <v>1245</v>
      </c>
      <c r="K2" s="102" t="s">
        <v>411</v>
      </c>
      <c r="L2" s="102" t="s">
        <v>1237</v>
      </c>
      <c r="M2" s="105">
        <v>4.6399999999999997</v>
      </c>
      <c r="N2" s="108">
        <v>47968</v>
      </c>
      <c r="O2" s="104">
        <v>0.02</v>
      </c>
      <c r="P2" s="104">
        <v>1.8100000000000002E-2</v>
      </c>
      <c r="Q2" s="105">
        <v>0</v>
      </c>
      <c r="R2" s="105">
        <v>44073203</v>
      </c>
      <c r="S2" s="105">
        <v>1</v>
      </c>
      <c r="T2" s="105">
        <v>103.97</v>
      </c>
      <c r="U2" s="105">
        <v>45822.909160000003</v>
      </c>
      <c r="V2" s="105"/>
      <c r="W2" s="102"/>
      <c r="X2" s="104">
        <v>2.0899999999999998E-3</v>
      </c>
      <c r="Y2" s="104">
        <v>0.38250099999999998</v>
      </c>
      <c r="Z2" s="104">
        <v>4.6864000000000003E-2</v>
      </c>
    </row>
    <row r="3" spans="1:26" ht="13.5" customHeight="1">
      <c r="A3" s="102">
        <v>526</v>
      </c>
      <c r="B3" s="102">
        <v>526</v>
      </c>
      <c r="C3" s="102" t="s">
        <v>1242</v>
      </c>
      <c r="D3" s="102" t="s">
        <v>1246</v>
      </c>
      <c r="E3" s="102" t="s">
        <v>1247</v>
      </c>
      <c r="F3" s="102" t="s">
        <v>953</v>
      </c>
      <c r="G3" s="102" t="s">
        <v>202</v>
      </c>
      <c r="H3" s="102" t="s">
        <v>202</v>
      </c>
      <c r="I3" s="102" t="s">
        <v>337</v>
      </c>
      <c r="J3" s="102" t="s">
        <v>1245</v>
      </c>
      <c r="K3" s="102" t="s">
        <v>411</v>
      </c>
      <c r="L3" s="102" t="s">
        <v>1237</v>
      </c>
      <c r="M3" s="105">
        <v>7.76</v>
      </c>
      <c r="N3" s="108">
        <v>49613</v>
      </c>
      <c r="O3" s="104">
        <v>4.1500000000000002E-2</v>
      </c>
      <c r="P3" s="104">
        <v>3.6799999999999999E-2</v>
      </c>
      <c r="Q3" s="105">
        <v>0</v>
      </c>
      <c r="R3" s="105">
        <v>5106427</v>
      </c>
      <c r="S3" s="105">
        <v>1</v>
      </c>
      <c r="T3" s="105">
        <v>106.4</v>
      </c>
      <c r="U3" s="105">
        <v>5433.2383300000001</v>
      </c>
      <c r="V3" s="103"/>
      <c r="W3" s="102"/>
      <c r="X3" s="104">
        <v>2.8699999999999998E-4</v>
      </c>
      <c r="Y3" s="104">
        <v>4.5352999999999997E-2</v>
      </c>
      <c r="Z3" s="104">
        <v>5.5560000000000002E-3</v>
      </c>
    </row>
    <row r="4" spans="1:26" ht="13.5" customHeight="1">
      <c r="A4" s="102">
        <v>526</v>
      </c>
      <c r="B4" s="102">
        <v>526</v>
      </c>
      <c r="C4" s="102" t="s">
        <v>1242</v>
      </c>
      <c r="D4" s="102" t="s">
        <v>1248</v>
      </c>
      <c r="E4" s="102" t="s">
        <v>1249</v>
      </c>
      <c r="F4" s="102" t="s">
        <v>950</v>
      </c>
      <c r="G4" s="102" t="s">
        <v>202</v>
      </c>
      <c r="H4" s="102" t="s">
        <v>202</v>
      </c>
      <c r="I4" s="102" t="s">
        <v>337</v>
      </c>
      <c r="J4" s="102" t="s">
        <v>1245</v>
      </c>
      <c r="K4" s="102" t="s">
        <v>411</v>
      </c>
      <c r="L4" s="102" t="s">
        <v>1237</v>
      </c>
      <c r="M4" s="105">
        <v>10.130000000000001</v>
      </c>
      <c r="N4" s="108">
        <v>50283</v>
      </c>
      <c r="O4" s="104">
        <v>1.8499999999999999E-2</v>
      </c>
      <c r="P4" s="104">
        <v>1.95E-2</v>
      </c>
      <c r="Q4" s="105">
        <v>0</v>
      </c>
      <c r="R4" s="105">
        <v>35717625</v>
      </c>
      <c r="S4" s="105">
        <v>1</v>
      </c>
      <c r="T4" s="105">
        <v>101</v>
      </c>
      <c r="U4" s="105">
        <v>36074.801249999997</v>
      </c>
      <c r="V4" s="103"/>
      <c r="W4" s="102"/>
      <c r="X4" s="104">
        <v>4.3359999999999996E-3</v>
      </c>
      <c r="Y4" s="104">
        <v>0.30113000000000001</v>
      </c>
      <c r="Z4" s="104">
        <v>3.6894000000000003E-2</v>
      </c>
    </row>
    <row r="5" spans="1:26" ht="13.5" customHeight="1">
      <c r="A5" s="102">
        <v>526</v>
      </c>
      <c r="B5" s="102">
        <v>526</v>
      </c>
      <c r="C5" s="102" t="s">
        <v>1242</v>
      </c>
      <c r="D5" s="102" t="s">
        <v>1250</v>
      </c>
      <c r="E5" s="102" t="s">
        <v>1251</v>
      </c>
      <c r="F5" s="102" t="s">
        <v>953</v>
      </c>
      <c r="G5" s="102" t="s">
        <v>202</v>
      </c>
      <c r="H5" s="102" t="s">
        <v>202</v>
      </c>
      <c r="I5" s="102" t="s">
        <v>337</v>
      </c>
      <c r="J5" s="102" t="s">
        <v>1245</v>
      </c>
      <c r="K5" s="102" t="s">
        <v>411</v>
      </c>
      <c r="L5" s="102" t="s">
        <v>1237</v>
      </c>
      <c r="M5" s="105">
        <v>11.06</v>
      </c>
      <c r="N5" s="108">
        <v>51897</v>
      </c>
      <c r="O5" s="104">
        <v>5.5E-2</v>
      </c>
      <c r="P5" s="104">
        <v>3.9399999999999998E-2</v>
      </c>
      <c r="Q5" s="105">
        <v>0</v>
      </c>
      <c r="R5" s="105">
        <v>27026502</v>
      </c>
      <c r="S5" s="105">
        <v>1</v>
      </c>
      <c r="T5" s="105">
        <v>120.13</v>
      </c>
      <c r="U5" s="105">
        <v>32466.936849999998</v>
      </c>
      <c r="V5" s="103"/>
      <c r="W5" s="102"/>
      <c r="X5" s="104">
        <v>7.3300000000000004E-4</v>
      </c>
      <c r="Y5" s="104">
        <v>0.27101399999999998</v>
      </c>
      <c r="Z5" s="104">
        <v>3.3204999999999998E-2</v>
      </c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21" t="s">
        <v>84</v>
      </c>
      <c r="U1" s="109" t="s">
        <v>73</v>
      </c>
      <c r="V1" s="110" t="s">
        <v>63</v>
      </c>
      <c r="W1" s="110" t="s">
        <v>74</v>
      </c>
      <c r="X1" s="21" t="s">
        <v>85</v>
      </c>
      <c r="Y1" s="21" t="s">
        <v>86</v>
      </c>
      <c r="Z1" s="106" t="s">
        <v>76</v>
      </c>
      <c r="AA1" s="106" t="s">
        <v>62</v>
      </c>
      <c r="AB1" s="106" t="s">
        <v>77</v>
      </c>
      <c r="AC1" s="106" t="s">
        <v>75</v>
      </c>
      <c r="AD1" s="106" t="s">
        <v>16</v>
      </c>
      <c r="AE1" s="106" t="s">
        <v>17</v>
      </c>
      <c r="AF1" s="106" t="s">
        <v>87</v>
      </c>
      <c r="AG1" s="21" t="s">
        <v>18</v>
      </c>
      <c r="AH1" s="110" t="s">
        <v>78</v>
      </c>
      <c r="AI1" s="110" t="s">
        <v>64</v>
      </c>
      <c r="AJ1" s="110" t="s">
        <v>65</v>
      </c>
    </row>
    <row r="2" spans="1:3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5"/>
      <c r="T2" s="102"/>
      <c r="U2" s="108"/>
      <c r="V2" s="104"/>
      <c r="W2" s="104"/>
      <c r="X2" s="102"/>
      <c r="Y2" s="102"/>
      <c r="Z2" s="105"/>
      <c r="AA2" s="105"/>
      <c r="AB2" s="105"/>
      <c r="AC2" s="105"/>
      <c r="AD2" s="105"/>
      <c r="AE2" s="105"/>
      <c r="AF2" s="105"/>
      <c r="AG2" s="102"/>
      <c r="AH2" s="104"/>
      <c r="AI2" s="104"/>
      <c r="AJ2" s="104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7.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6" t="s">
        <v>17</v>
      </c>
      <c r="AF1" s="106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2">
        <v>526</v>
      </c>
      <c r="B2" s="102">
        <v>526</v>
      </c>
      <c r="C2" s="102" t="s">
        <v>1252</v>
      </c>
      <c r="D2" s="102">
        <v>513893123</v>
      </c>
      <c r="E2" s="102" t="s">
        <v>308</v>
      </c>
      <c r="F2" s="102" t="s">
        <v>1253</v>
      </c>
      <c r="G2" s="102" t="s">
        <v>1254</v>
      </c>
      <c r="H2" s="102" t="s">
        <v>319</v>
      </c>
      <c r="I2" s="102" t="s">
        <v>751</v>
      </c>
      <c r="J2" s="102" t="s">
        <v>202</v>
      </c>
      <c r="K2" s="102" t="s">
        <v>202</v>
      </c>
      <c r="L2" s="102" t="s">
        <v>322</v>
      </c>
      <c r="M2" s="102" t="s">
        <v>337</v>
      </c>
      <c r="N2" s="102" t="s">
        <v>441</v>
      </c>
      <c r="O2" s="102" t="s">
        <v>336</v>
      </c>
      <c r="P2" s="102" t="s">
        <v>1255</v>
      </c>
      <c r="Q2" s="102" t="s">
        <v>413</v>
      </c>
      <c r="R2" s="102" t="s">
        <v>404</v>
      </c>
      <c r="S2" s="102" t="s">
        <v>1237</v>
      </c>
      <c r="T2" s="105">
        <v>2.33</v>
      </c>
      <c r="U2" s="108">
        <v>48060</v>
      </c>
      <c r="V2" s="104">
        <v>0.01</v>
      </c>
      <c r="W2" s="104">
        <v>2.5999999999999999E-2</v>
      </c>
      <c r="X2" s="102" t="s">
        <v>410</v>
      </c>
      <c r="Y2" s="102"/>
      <c r="Z2" s="105">
        <v>0.24</v>
      </c>
      <c r="AA2" s="105">
        <v>1</v>
      </c>
      <c r="AB2" s="105">
        <v>112.64</v>
      </c>
      <c r="AC2" s="105">
        <v>0</v>
      </c>
      <c r="AD2" s="105">
        <v>2.7E-4</v>
      </c>
      <c r="AE2" s="105"/>
      <c r="AF2" s="105"/>
      <c r="AG2" s="102"/>
      <c r="AH2" s="104">
        <v>0</v>
      </c>
      <c r="AI2" s="104">
        <v>0.6</v>
      </c>
      <c r="AJ2" s="104">
        <v>0</v>
      </c>
    </row>
    <row r="3" spans="1:36" ht="13.5" customHeight="1">
      <c r="A3" s="102">
        <v>526</v>
      </c>
      <c r="B3" s="102">
        <v>526</v>
      </c>
      <c r="C3" s="102" t="s">
        <v>1256</v>
      </c>
      <c r="D3" s="102">
        <v>513623314</v>
      </c>
      <c r="E3" s="102" t="s">
        <v>308</v>
      </c>
      <c r="F3" s="102" t="s">
        <v>1257</v>
      </c>
      <c r="G3" s="102" t="s">
        <v>1258</v>
      </c>
      <c r="H3" s="102" t="s">
        <v>319</v>
      </c>
      <c r="I3" s="102" t="s">
        <v>751</v>
      </c>
      <c r="J3" s="102" t="s">
        <v>202</v>
      </c>
      <c r="K3" s="102" t="s">
        <v>202</v>
      </c>
      <c r="L3" s="102" t="s">
        <v>322</v>
      </c>
      <c r="M3" s="102" t="s">
        <v>337</v>
      </c>
      <c r="N3" s="102" t="s">
        <v>462</v>
      </c>
      <c r="O3" s="102" t="s">
        <v>336</v>
      </c>
      <c r="P3" s="102" t="s">
        <v>1259</v>
      </c>
      <c r="Q3" s="102" t="s">
        <v>413</v>
      </c>
      <c r="R3" s="102" t="s">
        <v>404</v>
      </c>
      <c r="S3" s="102" t="s">
        <v>1237</v>
      </c>
      <c r="T3" s="105">
        <v>3.34</v>
      </c>
      <c r="U3" s="108">
        <v>47937</v>
      </c>
      <c r="V3" s="104">
        <v>1.3299999999999999E-2</v>
      </c>
      <c r="W3" s="104">
        <v>2.47E-2</v>
      </c>
      <c r="X3" s="102" t="s">
        <v>410</v>
      </c>
      <c r="Y3" s="102"/>
      <c r="Z3" s="105">
        <v>0.16</v>
      </c>
      <c r="AA3" s="105">
        <v>1</v>
      </c>
      <c r="AB3" s="105">
        <v>115.22</v>
      </c>
      <c r="AC3" s="105">
        <v>0</v>
      </c>
      <c r="AD3" s="105">
        <v>1.8000000000000001E-4</v>
      </c>
      <c r="AE3" s="103"/>
      <c r="AF3" s="103"/>
      <c r="AG3" s="102"/>
      <c r="AH3" s="104">
        <v>0</v>
      </c>
      <c r="AI3" s="104">
        <v>0.4</v>
      </c>
      <c r="AJ3" s="104">
        <v>0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6" t="s">
        <v>76</v>
      </c>
      <c r="R1" s="106" t="s">
        <v>62</v>
      </c>
      <c r="S1" s="106" t="s">
        <v>77</v>
      </c>
      <c r="T1" s="106" t="s">
        <v>75</v>
      </c>
      <c r="U1" s="106" t="s">
        <v>16</v>
      </c>
      <c r="V1" s="110" t="s">
        <v>78</v>
      </c>
      <c r="W1" s="110" t="s">
        <v>64</v>
      </c>
      <c r="X1" s="110" t="s">
        <v>65</v>
      </c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5"/>
      <c r="R2" s="105"/>
      <c r="S2" s="105"/>
      <c r="T2" s="105"/>
      <c r="U2" s="105"/>
      <c r="V2" s="104"/>
      <c r="W2" s="104"/>
      <c r="X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3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1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2">
        <v>526</v>
      </c>
      <c r="B2" s="102">
        <v>526</v>
      </c>
      <c r="C2" s="102" t="s">
        <v>1260</v>
      </c>
      <c r="D2" s="102">
        <v>511776783</v>
      </c>
      <c r="E2" s="102" t="s">
        <v>308</v>
      </c>
      <c r="F2" s="102" t="s">
        <v>1261</v>
      </c>
      <c r="G2" s="102" t="s">
        <v>1262</v>
      </c>
      <c r="H2" s="102" t="s">
        <v>319</v>
      </c>
      <c r="I2" s="102" t="s">
        <v>981</v>
      </c>
      <c r="J2" s="102" t="s">
        <v>202</v>
      </c>
      <c r="K2" s="102" t="s">
        <v>202</v>
      </c>
      <c r="L2" s="102" t="s">
        <v>337</v>
      </c>
      <c r="M2" s="112" t="s">
        <v>630</v>
      </c>
      <c r="N2" s="102" t="s">
        <v>336</v>
      </c>
      <c r="O2" s="102" t="s">
        <v>1237</v>
      </c>
      <c r="P2" s="105">
        <v>2700703</v>
      </c>
      <c r="Q2" s="105">
        <v>1</v>
      </c>
      <c r="R2" s="105">
        <v>440.02</v>
      </c>
      <c r="S2" s="105">
        <v>0</v>
      </c>
      <c r="T2" s="105">
        <v>11883.63334</v>
      </c>
      <c r="U2" s="104">
        <v>8.1600000000000006E-3</v>
      </c>
      <c r="V2" s="104">
        <v>1.5526999999999999E-2</v>
      </c>
      <c r="W2" s="104">
        <v>1.2153000000000001E-2</v>
      </c>
    </row>
    <row r="3" spans="1:26" ht="13.5" customHeight="1">
      <c r="A3" s="102">
        <v>526</v>
      </c>
      <c r="B3" s="102">
        <v>526</v>
      </c>
      <c r="C3" s="102" t="s">
        <v>1260</v>
      </c>
      <c r="D3" s="102">
        <v>511776783</v>
      </c>
      <c r="E3" s="102" t="s">
        <v>308</v>
      </c>
      <c r="F3" s="102" t="s">
        <v>1263</v>
      </c>
      <c r="G3" s="102" t="s">
        <v>1264</v>
      </c>
      <c r="H3" s="102" t="s">
        <v>319</v>
      </c>
      <c r="I3" s="102" t="s">
        <v>978</v>
      </c>
      <c r="J3" s="102" t="s">
        <v>202</v>
      </c>
      <c r="K3" s="102" t="s">
        <v>202</v>
      </c>
      <c r="L3" s="102" t="s">
        <v>337</v>
      </c>
      <c r="M3" s="112" t="s">
        <v>572</v>
      </c>
      <c r="N3" s="102" t="s">
        <v>336</v>
      </c>
      <c r="O3" s="102" t="s">
        <v>1237</v>
      </c>
      <c r="P3" s="105">
        <v>991672</v>
      </c>
      <c r="Q3" s="105">
        <v>1</v>
      </c>
      <c r="R3" s="105">
        <v>3992</v>
      </c>
      <c r="S3" s="105">
        <v>0</v>
      </c>
      <c r="T3" s="105">
        <v>39587.546240000003</v>
      </c>
      <c r="U3" s="104">
        <v>1.1639999999999999E-2</v>
      </c>
      <c r="V3" s="104">
        <v>5.1727000000000002E-2</v>
      </c>
      <c r="W3" s="104">
        <v>4.0487000000000002E-2</v>
      </c>
    </row>
    <row r="4" spans="1:26" ht="13.5" customHeight="1">
      <c r="A4" s="102">
        <v>526</v>
      </c>
      <c r="B4" s="102">
        <v>526</v>
      </c>
      <c r="C4" s="102" t="s">
        <v>1265</v>
      </c>
      <c r="D4" s="102">
        <v>511303661</v>
      </c>
      <c r="E4" s="102" t="s">
        <v>308</v>
      </c>
      <c r="F4" s="102" t="s">
        <v>1266</v>
      </c>
      <c r="G4" s="102" t="s">
        <v>1267</v>
      </c>
      <c r="H4" s="102" t="s">
        <v>319</v>
      </c>
      <c r="I4" s="102" t="s">
        <v>978</v>
      </c>
      <c r="J4" s="102" t="s">
        <v>202</v>
      </c>
      <c r="K4" s="102" t="s">
        <v>202</v>
      </c>
      <c r="L4" s="102" t="s">
        <v>337</v>
      </c>
      <c r="M4" s="112" t="s">
        <v>572</v>
      </c>
      <c r="N4" s="102" t="s">
        <v>336</v>
      </c>
      <c r="O4" s="102" t="s">
        <v>1237</v>
      </c>
      <c r="P4" s="105">
        <v>281471</v>
      </c>
      <c r="Q4" s="105">
        <v>1</v>
      </c>
      <c r="R4" s="105">
        <v>5417</v>
      </c>
      <c r="S4" s="105">
        <v>0</v>
      </c>
      <c r="T4" s="105">
        <v>15247.28407</v>
      </c>
      <c r="U4" s="104">
        <v>4.0210000000000003E-3</v>
      </c>
      <c r="V4" s="104">
        <v>1.9921999999999999E-2</v>
      </c>
      <c r="W4" s="104">
        <v>1.5592999999999999E-2</v>
      </c>
    </row>
    <row r="5" spans="1:26" ht="13.5" customHeight="1">
      <c r="A5" s="102">
        <v>526</v>
      </c>
      <c r="B5" s="102">
        <v>526</v>
      </c>
      <c r="C5" s="102" t="s">
        <v>1268</v>
      </c>
      <c r="D5" s="102">
        <v>513534974</v>
      </c>
      <c r="E5" s="102" t="s">
        <v>308</v>
      </c>
      <c r="F5" s="102" t="s">
        <v>1269</v>
      </c>
      <c r="G5" s="102" t="s">
        <v>1270</v>
      </c>
      <c r="H5" s="102" t="s">
        <v>319</v>
      </c>
      <c r="I5" s="102" t="s">
        <v>978</v>
      </c>
      <c r="J5" s="102" t="s">
        <v>202</v>
      </c>
      <c r="K5" s="102" t="s">
        <v>202</v>
      </c>
      <c r="L5" s="102" t="s">
        <v>337</v>
      </c>
      <c r="M5" s="112" t="s">
        <v>570</v>
      </c>
      <c r="N5" s="102" t="s">
        <v>336</v>
      </c>
      <c r="O5" s="102" t="s">
        <v>1237</v>
      </c>
      <c r="P5" s="105">
        <v>1594421</v>
      </c>
      <c r="Q5" s="105">
        <v>1</v>
      </c>
      <c r="R5" s="105">
        <v>3930</v>
      </c>
      <c r="S5" s="105">
        <v>0</v>
      </c>
      <c r="T5" s="105">
        <v>62660.745300000002</v>
      </c>
      <c r="U5" s="104">
        <v>3.6329999999999999E-3</v>
      </c>
      <c r="V5" s="104">
        <v>8.1876000000000004E-2</v>
      </c>
      <c r="W5" s="104">
        <v>6.4085000000000003E-2</v>
      </c>
    </row>
    <row r="6" spans="1:26" ht="13.5" customHeight="1">
      <c r="A6" s="102">
        <v>526</v>
      </c>
      <c r="B6" s="102">
        <v>526</v>
      </c>
      <c r="C6" s="102" t="s">
        <v>1271</v>
      </c>
      <c r="D6" s="102">
        <v>513765339</v>
      </c>
      <c r="E6" s="102" t="s">
        <v>308</v>
      </c>
      <c r="F6" s="102" t="s">
        <v>1272</v>
      </c>
      <c r="G6" s="102" t="s">
        <v>1273</v>
      </c>
      <c r="H6" s="102" t="s">
        <v>319</v>
      </c>
      <c r="I6" s="102" t="s">
        <v>978</v>
      </c>
      <c r="J6" s="102" t="s">
        <v>202</v>
      </c>
      <c r="K6" s="102" t="s">
        <v>202</v>
      </c>
      <c r="L6" s="102" t="s">
        <v>337</v>
      </c>
      <c r="M6" s="112" t="s">
        <v>695</v>
      </c>
      <c r="N6" s="102" t="s">
        <v>336</v>
      </c>
      <c r="O6" s="102" t="s">
        <v>1237</v>
      </c>
      <c r="P6" s="105">
        <v>124106</v>
      </c>
      <c r="Q6" s="105">
        <v>1</v>
      </c>
      <c r="R6" s="105">
        <v>6622</v>
      </c>
      <c r="S6" s="105">
        <v>0</v>
      </c>
      <c r="T6" s="105">
        <v>8218.2993200000001</v>
      </c>
      <c r="U6" s="104">
        <v>5.4199999999999995E-4</v>
      </c>
      <c r="V6" s="104">
        <v>1.0737999999999999E-2</v>
      </c>
      <c r="W6" s="104">
        <v>8.4049999999999993E-3</v>
      </c>
    </row>
    <row r="7" spans="1:26" ht="13.5" customHeight="1">
      <c r="A7" s="102">
        <v>526</v>
      </c>
      <c r="B7" s="102">
        <v>526</v>
      </c>
      <c r="C7" s="102" t="s">
        <v>1274</v>
      </c>
      <c r="D7" s="102">
        <v>510938608</v>
      </c>
      <c r="E7" s="102" t="s">
        <v>308</v>
      </c>
      <c r="F7" s="102" t="s">
        <v>1275</v>
      </c>
      <c r="G7" s="102" t="s">
        <v>1276</v>
      </c>
      <c r="H7" s="102" t="s">
        <v>319</v>
      </c>
      <c r="I7" s="102" t="s">
        <v>978</v>
      </c>
      <c r="J7" s="102" t="s">
        <v>202</v>
      </c>
      <c r="K7" s="102" t="s">
        <v>202</v>
      </c>
      <c r="L7" s="102" t="s">
        <v>337</v>
      </c>
      <c r="M7" s="112" t="s">
        <v>572</v>
      </c>
      <c r="N7" s="102" t="s">
        <v>336</v>
      </c>
      <c r="O7" s="102" t="s">
        <v>1237</v>
      </c>
      <c r="P7" s="105">
        <v>19170.93</v>
      </c>
      <c r="Q7" s="105">
        <v>1</v>
      </c>
      <c r="R7" s="105">
        <v>39660</v>
      </c>
      <c r="S7" s="105">
        <v>0</v>
      </c>
      <c r="T7" s="105">
        <v>7603.1908400000002</v>
      </c>
      <c r="U7" s="104">
        <v>9.8999999999999999E-4</v>
      </c>
      <c r="V7" s="104">
        <v>9.9340000000000001E-3</v>
      </c>
      <c r="W7" s="104">
        <v>7.7759999999999999E-3</v>
      </c>
    </row>
    <row r="8" spans="1:26" ht="13.5" customHeight="1">
      <c r="A8" s="102">
        <v>526</v>
      </c>
      <c r="B8" s="102">
        <v>526</v>
      </c>
      <c r="C8" s="102" t="s">
        <v>1271</v>
      </c>
      <c r="D8" s="102">
        <v>513765339</v>
      </c>
      <c r="E8" s="102" t="s">
        <v>308</v>
      </c>
      <c r="F8" s="102" t="s">
        <v>1277</v>
      </c>
      <c r="G8" s="102" t="s">
        <v>1278</v>
      </c>
      <c r="H8" s="102" t="s">
        <v>319</v>
      </c>
      <c r="I8" s="102" t="s">
        <v>981</v>
      </c>
      <c r="J8" s="102" t="s">
        <v>202</v>
      </c>
      <c r="K8" s="102" t="s">
        <v>202</v>
      </c>
      <c r="L8" s="102" t="s">
        <v>337</v>
      </c>
      <c r="M8" s="112" t="s">
        <v>574</v>
      </c>
      <c r="N8" s="102" t="s">
        <v>336</v>
      </c>
      <c r="O8" s="102" t="s">
        <v>1237</v>
      </c>
      <c r="P8" s="105">
        <v>0.98</v>
      </c>
      <c r="Q8" s="105">
        <v>1</v>
      </c>
      <c r="R8" s="105">
        <v>408.38</v>
      </c>
      <c r="S8" s="105">
        <v>0</v>
      </c>
      <c r="T8" s="105">
        <v>4.0000000000000001E-3</v>
      </c>
      <c r="U8" s="104">
        <v>0</v>
      </c>
      <c r="V8" s="104">
        <v>0</v>
      </c>
      <c r="W8" s="104">
        <v>0</v>
      </c>
    </row>
    <row r="9" spans="1:26" ht="13.5" customHeight="1">
      <c r="A9" s="102">
        <v>526</v>
      </c>
      <c r="B9" s="102">
        <v>526</v>
      </c>
      <c r="C9" s="102" t="s">
        <v>1268</v>
      </c>
      <c r="D9" s="102">
        <v>513534974</v>
      </c>
      <c r="E9" s="102" t="s">
        <v>308</v>
      </c>
      <c r="F9" s="102" t="s">
        <v>1279</v>
      </c>
      <c r="G9" s="102" t="s">
        <v>1280</v>
      </c>
      <c r="H9" s="102" t="s">
        <v>319</v>
      </c>
      <c r="I9" s="102" t="s">
        <v>981</v>
      </c>
      <c r="J9" s="102" t="s">
        <v>202</v>
      </c>
      <c r="K9" s="102" t="s">
        <v>202</v>
      </c>
      <c r="L9" s="102" t="s">
        <v>337</v>
      </c>
      <c r="M9" s="112" t="s">
        <v>630</v>
      </c>
      <c r="N9" s="102" t="s">
        <v>336</v>
      </c>
      <c r="O9" s="102" t="s">
        <v>1237</v>
      </c>
      <c r="P9" s="105">
        <v>929115</v>
      </c>
      <c r="Q9" s="105">
        <v>1</v>
      </c>
      <c r="R9" s="105">
        <v>441.89</v>
      </c>
      <c r="S9" s="105">
        <v>0</v>
      </c>
      <c r="T9" s="105">
        <v>4105.6662699999997</v>
      </c>
      <c r="U9" s="104">
        <v>1.2650000000000001E-3</v>
      </c>
      <c r="V9" s="104">
        <v>5.3639999999999998E-3</v>
      </c>
      <c r="W9" s="104">
        <v>4.1989999999999996E-3</v>
      </c>
    </row>
    <row r="10" spans="1:26" ht="13.5" customHeight="1">
      <c r="A10" s="102">
        <v>526</v>
      </c>
      <c r="B10" s="102">
        <v>526</v>
      </c>
      <c r="C10" s="102" t="s">
        <v>1260</v>
      </c>
      <c r="D10" s="102">
        <v>511776783</v>
      </c>
      <c r="E10" s="102" t="s">
        <v>308</v>
      </c>
      <c r="F10" s="102" t="s">
        <v>1281</v>
      </c>
      <c r="G10" s="102" t="s">
        <v>1282</v>
      </c>
      <c r="H10" s="102" t="s">
        <v>319</v>
      </c>
      <c r="I10" s="102" t="s">
        <v>978</v>
      </c>
      <c r="J10" s="102" t="s">
        <v>202</v>
      </c>
      <c r="K10" s="102" t="s">
        <v>202</v>
      </c>
      <c r="L10" s="102" t="s">
        <v>337</v>
      </c>
      <c r="M10" s="112" t="s">
        <v>570</v>
      </c>
      <c r="N10" s="102" t="s">
        <v>336</v>
      </c>
      <c r="O10" s="102" t="s">
        <v>1237</v>
      </c>
      <c r="P10" s="105">
        <v>140634</v>
      </c>
      <c r="Q10" s="105">
        <v>1</v>
      </c>
      <c r="R10" s="105">
        <v>3912</v>
      </c>
      <c r="S10" s="105">
        <v>0</v>
      </c>
      <c r="T10" s="105">
        <v>5501.6020799999997</v>
      </c>
      <c r="U10" s="104">
        <v>6.8099999999999996E-4</v>
      </c>
      <c r="V10" s="104">
        <v>7.1879999999999999E-3</v>
      </c>
      <c r="W10" s="104">
        <v>5.6259999999999999E-3</v>
      </c>
    </row>
    <row r="11" spans="1:26" ht="13.5" customHeight="1">
      <c r="A11" s="102">
        <v>526</v>
      </c>
      <c r="B11" s="102">
        <v>526</v>
      </c>
      <c r="C11" s="102" t="s">
        <v>1274</v>
      </c>
      <c r="D11" s="102">
        <v>510938608</v>
      </c>
      <c r="E11" s="102" t="s">
        <v>308</v>
      </c>
      <c r="F11" s="102" t="s">
        <v>1283</v>
      </c>
      <c r="G11" s="102" t="s">
        <v>1284</v>
      </c>
      <c r="H11" s="102" t="s">
        <v>319</v>
      </c>
      <c r="I11" s="102" t="s">
        <v>981</v>
      </c>
      <c r="J11" s="102" t="s">
        <v>202</v>
      </c>
      <c r="K11" s="102" t="s">
        <v>202</v>
      </c>
      <c r="L11" s="102" t="s">
        <v>337</v>
      </c>
      <c r="M11" s="112" t="s">
        <v>630</v>
      </c>
      <c r="N11" s="102" t="s">
        <v>336</v>
      </c>
      <c r="O11" s="102" t="s">
        <v>1237</v>
      </c>
      <c r="P11" s="105">
        <v>1219745</v>
      </c>
      <c r="Q11" s="105">
        <v>1</v>
      </c>
      <c r="R11" s="105">
        <v>4391.3</v>
      </c>
      <c r="S11" s="105">
        <v>0</v>
      </c>
      <c r="T11" s="105">
        <v>53562.662190000003</v>
      </c>
      <c r="U11" s="104">
        <v>2.2586999999999999E-2</v>
      </c>
      <c r="V11" s="104">
        <v>6.9987999999999995E-2</v>
      </c>
      <c r="W11" s="104">
        <v>5.4780000000000002E-2</v>
      </c>
    </row>
    <row r="12" spans="1:26" ht="13.5" customHeight="1">
      <c r="A12" s="102">
        <v>526</v>
      </c>
      <c r="B12" s="102">
        <v>526</v>
      </c>
      <c r="C12" s="102" t="s">
        <v>1271</v>
      </c>
      <c r="D12" s="102">
        <v>513765339</v>
      </c>
      <c r="E12" s="102" t="s">
        <v>308</v>
      </c>
      <c r="F12" s="102" t="s">
        <v>1285</v>
      </c>
      <c r="G12" s="102" t="s">
        <v>1286</v>
      </c>
      <c r="H12" s="102" t="s">
        <v>319</v>
      </c>
      <c r="I12" s="102" t="s">
        <v>978</v>
      </c>
      <c r="J12" s="102" t="s">
        <v>202</v>
      </c>
      <c r="K12" s="102" t="s">
        <v>202</v>
      </c>
      <c r="L12" s="102" t="s">
        <v>337</v>
      </c>
      <c r="M12" s="112" t="s">
        <v>570</v>
      </c>
      <c r="N12" s="102" t="s">
        <v>336</v>
      </c>
      <c r="O12" s="102" t="s">
        <v>1237</v>
      </c>
      <c r="P12" s="105">
        <v>789470</v>
      </c>
      <c r="Q12" s="105">
        <v>1</v>
      </c>
      <c r="R12" s="105">
        <v>3889</v>
      </c>
      <c r="S12" s="105">
        <v>0</v>
      </c>
      <c r="T12" s="105">
        <v>30702.488300000001</v>
      </c>
      <c r="U12" s="104">
        <v>1.967E-3</v>
      </c>
      <c r="V12" s="104">
        <v>4.0117E-2</v>
      </c>
      <c r="W12" s="104">
        <v>3.1399999999999997E-2</v>
      </c>
    </row>
    <row r="13" spans="1:26" ht="13.5" customHeight="1">
      <c r="A13" s="102">
        <v>526</v>
      </c>
      <c r="B13" s="102">
        <v>526</v>
      </c>
      <c r="C13" s="102" t="s">
        <v>1268</v>
      </c>
      <c r="D13" s="102">
        <v>513534974</v>
      </c>
      <c r="E13" s="102" t="s">
        <v>308</v>
      </c>
      <c r="F13" s="102" t="s">
        <v>1287</v>
      </c>
      <c r="G13" s="102" t="s">
        <v>1288</v>
      </c>
      <c r="H13" s="102" t="s">
        <v>319</v>
      </c>
      <c r="I13" s="102" t="s">
        <v>978</v>
      </c>
      <c r="J13" s="102" t="s">
        <v>202</v>
      </c>
      <c r="K13" s="102" t="s">
        <v>202</v>
      </c>
      <c r="L13" s="102" t="s">
        <v>337</v>
      </c>
      <c r="M13" s="112" t="s">
        <v>572</v>
      </c>
      <c r="N13" s="102" t="s">
        <v>336</v>
      </c>
      <c r="O13" s="102" t="s">
        <v>1237</v>
      </c>
      <c r="P13" s="105">
        <v>63277</v>
      </c>
      <c r="Q13" s="105">
        <v>1</v>
      </c>
      <c r="R13" s="105">
        <v>3974</v>
      </c>
      <c r="S13" s="105">
        <v>0</v>
      </c>
      <c r="T13" s="105">
        <v>2514.6279800000002</v>
      </c>
      <c r="U13" s="104">
        <v>2.4600000000000002E-4</v>
      </c>
      <c r="V13" s="104">
        <v>3.2850000000000002E-3</v>
      </c>
      <c r="W13" s="104">
        <v>2.5709999999999999E-3</v>
      </c>
    </row>
    <row r="14" spans="1:26" ht="13.5" customHeight="1">
      <c r="A14" s="102">
        <v>526</v>
      </c>
      <c r="B14" s="102">
        <v>526</v>
      </c>
      <c r="C14" s="102" t="s">
        <v>1274</v>
      </c>
      <c r="D14" s="102">
        <v>510938608</v>
      </c>
      <c r="E14" s="102" t="s">
        <v>308</v>
      </c>
      <c r="F14" s="102" t="s">
        <v>1289</v>
      </c>
      <c r="G14" s="102" t="s">
        <v>1290</v>
      </c>
      <c r="H14" s="102" t="s">
        <v>319</v>
      </c>
      <c r="I14" s="102" t="s">
        <v>978</v>
      </c>
      <c r="J14" s="102" t="s">
        <v>202</v>
      </c>
      <c r="K14" s="102" t="s">
        <v>202</v>
      </c>
      <c r="L14" s="102" t="s">
        <v>337</v>
      </c>
      <c r="M14" s="112" t="s">
        <v>570</v>
      </c>
      <c r="N14" s="102" t="s">
        <v>336</v>
      </c>
      <c r="O14" s="102" t="s">
        <v>1237</v>
      </c>
      <c r="P14" s="105">
        <v>41634</v>
      </c>
      <c r="Q14" s="105">
        <v>1</v>
      </c>
      <c r="R14" s="105">
        <v>39070</v>
      </c>
      <c r="S14" s="105">
        <v>0</v>
      </c>
      <c r="T14" s="105">
        <v>16266.4038</v>
      </c>
      <c r="U14" s="104">
        <v>1.175E-3</v>
      </c>
      <c r="V14" s="104">
        <v>2.1253999999999999E-2</v>
      </c>
      <c r="W14" s="104">
        <v>1.6636000000000001E-2</v>
      </c>
    </row>
    <row r="15" spans="1:26" ht="13.5" customHeight="1">
      <c r="A15" s="102">
        <v>526</v>
      </c>
      <c r="B15" s="102">
        <v>526</v>
      </c>
      <c r="C15" s="102" t="s">
        <v>1268</v>
      </c>
      <c r="D15" s="102">
        <v>513534974</v>
      </c>
      <c r="E15" s="102" t="s">
        <v>308</v>
      </c>
      <c r="F15" s="102" t="s">
        <v>1291</v>
      </c>
      <c r="G15" s="102" t="s">
        <v>1292</v>
      </c>
      <c r="H15" s="102" t="s">
        <v>319</v>
      </c>
      <c r="I15" s="102" t="s">
        <v>981</v>
      </c>
      <c r="J15" s="102" t="s">
        <v>202</v>
      </c>
      <c r="K15" s="102" t="s">
        <v>202</v>
      </c>
      <c r="L15" s="102" t="s">
        <v>337</v>
      </c>
      <c r="M15" s="112" t="s">
        <v>571</v>
      </c>
      <c r="N15" s="102" t="s">
        <v>336</v>
      </c>
      <c r="O15" s="102" t="s">
        <v>1237</v>
      </c>
      <c r="P15" s="105">
        <v>1011812</v>
      </c>
      <c r="Q15" s="105">
        <v>1</v>
      </c>
      <c r="R15" s="105">
        <v>4351.45</v>
      </c>
      <c r="S15" s="105">
        <v>0</v>
      </c>
      <c r="T15" s="105">
        <v>44028.493269999999</v>
      </c>
      <c r="U15" s="104">
        <v>7.3723999999999998E-2</v>
      </c>
      <c r="V15" s="104">
        <v>5.7529999999999998E-2</v>
      </c>
      <c r="W15" s="104">
        <v>4.5029E-2</v>
      </c>
    </row>
    <row r="16" spans="1:26" ht="13.5" customHeight="1">
      <c r="A16" s="102">
        <v>526</v>
      </c>
      <c r="B16" s="102">
        <v>526</v>
      </c>
      <c r="C16" s="102" t="s">
        <v>1265</v>
      </c>
      <c r="D16" s="102">
        <v>511303661</v>
      </c>
      <c r="E16" s="102" t="s">
        <v>308</v>
      </c>
      <c r="F16" s="102" t="s">
        <v>1293</v>
      </c>
      <c r="G16" s="102" t="s">
        <v>1294</v>
      </c>
      <c r="H16" s="102" t="s">
        <v>319</v>
      </c>
      <c r="I16" s="102" t="s">
        <v>981</v>
      </c>
      <c r="J16" s="102" t="s">
        <v>202</v>
      </c>
      <c r="K16" s="102" t="s">
        <v>202</v>
      </c>
      <c r="L16" s="102" t="s">
        <v>337</v>
      </c>
      <c r="M16" s="112" t="s">
        <v>630</v>
      </c>
      <c r="N16" s="102" t="s">
        <v>336</v>
      </c>
      <c r="O16" s="102" t="s">
        <v>1237</v>
      </c>
      <c r="P16" s="105">
        <v>420653</v>
      </c>
      <c r="Q16" s="105">
        <v>1</v>
      </c>
      <c r="R16" s="105">
        <v>511.44</v>
      </c>
      <c r="S16" s="105">
        <v>0</v>
      </c>
      <c r="T16" s="105">
        <v>2151.3877000000002</v>
      </c>
      <c r="U16" s="104">
        <v>1.7080000000000001E-3</v>
      </c>
      <c r="V16" s="104">
        <v>2.8110000000000001E-3</v>
      </c>
      <c r="W16" s="104">
        <v>2.2000000000000001E-3</v>
      </c>
    </row>
    <row r="17" spans="1:23" ht="13.5" customHeight="1">
      <c r="A17" s="102">
        <v>526</v>
      </c>
      <c r="B17" s="102">
        <v>526</v>
      </c>
      <c r="C17" s="102" t="s">
        <v>1274</v>
      </c>
      <c r="D17" s="102">
        <v>510938608</v>
      </c>
      <c r="E17" s="102" t="s">
        <v>308</v>
      </c>
      <c r="F17" s="102" t="s">
        <v>1295</v>
      </c>
      <c r="G17" s="102" t="s">
        <v>1296</v>
      </c>
      <c r="H17" s="102" t="s">
        <v>319</v>
      </c>
      <c r="I17" s="102" t="s">
        <v>981</v>
      </c>
      <c r="J17" s="102" t="s">
        <v>202</v>
      </c>
      <c r="K17" s="102" t="s">
        <v>202</v>
      </c>
      <c r="L17" s="102" t="s">
        <v>337</v>
      </c>
      <c r="M17" s="112" t="s">
        <v>571</v>
      </c>
      <c r="N17" s="102" t="s">
        <v>336</v>
      </c>
      <c r="O17" s="102" t="s">
        <v>1237</v>
      </c>
      <c r="P17" s="105">
        <v>948119</v>
      </c>
      <c r="Q17" s="105">
        <v>1</v>
      </c>
      <c r="R17" s="105">
        <v>4334.6000000000004</v>
      </c>
      <c r="S17" s="105">
        <v>0</v>
      </c>
      <c r="T17" s="105">
        <v>41097.166169999997</v>
      </c>
      <c r="U17" s="104">
        <v>4.8755E-2</v>
      </c>
      <c r="V17" s="104">
        <v>5.3698999999999997E-2</v>
      </c>
      <c r="W17" s="104">
        <v>4.2030999999999999E-2</v>
      </c>
    </row>
    <row r="18" spans="1:23" ht="13.5" customHeight="1">
      <c r="A18" s="102">
        <v>526</v>
      </c>
      <c r="B18" s="102">
        <v>526</v>
      </c>
      <c r="C18" s="102" t="s">
        <v>1297</v>
      </c>
      <c r="D18" s="102">
        <v>514884485</v>
      </c>
      <c r="E18" s="102" t="s">
        <v>308</v>
      </c>
      <c r="F18" s="102" t="s">
        <v>1298</v>
      </c>
      <c r="G18" s="102" t="s">
        <v>1299</v>
      </c>
      <c r="H18" s="102" t="s">
        <v>319</v>
      </c>
      <c r="I18" s="102" t="s">
        <v>978</v>
      </c>
      <c r="J18" s="102" t="s">
        <v>202</v>
      </c>
      <c r="K18" s="102" t="s">
        <v>202</v>
      </c>
      <c r="L18" s="102" t="s">
        <v>337</v>
      </c>
      <c r="M18" s="112" t="s">
        <v>575</v>
      </c>
      <c r="N18" s="102" t="s">
        <v>336</v>
      </c>
      <c r="O18" s="102" t="s">
        <v>1237</v>
      </c>
      <c r="P18" s="105">
        <v>193343</v>
      </c>
      <c r="Q18" s="105">
        <v>1</v>
      </c>
      <c r="R18" s="105">
        <v>9756</v>
      </c>
      <c r="S18" s="105">
        <v>0</v>
      </c>
      <c r="T18" s="105">
        <v>18862.543079999999</v>
      </c>
      <c r="U18" s="104">
        <v>1.3520000000000001E-2</v>
      </c>
      <c r="V18" s="104">
        <v>2.4646000000000001E-2</v>
      </c>
      <c r="W18" s="104">
        <v>1.9290999999999999E-2</v>
      </c>
    </row>
    <row r="19" spans="1:23" ht="13.5" customHeight="1">
      <c r="A19" s="102">
        <v>526</v>
      </c>
      <c r="B19" s="102">
        <v>526</v>
      </c>
      <c r="C19" s="102" t="s">
        <v>1300</v>
      </c>
      <c r="D19" s="102" t="s">
        <v>1301</v>
      </c>
      <c r="E19" s="102" t="s">
        <v>312</v>
      </c>
      <c r="F19" s="102" t="s">
        <v>1302</v>
      </c>
      <c r="G19" s="102" t="s">
        <v>1303</v>
      </c>
      <c r="H19" s="102" t="s">
        <v>319</v>
      </c>
      <c r="I19" s="102" t="s">
        <v>980</v>
      </c>
      <c r="J19" s="102" t="s">
        <v>203</v>
      </c>
      <c r="K19" s="102" t="s">
        <v>250</v>
      </c>
      <c r="L19" s="102" t="s">
        <v>377</v>
      </c>
      <c r="M19" s="112" t="s">
        <v>733</v>
      </c>
      <c r="N19" s="102" t="s">
        <v>336</v>
      </c>
      <c r="O19" s="102" t="s">
        <v>1241</v>
      </c>
      <c r="P19" s="105">
        <v>262461</v>
      </c>
      <c r="Q19" s="105">
        <v>2.9780000000000002</v>
      </c>
      <c r="R19" s="105">
        <v>2585.5</v>
      </c>
      <c r="S19" s="105">
        <v>0</v>
      </c>
      <c r="T19" s="105">
        <v>20208.497019999999</v>
      </c>
      <c r="U19" s="104">
        <v>1.106E-3</v>
      </c>
      <c r="V19" s="104">
        <v>2.6405000000000001E-2</v>
      </c>
      <c r="W19" s="104">
        <v>2.0667000000000001E-2</v>
      </c>
    </row>
    <row r="20" spans="1:23" ht="13.5" customHeight="1">
      <c r="A20" s="102">
        <v>526</v>
      </c>
      <c r="B20" s="102">
        <v>526</v>
      </c>
      <c r="C20" s="102" t="s">
        <v>1304</v>
      </c>
      <c r="D20" s="102" t="s">
        <v>1305</v>
      </c>
      <c r="E20" s="102" t="s">
        <v>312</v>
      </c>
      <c r="F20" s="102" t="s">
        <v>1306</v>
      </c>
      <c r="G20" s="102" t="s">
        <v>1307</v>
      </c>
      <c r="H20" s="102" t="s">
        <v>319</v>
      </c>
      <c r="I20" s="102" t="s">
        <v>980</v>
      </c>
      <c r="J20" s="102" t="s">
        <v>203</v>
      </c>
      <c r="K20" s="102" t="s">
        <v>223</v>
      </c>
      <c r="L20" s="102" t="s">
        <v>341</v>
      </c>
      <c r="M20" s="112" t="s">
        <v>733</v>
      </c>
      <c r="N20" s="102" t="s">
        <v>336</v>
      </c>
      <c r="O20" s="102" t="s">
        <v>1241</v>
      </c>
      <c r="P20" s="105">
        <v>34383</v>
      </c>
      <c r="Q20" s="105">
        <v>2.9780000000000002</v>
      </c>
      <c r="R20" s="105">
        <v>74889</v>
      </c>
      <c r="S20" s="105">
        <v>0</v>
      </c>
      <c r="T20" s="105">
        <v>76680.774739999993</v>
      </c>
      <c r="U20" s="104">
        <v>2.9E-5</v>
      </c>
      <c r="V20" s="104">
        <v>0.10019500000000001</v>
      </c>
      <c r="W20" s="104">
        <v>7.8423999999999994E-2</v>
      </c>
    </row>
    <row r="21" spans="1:23" ht="13.5" customHeight="1">
      <c r="A21" s="102">
        <v>526</v>
      </c>
      <c r="B21" s="102">
        <v>526</v>
      </c>
      <c r="C21" s="102" t="s">
        <v>1300</v>
      </c>
      <c r="D21" s="102" t="s">
        <v>1301</v>
      </c>
      <c r="E21" s="102" t="s">
        <v>312</v>
      </c>
      <c r="F21" s="102" t="s">
        <v>1308</v>
      </c>
      <c r="G21" s="102" t="s">
        <v>1309</v>
      </c>
      <c r="H21" s="102" t="s">
        <v>319</v>
      </c>
      <c r="I21" s="102" t="s">
        <v>980</v>
      </c>
      <c r="J21" s="102" t="s">
        <v>203</v>
      </c>
      <c r="K21" s="102" t="s">
        <v>295</v>
      </c>
      <c r="L21" s="102" t="s">
        <v>377</v>
      </c>
      <c r="M21" s="112" t="s">
        <v>733</v>
      </c>
      <c r="N21" s="102" t="s">
        <v>336</v>
      </c>
      <c r="O21" s="102" t="s">
        <v>1241</v>
      </c>
      <c r="P21" s="105">
        <v>46013</v>
      </c>
      <c r="Q21" s="105">
        <v>2.9780000000000002</v>
      </c>
      <c r="R21" s="105">
        <v>7694.5</v>
      </c>
      <c r="S21" s="105">
        <v>0</v>
      </c>
      <c r="T21" s="105">
        <v>10543.52051</v>
      </c>
      <c r="U21" s="104">
        <v>5.9299999999999999E-4</v>
      </c>
      <c r="V21" s="104">
        <v>1.3776E-2</v>
      </c>
      <c r="W21" s="104">
        <v>1.0782999999999999E-2</v>
      </c>
    </row>
    <row r="22" spans="1:23" ht="13.5" customHeight="1">
      <c r="A22" s="102">
        <v>526</v>
      </c>
      <c r="B22" s="102">
        <v>526</v>
      </c>
      <c r="C22" s="102" t="s">
        <v>1310</v>
      </c>
      <c r="D22" s="102" t="s">
        <v>1311</v>
      </c>
      <c r="E22" s="102" t="s">
        <v>312</v>
      </c>
      <c r="F22" s="102" t="s">
        <v>1312</v>
      </c>
      <c r="G22" s="102" t="s">
        <v>1313</v>
      </c>
      <c r="H22" s="102" t="s">
        <v>319</v>
      </c>
      <c r="I22" s="102" t="s">
        <v>980</v>
      </c>
      <c r="J22" s="102" t="s">
        <v>203</v>
      </c>
      <c r="K22" s="102" t="s">
        <v>223</v>
      </c>
      <c r="L22" s="102" t="s">
        <v>393</v>
      </c>
      <c r="M22" s="112" t="s">
        <v>733</v>
      </c>
      <c r="N22" s="102" t="s">
        <v>336</v>
      </c>
      <c r="O22" s="102" t="s">
        <v>1241</v>
      </c>
      <c r="P22" s="105">
        <v>201239</v>
      </c>
      <c r="Q22" s="105">
        <v>2.9780000000000002</v>
      </c>
      <c r="R22" s="105">
        <v>884.2</v>
      </c>
      <c r="S22" s="105">
        <v>0</v>
      </c>
      <c r="T22" s="105">
        <v>5298.9198999999999</v>
      </c>
      <c r="U22" s="104">
        <v>0.66415500000000005</v>
      </c>
      <c r="V22" s="104">
        <v>6.9230000000000003E-3</v>
      </c>
      <c r="W22" s="104">
        <v>5.4190000000000002E-3</v>
      </c>
    </row>
    <row r="23" spans="1:23" ht="13.5" customHeight="1">
      <c r="A23" s="102">
        <v>526</v>
      </c>
      <c r="B23" s="102">
        <v>526</v>
      </c>
      <c r="C23" s="102" t="s">
        <v>1314</v>
      </c>
      <c r="D23" s="102" t="s">
        <v>1315</v>
      </c>
      <c r="E23" s="102" t="s">
        <v>312</v>
      </c>
      <c r="F23" s="102" t="s">
        <v>1316</v>
      </c>
      <c r="G23" s="102" t="s">
        <v>1317</v>
      </c>
      <c r="H23" s="102" t="s">
        <v>319</v>
      </c>
      <c r="I23" s="102" t="s">
        <v>980</v>
      </c>
      <c r="J23" s="102" t="s">
        <v>203</v>
      </c>
      <c r="K23" s="102" t="s">
        <v>223</v>
      </c>
      <c r="L23" s="102" t="s">
        <v>357</v>
      </c>
      <c r="M23" s="112" t="s">
        <v>733</v>
      </c>
      <c r="N23" s="102" t="s">
        <v>336</v>
      </c>
      <c r="O23" s="102" t="s">
        <v>1241</v>
      </c>
      <c r="P23" s="105">
        <v>130496</v>
      </c>
      <c r="Q23" s="105">
        <v>2.9780000000000002</v>
      </c>
      <c r="R23" s="105">
        <v>7484</v>
      </c>
      <c r="S23" s="105">
        <v>0</v>
      </c>
      <c r="T23" s="105">
        <v>29084.102869999999</v>
      </c>
      <c r="U23" s="104">
        <v>8.6300000000000005E-4</v>
      </c>
      <c r="V23" s="104">
        <v>3.8002000000000001E-2</v>
      </c>
      <c r="W23" s="104">
        <v>2.9745000000000001E-2</v>
      </c>
    </row>
    <row r="24" spans="1:23" ht="13.5" customHeight="1">
      <c r="A24" s="102">
        <v>526</v>
      </c>
      <c r="B24" s="102">
        <v>526</v>
      </c>
      <c r="C24" s="102" t="s">
        <v>1318</v>
      </c>
      <c r="D24" s="102" t="s">
        <v>1319</v>
      </c>
      <c r="E24" s="102" t="s">
        <v>312</v>
      </c>
      <c r="F24" s="102" t="s">
        <v>1320</v>
      </c>
      <c r="G24" s="102" t="s">
        <v>1321</v>
      </c>
      <c r="H24" s="102" t="s">
        <v>319</v>
      </c>
      <c r="I24" s="102" t="s">
        <v>980</v>
      </c>
      <c r="J24" s="102" t="s">
        <v>203</v>
      </c>
      <c r="K24" s="102" t="s">
        <v>288</v>
      </c>
      <c r="L24" s="102" t="s">
        <v>377</v>
      </c>
      <c r="M24" s="112" t="s">
        <v>733</v>
      </c>
      <c r="N24" s="102" t="s">
        <v>336</v>
      </c>
      <c r="O24" s="102" t="s">
        <v>1241</v>
      </c>
      <c r="P24" s="105">
        <v>58544</v>
      </c>
      <c r="Q24" s="105">
        <v>2.9780000000000002</v>
      </c>
      <c r="R24" s="105">
        <v>4847.88</v>
      </c>
      <c r="S24" s="105">
        <v>0</v>
      </c>
      <c r="T24" s="105">
        <v>8451.9807400000009</v>
      </c>
      <c r="U24" s="104">
        <v>1.83E-4</v>
      </c>
      <c r="V24" s="104">
        <v>1.1043000000000001E-2</v>
      </c>
      <c r="W24" s="104">
        <v>8.6440000000000006E-3</v>
      </c>
    </row>
    <row r="25" spans="1:23" ht="13.5" customHeight="1">
      <c r="A25" s="102">
        <v>526</v>
      </c>
      <c r="B25" s="102">
        <v>526</v>
      </c>
      <c r="C25" s="102" t="s">
        <v>1322</v>
      </c>
      <c r="D25" s="102" t="s">
        <v>1323</v>
      </c>
      <c r="E25" s="102" t="s">
        <v>312</v>
      </c>
      <c r="F25" s="102" t="s">
        <v>1324</v>
      </c>
      <c r="G25" s="102" t="s">
        <v>1325</v>
      </c>
      <c r="H25" s="102" t="s">
        <v>319</v>
      </c>
      <c r="I25" s="102" t="s">
        <v>980</v>
      </c>
      <c r="J25" s="102" t="s">
        <v>203</v>
      </c>
      <c r="K25" s="102" t="s">
        <v>303</v>
      </c>
      <c r="L25" s="102" t="s">
        <v>377</v>
      </c>
      <c r="M25" s="112" t="s">
        <v>733</v>
      </c>
      <c r="N25" s="102" t="s">
        <v>336</v>
      </c>
      <c r="O25" s="102" t="s">
        <v>1241</v>
      </c>
      <c r="P25" s="105">
        <v>30473</v>
      </c>
      <c r="Q25" s="105">
        <v>2.9780000000000002</v>
      </c>
      <c r="R25" s="105">
        <v>9005</v>
      </c>
      <c r="S25" s="105">
        <v>0</v>
      </c>
      <c r="T25" s="105">
        <v>8171.9108900000001</v>
      </c>
      <c r="U25" s="104">
        <v>3.8149999999999998E-3</v>
      </c>
      <c r="V25" s="104">
        <v>1.0677000000000001E-2</v>
      </c>
      <c r="W25" s="104">
        <v>8.3569999999999998E-3</v>
      </c>
    </row>
    <row r="26" spans="1:23" ht="13.5" customHeight="1">
      <c r="A26" s="102">
        <v>526</v>
      </c>
      <c r="B26" s="102">
        <v>526</v>
      </c>
      <c r="C26" s="102" t="s">
        <v>1326</v>
      </c>
      <c r="D26" s="102" t="s">
        <v>1327</v>
      </c>
      <c r="E26" s="102" t="s">
        <v>312</v>
      </c>
      <c r="F26" s="102" t="s">
        <v>1328</v>
      </c>
      <c r="G26" s="102" t="s">
        <v>1329</v>
      </c>
      <c r="H26" s="102" t="s">
        <v>319</v>
      </c>
      <c r="I26" s="102" t="s">
        <v>980</v>
      </c>
      <c r="J26" s="102" t="s">
        <v>203</v>
      </c>
      <c r="K26" s="102" t="s">
        <v>281</v>
      </c>
      <c r="L26" s="102" t="s">
        <v>399</v>
      </c>
      <c r="M26" s="112" t="s">
        <v>733</v>
      </c>
      <c r="N26" s="102" t="s">
        <v>336</v>
      </c>
      <c r="O26" s="102" t="s">
        <v>1240</v>
      </c>
      <c r="P26" s="105">
        <v>59411</v>
      </c>
      <c r="Q26" s="105">
        <v>2.0916999999999999</v>
      </c>
      <c r="R26" s="105">
        <v>9256</v>
      </c>
      <c r="S26" s="105">
        <v>0</v>
      </c>
      <c r="T26" s="105">
        <v>11502.43015</v>
      </c>
      <c r="U26" s="104">
        <v>1.0280000000000001E-3</v>
      </c>
      <c r="V26" s="104">
        <v>1.5029000000000001E-2</v>
      </c>
      <c r="W26" s="104">
        <v>1.1762999999999999E-2</v>
      </c>
    </row>
    <row r="27" spans="1:23" ht="13.5" customHeight="1">
      <c r="A27" s="102">
        <v>526</v>
      </c>
      <c r="B27" s="102">
        <v>526</v>
      </c>
      <c r="C27" s="102" t="s">
        <v>1330</v>
      </c>
      <c r="D27" s="102" t="s">
        <v>1331</v>
      </c>
      <c r="E27" s="102" t="s">
        <v>312</v>
      </c>
      <c r="F27" s="102" t="s">
        <v>1332</v>
      </c>
      <c r="G27" s="102" t="s">
        <v>1333</v>
      </c>
      <c r="H27" s="102" t="s">
        <v>319</v>
      </c>
      <c r="I27" s="102" t="s">
        <v>980</v>
      </c>
      <c r="J27" s="102" t="s">
        <v>203</v>
      </c>
      <c r="K27" s="102" t="s">
        <v>223</v>
      </c>
      <c r="L27" s="102" t="s">
        <v>341</v>
      </c>
      <c r="M27" s="112" t="s">
        <v>733</v>
      </c>
      <c r="N27" s="102" t="s">
        <v>336</v>
      </c>
      <c r="O27" s="102" t="s">
        <v>1241</v>
      </c>
      <c r="P27" s="105">
        <v>31742</v>
      </c>
      <c r="Q27" s="105">
        <v>2.9780000000000002</v>
      </c>
      <c r="R27" s="105">
        <v>74677</v>
      </c>
      <c r="S27" s="105">
        <v>60.421390000000002</v>
      </c>
      <c r="T27" s="105">
        <v>70770.367509999996</v>
      </c>
      <c r="U27" s="104">
        <v>3.0000000000000001E-5</v>
      </c>
      <c r="V27" s="104">
        <v>9.2471999999999999E-2</v>
      </c>
      <c r="W27" s="104">
        <v>7.2378999999999999E-2</v>
      </c>
    </row>
    <row r="28" spans="1:23" ht="13.5" customHeight="1">
      <c r="A28" s="102">
        <v>526</v>
      </c>
      <c r="B28" s="102">
        <v>526</v>
      </c>
      <c r="C28" s="102" t="s">
        <v>1334</v>
      </c>
      <c r="D28" s="102" t="s">
        <v>1301</v>
      </c>
      <c r="E28" s="102" t="s">
        <v>312</v>
      </c>
      <c r="F28" s="102" t="s">
        <v>1335</v>
      </c>
      <c r="G28" s="102" t="s">
        <v>1336</v>
      </c>
      <c r="H28" s="102" t="s">
        <v>319</v>
      </c>
      <c r="I28" s="102" t="s">
        <v>980</v>
      </c>
      <c r="J28" s="102" t="s">
        <v>203</v>
      </c>
      <c r="K28" s="102" t="s">
        <v>232</v>
      </c>
      <c r="L28" s="102" t="s">
        <v>341</v>
      </c>
      <c r="M28" s="112" t="s">
        <v>733</v>
      </c>
      <c r="N28" s="102" t="s">
        <v>336</v>
      </c>
      <c r="O28" s="102" t="s">
        <v>1233</v>
      </c>
      <c r="P28" s="105">
        <v>163948</v>
      </c>
      <c r="Q28" s="105">
        <v>3.9388999999999998</v>
      </c>
      <c r="R28" s="105">
        <v>1913.8</v>
      </c>
      <c r="S28" s="105">
        <v>0</v>
      </c>
      <c r="T28" s="105">
        <v>12358.83704</v>
      </c>
      <c r="U28" s="104">
        <v>5.3220000000000003E-3</v>
      </c>
      <c r="V28" s="104">
        <v>1.6147999999999999E-2</v>
      </c>
      <c r="W28" s="104">
        <v>1.2638999999999999E-2</v>
      </c>
    </row>
    <row r="29" spans="1:23" ht="13.5" customHeight="1">
      <c r="A29" s="102">
        <v>526</v>
      </c>
      <c r="B29" s="102">
        <v>526</v>
      </c>
      <c r="C29" s="102" t="s">
        <v>1314</v>
      </c>
      <c r="D29" s="102" t="s">
        <v>1315</v>
      </c>
      <c r="E29" s="102" t="s">
        <v>312</v>
      </c>
      <c r="F29" s="102" t="s">
        <v>1337</v>
      </c>
      <c r="G29" s="102" t="s">
        <v>1338</v>
      </c>
      <c r="H29" s="102" t="s">
        <v>319</v>
      </c>
      <c r="I29" s="102" t="s">
        <v>980</v>
      </c>
      <c r="J29" s="102" t="s">
        <v>203</v>
      </c>
      <c r="K29" s="102" t="s">
        <v>292</v>
      </c>
      <c r="L29" s="102" t="s">
        <v>313</v>
      </c>
      <c r="M29" s="112" t="s">
        <v>733</v>
      </c>
      <c r="N29" s="102" t="s">
        <v>336</v>
      </c>
      <c r="O29" s="102" t="s">
        <v>1236</v>
      </c>
      <c r="P29" s="105">
        <v>267264</v>
      </c>
      <c r="Q29" s="105">
        <v>3.3944999999999999</v>
      </c>
      <c r="R29" s="105">
        <v>4779</v>
      </c>
      <c r="S29" s="105">
        <v>0</v>
      </c>
      <c r="T29" s="105">
        <v>43356.409299999999</v>
      </c>
      <c r="U29" s="104">
        <v>0.19719200000000001</v>
      </c>
      <c r="V29" s="104">
        <v>5.6651E-2</v>
      </c>
      <c r="W29" s="104">
        <v>4.4341999999999999E-2</v>
      </c>
    </row>
    <row r="30" spans="1:23" ht="13.5" customHeight="1">
      <c r="A30" s="102">
        <v>526</v>
      </c>
      <c r="B30" s="102">
        <v>526</v>
      </c>
      <c r="C30" s="102" t="s">
        <v>1339</v>
      </c>
      <c r="D30" s="102" t="s">
        <v>1340</v>
      </c>
      <c r="E30" s="102" t="s">
        <v>312</v>
      </c>
      <c r="F30" s="102" t="s">
        <v>1341</v>
      </c>
      <c r="G30" s="102" t="s">
        <v>1342</v>
      </c>
      <c r="H30" s="102" t="s">
        <v>319</v>
      </c>
      <c r="I30" s="102" t="s">
        <v>980</v>
      </c>
      <c r="J30" s="102" t="s">
        <v>203</v>
      </c>
      <c r="K30" s="102" t="s">
        <v>223</v>
      </c>
      <c r="L30" s="102" t="s">
        <v>341</v>
      </c>
      <c r="M30" s="112" t="s">
        <v>733</v>
      </c>
      <c r="N30" s="102" t="s">
        <v>336</v>
      </c>
      <c r="O30" s="102" t="s">
        <v>1241</v>
      </c>
      <c r="P30" s="105">
        <v>32115</v>
      </c>
      <c r="Q30" s="105">
        <v>2.9780000000000002</v>
      </c>
      <c r="R30" s="105">
        <v>68681</v>
      </c>
      <c r="S30" s="105">
        <v>0</v>
      </c>
      <c r="T30" s="105">
        <v>65685.457580000002</v>
      </c>
      <c r="U30" s="104">
        <v>2.1999999999999999E-5</v>
      </c>
      <c r="V30" s="104">
        <v>8.5828000000000002E-2</v>
      </c>
      <c r="W30" s="104">
        <v>6.7178000000000002E-2</v>
      </c>
    </row>
    <row r="31" spans="1:23" ht="13.5" customHeight="1">
      <c r="A31" s="102">
        <v>526</v>
      </c>
      <c r="B31" s="102">
        <v>526</v>
      </c>
      <c r="C31" s="102" t="s">
        <v>1300</v>
      </c>
      <c r="D31" s="102" t="s">
        <v>1301</v>
      </c>
      <c r="E31" s="102" t="s">
        <v>312</v>
      </c>
      <c r="F31" s="102" t="s">
        <v>1343</v>
      </c>
      <c r="G31" s="102" t="s">
        <v>1344</v>
      </c>
      <c r="H31" s="102" t="s">
        <v>319</v>
      </c>
      <c r="I31" s="102" t="s">
        <v>980</v>
      </c>
      <c r="J31" s="102" t="s">
        <v>203</v>
      </c>
      <c r="K31" s="102" t="s">
        <v>295</v>
      </c>
      <c r="L31" s="102" t="s">
        <v>361</v>
      </c>
      <c r="M31" s="112" t="s">
        <v>733</v>
      </c>
      <c r="N31" s="102" t="s">
        <v>336</v>
      </c>
      <c r="O31" s="102" t="s">
        <v>1241</v>
      </c>
      <c r="P31" s="105">
        <v>1460009</v>
      </c>
      <c r="Q31" s="105">
        <v>2.9780000000000002</v>
      </c>
      <c r="R31" s="105">
        <v>901.7</v>
      </c>
      <c r="S31" s="105">
        <v>0</v>
      </c>
      <c r="T31" s="105">
        <v>39205.075629999999</v>
      </c>
      <c r="U31" s="104">
        <v>7.7320000000000002E-3</v>
      </c>
      <c r="V31" s="104">
        <v>5.1227000000000002E-2</v>
      </c>
      <c r="W31" s="104">
        <v>4.0096E-2</v>
      </c>
    </row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3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1" t="s">
        <v>89</v>
      </c>
      <c r="O1" s="21" t="s">
        <v>57</v>
      </c>
      <c r="P1" s="21" t="s">
        <v>60</v>
      </c>
      <c r="Q1" s="106" t="s">
        <v>76</v>
      </c>
      <c r="R1" s="106" t="s">
        <v>62</v>
      </c>
      <c r="S1" s="106" t="s">
        <v>77</v>
      </c>
      <c r="T1" s="106" t="s">
        <v>16</v>
      </c>
      <c r="U1" s="110" t="s">
        <v>78</v>
      </c>
      <c r="V1" s="110" t="s">
        <v>64</v>
      </c>
      <c r="W1" s="110" t="s">
        <v>65</v>
      </c>
      <c r="X1" s="9"/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12"/>
      <c r="O2" s="102"/>
      <c r="P2" s="102"/>
      <c r="Q2" s="105"/>
      <c r="R2" s="105"/>
      <c r="S2" s="105"/>
      <c r="T2" s="105"/>
      <c r="U2" s="104"/>
      <c r="V2" s="104"/>
      <c r="W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9" t="s">
        <v>91</v>
      </c>
      <c r="P1" s="21" t="s">
        <v>57</v>
      </c>
      <c r="Q1" s="21" t="s">
        <v>60</v>
      </c>
      <c r="R1" s="106" t="s">
        <v>92</v>
      </c>
      <c r="S1" s="106" t="s">
        <v>93</v>
      </c>
      <c r="T1" s="106" t="s">
        <v>76</v>
      </c>
      <c r="U1" s="106" t="s">
        <v>62</v>
      </c>
      <c r="V1" s="106" t="s">
        <v>77</v>
      </c>
      <c r="W1" s="106" t="s">
        <v>16</v>
      </c>
      <c r="X1" s="110" t="s">
        <v>64</v>
      </c>
      <c r="Y1" s="110" t="s">
        <v>65</v>
      </c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8"/>
      <c r="P2" s="102"/>
      <c r="Q2" s="102"/>
      <c r="R2" s="105"/>
      <c r="S2" s="105"/>
      <c r="T2" s="105"/>
      <c r="U2" s="105"/>
      <c r="V2" s="105"/>
      <c r="W2" s="105"/>
      <c r="X2" s="104"/>
      <c r="Y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9" t="s">
        <v>91</v>
      </c>
      <c r="P1" s="21" t="s">
        <v>57</v>
      </c>
      <c r="Q1" s="21" t="s">
        <v>60</v>
      </c>
      <c r="R1" s="106" t="s">
        <v>92</v>
      </c>
      <c r="S1" s="106" t="s">
        <v>76</v>
      </c>
      <c r="T1" s="106" t="s">
        <v>62</v>
      </c>
      <c r="U1" s="106" t="s">
        <v>77</v>
      </c>
      <c r="V1" s="106" t="s">
        <v>16</v>
      </c>
      <c r="W1" s="110" t="s">
        <v>64</v>
      </c>
      <c r="X1" s="110" t="s">
        <v>65</v>
      </c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8"/>
      <c r="P2" s="102"/>
      <c r="Q2" s="102"/>
      <c r="R2" s="105"/>
      <c r="S2" s="105"/>
      <c r="T2" s="105"/>
      <c r="U2" s="105"/>
      <c r="V2" s="105"/>
      <c r="W2" s="104"/>
      <c r="X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6" t="s">
        <v>76</v>
      </c>
      <c r="P1" s="106" t="s">
        <v>62</v>
      </c>
      <c r="Q1" s="106" t="s">
        <v>77</v>
      </c>
      <c r="R1" s="106" t="s">
        <v>16</v>
      </c>
      <c r="S1" s="110" t="s">
        <v>64</v>
      </c>
      <c r="T1" s="110" t="s">
        <v>65</v>
      </c>
      <c r="U1" s="9"/>
      <c r="V1" s="9"/>
      <c r="W1" s="9"/>
      <c r="X1" s="9"/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5"/>
      <c r="P2" s="105"/>
      <c r="Q2" s="105"/>
      <c r="R2" s="105"/>
      <c r="S2" s="104"/>
      <c r="T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6" t="s">
        <v>72</v>
      </c>
      <c r="Q1" s="110" t="s">
        <v>63</v>
      </c>
      <c r="R1" s="110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6" t="s">
        <v>76</v>
      </c>
      <c r="X1" s="106" t="s">
        <v>62</v>
      </c>
      <c r="Y1" s="106" t="s">
        <v>77</v>
      </c>
      <c r="Z1" s="106" t="s">
        <v>16</v>
      </c>
      <c r="AA1" s="110" t="s">
        <v>64</v>
      </c>
      <c r="AB1" s="110" t="s">
        <v>65</v>
      </c>
    </row>
    <row r="2" spans="1:28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5"/>
      <c r="Q2" s="104"/>
      <c r="R2" s="104"/>
      <c r="S2" s="102"/>
      <c r="T2" s="102"/>
      <c r="U2" s="102"/>
      <c r="V2" s="102"/>
      <c r="W2" s="105"/>
      <c r="X2" s="105"/>
      <c r="Y2" s="105"/>
      <c r="Z2" s="105"/>
      <c r="AA2" s="104"/>
      <c r="AB2" s="104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9" t="s">
        <v>95</v>
      </c>
      <c r="K1" s="21" t="s">
        <v>71</v>
      </c>
      <c r="L1" s="21" t="s">
        <v>59</v>
      </c>
      <c r="M1" s="21" t="s">
        <v>60</v>
      </c>
      <c r="N1" s="106" t="s">
        <v>72</v>
      </c>
      <c r="O1" s="109" t="s">
        <v>73</v>
      </c>
      <c r="P1" s="110" t="s">
        <v>63</v>
      </c>
      <c r="Q1" s="110" t="s">
        <v>74</v>
      </c>
      <c r="R1" s="106" t="s">
        <v>76</v>
      </c>
      <c r="S1" s="106" t="s">
        <v>62</v>
      </c>
      <c r="T1" s="106" t="s">
        <v>77</v>
      </c>
      <c r="U1" s="106" t="s">
        <v>16</v>
      </c>
      <c r="V1" s="106" t="s">
        <v>17</v>
      </c>
      <c r="W1" s="21" t="s">
        <v>18</v>
      </c>
      <c r="X1" s="110" t="s">
        <v>64</v>
      </c>
      <c r="Y1" s="110" t="s">
        <v>65</v>
      </c>
    </row>
    <row r="2" spans="1:25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8"/>
      <c r="K2" s="102"/>
      <c r="L2" s="102"/>
      <c r="M2" s="102"/>
      <c r="N2" s="105"/>
      <c r="O2" s="108"/>
      <c r="P2" s="104"/>
      <c r="Q2" s="104"/>
      <c r="R2" s="105"/>
      <c r="S2" s="105"/>
      <c r="T2" s="105"/>
      <c r="U2" s="105"/>
      <c r="V2" s="105"/>
      <c r="W2" s="102"/>
      <c r="X2" s="104"/>
      <c r="Y2" s="104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9" t="s">
        <v>95</v>
      </c>
      <c r="G1" s="106" t="s">
        <v>72</v>
      </c>
      <c r="H1" s="21" t="s">
        <v>96</v>
      </c>
      <c r="I1" s="109" t="s">
        <v>73</v>
      </c>
      <c r="J1" s="110" t="s">
        <v>63</v>
      </c>
      <c r="K1" s="110" t="s">
        <v>74</v>
      </c>
      <c r="L1" s="106" t="s">
        <v>76</v>
      </c>
      <c r="M1" s="106" t="s">
        <v>77</v>
      </c>
      <c r="N1" s="106" t="s">
        <v>16</v>
      </c>
      <c r="O1" s="106" t="s">
        <v>17</v>
      </c>
      <c r="P1" s="21" t="s">
        <v>18</v>
      </c>
      <c r="Q1" s="110" t="s">
        <v>64</v>
      </c>
      <c r="R1" s="110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8"/>
      <c r="G2" s="105"/>
      <c r="H2" s="102"/>
      <c r="I2" s="108"/>
      <c r="J2" s="104"/>
      <c r="K2" s="104"/>
      <c r="L2" s="105"/>
      <c r="M2" s="105"/>
      <c r="N2" s="105"/>
      <c r="O2" s="105"/>
      <c r="P2" s="102"/>
      <c r="Q2" s="104"/>
      <c r="R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9" t="s">
        <v>98</v>
      </c>
      <c r="E1" s="109" t="s">
        <v>99</v>
      </c>
      <c r="F1" s="106" t="s">
        <v>100</v>
      </c>
      <c r="G1" s="110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526</v>
      </c>
      <c r="B2" s="102">
        <v>526</v>
      </c>
      <c r="C2" s="102"/>
      <c r="D2" s="108"/>
      <c r="E2" s="108"/>
      <c r="F2" s="105"/>
      <c r="G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9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21" t="s">
        <v>96</v>
      </c>
      <c r="U1" s="21" t="s">
        <v>84</v>
      </c>
      <c r="V1" s="109" t="s">
        <v>73</v>
      </c>
      <c r="W1" s="110" t="s">
        <v>63</v>
      </c>
      <c r="X1" s="110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9" t="s">
        <v>104</v>
      </c>
      <c r="AE1" s="109" t="s">
        <v>105</v>
      </c>
      <c r="AF1" s="106" t="s">
        <v>76</v>
      </c>
      <c r="AG1" s="106" t="s">
        <v>62</v>
      </c>
      <c r="AH1" s="106" t="s">
        <v>77</v>
      </c>
      <c r="AI1" s="106" t="s">
        <v>16</v>
      </c>
      <c r="AJ1" s="106" t="s">
        <v>17</v>
      </c>
      <c r="AK1" s="106" t="s">
        <v>87</v>
      </c>
      <c r="AL1" s="21" t="s">
        <v>18</v>
      </c>
      <c r="AM1" s="110" t="s">
        <v>64</v>
      </c>
      <c r="AN1" s="110" t="s">
        <v>65</v>
      </c>
    </row>
    <row r="2" spans="1:40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2"/>
      <c r="Q2" s="102"/>
      <c r="R2" s="102"/>
      <c r="S2" s="105"/>
      <c r="T2" s="102"/>
      <c r="U2" s="102"/>
      <c r="V2" s="108"/>
      <c r="W2" s="104"/>
      <c r="X2" s="104"/>
      <c r="Y2" s="102"/>
      <c r="Z2" s="102"/>
      <c r="AA2" s="102"/>
      <c r="AB2" s="102"/>
      <c r="AC2" s="102"/>
      <c r="AD2" s="108"/>
      <c r="AE2" s="108"/>
      <c r="AF2" s="105"/>
      <c r="AG2" s="105"/>
      <c r="AH2" s="105"/>
      <c r="AI2" s="105"/>
      <c r="AJ2" s="105"/>
      <c r="AK2" s="105"/>
      <c r="AL2" s="102"/>
      <c r="AM2" s="104"/>
      <c r="AN2" s="104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7.125" bestFit="1" customWidth="1"/>
    <col min="4" max="4" width="9.875" bestFit="1" customWidth="1"/>
    <col min="5" max="5" width="9.125" bestFit="1" customWidth="1"/>
    <col min="6" max="6" width="20.1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1.875" bestFit="1" customWidth="1"/>
    <col min="31" max="31" width="8.625" bestFit="1" customWidth="1"/>
    <col min="32" max="32" width="11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9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6" t="s">
        <v>17</v>
      </c>
      <c r="AI1" s="106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2">
        <v>526</v>
      </c>
      <c r="B2" s="102">
        <v>526</v>
      </c>
      <c r="C2" s="102" t="s">
        <v>1345</v>
      </c>
      <c r="D2" s="102">
        <v>550004428</v>
      </c>
      <c r="E2" s="102" t="s">
        <v>308</v>
      </c>
      <c r="F2" s="102" t="s">
        <v>1346</v>
      </c>
      <c r="G2" s="102" t="s">
        <v>1347</v>
      </c>
      <c r="H2" s="102" t="s">
        <v>319</v>
      </c>
      <c r="I2" s="102" t="s">
        <v>751</v>
      </c>
      <c r="J2" s="102" t="s">
        <v>202</v>
      </c>
      <c r="K2" s="102" t="s">
        <v>202</v>
      </c>
      <c r="L2" s="102" t="s">
        <v>323</v>
      </c>
      <c r="M2" s="102" t="s">
        <v>454</v>
      </c>
      <c r="N2" s="102" t="s">
        <v>336</v>
      </c>
      <c r="O2" s="108">
        <v>32794</v>
      </c>
      <c r="P2" s="102" t="s">
        <v>408</v>
      </c>
      <c r="Q2" s="102" t="s">
        <v>408</v>
      </c>
      <c r="R2" s="102" t="s">
        <v>408</v>
      </c>
      <c r="S2" s="102" t="s">
        <v>1237</v>
      </c>
      <c r="T2" s="105">
        <v>1E-4</v>
      </c>
      <c r="U2" s="108">
        <v>40543</v>
      </c>
      <c r="V2" s="104">
        <v>0</v>
      </c>
      <c r="W2" s="104">
        <v>7.0000000000000001E-3</v>
      </c>
      <c r="X2" s="102" t="s">
        <v>410</v>
      </c>
      <c r="Y2" s="102"/>
      <c r="Z2" s="102" t="s">
        <v>890</v>
      </c>
      <c r="AA2" s="102" t="s">
        <v>893</v>
      </c>
      <c r="AB2" s="108">
        <v>46203</v>
      </c>
      <c r="AC2" s="108"/>
      <c r="AD2" s="105">
        <v>1438.29</v>
      </c>
      <c r="AE2" s="105">
        <v>1</v>
      </c>
      <c r="AF2" s="105">
        <v>5.9999999999999995E-4</v>
      </c>
      <c r="AG2" s="105">
        <v>1.0000000000000001E-5</v>
      </c>
      <c r="AH2" s="105"/>
      <c r="AI2" s="105"/>
      <c r="AJ2" s="102"/>
      <c r="AK2" s="104">
        <v>0</v>
      </c>
      <c r="AL2" s="104">
        <v>0</v>
      </c>
    </row>
    <row r="3" spans="1:38" ht="13.5" customHeight="1">
      <c r="A3" s="102">
        <v>526</v>
      </c>
      <c r="B3" s="102">
        <v>526</v>
      </c>
      <c r="C3" s="102" t="s">
        <v>1348</v>
      </c>
      <c r="D3" s="102">
        <v>520018078</v>
      </c>
      <c r="E3" s="102" t="s">
        <v>308</v>
      </c>
      <c r="F3" s="102" t="s">
        <v>1349</v>
      </c>
      <c r="G3" s="102">
        <v>6401772</v>
      </c>
      <c r="H3" s="102" t="s">
        <v>311</v>
      </c>
      <c r="I3" s="102" t="s">
        <v>751</v>
      </c>
      <c r="J3" s="102" t="s">
        <v>202</v>
      </c>
      <c r="K3" s="102" t="s">
        <v>202</v>
      </c>
      <c r="L3" s="102" t="s">
        <v>323</v>
      </c>
      <c r="M3" s="102" t="s">
        <v>446</v>
      </c>
      <c r="N3" s="102" t="s">
        <v>336</v>
      </c>
      <c r="O3" s="108">
        <v>37621</v>
      </c>
      <c r="P3" s="102" t="s">
        <v>1350</v>
      </c>
      <c r="Q3" s="102" t="s">
        <v>413</v>
      </c>
      <c r="R3" s="102" t="s">
        <v>404</v>
      </c>
      <c r="S3" s="102" t="s">
        <v>1237</v>
      </c>
      <c r="T3" s="105">
        <v>0.59</v>
      </c>
      <c r="U3" s="108">
        <v>46418</v>
      </c>
      <c r="V3" s="104">
        <v>2.2499999999999999E-2</v>
      </c>
      <c r="W3" s="104">
        <v>6.6000000000000003E-2</v>
      </c>
      <c r="X3" s="102" t="s">
        <v>410</v>
      </c>
      <c r="Y3" s="102"/>
      <c r="Z3" s="102" t="s">
        <v>890</v>
      </c>
      <c r="AA3" s="102" t="s">
        <v>893</v>
      </c>
      <c r="AB3" s="108">
        <v>46203</v>
      </c>
      <c r="AC3" s="108"/>
      <c r="AD3" s="105">
        <v>50000</v>
      </c>
      <c r="AE3" s="105">
        <v>1</v>
      </c>
      <c r="AF3" s="105">
        <v>153.63999999999999</v>
      </c>
      <c r="AG3" s="105">
        <v>76.819999999999993</v>
      </c>
      <c r="AH3" s="103"/>
      <c r="AI3" s="103"/>
      <c r="AJ3" s="102"/>
      <c r="AK3" s="104">
        <v>0.32840200000000003</v>
      </c>
      <c r="AL3" s="104">
        <v>7.7999999999999999E-5</v>
      </c>
    </row>
    <row r="4" spans="1:38" ht="13.5" customHeight="1">
      <c r="A4" s="102">
        <v>526</v>
      </c>
      <c r="B4" s="102">
        <v>526</v>
      </c>
      <c r="C4" s="102" t="s">
        <v>1234</v>
      </c>
      <c r="D4" s="102">
        <v>520000118</v>
      </c>
      <c r="E4" s="102" t="s">
        <v>308</v>
      </c>
      <c r="F4" s="102" t="s">
        <v>1351</v>
      </c>
      <c r="G4" s="102">
        <v>6626352</v>
      </c>
      <c r="H4" s="102" t="s">
        <v>311</v>
      </c>
      <c r="I4" s="102" t="s">
        <v>751</v>
      </c>
      <c r="J4" s="102" t="s">
        <v>202</v>
      </c>
      <c r="K4" s="102" t="s">
        <v>202</v>
      </c>
      <c r="L4" s="102" t="s">
        <v>323</v>
      </c>
      <c r="M4" s="102" t="s">
        <v>446</v>
      </c>
      <c r="N4" s="102" t="s">
        <v>336</v>
      </c>
      <c r="O4" s="108">
        <v>37620</v>
      </c>
      <c r="P4" s="102" t="s">
        <v>1352</v>
      </c>
      <c r="Q4" s="102" t="s">
        <v>411</v>
      </c>
      <c r="R4" s="102" t="s">
        <v>404</v>
      </c>
      <c r="S4" s="102" t="s">
        <v>1237</v>
      </c>
      <c r="T4" s="105">
        <v>0.98</v>
      </c>
      <c r="U4" s="108">
        <v>46751</v>
      </c>
      <c r="V4" s="104">
        <v>2.1700000000000001E-2</v>
      </c>
      <c r="W4" s="104">
        <v>6.6000000000000003E-2</v>
      </c>
      <c r="X4" s="102" t="s">
        <v>410</v>
      </c>
      <c r="Y4" s="102"/>
      <c r="Z4" s="102" t="s">
        <v>890</v>
      </c>
      <c r="AA4" s="102" t="s">
        <v>893</v>
      </c>
      <c r="AB4" s="108">
        <v>46203</v>
      </c>
      <c r="AC4" s="108"/>
      <c r="AD4" s="105">
        <v>100000</v>
      </c>
      <c r="AE4" s="105">
        <v>1</v>
      </c>
      <c r="AF4" s="105">
        <v>157.1</v>
      </c>
      <c r="AG4" s="105">
        <v>157.1</v>
      </c>
      <c r="AH4" s="103"/>
      <c r="AI4" s="103"/>
      <c r="AJ4" s="102"/>
      <c r="AK4" s="104">
        <v>0.671597</v>
      </c>
      <c r="AL4" s="104">
        <v>1.6000000000000001E-4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9.875" bestFit="1" customWidth="1"/>
    <col min="5" max="5" width="9.125" bestFit="1" customWidth="1"/>
    <col min="6" max="6" width="10.25" bestFit="1" customWidth="1"/>
    <col min="7" max="7" width="12.2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9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2">
        <v>526</v>
      </c>
      <c r="B2" s="102">
        <v>526</v>
      </c>
      <c r="C2" s="102" t="s">
        <v>1353</v>
      </c>
      <c r="D2" s="102">
        <v>511015448</v>
      </c>
      <c r="E2" s="102" t="s">
        <v>308</v>
      </c>
      <c r="F2" s="102" t="s">
        <v>1354</v>
      </c>
      <c r="G2" s="102" t="s">
        <v>1355</v>
      </c>
      <c r="H2" s="102" t="s">
        <v>319</v>
      </c>
      <c r="I2" s="102" t="s">
        <v>762</v>
      </c>
      <c r="J2" s="102" t="s">
        <v>202</v>
      </c>
      <c r="K2" s="102" t="s">
        <v>202</v>
      </c>
      <c r="L2" s="102" t="s">
        <v>323</v>
      </c>
      <c r="M2" s="102" t="s">
        <v>449</v>
      </c>
      <c r="N2" s="102" t="s">
        <v>336</v>
      </c>
      <c r="O2" s="108">
        <v>31107</v>
      </c>
      <c r="P2" s="102" t="s">
        <v>1237</v>
      </c>
      <c r="Q2" s="102" t="s">
        <v>313</v>
      </c>
      <c r="R2" s="102" t="s">
        <v>893</v>
      </c>
      <c r="S2" s="108">
        <v>46022</v>
      </c>
      <c r="T2" s="108"/>
      <c r="U2" s="105">
        <v>20850</v>
      </c>
      <c r="V2" s="105">
        <v>1</v>
      </c>
      <c r="W2" s="105">
        <v>0.01</v>
      </c>
      <c r="X2" s="105">
        <v>2.0899999999999998E-3</v>
      </c>
      <c r="Y2" s="104">
        <v>1</v>
      </c>
      <c r="Z2" s="104">
        <v>0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0.875" bestFit="1" customWidth="1"/>
    <col min="4" max="4" width="2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2.625" bestFit="1" customWidth="1"/>
    <col min="11" max="11" width="8.75" bestFit="1" customWidth="1"/>
    <col min="12" max="12" width="41.25" bestFit="1" customWidth="1"/>
    <col min="13" max="13" width="10.625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2">
        <v>526</v>
      </c>
      <c r="B2" s="102">
        <v>526</v>
      </c>
      <c r="C2" s="102" t="s">
        <v>1356</v>
      </c>
      <c r="D2" s="102"/>
      <c r="E2" s="102"/>
      <c r="F2" s="102" t="s">
        <v>1357</v>
      </c>
      <c r="G2" s="102">
        <v>62028996</v>
      </c>
      <c r="H2" s="102" t="s">
        <v>311</v>
      </c>
      <c r="I2" s="102" t="s">
        <v>1025</v>
      </c>
      <c r="J2" s="102"/>
      <c r="K2" s="102" t="s">
        <v>202</v>
      </c>
      <c r="L2" s="102"/>
      <c r="M2" s="102"/>
      <c r="N2" s="102" t="s">
        <v>202</v>
      </c>
      <c r="O2" s="102" t="s">
        <v>336</v>
      </c>
      <c r="P2" s="108">
        <v>45992</v>
      </c>
      <c r="Q2" s="102" t="s">
        <v>1237</v>
      </c>
      <c r="R2" s="102" t="s">
        <v>889</v>
      </c>
      <c r="S2" s="102" t="s">
        <v>893</v>
      </c>
      <c r="T2" s="108">
        <v>46203</v>
      </c>
      <c r="U2" s="105">
        <v>1</v>
      </c>
      <c r="V2" s="103">
        <v>80.31174</v>
      </c>
      <c r="W2" s="105">
        <v>80.31174</v>
      </c>
      <c r="X2" s="104">
        <v>4.3999999999999999E-5</v>
      </c>
      <c r="Y2" s="104">
        <v>1.7099999999999999E-3</v>
      </c>
      <c r="Z2" s="104">
        <v>8.2000000000000001E-5</v>
      </c>
    </row>
    <row r="3" spans="1:26" ht="13.5" customHeight="1">
      <c r="A3" s="102">
        <v>526</v>
      </c>
      <c r="B3" s="102">
        <v>526</v>
      </c>
      <c r="C3" s="102" t="s">
        <v>1358</v>
      </c>
      <c r="D3" s="102"/>
      <c r="E3" s="102"/>
      <c r="F3" s="102" t="s">
        <v>1359</v>
      </c>
      <c r="G3" s="102">
        <v>50007970</v>
      </c>
      <c r="H3" s="102" t="s">
        <v>311</v>
      </c>
      <c r="I3" s="102" t="s">
        <v>1025</v>
      </c>
      <c r="J3" s="102"/>
      <c r="K3" s="102" t="s">
        <v>202</v>
      </c>
      <c r="L3" s="102"/>
      <c r="M3" s="102"/>
      <c r="N3" s="102" t="s">
        <v>295</v>
      </c>
      <c r="O3" s="102" t="s">
        <v>336</v>
      </c>
      <c r="P3" s="108">
        <v>42692</v>
      </c>
      <c r="Q3" s="102" t="s">
        <v>1237</v>
      </c>
      <c r="R3" s="102" t="s">
        <v>889</v>
      </c>
      <c r="S3" s="102" t="s">
        <v>893</v>
      </c>
      <c r="T3" s="108">
        <v>46203</v>
      </c>
      <c r="U3" s="105">
        <v>1</v>
      </c>
      <c r="V3" s="103">
        <v>1627.2120600000001</v>
      </c>
      <c r="W3" s="105">
        <v>1627.2120600000001</v>
      </c>
      <c r="X3" s="104">
        <v>6.2500000000000001E-4</v>
      </c>
      <c r="Y3" s="104">
        <v>3.4651000000000001E-2</v>
      </c>
      <c r="Z3" s="104">
        <v>1.6639999999999999E-3</v>
      </c>
    </row>
    <row r="4" spans="1:26" ht="13.5" customHeight="1">
      <c r="A4" s="102">
        <v>526</v>
      </c>
      <c r="B4" s="102">
        <v>526</v>
      </c>
      <c r="C4" s="102" t="s">
        <v>1360</v>
      </c>
      <c r="D4" s="102"/>
      <c r="E4" s="102"/>
      <c r="F4" s="102" t="s">
        <v>1361</v>
      </c>
      <c r="G4" s="102">
        <v>62018045</v>
      </c>
      <c r="H4" s="102" t="s">
        <v>311</v>
      </c>
      <c r="I4" s="102" t="s">
        <v>1027</v>
      </c>
      <c r="J4" s="102"/>
      <c r="K4" s="102" t="s">
        <v>202</v>
      </c>
      <c r="L4" s="102"/>
      <c r="M4" s="102"/>
      <c r="N4" s="102" t="s">
        <v>223</v>
      </c>
      <c r="O4" s="102" t="s">
        <v>336</v>
      </c>
      <c r="P4" s="108">
        <v>45229</v>
      </c>
      <c r="Q4" s="102" t="s">
        <v>1241</v>
      </c>
      <c r="R4" s="102" t="s">
        <v>889</v>
      </c>
      <c r="S4" s="102" t="s">
        <v>893</v>
      </c>
      <c r="T4" s="108">
        <v>46203</v>
      </c>
      <c r="U4" s="105">
        <v>2.9780000000000002</v>
      </c>
      <c r="V4" s="103">
        <v>416.91849000000002</v>
      </c>
      <c r="W4" s="105">
        <v>1241.5832700000001</v>
      </c>
      <c r="X4" s="104">
        <v>5.0000000000000004E-6</v>
      </c>
      <c r="Y4" s="104">
        <v>2.6439000000000001E-2</v>
      </c>
      <c r="Z4" s="104">
        <v>1.2689999999999999E-3</v>
      </c>
    </row>
    <row r="5" spans="1:26" ht="13.5" customHeight="1">
      <c r="A5" s="102">
        <v>526</v>
      </c>
      <c r="B5" s="102">
        <v>526</v>
      </c>
      <c r="C5" s="102" t="s">
        <v>1362</v>
      </c>
      <c r="D5" s="102"/>
      <c r="E5" s="102"/>
      <c r="F5" s="102" t="s">
        <v>1363</v>
      </c>
      <c r="G5" s="102">
        <v>38044</v>
      </c>
      <c r="H5" s="102" t="s">
        <v>311</v>
      </c>
      <c r="I5" s="102" t="s">
        <v>1023</v>
      </c>
      <c r="J5" s="102"/>
      <c r="K5" s="102" t="s">
        <v>202</v>
      </c>
      <c r="L5" s="102"/>
      <c r="M5" s="102"/>
      <c r="N5" s="102" t="s">
        <v>202</v>
      </c>
      <c r="O5" s="102" t="s">
        <v>336</v>
      </c>
      <c r="P5" s="108">
        <v>45545</v>
      </c>
      <c r="Q5" s="102" t="s">
        <v>1237</v>
      </c>
      <c r="R5" s="102" t="s">
        <v>889</v>
      </c>
      <c r="S5" s="102" t="s">
        <v>893</v>
      </c>
      <c r="T5" s="108">
        <v>46203</v>
      </c>
      <c r="U5" s="105">
        <v>1</v>
      </c>
      <c r="V5" s="103">
        <v>314.06195000000002</v>
      </c>
      <c r="W5" s="105">
        <v>314.06195000000002</v>
      </c>
      <c r="X5" s="104">
        <v>1.25E-4</v>
      </c>
      <c r="Y5" s="104">
        <v>6.6870000000000002E-3</v>
      </c>
      <c r="Z5" s="104">
        <v>3.21E-4</v>
      </c>
    </row>
    <row r="6" spans="1:26" ht="13.5" customHeight="1">
      <c r="A6" s="102">
        <v>526</v>
      </c>
      <c r="B6" s="102">
        <v>526</v>
      </c>
      <c r="C6" s="102" t="s">
        <v>1364</v>
      </c>
      <c r="D6" s="102"/>
      <c r="E6" s="102"/>
      <c r="F6" s="102" t="s">
        <v>1365</v>
      </c>
      <c r="G6" s="102">
        <v>62021701</v>
      </c>
      <c r="H6" s="102" t="s">
        <v>311</v>
      </c>
      <c r="I6" s="102" t="s">
        <v>1025</v>
      </c>
      <c r="J6" s="102"/>
      <c r="K6" s="102" t="s">
        <v>202</v>
      </c>
      <c r="L6" s="102"/>
      <c r="M6" s="102"/>
      <c r="N6" s="102" t="s">
        <v>202</v>
      </c>
      <c r="O6" s="102" t="s">
        <v>336</v>
      </c>
      <c r="P6" s="108">
        <v>45462</v>
      </c>
      <c r="Q6" s="102" t="s">
        <v>1237</v>
      </c>
      <c r="R6" s="102" t="s">
        <v>889</v>
      </c>
      <c r="S6" s="102" t="s">
        <v>893</v>
      </c>
      <c r="T6" s="108">
        <v>46203</v>
      </c>
      <c r="U6" s="105">
        <v>1</v>
      </c>
      <c r="V6" s="103">
        <v>264.57682</v>
      </c>
      <c r="W6" s="105">
        <v>264.57682</v>
      </c>
      <c r="X6" s="104">
        <v>2.7500000000000002E-4</v>
      </c>
      <c r="Y6" s="104">
        <v>5.6340000000000001E-3</v>
      </c>
      <c r="Z6" s="104">
        <v>2.7E-4</v>
      </c>
    </row>
    <row r="7" spans="1:26" ht="13.5" customHeight="1">
      <c r="A7" s="102">
        <v>526</v>
      </c>
      <c r="B7" s="102">
        <v>526</v>
      </c>
      <c r="C7" s="102" t="s">
        <v>1366</v>
      </c>
      <c r="D7" s="102"/>
      <c r="E7" s="102"/>
      <c r="F7" s="102" t="s">
        <v>1367</v>
      </c>
      <c r="G7" s="102">
        <v>62008551</v>
      </c>
      <c r="H7" s="102" t="s">
        <v>311</v>
      </c>
      <c r="I7" s="102" t="s">
        <v>1022</v>
      </c>
      <c r="J7" s="102"/>
      <c r="K7" s="102" t="s">
        <v>202</v>
      </c>
      <c r="L7" s="102"/>
      <c r="M7" s="102"/>
      <c r="N7" s="102" t="s">
        <v>202</v>
      </c>
      <c r="O7" s="102" t="s">
        <v>336</v>
      </c>
      <c r="P7" s="108">
        <v>45223</v>
      </c>
      <c r="Q7" s="102" t="s">
        <v>1241</v>
      </c>
      <c r="R7" s="102" t="s">
        <v>889</v>
      </c>
      <c r="S7" s="102" t="s">
        <v>893</v>
      </c>
      <c r="T7" s="108">
        <v>46203</v>
      </c>
      <c r="U7" s="105">
        <v>2.9780000000000002</v>
      </c>
      <c r="V7" s="103">
        <v>457.77197000000001</v>
      </c>
      <c r="W7" s="105">
        <v>1363.2449200000001</v>
      </c>
      <c r="X7" s="104">
        <v>2.6999999999999999E-5</v>
      </c>
      <c r="Y7" s="104">
        <v>2.903E-2</v>
      </c>
      <c r="Z7" s="104">
        <v>1.3940000000000001E-3</v>
      </c>
    </row>
    <row r="8" spans="1:26" ht="13.5" customHeight="1">
      <c r="A8" s="102">
        <v>526</v>
      </c>
      <c r="B8" s="102">
        <v>526</v>
      </c>
      <c r="C8" s="102" t="s">
        <v>1368</v>
      </c>
      <c r="D8" s="102"/>
      <c r="E8" s="102"/>
      <c r="F8" s="102" t="s">
        <v>1369</v>
      </c>
      <c r="G8" s="102">
        <v>62008450</v>
      </c>
      <c r="H8" s="102" t="s">
        <v>311</v>
      </c>
      <c r="I8" s="102" t="s">
        <v>1022</v>
      </c>
      <c r="J8" s="102"/>
      <c r="K8" s="102" t="s">
        <v>202</v>
      </c>
      <c r="L8" s="102"/>
      <c r="M8" s="102"/>
      <c r="N8" s="102" t="s">
        <v>202</v>
      </c>
      <c r="O8" s="102" t="s">
        <v>336</v>
      </c>
      <c r="P8" s="108">
        <v>45223</v>
      </c>
      <c r="Q8" s="102" t="s">
        <v>1237</v>
      </c>
      <c r="R8" s="102" t="s">
        <v>889</v>
      </c>
      <c r="S8" s="102" t="s">
        <v>893</v>
      </c>
      <c r="T8" s="108">
        <v>46203</v>
      </c>
      <c r="U8" s="105">
        <v>1</v>
      </c>
      <c r="V8" s="103">
        <v>634.36743999999999</v>
      </c>
      <c r="W8" s="105">
        <v>634.36743999999999</v>
      </c>
      <c r="X8" s="104">
        <v>1.1529999999999999E-3</v>
      </c>
      <c r="Y8" s="104">
        <v>1.3507999999999999E-2</v>
      </c>
      <c r="Z8" s="104">
        <v>6.4800000000000003E-4</v>
      </c>
    </row>
    <row r="9" spans="1:26" ht="13.5" customHeight="1">
      <c r="A9" s="102">
        <v>526</v>
      </c>
      <c r="B9" s="102">
        <v>526</v>
      </c>
      <c r="C9" s="102" t="s">
        <v>1370</v>
      </c>
      <c r="D9" s="102"/>
      <c r="E9" s="102"/>
      <c r="F9" s="102" t="s">
        <v>1371</v>
      </c>
      <c r="G9" s="102">
        <v>62020234</v>
      </c>
      <c r="H9" s="102" t="s">
        <v>311</v>
      </c>
      <c r="I9" s="102" t="s">
        <v>1025</v>
      </c>
      <c r="J9" s="102"/>
      <c r="K9" s="102" t="s">
        <v>203</v>
      </c>
      <c r="L9" s="102"/>
      <c r="M9" s="102"/>
      <c r="N9" s="102" t="s">
        <v>223</v>
      </c>
      <c r="O9" s="102" t="s">
        <v>336</v>
      </c>
      <c r="P9" s="108">
        <v>46020</v>
      </c>
      <c r="Q9" s="102" t="s">
        <v>1241</v>
      </c>
      <c r="R9" s="102" t="s">
        <v>889</v>
      </c>
      <c r="S9" s="102" t="s">
        <v>893</v>
      </c>
      <c r="T9" s="108">
        <v>46203</v>
      </c>
      <c r="U9" s="105">
        <v>2.9780000000000002</v>
      </c>
      <c r="V9" s="103">
        <v>285.14735000000002</v>
      </c>
      <c r="W9" s="105">
        <v>849.16881999999998</v>
      </c>
      <c r="X9" s="104">
        <v>5.1800000000000001E-4</v>
      </c>
      <c r="Y9" s="104">
        <v>1.8082000000000001E-2</v>
      </c>
      <c r="Z9" s="104">
        <v>8.6799999999999996E-4</v>
      </c>
    </row>
    <row r="10" spans="1:26" ht="13.5" customHeight="1">
      <c r="A10" s="102">
        <v>526</v>
      </c>
      <c r="B10" s="102">
        <v>526</v>
      </c>
      <c r="C10" s="102" t="s">
        <v>1372</v>
      </c>
      <c r="D10" s="102"/>
      <c r="E10" s="102"/>
      <c r="F10" s="102" t="s">
        <v>1372</v>
      </c>
      <c r="G10" s="102">
        <v>62013932</v>
      </c>
      <c r="H10" s="102" t="s">
        <v>311</v>
      </c>
      <c r="I10" s="102" t="s">
        <v>1022</v>
      </c>
      <c r="J10" s="102"/>
      <c r="K10" s="102" t="s">
        <v>203</v>
      </c>
      <c r="L10" s="102"/>
      <c r="M10" s="102"/>
      <c r="N10" s="102" t="s">
        <v>295</v>
      </c>
      <c r="O10" s="102" t="s">
        <v>336</v>
      </c>
      <c r="P10" s="108">
        <v>45553</v>
      </c>
      <c r="Q10" s="102" t="s">
        <v>1241</v>
      </c>
      <c r="R10" s="102" t="s">
        <v>889</v>
      </c>
      <c r="S10" s="102" t="s">
        <v>893</v>
      </c>
      <c r="T10" s="108">
        <v>46203</v>
      </c>
      <c r="U10" s="105">
        <v>2.9780000000000002</v>
      </c>
      <c r="V10" s="103">
        <v>196.94575</v>
      </c>
      <c r="W10" s="105">
        <v>586.50445999999999</v>
      </c>
      <c r="X10" s="104">
        <v>6.0000000000000002E-6</v>
      </c>
      <c r="Y10" s="104">
        <v>1.2489E-2</v>
      </c>
      <c r="Z10" s="104">
        <v>5.9900000000000003E-4</v>
      </c>
    </row>
    <row r="11" spans="1:26" ht="13.5" customHeight="1">
      <c r="A11" s="102">
        <v>526</v>
      </c>
      <c r="B11" s="102">
        <v>526</v>
      </c>
      <c r="C11" s="102" t="s">
        <v>1373</v>
      </c>
      <c r="D11" s="102"/>
      <c r="E11" s="102"/>
      <c r="F11" s="102" t="s">
        <v>1374</v>
      </c>
      <c r="G11" s="102">
        <v>62022371</v>
      </c>
      <c r="H11" s="102" t="s">
        <v>311</v>
      </c>
      <c r="I11" s="102" t="s">
        <v>1026</v>
      </c>
      <c r="J11" s="102"/>
      <c r="K11" s="102" t="s">
        <v>203</v>
      </c>
      <c r="L11" s="102"/>
      <c r="M11" s="102"/>
      <c r="N11" s="102" t="s">
        <v>223</v>
      </c>
      <c r="O11" s="102" t="s">
        <v>336</v>
      </c>
      <c r="P11" s="108">
        <v>45789</v>
      </c>
      <c r="Q11" s="102" t="s">
        <v>1241</v>
      </c>
      <c r="R11" s="102" t="s">
        <v>889</v>
      </c>
      <c r="S11" s="102" t="s">
        <v>893</v>
      </c>
      <c r="T11" s="108">
        <v>46203</v>
      </c>
      <c r="U11" s="105">
        <v>2.9780000000000002</v>
      </c>
      <c r="V11" s="103">
        <v>257.63258000000002</v>
      </c>
      <c r="W11" s="105">
        <v>767.22982999999999</v>
      </c>
      <c r="X11" s="104">
        <v>1.0300000000000001E-3</v>
      </c>
      <c r="Y11" s="104">
        <v>1.6337999999999998E-2</v>
      </c>
      <c r="Z11" s="104">
        <v>7.8399999999999997E-4</v>
      </c>
    </row>
    <row r="12" spans="1:26" ht="13.5" customHeight="1">
      <c r="A12" s="102">
        <v>526</v>
      </c>
      <c r="B12" s="102">
        <v>526</v>
      </c>
      <c r="C12" s="102" t="s">
        <v>1375</v>
      </c>
      <c r="D12" s="102"/>
      <c r="E12" s="102"/>
      <c r="F12" s="102" t="s">
        <v>1376</v>
      </c>
      <c r="G12" s="102">
        <v>62021042</v>
      </c>
      <c r="H12" s="102" t="s">
        <v>311</v>
      </c>
      <c r="I12" s="102" t="s">
        <v>1022</v>
      </c>
      <c r="J12" s="102"/>
      <c r="K12" s="102" t="s">
        <v>203</v>
      </c>
      <c r="L12" s="102"/>
      <c r="M12" s="102"/>
      <c r="N12" s="102" t="s">
        <v>295</v>
      </c>
      <c r="O12" s="102" t="s">
        <v>336</v>
      </c>
      <c r="P12" s="108">
        <v>45453</v>
      </c>
      <c r="Q12" s="102" t="s">
        <v>1241</v>
      </c>
      <c r="R12" s="102" t="s">
        <v>889</v>
      </c>
      <c r="S12" s="102" t="s">
        <v>893</v>
      </c>
      <c r="T12" s="108">
        <v>46203</v>
      </c>
      <c r="U12" s="105">
        <v>2.9780000000000002</v>
      </c>
      <c r="V12" s="103">
        <v>1323.9965999999999</v>
      </c>
      <c r="W12" s="105">
        <v>3942.8618700000002</v>
      </c>
      <c r="X12" s="104">
        <v>9.7999999999999997E-5</v>
      </c>
      <c r="Y12" s="104">
        <v>8.3962999999999996E-2</v>
      </c>
      <c r="Z12" s="104">
        <v>4.032E-3</v>
      </c>
    </row>
    <row r="13" spans="1:26" ht="13.5" customHeight="1">
      <c r="A13" s="102">
        <v>526</v>
      </c>
      <c r="B13" s="102">
        <v>526</v>
      </c>
      <c r="C13" s="102" t="s">
        <v>1377</v>
      </c>
      <c r="D13" s="102"/>
      <c r="E13" s="102"/>
      <c r="F13" s="102" t="s">
        <v>1378</v>
      </c>
      <c r="G13" s="102">
        <v>62021845</v>
      </c>
      <c r="H13" s="102" t="s">
        <v>311</v>
      </c>
      <c r="I13" s="102" t="s">
        <v>1023</v>
      </c>
      <c r="J13" s="102"/>
      <c r="K13" s="102" t="s">
        <v>203</v>
      </c>
      <c r="L13" s="102"/>
      <c r="M13" s="102"/>
      <c r="N13" s="102" t="s">
        <v>295</v>
      </c>
      <c r="O13" s="102" t="s">
        <v>336</v>
      </c>
      <c r="P13" s="108">
        <v>46097</v>
      </c>
      <c r="Q13" s="102" t="s">
        <v>1241</v>
      </c>
      <c r="R13" s="102" t="s">
        <v>889</v>
      </c>
      <c r="S13" s="102" t="s">
        <v>893</v>
      </c>
      <c r="T13" s="108">
        <v>46203</v>
      </c>
      <c r="U13" s="105">
        <v>2.9780000000000002</v>
      </c>
      <c r="V13" s="103">
        <v>839.07489999999996</v>
      </c>
      <c r="W13" s="105">
        <v>2498.76505</v>
      </c>
      <c r="X13" s="104">
        <v>9.3199999999999999E-4</v>
      </c>
      <c r="Y13" s="104">
        <v>5.3211000000000001E-2</v>
      </c>
      <c r="Z13" s="104">
        <v>2.555E-3</v>
      </c>
    </row>
    <row r="14" spans="1:26" ht="13.5" customHeight="1">
      <c r="A14" s="102">
        <v>526</v>
      </c>
      <c r="B14" s="102">
        <v>526</v>
      </c>
      <c r="C14" s="102" t="s">
        <v>1379</v>
      </c>
      <c r="D14" s="102"/>
      <c r="E14" s="102"/>
      <c r="F14" s="102" t="s">
        <v>1380</v>
      </c>
      <c r="G14" s="102">
        <v>62022255</v>
      </c>
      <c r="H14" s="102" t="s">
        <v>311</v>
      </c>
      <c r="I14" s="102" t="s">
        <v>1022</v>
      </c>
      <c r="J14" s="102"/>
      <c r="K14" s="102" t="s">
        <v>203</v>
      </c>
      <c r="L14" s="102"/>
      <c r="M14" s="102"/>
      <c r="N14" s="102" t="s">
        <v>292</v>
      </c>
      <c r="O14" s="102" t="s">
        <v>336</v>
      </c>
      <c r="P14" s="108">
        <v>45789</v>
      </c>
      <c r="Q14" s="102" t="s">
        <v>1241</v>
      </c>
      <c r="R14" s="102" t="s">
        <v>889</v>
      </c>
      <c r="S14" s="102" t="s">
        <v>893</v>
      </c>
      <c r="T14" s="108">
        <v>46203</v>
      </c>
      <c r="U14" s="105">
        <v>2.9780000000000002</v>
      </c>
      <c r="V14" s="103">
        <v>3.3744299999999998</v>
      </c>
      <c r="W14" s="105">
        <v>10.049060000000001</v>
      </c>
      <c r="X14" s="104">
        <v>0</v>
      </c>
      <c r="Y14" s="104">
        <v>2.13E-4</v>
      </c>
      <c r="Z14" s="104">
        <v>1.0000000000000001E-5</v>
      </c>
    </row>
    <row r="15" spans="1:26" ht="13.5" customHeight="1">
      <c r="A15" s="102">
        <v>526</v>
      </c>
      <c r="B15" s="102">
        <v>526</v>
      </c>
      <c r="C15" s="102" t="s">
        <v>1375</v>
      </c>
      <c r="D15" s="102"/>
      <c r="E15" s="102"/>
      <c r="F15" s="102" t="s">
        <v>1381</v>
      </c>
      <c r="G15" s="102">
        <v>62022207</v>
      </c>
      <c r="H15" s="102" t="s">
        <v>311</v>
      </c>
      <c r="I15" s="102" t="s">
        <v>1022</v>
      </c>
      <c r="J15" s="102"/>
      <c r="K15" s="102" t="s">
        <v>203</v>
      </c>
      <c r="L15" s="102"/>
      <c r="M15" s="102"/>
      <c r="N15" s="102" t="s">
        <v>295</v>
      </c>
      <c r="O15" s="102" t="s">
        <v>336</v>
      </c>
      <c r="P15" s="108">
        <v>45699</v>
      </c>
      <c r="Q15" s="102" t="s">
        <v>1241</v>
      </c>
      <c r="R15" s="102" t="s">
        <v>889</v>
      </c>
      <c r="S15" s="102" t="s">
        <v>893</v>
      </c>
      <c r="T15" s="108">
        <v>46203</v>
      </c>
      <c r="U15" s="105">
        <v>2.9780000000000002</v>
      </c>
      <c r="V15" s="103">
        <v>242.21025</v>
      </c>
      <c r="W15" s="105">
        <v>721.30211999999995</v>
      </c>
      <c r="X15" s="104">
        <v>6.0000000000000002E-5</v>
      </c>
      <c r="Y15" s="104">
        <v>1.536E-2</v>
      </c>
      <c r="Z15" s="104">
        <v>7.3700000000000002E-4</v>
      </c>
    </row>
    <row r="16" spans="1:26" ht="13.5" customHeight="1">
      <c r="A16" s="102">
        <v>526</v>
      </c>
      <c r="B16" s="102">
        <v>526</v>
      </c>
      <c r="C16" s="102" t="s">
        <v>1382</v>
      </c>
      <c r="D16" s="102"/>
      <c r="E16" s="102"/>
      <c r="F16" s="102" t="s">
        <v>1383</v>
      </c>
      <c r="G16" s="102">
        <v>62021910</v>
      </c>
      <c r="H16" s="102" t="s">
        <v>311</v>
      </c>
      <c r="I16" s="102" t="s">
        <v>1022</v>
      </c>
      <c r="J16" s="102"/>
      <c r="K16" s="102" t="s">
        <v>203</v>
      </c>
      <c r="L16" s="102"/>
      <c r="M16" s="102"/>
      <c r="N16" s="102" t="s">
        <v>223</v>
      </c>
      <c r="O16" s="102" t="s">
        <v>336</v>
      </c>
      <c r="P16" s="108">
        <v>45526</v>
      </c>
      <c r="Q16" s="102" t="s">
        <v>1241</v>
      </c>
      <c r="R16" s="102" t="s">
        <v>889</v>
      </c>
      <c r="S16" s="102" t="s">
        <v>893</v>
      </c>
      <c r="T16" s="108">
        <v>46203</v>
      </c>
      <c r="U16" s="105">
        <v>2.9780000000000002</v>
      </c>
      <c r="V16" s="103">
        <v>123.74460000000001</v>
      </c>
      <c r="W16" s="105">
        <v>368.51143000000002</v>
      </c>
      <c r="X16" s="104">
        <v>7.9999999999999996E-6</v>
      </c>
      <c r="Y16" s="104">
        <v>7.8469999999999998E-3</v>
      </c>
      <c r="Z16" s="104">
        <v>3.7599999999999998E-4</v>
      </c>
    </row>
    <row r="17" spans="1:26" ht="13.5" customHeight="1">
      <c r="A17" s="102">
        <v>526</v>
      </c>
      <c r="B17" s="102">
        <v>526</v>
      </c>
      <c r="C17" s="102" t="s">
        <v>1384</v>
      </c>
      <c r="D17" s="102"/>
      <c r="E17" s="102"/>
      <c r="F17" s="102" t="s">
        <v>1385</v>
      </c>
      <c r="G17" s="102">
        <v>62022876</v>
      </c>
      <c r="H17" s="102" t="s">
        <v>311</v>
      </c>
      <c r="I17" s="102" t="s">
        <v>1023</v>
      </c>
      <c r="J17" s="102"/>
      <c r="K17" s="102" t="s">
        <v>203</v>
      </c>
      <c r="L17" s="102"/>
      <c r="M17" s="102"/>
      <c r="N17" s="102" t="s">
        <v>295</v>
      </c>
      <c r="O17" s="102" t="s">
        <v>336</v>
      </c>
      <c r="P17" s="108">
        <v>46044</v>
      </c>
      <c r="Q17" s="102" t="s">
        <v>1241</v>
      </c>
      <c r="R17" s="102" t="s">
        <v>889</v>
      </c>
      <c r="S17" s="102" t="s">
        <v>893</v>
      </c>
      <c r="T17" s="108">
        <v>46203</v>
      </c>
      <c r="U17" s="105">
        <v>2.9780000000000002</v>
      </c>
      <c r="V17" s="103">
        <v>133.44873999999999</v>
      </c>
      <c r="W17" s="105">
        <v>397.41034999999999</v>
      </c>
      <c r="X17" s="104">
        <v>3.3000000000000003E-5</v>
      </c>
      <c r="Y17" s="104">
        <v>8.4620000000000008E-3</v>
      </c>
      <c r="Z17" s="104">
        <v>4.06E-4</v>
      </c>
    </row>
    <row r="18" spans="1:26" ht="13.5" customHeight="1">
      <c r="A18" s="102">
        <v>526</v>
      </c>
      <c r="B18" s="102">
        <v>526</v>
      </c>
      <c r="C18" s="102" t="s">
        <v>1386</v>
      </c>
      <c r="D18" s="102"/>
      <c r="E18" s="102"/>
      <c r="F18" s="102" t="s">
        <v>1387</v>
      </c>
      <c r="G18" s="102">
        <v>62012082</v>
      </c>
      <c r="H18" s="102" t="s">
        <v>311</v>
      </c>
      <c r="I18" s="102" t="s">
        <v>1026</v>
      </c>
      <c r="J18" s="102"/>
      <c r="K18" s="102" t="s">
        <v>203</v>
      </c>
      <c r="L18" s="102"/>
      <c r="M18" s="102"/>
      <c r="N18" s="102" t="s">
        <v>281</v>
      </c>
      <c r="O18" s="102" t="s">
        <v>336</v>
      </c>
      <c r="P18" s="108">
        <v>46090</v>
      </c>
      <c r="Q18" s="102" t="s">
        <v>1240</v>
      </c>
      <c r="R18" s="102" t="s">
        <v>889</v>
      </c>
      <c r="S18" s="102" t="s">
        <v>893</v>
      </c>
      <c r="T18" s="108">
        <v>46203</v>
      </c>
      <c r="U18" s="105">
        <v>2.0916999999999999</v>
      </c>
      <c r="V18" s="103">
        <v>1.74533</v>
      </c>
      <c r="W18" s="105">
        <v>3.6507100000000001</v>
      </c>
      <c r="X18" s="104">
        <v>9.9999999999999995E-7</v>
      </c>
      <c r="Y18" s="104">
        <v>7.7000000000000001E-5</v>
      </c>
      <c r="Z18" s="104">
        <v>3.0000000000000001E-6</v>
      </c>
    </row>
    <row r="19" spans="1:26" ht="13.5" customHeight="1">
      <c r="A19" s="102">
        <v>526</v>
      </c>
      <c r="B19" s="102">
        <v>526</v>
      </c>
      <c r="C19" s="102" t="s">
        <v>1388</v>
      </c>
      <c r="D19" s="102"/>
      <c r="E19" s="102"/>
      <c r="F19" s="102" t="s">
        <v>1389</v>
      </c>
      <c r="G19" s="102">
        <v>62021514</v>
      </c>
      <c r="H19" s="102" t="s">
        <v>311</v>
      </c>
      <c r="I19" s="102" t="s">
        <v>1025</v>
      </c>
      <c r="J19" s="102"/>
      <c r="K19" s="102" t="s">
        <v>203</v>
      </c>
      <c r="L19" s="102"/>
      <c r="M19" s="102"/>
      <c r="N19" s="102" t="s">
        <v>223</v>
      </c>
      <c r="O19" s="102" t="s">
        <v>336</v>
      </c>
      <c r="P19" s="108">
        <v>45261</v>
      </c>
      <c r="Q19" s="102" t="s">
        <v>1241</v>
      </c>
      <c r="R19" s="102" t="s">
        <v>889</v>
      </c>
      <c r="S19" s="102" t="s">
        <v>893</v>
      </c>
      <c r="T19" s="108">
        <v>46203</v>
      </c>
      <c r="U19" s="105">
        <v>2.9780000000000002</v>
      </c>
      <c r="V19" s="103">
        <v>772.15760999999998</v>
      </c>
      <c r="W19" s="105">
        <v>2299.4853600000001</v>
      </c>
      <c r="X19" s="104">
        <v>9.9999999999999995E-7</v>
      </c>
      <c r="Y19" s="104">
        <v>4.8966999999999997E-2</v>
      </c>
      <c r="Z19" s="104">
        <v>2.3509999999999998E-3</v>
      </c>
    </row>
    <row r="20" spans="1:26" ht="13.5" customHeight="1">
      <c r="A20" s="102">
        <v>526</v>
      </c>
      <c r="B20" s="102">
        <v>526</v>
      </c>
      <c r="C20" s="102" t="s">
        <v>1390</v>
      </c>
      <c r="D20" s="102"/>
      <c r="E20" s="102"/>
      <c r="F20" s="102" t="s">
        <v>1391</v>
      </c>
      <c r="G20" s="102">
        <v>62022271</v>
      </c>
      <c r="H20" s="102" t="s">
        <v>311</v>
      </c>
      <c r="I20" s="102" t="s">
        <v>1022</v>
      </c>
      <c r="J20" s="102"/>
      <c r="K20" s="102" t="s">
        <v>203</v>
      </c>
      <c r="L20" s="102"/>
      <c r="M20" s="102"/>
      <c r="N20" s="102" t="s">
        <v>223</v>
      </c>
      <c r="O20" s="102" t="s">
        <v>336</v>
      </c>
      <c r="P20" s="108">
        <v>46111</v>
      </c>
      <c r="Q20" s="102" t="s">
        <v>1241</v>
      </c>
      <c r="R20" s="102" t="s">
        <v>889</v>
      </c>
      <c r="S20" s="102" t="s">
        <v>893</v>
      </c>
      <c r="T20" s="108">
        <v>46203</v>
      </c>
      <c r="U20" s="105">
        <v>2.9780000000000002</v>
      </c>
      <c r="V20" s="103">
        <v>91.702590000000001</v>
      </c>
      <c r="W20" s="105">
        <v>273.09030999999999</v>
      </c>
      <c r="X20" s="104">
        <v>3.0000000000000001E-5</v>
      </c>
      <c r="Y20" s="104">
        <v>5.8149999999999999E-3</v>
      </c>
      <c r="Z20" s="104">
        <v>2.7900000000000001E-4</v>
      </c>
    </row>
    <row r="21" spans="1:26" ht="13.5" customHeight="1">
      <c r="A21" s="102">
        <v>526</v>
      </c>
      <c r="B21" s="102">
        <v>526</v>
      </c>
      <c r="C21" s="102" t="s">
        <v>1392</v>
      </c>
      <c r="D21" s="102"/>
      <c r="E21" s="102"/>
      <c r="F21" s="102" t="s">
        <v>1393</v>
      </c>
      <c r="G21" s="102">
        <v>62021843</v>
      </c>
      <c r="H21" s="102" t="s">
        <v>311</v>
      </c>
      <c r="I21" s="102" t="s">
        <v>1026</v>
      </c>
      <c r="J21" s="102"/>
      <c r="K21" s="102" t="s">
        <v>203</v>
      </c>
      <c r="L21" s="102"/>
      <c r="M21" s="102"/>
      <c r="N21" s="102" t="s">
        <v>223</v>
      </c>
      <c r="O21" s="102" t="s">
        <v>336</v>
      </c>
      <c r="P21" s="108">
        <v>45950</v>
      </c>
      <c r="Q21" s="102" t="s">
        <v>1241</v>
      </c>
      <c r="R21" s="102" t="s">
        <v>889</v>
      </c>
      <c r="S21" s="102" t="s">
        <v>893</v>
      </c>
      <c r="T21" s="108">
        <v>46203</v>
      </c>
      <c r="U21" s="105">
        <v>2.9780000000000002</v>
      </c>
      <c r="V21" s="103">
        <v>75.345039999999997</v>
      </c>
      <c r="W21" s="105">
        <v>224.37753000000001</v>
      </c>
      <c r="X21" s="104">
        <v>7.4999999999999993E-5</v>
      </c>
      <c r="Y21" s="104">
        <v>4.7780000000000001E-3</v>
      </c>
      <c r="Z21" s="104">
        <v>2.2900000000000001E-4</v>
      </c>
    </row>
    <row r="22" spans="1:26" ht="13.5" customHeight="1">
      <c r="A22" s="102">
        <v>526</v>
      </c>
      <c r="B22" s="102">
        <v>526</v>
      </c>
      <c r="C22" s="102" t="s">
        <v>1386</v>
      </c>
      <c r="D22" s="102"/>
      <c r="E22" s="102"/>
      <c r="F22" s="102" t="s">
        <v>1394</v>
      </c>
      <c r="G22" s="102">
        <v>62012081</v>
      </c>
      <c r="H22" s="102" t="s">
        <v>311</v>
      </c>
      <c r="I22" s="102" t="s">
        <v>1026</v>
      </c>
      <c r="J22" s="102"/>
      <c r="K22" s="102" t="s">
        <v>203</v>
      </c>
      <c r="L22" s="102"/>
      <c r="M22" s="102"/>
      <c r="N22" s="102" t="s">
        <v>281</v>
      </c>
      <c r="O22" s="102" t="s">
        <v>336</v>
      </c>
      <c r="P22" s="108">
        <v>46090</v>
      </c>
      <c r="Q22" s="102" t="s">
        <v>1240</v>
      </c>
      <c r="R22" s="102" t="s">
        <v>889</v>
      </c>
      <c r="S22" s="102" t="s">
        <v>893</v>
      </c>
      <c r="T22" s="108">
        <v>46203</v>
      </c>
      <c r="U22" s="105">
        <v>2.0916999999999999</v>
      </c>
      <c r="V22" s="103">
        <v>84</v>
      </c>
      <c r="W22" s="105">
        <v>175.7028</v>
      </c>
      <c r="X22" s="104">
        <v>6.7000000000000002E-5</v>
      </c>
      <c r="Y22" s="104">
        <v>3.741E-3</v>
      </c>
      <c r="Z22" s="104">
        <v>1.7899999999999999E-4</v>
      </c>
    </row>
    <row r="23" spans="1:26" ht="13.5" customHeight="1">
      <c r="A23" s="102">
        <v>526</v>
      </c>
      <c r="B23" s="102">
        <v>526</v>
      </c>
      <c r="C23" s="102" t="s">
        <v>1395</v>
      </c>
      <c r="D23" s="102"/>
      <c r="E23" s="102"/>
      <c r="F23" s="102" t="s">
        <v>1396</v>
      </c>
      <c r="G23" s="102">
        <v>62020664</v>
      </c>
      <c r="H23" s="102" t="s">
        <v>311</v>
      </c>
      <c r="I23" s="102" t="s">
        <v>1023</v>
      </c>
      <c r="J23" s="102"/>
      <c r="K23" s="102" t="s">
        <v>203</v>
      </c>
      <c r="L23" s="102"/>
      <c r="M23" s="102"/>
      <c r="N23" s="102" t="s">
        <v>292</v>
      </c>
      <c r="O23" s="102" t="s">
        <v>336</v>
      </c>
      <c r="P23" s="108">
        <v>45853</v>
      </c>
      <c r="Q23" s="102" t="s">
        <v>1236</v>
      </c>
      <c r="R23" s="102" t="s">
        <v>889</v>
      </c>
      <c r="S23" s="102" t="s">
        <v>893</v>
      </c>
      <c r="T23" s="108">
        <v>46203</v>
      </c>
      <c r="U23" s="105">
        <v>3.3944999999999999</v>
      </c>
      <c r="V23" s="103">
        <v>1034.6436900000001</v>
      </c>
      <c r="W23" s="105">
        <v>3512.0980100000002</v>
      </c>
      <c r="X23" s="104">
        <v>4.1300000000000001E-4</v>
      </c>
      <c r="Y23" s="104">
        <v>7.4788999999999994E-2</v>
      </c>
      <c r="Z23" s="104">
        <v>3.591E-3</v>
      </c>
    </row>
    <row r="24" spans="1:26" ht="13.5" customHeight="1">
      <c r="A24" s="102">
        <v>526</v>
      </c>
      <c r="B24" s="102">
        <v>526</v>
      </c>
      <c r="C24" s="102" t="s">
        <v>1370</v>
      </c>
      <c r="D24" s="102"/>
      <c r="E24" s="102"/>
      <c r="F24" s="102" t="s">
        <v>1397</v>
      </c>
      <c r="G24" s="102">
        <v>62020123</v>
      </c>
      <c r="H24" s="102" t="s">
        <v>311</v>
      </c>
      <c r="I24" s="102" t="s">
        <v>1022</v>
      </c>
      <c r="J24" s="102"/>
      <c r="K24" s="102" t="s">
        <v>203</v>
      </c>
      <c r="L24" s="102"/>
      <c r="M24" s="102"/>
      <c r="N24" s="102" t="s">
        <v>223</v>
      </c>
      <c r="O24" s="102" t="s">
        <v>336</v>
      </c>
      <c r="P24" s="108">
        <v>45985</v>
      </c>
      <c r="Q24" s="102" t="s">
        <v>1241</v>
      </c>
      <c r="R24" s="102" t="s">
        <v>889</v>
      </c>
      <c r="S24" s="102" t="s">
        <v>893</v>
      </c>
      <c r="T24" s="108">
        <v>46203</v>
      </c>
      <c r="U24" s="105">
        <v>2.9780000000000002</v>
      </c>
      <c r="V24" s="103">
        <v>248.32741999999999</v>
      </c>
      <c r="W24" s="105">
        <v>739.51904999999999</v>
      </c>
      <c r="X24" s="104">
        <v>9.8999999999999994E-5</v>
      </c>
      <c r="Y24" s="104">
        <v>1.5748000000000002E-2</v>
      </c>
      <c r="Z24" s="104">
        <v>7.5600000000000005E-4</v>
      </c>
    </row>
    <row r="25" spans="1:26" ht="13.5" customHeight="1">
      <c r="A25" s="102">
        <v>526</v>
      </c>
      <c r="B25" s="102">
        <v>526</v>
      </c>
      <c r="C25" s="102" t="s">
        <v>1370</v>
      </c>
      <c r="D25" s="102"/>
      <c r="E25" s="102"/>
      <c r="F25" s="102" t="s">
        <v>1398</v>
      </c>
      <c r="G25" s="102">
        <v>62021038</v>
      </c>
      <c r="H25" s="102" t="s">
        <v>311</v>
      </c>
      <c r="I25" s="102" t="s">
        <v>1022</v>
      </c>
      <c r="J25" s="102"/>
      <c r="K25" s="102" t="s">
        <v>203</v>
      </c>
      <c r="L25" s="102"/>
      <c r="M25" s="102"/>
      <c r="N25" s="102" t="s">
        <v>295</v>
      </c>
      <c r="O25" s="102" t="s">
        <v>336</v>
      </c>
      <c r="P25" s="108">
        <v>45484</v>
      </c>
      <c r="Q25" s="102" t="s">
        <v>1241</v>
      </c>
      <c r="R25" s="102" t="s">
        <v>889</v>
      </c>
      <c r="S25" s="102" t="s">
        <v>893</v>
      </c>
      <c r="T25" s="108">
        <v>46203</v>
      </c>
      <c r="U25" s="105">
        <v>2.9780000000000002</v>
      </c>
      <c r="V25" s="103">
        <v>1316.81691</v>
      </c>
      <c r="W25" s="105">
        <v>3921.4807599999999</v>
      </c>
      <c r="X25" s="104">
        <v>4.3800000000000002E-4</v>
      </c>
      <c r="Y25" s="104">
        <v>8.3506999999999998E-2</v>
      </c>
      <c r="Z25" s="104">
        <v>4.0099999999999997E-3</v>
      </c>
    </row>
    <row r="26" spans="1:26" ht="13.5" customHeight="1">
      <c r="A26" s="102">
        <v>526</v>
      </c>
      <c r="B26" s="102">
        <v>526</v>
      </c>
      <c r="C26" s="102" t="s">
        <v>1399</v>
      </c>
      <c r="D26" s="102"/>
      <c r="E26" s="102"/>
      <c r="F26" s="102" t="s">
        <v>1400</v>
      </c>
      <c r="G26" s="102">
        <v>62022276</v>
      </c>
      <c r="H26" s="102" t="s">
        <v>311</v>
      </c>
      <c r="I26" s="102" t="s">
        <v>1026</v>
      </c>
      <c r="J26" s="102"/>
      <c r="K26" s="102" t="s">
        <v>203</v>
      </c>
      <c r="L26" s="102"/>
      <c r="M26" s="102"/>
      <c r="N26" s="102" t="s">
        <v>223</v>
      </c>
      <c r="O26" s="102" t="s">
        <v>336</v>
      </c>
      <c r="P26" s="108">
        <v>46155</v>
      </c>
      <c r="Q26" s="102" t="s">
        <v>1241</v>
      </c>
      <c r="R26" s="102" t="s">
        <v>889</v>
      </c>
      <c r="S26" s="102" t="s">
        <v>893</v>
      </c>
      <c r="T26" s="108">
        <v>46203</v>
      </c>
      <c r="U26" s="105">
        <v>2.9780000000000002</v>
      </c>
      <c r="V26" s="103">
        <v>285</v>
      </c>
      <c r="W26" s="105">
        <v>848.73</v>
      </c>
      <c r="X26" s="104">
        <v>5.7000000000000003E-5</v>
      </c>
      <c r="Y26" s="104">
        <v>1.8072999999999999E-2</v>
      </c>
      <c r="Z26" s="104">
        <v>8.6799999999999996E-4</v>
      </c>
    </row>
    <row r="27" spans="1:26" ht="13.5" customHeight="1">
      <c r="A27" s="102">
        <v>526</v>
      </c>
      <c r="B27" s="102">
        <v>526</v>
      </c>
      <c r="C27" s="102" t="s">
        <v>1401</v>
      </c>
      <c r="D27" s="102"/>
      <c r="E27" s="102"/>
      <c r="F27" s="102" t="s">
        <v>1402</v>
      </c>
      <c r="G27" s="102">
        <v>62021525</v>
      </c>
      <c r="H27" s="102" t="s">
        <v>311</v>
      </c>
      <c r="I27" s="102" t="s">
        <v>1025</v>
      </c>
      <c r="J27" s="102"/>
      <c r="K27" s="102" t="s">
        <v>203</v>
      </c>
      <c r="L27" s="102"/>
      <c r="M27" s="102"/>
      <c r="N27" s="102" t="s">
        <v>223</v>
      </c>
      <c r="O27" s="102" t="s">
        <v>336</v>
      </c>
      <c r="P27" s="108">
        <v>45904</v>
      </c>
      <c r="Q27" s="102" t="s">
        <v>1241</v>
      </c>
      <c r="R27" s="102" t="s">
        <v>889</v>
      </c>
      <c r="S27" s="102" t="s">
        <v>893</v>
      </c>
      <c r="T27" s="108">
        <v>46203</v>
      </c>
      <c r="U27" s="105">
        <v>2.9780000000000002</v>
      </c>
      <c r="V27" s="103">
        <v>15.55598</v>
      </c>
      <c r="W27" s="105">
        <v>46.325699999999998</v>
      </c>
      <c r="X27" s="104">
        <v>1.5E-5</v>
      </c>
      <c r="Y27" s="104">
        <v>9.859999999999999E-4</v>
      </c>
      <c r="Z27" s="104">
        <v>4.6999999999999997E-5</v>
      </c>
    </row>
    <row r="28" spans="1:26" ht="13.5" customHeight="1">
      <c r="A28" s="102">
        <v>526</v>
      </c>
      <c r="B28" s="102">
        <v>526</v>
      </c>
      <c r="C28" s="102" t="s">
        <v>1403</v>
      </c>
      <c r="D28" s="102"/>
      <c r="E28" s="102"/>
      <c r="F28" s="102" t="s">
        <v>1404</v>
      </c>
      <c r="G28" s="102">
        <v>62017790</v>
      </c>
      <c r="H28" s="102" t="s">
        <v>311</v>
      </c>
      <c r="I28" s="102" t="s">
        <v>1027</v>
      </c>
      <c r="J28" s="102"/>
      <c r="K28" s="102" t="s">
        <v>203</v>
      </c>
      <c r="L28" s="102"/>
      <c r="M28" s="102"/>
      <c r="N28" s="102" t="s">
        <v>223</v>
      </c>
      <c r="O28" s="102" t="s">
        <v>336</v>
      </c>
      <c r="P28" s="108">
        <v>45645</v>
      </c>
      <c r="Q28" s="102" t="s">
        <v>1241</v>
      </c>
      <c r="R28" s="102" t="s">
        <v>889</v>
      </c>
      <c r="S28" s="102" t="s">
        <v>893</v>
      </c>
      <c r="T28" s="108">
        <v>46203</v>
      </c>
      <c r="U28" s="105">
        <v>2.9780000000000002</v>
      </c>
      <c r="V28" s="103">
        <v>103.63279</v>
      </c>
      <c r="W28" s="105">
        <v>308.61844000000002</v>
      </c>
      <c r="X28" s="104">
        <v>2.9599999999999998E-4</v>
      </c>
      <c r="Y28" s="104">
        <v>6.5719999999999997E-3</v>
      </c>
      <c r="Z28" s="104">
        <v>3.1500000000000001E-4</v>
      </c>
    </row>
    <row r="29" spans="1:26" ht="13.5" customHeight="1">
      <c r="A29" s="102">
        <v>526</v>
      </c>
      <c r="B29" s="102">
        <v>526</v>
      </c>
      <c r="C29" s="102" t="s">
        <v>1405</v>
      </c>
      <c r="D29" s="102"/>
      <c r="E29" s="102"/>
      <c r="F29" s="102" t="s">
        <v>1406</v>
      </c>
      <c r="G29" s="102">
        <v>62022249</v>
      </c>
      <c r="H29" s="102" t="s">
        <v>311</v>
      </c>
      <c r="I29" s="102" t="s">
        <v>1022</v>
      </c>
      <c r="J29" s="102"/>
      <c r="K29" s="102" t="s">
        <v>203</v>
      </c>
      <c r="L29" s="102"/>
      <c r="M29" s="102"/>
      <c r="N29" s="102" t="s">
        <v>295</v>
      </c>
      <c r="O29" s="102" t="s">
        <v>336</v>
      </c>
      <c r="P29" s="108">
        <v>45708</v>
      </c>
      <c r="Q29" s="102" t="s">
        <v>1241</v>
      </c>
      <c r="R29" s="102" t="s">
        <v>889</v>
      </c>
      <c r="S29" s="102" t="s">
        <v>893</v>
      </c>
      <c r="T29" s="108">
        <v>46203</v>
      </c>
      <c r="U29" s="105">
        <v>2.9780000000000002</v>
      </c>
      <c r="V29" s="103">
        <v>210.98732999999999</v>
      </c>
      <c r="W29" s="105">
        <v>628.32028000000003</v>
      </c>
      <c r="X29" s="104">
        <v>9.2999999999999997E-5</v>
      </c>
      <c r="Y29" s="104">
        <v>1.338E-2</v>
      </c>
      <c r="Z29" s="104">
        <v>6.4199999999999999E-4</v>
      </c>
    </row>
    <row r="30" spans="1:26" ht="13.5" customHeight="1">
      <c r="A30" s="102">
        <v>526</v>
      </c>
      <c r="B30" s="102">
        <v>526</v>
      </c>
      <c r="C30" s="102" t="s">
        <v>1407</v>
      </c>
      <c r="D30" s="102"/>
      <c r="E30" s="102"/>
      <c r="F30" s="102" t="s">
        <v>1408</v>
      </c>
      <c r="G30" s="102">
        <v>62021613</v>
      </c>
      <c r="H30" s="102" t="s">
        <v>311</v>
      </c>
      <c r="I30" s="102" t="s">
        <v>1023</v>
      </c>
      <c r="J30" s="102"/>
      <c r="K30" s="102" t="s">
        <v>203</v>
      </c>
      <c r="L30" s="102"/>
      <c r="M30" s="102"/>
      <c r="N30" s="102" t="s">
        <v>295</v>
      </c>
      <c r="O30" s="102" t="s">
        <v>336</v>
      </c>
      <c r="P30" s="108">
        <v>45260</v>
      </c>
      <c r="Q30" s="102" t="s">
        <v>1236</v>
      </c>
      <c r="R30" s="102" t="s">
        <v>889</v>
      </c>
      <c r="S30" s="102" t="s">
        <v>893</v>
      </c>
      <c r="T30" s="108">
        <v>46203</v>
      </c>
      <c r="U30" s="105">
        <v>3.3944999999999999</v>
      </c>
      <c r="V30" s="103">
        <v>235.73187999999999</v>
      </c>
      <c r="W30" s="105">
        <v>800.19187999999997</v>
      </c>
      <c r="X30" s="104">
        <v>1.4E-5</v>
      </c>
      <c r="Y30" s="104">
        <v>1.704E-2</v>
      </c>
      <c r="Z30" s="104">
        <v>8.1800000000000004E-4</v>
      </c>
    </row>
    <row r="31" spans="1:26" ht="13.5" customHeight="1">
      <c r="A31" s="102">
        <v>526</v>
      </c>
      <c r="B31" s="102">
        <v>526</v>
      </c>
      <c r="C31" s="102" t="s">
        <v>1409</v>
      </c>
      <c r="D31" s="102"/>
      <c r="E31" s="102"/>
      <c r="F31" s="102" t="s">
        <v>1409</v>
      </c>
      <c r="G31" s="102">
        <v>62021209</v>
      </c>
      <c r="H31" s="102" t="s">
        <v>311</v>
      </c>
      <c r="I31" s="102" t="s">
        <v>1022</v>
      </c>
      <c r="J31" s="102"/>
      <c r="K31" s="102" t="s">
        <v>203</v>
      </c>
      <c r="L31" s="102"/>
      <c r="M31" s="102"/>
      <c r="N31" s="102" t="s">
        <v>223</v>
      </c>
      <c r="O31" s="102" t="s">
        <v>336</v>
      </c>
      <c r="P31" s="108">
        <v>45021</v>
      </c>
      <c r="Q31" s="102" t="s">
        <v>1241</v>
      </c>
      <c r="R31" s="102" t="s">
        <v>889</v>
      </c>
      <c r="S31" s="102" t="s">
        <v>893</v>
      </c>
      <c r="T31" s="108">
        <v>46203</v>
      </c>
      <c r="U31" s="105">
        <v>2.9780000000000002</v>
      </c>
      <c r="V31" s="103">
        <v>84.980149999999995</v>
      </c>
      <c r="W31" s="105">
        <v>253.07087999999999</v>
      </c>
      <c r="X31" s="104">
        <v>3.9999999999999998E-6</v>
      </c>
      <c r="Y31" s="104">
        <v>5.3889999999999997E-3</v>
      </c>
      <c r="Z31" s="104">
        <v>2.5799999999999998E-4</v>
      </c>
    </row>
    <row r="32" spans="1:26" ht="13.5" customHeight="1">
      <c r="A32" s="102">
        <v>526</v>
      </c>
      <c r="B32" s="102">
        <v>526</v>
      </c>
      <c r="C32" s="102" t="s">
        <v>1410</v>
      </c>
      <c r="D32" s="102"/>
      <c r="E32" s="102"/>
      <c r="F32" s="102" t="s">
        <v>1411</v>
      </c>
      <c r="G32" s="102">
        <v>62021472</v>
      </c>
      <c r="H32" s="102" t="s">
        <v>311</v>
      </c>
      <c r="I32" s="102" t="s">
        <v>1023</v>
      </c>
      <c r="J32" s="102"/>
      <c r="K32" s="102" t="s">
        <v>203</v>
      </c>
      <c r="L32" s="102"/>
      <c r="M32" s="102"/>
      <c r="N32" s="102" t="s">
        <v>223</v>
      </c>
      <c r="O32" s="102" t="s">
        <v>336</v>
      </c>
      <c r="P32" s="108">
        <v>45331</v>
      </c>
      <c r="Q32" s="102" t="s">
        <v>1241</v>
      </c>
      <c r="R32" s="102" t="s">
        <v>889</v>
      </c>
      <c r="S32" s="102" t="s">
        <v>893</v>
      </c>
      <c r="T32" s="108">
        <v>46203</v>
      </c>
      <c r="U32" s="105">
        <v>2.9780000000000002</v>
      </c>
      <c r="V32" s="103">
        <v>912.04390999999998</v>
      </c>
      <c r="W32" s="105">
        <v>2716.0667800000001</v>
      </c>
      <c r="X32" s="104">
        <v>1.21E-4</v>
      </c>
      <c r="Y32" s="104">
        <v>5.7838000000000001E-2</v>
      </c>
      <c r="Z32" s="104">
        <v>2.777E-3</v>
      </c>
    </row>
    <row r="33" spans="1:26" ht="13.5" customHeight="1">
      <c r="A33" s="102">
        <v>526</v>
      </c>
      <c r="B33" s="102">
        <v>526</v>
      </c>
      <c r="C33" s="102" t="s">
        <v>1386</v>
      </c>
      <c r="D33" s="102"/>
      <c r="E33" s="102"/>
      <c r="F33" s="102" t="s">
        <v>1412</v>
      </c>
      <c r="G33" s="102">
        <v>62012080</v>
      </c>
      <c r="H33" s="102" t="s">
        <v>311</v>
      </c>
      <c r="I33" s="102" t="s">
        <v>1026</v>
      </c>
      <c r="J33" s="102"/>
      <c r="K33" s="102" t="s">
        <v>203</v>
      </c>
      <c r="L33" s="102"/>
      <c r="M33" s="102"/>
      <c r="N33" s="102" t="s">
        <v>281</v>
      </c>
      <c r="O33" s="102" t="s">
        <v>336</v>
      </c>
      <c r="P33" s="108">
        <v>46090</v>
      </c>
      <c r="Q33" s="102" t="s">
        <v>1240</v>
      </c>
      <c r="R33" s="102" t="s">
        <v>889</v>
      </c>
      <c r="S33" s="102" t="s">
        <v>893</v>
      </c>
      <c r="T33" s="108">
        <v>46203</v>
      </c>
      <c r="U33" s="105">
        <v>2.0916999999999999</v>
      </c>
      <c r="V33" s="103">
        <v>56</v>
      </c>
      <c r="W33" s="105">
        <v>117.1352</v>
      </c>
      <c r="X33" s="104">
        <v>4.3999999999999999E-5</v>
      </c>
      <c r="Y33" s="104">
        <v>2.4940000000000001E-3</v>
      </c>
      <c r="Z33" s="104">
        <v>1.1900000000000001E-4</v>
      </c>
    </row>
    <row r="34" spans="1:26" ht="13.5" customHeight="1">
      <c r="A34" s="102">
        <v>526</v>
      </c>
      <c r="B34" s="102">
        <v>526</v>
      </c>
      <c r="C34" s="102" t="s">
        <v>1410</v>
      </c>
      <c r="D34" s="102"/>
      <c r="E34" s="102"/>
      <c r="F34" s="102" t="s">
        <v>1413</v>
      </c>
      <c r="G34" s="102">
        <v>62021597</v>
      </c>
      <c r="H34" s="102" t="s">
        <v>311</v>
      </c>
      <c r="I34" s="102" t="s">
        <v>1023</v>
      </c>
      <c r="J34" s="102"/>
      <c r="K34" s="102" t="s">
        <v>203</v>
      </c>
      <c r="L34" s="102"/>
      <c r="M34" s="102"/>
      <c r="N34" s="102" t="s">
        <v>292</v>
      </c>
      <c r="O34" s="102" t="s">
        <v>336</v>
      </c>
      <c r="P34" s="108">
        <v>45092</v>
      </c>
      <c r="Q34" s="102" t="s">
        <v>1236</v>
      </c>
      <c r="R34" s="102" t="s">
        <v>889</v>
      </c>
      <c r="S34" s="102" t="s">
        <v>893</v>
      </c>
      <c r="T34" s="108">
        <v>46203</v>
      </c>
      <c r="U34" s="105">
        <v>3.3944999999999999</v>
      </c>
      <c r="V34" s="103">
        <v>380.65501</v>
      </c>
      <c r="W34" s="105">
        <v>1292.1334199999999</v>
      </c>
      <c r="X34" s="104">
        <v>3.8000000000000002E-4</v>
      </c>
      <c r="Y34" s="104">
        <v>2.7515000000000001E-2</v>
      </c>
      <c r="Z34" s="104">
        <v>1.3209999999999999E-3</v>
      </c>
    </row>
    <row r="35" spans="1:26" ht="13.5" customHeight="1">
      <c r="A35" s="102">
        <v>526</v>
      </c>
      <c r="B35" s="102">
        <v>526</v>
      </c>
      <c r="C35" s="102" t="s">
        <v>1414</v>
      </c>
      <c r="D35" s="102"/>
      <c r="E35" s="102"/>
      <c r="F35" s="102" t="s">
        <v>1415</v>
      </c>
      <c r="G35" s="102">
        <v>62022260</v>
      </c>
      <c r="H35" s="102" t="s">
        <v>311</v>
      </c>
      <c r="I35" s="102" t="s">
        <v>1022</v>
      </c>
      <c r="J35" s="102"/>
      <c r="K35" s="102" t="s">
        <v>203</v>
      </c>
      <c r="L35" s="102"/>
      <c r="M35" s="102"/>
      <c r="N35" s="102" t="s">
        <v>223</v>
      </c>
      <c r="O35" s="102" t="s">
        <v>336</v>
      </c>
      <c r="P35" s="108">
        <v>45973</v>
      </c>
      <c r="Q35" s="102" t="s">
        <v>1241</v>
      </c>
      <c r="R35" s="102" t="s">
        <v>889</v>
      </c>
      <c r="S35" s="102" t="s">
        <v>893</v>
      </c>
      <c r="T35" s="108">
        <v>46203</v>
      </c>
      <c r="U35" s="105">
        <v>2.9780000000000002</v>
      </c>
      <c r="V35" s="103">
        <v>5.08</v>
      </c>
      <c r="W35" s="105">
        <v>15.12824</v>
      </c>
      <c r="X35" s="104">
        <v>9.9999999999999995E-7</v>
      </c>
      <c r="Y35" s="104">
        <v>3.2200000000000002E-4</v>
      </c>
      <c r="Z35" s="104">
        <v>1.5E-5</v>
      </c>
    </row>
    <row r="36" spans="1:26" ht="13.5" customHeight="1">
      <c r="A36" s="102">
        <v>526</v>
      </c>
      <c r="B36" s="102">
        <v>526</v>
      </c>
      <c r="C36" s="102" t="s">
        <v>1416</v>
      </c>
      <c r="D36" s="102"/>
      <c r="E36" s="102"/>
      <c r="F36" s="102" t="s">
        <v>1417</v>
      </c>
      <c r="G36" s="102">
        <v>62021837</v>
      </c>
      <c r="H36" s="102" t="s">
        <v>311</v>
      </c>
      <c r="I36" s="102" t="s">
        <v>1022</v>
      </c>
      <c r="J36" s="102"/>
      <c r="K36" s="102" t="s">
        <v>203</v>
      </c>
      <c r="L36" s="102"/>
      <c r="M36" s="102"/>
      <c r="N36" s="102" t="s">
        <v>295</v>
      </c>
      <c r="O36" s="102" t="s">
        <v>336</v>
      </c>
      <c r="P36" s="108">
        <v>45485</v>
      </c>
      <c r="Q36" s="102" t="s">
        <v>1241</v>
      </c>
      <c r="R36" s="102" t="s">
        <v>889</v>
      </c>
      <c r="S36" s="102" t="s">
        <v>893</v>
      </c>
      <c r="T36" s="108">
        <v>46203</v>
      </c>
      <c r="U36" s="105">
        <v>2.9780000000000002</v>
      </c>
      <c r="V36" s="103">
        <v>104.36001</v>
      </c>
      <c r="W36" s="105">
        <v>310.78410000000002</v>
      </c>
      <c r="X36" s="104">
        <v>1.2999999999999999E-5</v>
      </c>
      <c r="Y36" s="104">
        <v>6.6179999999999998E-3</v>
      </c>
      <c r="Z36" s="104">
        <v>3.1700000000000001E-4</v>
      </c>
    </row>
    <row r="37" spans="1:26" ht="13.5" customHeight="1">
      <c r="A37" s="102">
        <v>526</v>
      </c>
      <c r="B37" s="102">
        <v>526</v>
      </c>
      <c r="C37" s="102" t="s">
        <v>1418</v>
      </c>
      <c r="D37" s="102"/>
      <c r="E37" s="102"/>
      <c r="F37" s="102" t="s">
        <v>1419</v>
      </c>
      <c r="G37" s="102">
        <v>62021741</v>
      </c>
      <c r="H37" s="102" t="s">
        <v>311</v>
      </c>
      <c r="I37" s="102" t="s">
        <v>1023</v>
      </c>
      <c r="J37" s="102"/>
      <c r="K37" s="102" t="s">
        <v>203</v>
      </c>
      <c r="L37" s="102"/>
      <c r="M37" s="102"/>
      <c r="N37" s="102" t="s">
        <v>223</v>
      </c>
      <c r="O37" s="102" t="s">
        <v>336</v>
      </c>
      <c r="P37" s="108">
        <v>45615</v>
      </c>
      <c r="Q37" s="102" t="s">
        <v>1241</v>
      </c>
      <c r="R37" s="102" t="s">
        <v>889</v>
      </c>
      <c r="S37" s="102" t="s">
        <v>893</v>
      </c>
      <c r="T37" s="108">
        <v>46203</v>
      </c>
      <c r="U37" s="105">
        <v>2.9780000000000002</v>
      </c>
      <c r="V37" s="103">
        <v>382.90850999999998</v>
      </c>
      <c r="W37" s="105">
        <v>1140.3015399999999</v>
      </c>
      <c r="X37" s="104">
        <v>4.6999999999999997E-5</v>
      </c>
      <c r="Y37" s="104">
        <v>2.4282000000000001E-2</v>
      </c>
      <c r="Z37" s="104">
        <v>1.1659999999999999E-3</v>
      </c>
    </row>
    <row r="38" spans="1:26" ht="13.5" customHeight="1">
      <c r="A38" s="102">
        <v>526</v>
      </c>
      <c r="B38" s="102">
        <v>526</v>
      </c>
      <c r="C38" s="102" t="s">
        <v>1420</v>
      </c>
      <c r="D38" s="102"/>
      <c r="E38" s="102"/>
      <c r="F38" s="102" t="s">
        <v>1420</v>
      </c>
      <c r="G38" s="102">
        <v>62021214</v>
      </c>
      <c r="H38" s="102" t="s">
        <v>311</v>
      </c>
      <c r="I38" s="102" t="s">
        <v>1022</v>
      </c>
      <c r="J38" s="102"/>
      <c r="K38" s="102" t="s">
        <v>203</v>
      </c>
      <c r="L38" s="102"/>
      <c r="M38" s="102"/>
      <c r="N38" s="102" t="s">
        <v>223</v>
      </c>
      <c r="O38" s="102" t="s">
        <v>336</v>
      </c>
      <c r="P38" s="108">
        <v>45560</v>
      </c>
      <c r="Q38" s="102" t="s">
        <v>1241</v>
      </c>
      <c r="R38" s="102" t="s">
        <v>889</v>
      </c>
      <c r="S38" s="102" t="s">
        <v>893</v>
      </c>
      <c r="T38" s="108">
        <v>46203</v>
      </c>
      <c r="U38" s="105">
        <v>2.9780000000000002</v>
      </c>
      <c r="V38" s="103">
        <v>406.59904999999998</v>
      </c>
      <c r="W38" s="105">
        <v>1210.8519799999999</v>
      </c>
      <c r="X38" s="104">
        <v>1.9000000000000001E-5</v>
      </c>
      <c r="Y38" s="104">
        <v>2.5784999999999999E-2</v>
      </c>
      <c r="Z38" s="104">
        <v>1.238E-3</v>
      </c>
    </row>
    <row r="39" spans="1:26" ht="13.5" customHeight="1">
      <c r="A39" s="102">
        <v>526</v>
      </c>
      <c r="B39" s="102">
        <v>526</v>
      </c>
      <c r="C39" s="102" t="s">
        <v>1421</v>
      </c>
      <c r="D39" s="102"/>
      <c r="E39" s="102"/>
      <c r="F39" s="102" t="s">
        <v>1422</v>
      </c>
      <c r="G39" s="102">
        <v>62021738</v>
      </c>
      <c r="H39" s="102" t="s">
        <v>311</v>
      </c>
      <c r="I39" s="102" t="s">
        <v>1023</v>
      </c>
      <c r="J39" s="102"/>
      <c r="K39" s="102" t="s">
        <v>203</v>
      </c>
      <c r="L39" s="102"/>
      <c r="M39" s="102"/>
      <c r="N39" s="102" t="s">
        <v>223</v>
      </c>
      <c r="O39" s="102" t="s">
        <v>336</v>
      </c>
      <c r="P39" s="108">
        <v>45505</v>
      </c>
      <c r="Q39" s="102" t="s">
        <v>1241</v>
      </c>
      <c r="R39" s="102" t="s">
        <v>889</v>
      </c>
      <c r="S39" s="102" t="s">
        <v>893</v>
      </c>
      <c r="T39" s="108">
        <v>46203</v>
      </c>
      <c r="U39" s="105">
        <v>2.9780000000000002</v>
      </c>
      <c r="V39" s="103">
        <v>394.24421999999998</v>
      </c>
      <c r="W39" s="105">
        <v>1174.0592899999999</v>
      </c>
      <c r="X39" s="104">
        <v>3.4999999999999997E-5</v>
      </c>
      <c r="Y39" s="104">
        <v>2.5000999999999999E-2</v>
      </c>
      <c r="Z39" s="104">
        <v>1.1999999999999999E-3</v>
      </c>
    </row>
    <row r="40" spans="1:26" ht="13.5" customHeight="1">
      <c r="A40" s="102">
        <v>526</v>
      </c>
      <c r="B40" s="102">
        <v>526</v>
      </c>
      <c r="C40" s="102" t="s">
        <v>1423</v>
      </c>
      <c r="D40" s="102"/>
      <c r="E40" s="102"/>
      <c r="F40" s="102" t="s">
        <v>1424</v>
      </c>
      <c r="G40" s="102">
        <v>62019711</v>
      </c>
      <c r="H40" s="102" t="s">
        <v>311</v>
      </c>
      <c r="I40" s="102" t="s">
        <v>1022</v>
      </c>
      <c r="J40" s="102"/>
      <c r="K40" s="102" t="s">
        <v>203</v>
      </c>
      <c r="L40" s="102"/>
      <c r="M40" s="102"/>
      <c r="N40" s="102" t="s">
        <v>223</v>
      </c>
      <c r="O40" s="102" t="s">
        <v>336</v>
      </c>
      <c r="P40" s="108">
        <v>45667</v>
      </c>
      <c r="Q40" s="102" t="s">
        <v>1241</v>
      </c>
      <c r="R40" s="102" t="s">
        <v>889</v>
      </c>
      <c r="S40" s="102" t="s">
        <v>893</v>
      </c>
      <c r="T40" s="108">
        <v>46203</v>
      </c>
      <c r="U40" s="105">
        <v>2.9780000000000002</v>
      </c>
      <c r="V40" s="103">
        <v>98.430989999999994</v>
      </c>
      <c r="W40" s="105">
        <v>293.12749000000002</v>
      </c>
      <c r="X40" s="104">
        <v>3.9999999999999998E-6</v>
      </c>
      <c r="Y40" s="104">
        <v>6.2420000000000002E-3</v>
      </c>
      <c r="Z40" s="104">
        <v>2.99E-4</v>
      </c>
    </row>
    <row r="41" spans="1:26" ht="13.5" customHeight="1">
      <c r="A41" s="102">
        <v>526</v>
      </c>
      <c r="B41" s="102">
        <v>526</v>
      </c>
      <c r="C41" s="102" t="s">
        <v>1358</v>
      </c>
      <c r="D41" s="102"/>
      <c r="E41" s="102"/>
      <c r="F41" s="102" t="s">
        <v>1425</v>
      </c>
      <c r="G41" s="102">
        <v>62021274</v>
      </c>
      <c r="H41" s="102" t="s">
        <v>311</v>
      </c>
      <c r="I41" s="102" t="s">
        <v>1022</v>
      </c>
      <c r="J41" s="102"/>
      <c r="K41" s="102" t="s">
        <v>203</v>
      </c>
      <c r="L41" s="102"/>
      <c r="M41" s="102"/>
      <c r="N41" s="102" t="s">
        <v>292</v>
      </c>
      <c r="O41" s="102" t="s">
        <v>336</v>
      </c>
      <c r="P41" s="108">
        <v>45505</v>
      </c>
      <c r="Q41" s="102" t="s">
        <v>1236</v>
      </c>
      <c r="R41" s="102" t="s">
        <v>889</v>
      </c>
      <c r="S41" s="102" t="s">
        <v>893</v>
      </c>
      <c r="T41" s="108">
        <v>46203</v>
      </c>
      <c r="U41" s="105">
        <v>3.3944999999999999</v>
      </c>
      <c r="V41" s="103">
        <v>319.82954999999998</v>
      </c>
      <c r="W41" s="105">
        <v>1085.6614099999999</v>
      </c>
      <c r="X41" s="104">
        <v>3.0000000000000001E-6</v>
      </c>
      <c r="Y41" s="104">
        <v>2.3119000000000001E-2</v>
      </c>
      <c r="Z41" s="104">
        <v>1.1100000000000001E-3</v>
      </c>
    </row>
    <row r="42" spans="1:26" ht="13.5" customHeight="1">
      <c r="A42" s="102">
        <v>526</v>
      </c>
      <c r="B42" s="102">
        <v>526</v>
      </c>
      <c r="C42" s="102" t="s">
        <v>1426</v>
      </c>
      <c r="D42" s="102"/>
      <c r="E42" s="102"/>
      <c r="F42" s="102" t="s">
        <v>1427</v>
      </c>
      <c r="G42" s="102">
        <v>62021464</v>
      </c>
      <c r="H42" s="102" t="s">
        <v>311</v>
      </c>
      <c r="I42" s="102" t="s">
        <v>1022</v>
      </c>
      <c r="J42" s="102"/>
      <c r="K42" s="102" t="s">
        <v>203</v>
      </c>
      <c r="L42" s="102"/>
      <c r="M42" s="102"/>
      <c r="N42" s="102" t="s">
        <v>292</v>
      </c>
      <c r="O42" s="102" t="s">
        <v>336</v>
      </c>
      <c r="P42" s="108">
        <v>45238</v>
      </c>
      <c r="Q42" s="102" t="s">
        <v>1236</v>
      </c>
      <c r="R42" s="102" t="s">
        <v>889</v>
      </c>
      <c r="S42" s="102" t="s">
        <v>893</v>
      </c>
      <c r="T42" s="108">
        <v>46203</v>
      </c>
      <c r="U42" s="105">
        <v>3.3944999999999999</v>
      </c>
      <c r="V42" s="103">
        <v>764.10307999999998</v>
      </c>
      <c r="W42" s="105">
        <v>2593.74791</v>
      </c>
      <c r="X42" s="104">
        <v>3.0000000000000001E-6</v>
      </c>
      <c r="Y42" s="104">
        <v>5.5232999999999997E-2</v>
      </c>
      <c r="Z42" s="104">
        <v>2.6519999999999998E-3</v>
      </c>
    </row>
    <row r="43" spans="1:26" ht="13.5" customHeight="1">
      <c r="A43" s="102">
        <v>526</v>
      </c>
      <c r="B43" s="102">
        <v>526</v>
      </c>
      <c r="C43" s="102" t="s">
        <v>1384</v>
      </c>
      <c r="D43" s="102"/>
      <c r="E43" s="102"/>
      <c r="F43" s="102" t="s">
        <v>1428</v>
      </c>
      <c r="G43" s="102">
        <v>62021108</v>
      </c>
      <c r="H43" s="102" t="s">
        <v>311</v>
      </c>
      <c r="I43" s="102" t="s">
        <v>1022</v>
      </c>
      <c r="J43" s="102"/>
      <c r="K43" s="102" t="s">
        <v>203</v>
      </c>
      <c r="L43" s="102"/>
      <c r="M43" s="102"/>
      <c r="N43" s="102" t="s">
        <v>223</v>
      </c>
      <c r="O43" s="102" t="s">
        <v>336</v>
      </c>
      <c r="P43" s="108">
        <v>46013</v>
      </c>
      <c r="Q43" s="102" t="s">
        <v>1241</v>
      </c>
      <c r="R43" s="102" t="s">
        <v>889</v>
      </c>
      <c r="S43" s="102" t="s">
        <v>893</v>
      </c>
      <c r="T43" s="108">
        <v>46203</v>
      </c>
      <c r="U43" s="105">
        <v>2.9780000000000002</v>
      </c>
      <c r="V43" s="103">
        <v>210.84128999999999</v>
      </c>
      <c r="W43" s="105">
        <v>627.88535999999999</v>
      </c>
      <c r="X43" s="104">
        <v>0</v>
      </c>
      <c r="Y43" s="104">
        <v>1.337E-2</v>
      </c>
      <c r="Z43" s="104">
        <v>6.4199999999999999E-4</v>
      </c>
    </row>
    <row r="44" spans="1:26" ht="13.5" customHeight="1">
      <c r="A44" s="102">
        <v>526</v>
      </c>
      <c r="B44" s="102">
        <v>526</v>
      </c>
      <c r="C44" s="102" t="s">
        <v>1429</v>
      </c>
      <c r="D44" s="102"/>
      <c r="E44" s="102"/>
      <c r="F44" s="102" t="s">
        <v>1430</v>
      </c>
      <c r="G44" s="102">
        <v>62021902</v>
      </c>
      <c r="H44" s="102" t="s">
        <v>311</v>
      </c>
      <c r="I44" s="102" t="s">
        <v>1022</v>
      </c>
      <c r="J44" s="102"/>
      <c r="K44" s="102" t="s">
        <v>203</v>
      </c>
      <c r="L44" s="102"/>
      <c r="M44" s="102"/>
      <c r="N44" s="102" t="s">
        <v>223</v>
      </c>
      <c r="O44" s="102" t="s">
        <v>336</v>
      </c>
      <c r="P44" s="108">
        <v>45545</v>
      </c>
      <c r="Q44" s="102" t="s">
        <v>1241</v>
      </c>
      <c r="R44" s="102" t="s">
        <v>889</v>
      </c>
      <c r="S44" s="102" t="s">
        <v>893</v>
      </c>
      <c r="T44" s="108">
        <v>46203</v>
      </c>
      <c r="U44" s="105">
        <v>2.9780000000000002</v>
      </c>
      <c r="V44" s="103">
        <v>366.32688000000002</v>
      </c>
      <c r="W44" s="105">
        <v>1090.92145</v>
      </c>
      <c r="X44" s="104">
        <v>1.3300000000000001E-4</v>
      </c>
      <c r="Y44" s="104">
        <v>2.3231000000000002E-2</v>
      </c>
      <c r="Z44" s="104">
        <v>1.1150000000000001E-3</v>
      </c>
    </row>
    <row r="45" spans="1:26" ht="13.5" customHeight="1">
      <c r="A45" s="102">
        <v>526</v>
      </c>
      <c r="B45" s="102">
        <v>526</v>
      </c>
      <c r="C45" s="102" t="s">
        <v>1431</v>
      </c>
      <c r="D45" s="102"/>
      <c r="E45" s="102"/>
      <c r="F45" s="102" t="s">
        <v>1432</v>
      </c>
      <c r="G45" s="102">
        <v>62021811</v>
      </c>
      <c r="H45" s="102" t="s">
        <v>311</v>
      </c>
      <c r="I45" s="102" t="s">
        <v>1022</v>
      </c>
      <c r="J45" s="102"/>
      <c r="K45" s="102" t="s">
        <v>203</v>
      </c>
      <c r="L45" s="102"/>
      <c r="M45" s="102"/>
      <c r="N45" s="102" t="s">
        <v>223</v>
      </c>
      <c r="O45" s="102" t="s">
        <v>336</v>
      </c>
      <c r="P45" s="108">
        <v>45497</v>
      </c>
      <c r="Q45" s="102" t="s">
        <v>1241</v>
      </c>
      <c r="R45" s="102" t="s">
        <v>889</v>
      </c>
      <c r="S45" s="102" t="s">
        <v>893</v>
      </c>
      <c r="T45" s="108">
        <v>46203</v>
      </c>
      <c r="U45" s="105">
        <v>2.9780000000000002</v>
      </c>
      <c r="V45" s="103">
        <v>144.72953999999999</v>
      </c>
      <c r="W45" s="105">
        <v>431.00457999999998</v>
      </c>
      <c r="X45" s="104">
        <v>1.1E-5</v>
      </c>
      <c r="Y45" s="104">
        <v>9.1780000000000004E-3</v>
      </c>
      <c r="Z45" s="104">
        <v>4.4000000000000002E-4</v>
      </c>
    </row>
    <row r="46" spans="1:26" ht="13.5" customHeight="1">
      <c r="A46" s="102">
        <v>526</v>
      </c>
      <c r="B46" s="102">
        <v>526</v>
      </c>
      <c r="C46" s="102" t="s">
        <v>1433</v>
      </c>
      <c r="D46" s="102"/>
      <c r="E46" s="102"/>
      <c r="F46" s="102" t="s">
        <v>1434</v>
      </c>
      <c r="G46" s="102">
        <v>62021654</v>
      </c>
      <c r="H46" s="102" t="s">
        <v>311</v>
      </c>
      <c r="I46" s="102" t="s">
        <v>1025</v>
      </c>
      <c r="J46" s="102"/>
      <c r="K46" s="102" t="s">
        <v>203</v>
      </c>
      <c r="L46" s="102"/>
      <c r="M46" s="102"/>
      <c r="N46" s="102" t="s">
        <v>223</v>
      </c>
      <c r="O46" s="102" t="s">
        <v>336</v>
      </c>
      <c r="P46" s="108">
        <v>45385</v>
      </c>
      <c r="Q46" s="102" t="s">
        <v>1241</v>
      </c>
      <c r="R46" s="102" t="s">
        <v>889</v>
      </c>
      <c r="S46" s="102" t="s">
        <v>893</v>
      </c>
      <c r="T46" s="108">
        <v>46203</v>
      </c>
      <c r="U46" s="105">
        <v>2.9780000000000002</v>
      </c>
      <c r="V46" s="103">
        <v>555.71812</v>
      </c>
      <c r="W46" s="105">
        <v>1654.92857</v>
      </c>
      <c r="X46" s="104">
        <v>4.44E-4</v>
      </c>
      <c r="Y46" s="104">
        <v>3.5241000000000001E-2</v>
      </c>
      <c r="Z46" s="104">
        <v>1.6919999999999999E-3</v>
      </c>
    </row>
    <row r="47" spans="1:26" ht="13.5" customHeight="1">
      <c r="A47" s="102">
        <v>526</v>
      </c>
      <c r="B47" s="102">
        <v>526</v>
      </c>
      <c r="C47" s="102" t="s">
        <v>1435</v>
      </c>
      <c r="D47" s="102"/>
      <c r="E47" s="102"/>
      <c r="F47" s="102" t="s">
        <v>1436</v>
      </c>
      <c r="G47" s="102">
        <v>62021841</v>
      </c>
      <c r="H47" s="102" t="s">
        <v>311</v>
      </c>
      <c r="I47" s="102" t="s">
        <v>1023</v>
      </c>
      <c r="J47" s="102"/>
      <c r="K47" s="102" t="s">
        <v>203</v>
      </c>
      <c r="L47" s="102"/>
      <c r="M47" s="102"/>
      <c r="N47" s="102" t="s">
        <v>292</v>
      </c>
      <c r="O47" s="102" t="s">
        <v>336</v>
      </c>
      <c r="P47" s="108">
        <v>45844</v>
      </c>
      <c r="Q47" s="102" t="s">
        <v>1236</v>
      </c>
      <c r="R47" s="102" t="s">
        <v>889</v>
      </c>
      <c r="S47" s="102" t="s">
        <v>893</v>
      </c>
      <c r="T47" s="108">
        <v>46203</v>
      </c>
      <c r="U47" s="105">
        <v>3.3944999999999999</v>
      </c>
      <c r="V47" s="103">
        <v>443.05489</v>
      </c>
      <c r="W47" s="105">
        <v>1503.94983</v>
      </c>
      <c r="X47" s="104">
        <v>2.2100000000000001E-4</v>
      </c>
      <c r="Y47" s="104">
        <v>3.2025999999999999E-2</v>
      </c>
      <c r="Z47" s="104">
        <v>1.5380000000000001E-3</v>
      </c>
    </row>
    <row r="48" spans="1:2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9" t="s">
        <v>91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9" t="s">
        <v>104</v>
      </c>
      <c r="U1" s="106" t="s">
        <v>92</v>
      </c>
      <c r="V1" s="106" t="s">
        <v>93</v>
      </c>
      <c r="W1" s="106" t="s">
        <v>76</v>
      </c>
      <c r="X1" s="106" t="s">
        <v>77</v>
      </c>
      <c r="Y1" s="106" t="s">
        <v>62</v>
      </c>
      <c r="Z1" s="106" t="s">
        <v>16</v>
      </c>
      <c r="AA1" s="110" t="s">
        <v>64</v>
      </c>
      <c r="AB1" s="110" t="s">
        <v>65</v>
      </c>
    </row>
    <row r="2" spans="1:28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8"/>
      <c r="Q2" s="102"/>
      <c r="R2" s="102"/>
      <c r="S2" s="102"/>
      <c r="T2" s="108"/>
      <c r="U2" s="105"/>
      <c r="V2" s="105"/>
      <c r="W2" s="105"/>
      <c r="X2" s="105"/>
      <c r="Y2" s="105"/>
      <c r="Z2" s="105"/>
      <c r="AA2" s="104"/>
      <c r="AB2" s="104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9" t="s">
        <v>91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9" t="s">
        <v>104</v>
      </c>
      <c r="U1" s="106" t="s">
        <v>92</v>
      </c>
      <c r="V1" s="106" t="s">
        <v>93</v>
      </c>
      <c r="W1" s="106" t="s">
        <v>76</v>
      </c>
      <c r="X1" s="106" t="s">
        <v>77</v>
      </c>
      <c r="Y1" s="106" t="s">
        <v>62</v>
      </c>
      <c r="Z1" s="106" t="s">
        <v>16</v>
      </c>
      <c r="AA1" s="110" t="s">
        <v>64</v>
      </c>
      <c r="AB1" s="110" t="s">
        <v>65</v>
      </c>
    </row>
    <row r="2" spans="1:28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8"/>
      <c r="Q2" s="102"/>
      <c r="R2" s="102"/>
      <c r="S2" s="102"/>
      <c r="T2" s="108"/>
      <c r="U2" s="105"/>
      <c r="V2" s="105"/>
      <c r="W2" s="105"/>
      <c r="X2" s="105"/>
      <c r="Y2" s="105"/>
      <c r="Z2" s="105"/>
      <c r="AA2" s="104"/>
      <c r="AB2" s="104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5.125" bestFit="1" customWidth="1"/>
    <col min="8" max="8" width="11.5" bestFit="1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7" bestFit="1" customWidth="1"/>
    <col min="14" max="14" width="14.5" bestFit="1" customWidth="1"/>
    <col min="15" max="15" width="10.875" bestFit="1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6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2">
        <v>526</v>
      </c>
      <c r="B2" s="102">
        <v>526</v>
      </c>
      <c r="C2" s="102" t="s">
        <v>1039</v>
      </c>
      <c r="D2" s="102">
        <v>76021632</v>
      </c>
      <c r="E2" s="102" t="s">
        <v>1241</v>
      </c>
      <c r="F2" s="105">
        <v>2.9780000000000002</v>
      </c>
      <c r="G2" s="105">
        <v>-13240000</v>
      </c>
      <c r="H2" s="105">
        <v>-13240</v>
      </c>
      <c r="I2" s="104">
        <v>0.16681365755323169</v>
      </c>
      <c r="J2" s="104">
        <v>-4.032513393868057E-2</v>
      </c>
      <c r="K2" s="102">
        <v>760216320</v>
      </c>
      <c r="L2" s="102" t="s">
        <v>1237</v>
      </c>
      <c r="M2" s="105">
        <v>1</v>
      </c>
      <c r="N2" s="105">
        <v>13240000</v>
      </c>
      <c r="O2" s="105">
        <v>40969.531500000005</v>
      </c>
      <c r="P2" s="104">
        <v>4.1900975865878806E-2</v>
      </c>
      <c r="Q2" s="104">
        <v>0.16146594284549257</v>
      </c>
      <c r="R2" s="105">
        <v>1540.8115</v>
      </c>
      <c r="S2" s="102" t="s">
        <v>202</v>
      </c>
      <c r="T2" s="102" t="s">
        <v>202</v>
      </c>
      <c r="U2" s="102" t="s">
        <v>744</v>
      </c>
      <c r="V2" s="102" t="s">
        <v>313</v>
      </c>
      <c r="W2" s="102" t="s">
        <v>934</v>
      </c>
      <c r="X2" s="102" t="s">
        <v>1438</v>
      </c>
      <c r="Y2" s="102" t="s">
        <v>336</v>
      </c>
      <c r="Z2" s="108">
        <v>46121</v>
      </c>
      <c r="AA2" s="108">
        <v>46485</v>
      </c>
      <c r="AB2" s="102" t="s">
        <v>903</v>
      </c>
      <c r="AC2" s="102" t="s">
        <v>904</v>
      </c>
      <c r="AD2" s="102" t="s">
        <v>919</v>
      </c>
      <c r="AE2" s="102" t="s">
        <v>920</v>
      </c>
      <c r="AF2" s="102" t="s">
        <v>903</v>
      </c>
      <c r="AG2" s="102" t="s">
        <v>903</v>
      </c>
      <c r="AH2" s="104"/>
      <c r="AI2" s="105">
        <v>3.0880000000000001</v>
      </c>
      <c r="AJ2" s="105"/>
      <c r="AK2" s="102"/>
      <c r="AL2" s="104"/>
      <c r="AM2" s="102" t="s">
        <v>1437</v>
      </c>
      <c r="AN2" s="104">
        <v>8.8700437047014205E-2</v>
      </c>
      <c r="AO2" s="104">
        <v>1.5758419271982281E-3</v>
      </c>
    </row>
    <row r="3" spans="1:41" ht="13.5" customHeight="1">
      <c r="A3" s="102">
        <v>526</v>
      </c>
      <c r="B3" s="102">
        <v>526</v>
      </c>
      <c r="C3" s="102" t="s">
        <v>1039</v>
      </c>
      <c r="D3" s="102">
        <v>76021637</v>
      </c>
      <c r="E3" s="102" t="s">
        <v>1241</v>
      </c>
      <c r="F3" s="105">
        <v>2.9780000000000002</v>
      </c>
      <c r="G3" s="105">
        <v>-3900000</v>
      </c>
      <c r="H3" s="105">
        <v>-3900</v>
      </c>
      <c r="I3" s="104">
        <v>4.9136953508882447E-2</v>
      </c>
      <c r="J3" s="104">
        <v>-1.1878249423025245E-2</v>
      </c>
      <c r="K3" s="102">
        <v>760216370</v>
      </c>
      <c r="L3" s="102" t="s">
        <v>1237</v>
      </c>
      <c r="M3" s="105">
        <v>1</v>
      </c>
      <c r="N3" s="105">
        <v>3900000</v>
      </c>
      <c r="O3" s="105">
        <v>11715.68757</v>
      </c>
      <c r="P3" s="104">
        <v>1.1982044318050018E-2</v>
      </c>
      <c r="Q3" s="104">
        <v>4.6172960009886063E-2</v>
      </c>
      <c r="R3" s="105">
        <v>101.48757000000001</v>
      </c>
      <c r="S3" s="102" t="s">
        <v>202</v>
      </c>
      <c r="T3" s="102" t="s">
        <v>202</v>
      </c>
      <c r="U3" s="102" t="s">
        <v>744</v>
      </c>
      <c r="V3" s="102" t="s">
        <v>313</v>
      </c>
      <c r="W3" s="102" t="s">
        <v>934</v>
      </c>
      <c r="X3" s="102" t="s">
        <v>1438</v>
      </c>
      <c r="Y3" s="102" t="s">
        <v>336</v>
      </c>
      <c r="Z3" s="108">
        <v>46135</v>
      </c>
      <c r="AA3" s="108">
        <v>46485</v>
      </c>
      <c r="AB3" s="102" t="s">
        <v>903</v>
      </c>
      <c r="AC3" s="102" t="s">
        <v>904</v>
      </c>
      <c r="AD3" s="102" t="s">
        <v>919</v>
      </c>
      <c r="AE3" s="102" t="s">
        <v>920</v>
      </c>
      <c r="AF3" s="102" t="s">
        <v>903</v>
      </c>
      <c r="AG3" s="102" t="s">
        <v>903</v>
      </c>
      <c r="AH3" s="104"/>
      <c r="AI3" s="105">
        <v>3.0049999999999999</v>
      </c>
      <c r="AJ3" s="105"/>
      <c r="AK3" s="102"/>
      <c r="AL3" s="104"/>
      <c r="AM3" s="102" t="s">
        <v>1437</v>
      </c>
      <c r="AN3" s="104">
        <v>5.8423706039573619E-3</v>
      </c>
      <c r="AO3" s="104">
        <v>1.0379489502477434E-4</v>
      </c>
    </row>
    <row r="4" spans="1:41" ht="13.5" customHeight="1">
      <c r="A4" s="102">
        <v>526</v>
      </c>
      <c r="B4" s="102">
        <v>526</v>
      </c>
      <c r="C4" s="102" t="s">
        <v>1039</v>
      </c>
      <c r="D4" s="102">
        <v>76021580</v>
      </c>
      <c r="E4" s="102" t="s">
        <v>1241</v>
      </c>
      <c r="F4" s="105">
        <v>2.9780000000000002</v>
      </c>
      <c r="G4" s="105">
        <v>-19500000</v>
      </c>
      <c r="H4" s="105">
        <v>-19500</v>
      </c>
      <c r="I4" s="104">
        <v>0.24568476754441224</v>
      </c>
      <c r="J4" s="104">
        <v>-5.9391247115126229E-2</v>
      </c>
      <c r="K4" s="102">
        <v>760215800</v>
      </c>
      <c r="L4" s="102" t="s">
        <v>1237</v>
      </c>
      <c r="M4" s="105">
        <v>1</v>
      </c>
      <c r="N4" s="105">
        <v>19500000</v>
      </c>
      <c r="O4" s="105">
        <v>62748.676320000006</v>
      </c>
      <c r="P4" s="104">
        <v>6.4175270642285981E-2</v>
      </c>
      <c r="Q4" s="104">
        <v>0.24730022075833188</v>
      </c>
      <c r="R4" s="105">
        <v>4677.6763199999996</v>
      </c>
      <c r="S4" s="102" t="s">
        <v>202</v>
      </c>
      <c r="T4" s="102" t="s">
        <v>202</v>
      </c>
      <c r="U4" s="102" t="s">
        <v>744</v>
      </c>
      <c r="V4" s="102" t="s">
        <v>313</v>
      </c>
      <c r="W4" s="102" t="s">
        <v>934</v>
      </c>
      <c r="X4" s="102" t="s">
        <v>1438</v>
      </c>
      <c r="Y4" s="102" t="s">
        <v>336</v>
      </c>
      <c r="Z4" s="108">
        <v>46001</v>
      </c>
      <c r="AA4" s="108">
        <v>46366</v>
      </c>
      <c r="AB4" s="102" t="s">
        <v>903</v>
      </c>
      <c r="AC4" s="102" t="s">
        <v>904</v>
      </c>
      <c r="AD4" s="102" t="s">
        <v>919</v>
      </c>
      <c r="AE4" s="102" t="s">
        <v>920</v>
      </c>
      <c r="AF4" s="102" t="s">
        <v>903</v>
      </c>
      <c r="AG4" s="102" t="s">
        <v>903</v>
      </c>
      <c r="AH4" s="104"/>
      <c r="AI4" s="105">
        <v>3.2280000000000002</v>
      </c>
      <c r="AJ4" s="105"/>
      <c r="AK4" s="102"/>
      <c r="AL4" s="104"/>
      <c r="AM4" s="102" t="s">
        <v>1437</v>
      </c>
      <c r="AN4" s="104">
        <v>0.26928143640443303</v>
      </c>
      <c r="AO4" s="104">
        <v>4.784023527159756E-3</v>
      </c>
    </row>
    <row r="5" spans="1:41" ht="13.5" customHeight="1">
      <c r="A5" s="102">
        <v>526</v>
      </c>
      <c r="B5" s="102">
        <v>526</v>
      </c>
      <c r="C5" s="102" t="s">
        <v>1039</v>
      </c>
      <c r="D5" s="102">
        <v>76021478</v>
      </c>
      <c r="E5" s="102" t="s">
        <v>1241</v>
      </c>
      <c r="F5" s="105">
        <v>2.9780000000000002</v>
      </c>
      <c r="G5" s="105">
        <v>-1300000</v>
      </c>
      <c r="H5" s="105">
        <v>-1300</v>
      </c>
      <c r="I5" s="104">
        <v>1.6378984502960818E-2</v>
      </c>
      <c r="J5" s="104">
        <v>-3.9594164743417485E-3</v>
      </c>
      <c r="K5" s="102">
        <v>760214780</v>
      </c>
      <c r="L5" s="102" t="s">
        <v>1237</v>
      </c>
      <c r="M5" s="105">
        <v>1</v>
      </c>
      <c r="N5" s="105">
        <v>1300000</v>
      </c>
      <c r="O5" s="105">
        <v>4436.7684100000006</v>
      </c>
      <c r="P5" s="104">
        <v>4.5376385636702599E-3</v>
      </c>
      <c r="Q5" s="104">
        <v>1.7485847855198123E-2</v>
      </c>
      <c r="R5" s="105">
        <v>565.36841000000004</v>
      </c>
      <c r="S5" s="102" t="s">
        <v>202</v>
      </c>
      <c r="T5" s="102" t="s">
        <v>202</v>
      </c>
      <c r="U5" s="102" t="s">
        <v>744</v>
      </c>
      <c r="V5" s="102" t="s">
        <v>313</v>
      </c>
      <c r="W5" s="102" t="s">
        <v>934</v>
      </c>
      <c r="X5" s="102" t="s">
        <v>1438</v>
      </c>
      <c r="Y5" s="102" t="s">
        <v>336</v>
      </c>
      <c r="Z5" s="108">
        <v>45881</v>
      </c>
      <c r="AA5" s="108">
        <v>46247</v>
      </c>
      <c r="AB5" s="102" t="s">
        <v>903</v>
      </c>
      <c r="AC5" s="102" t="s">
        <v>904</v>
      </c>
      <c r="AD5" s="102" t="s">
        <v>919</v>
      </c>
      <c r="AE5" s="102" t="s">
        <v>920</v>
      </c>
      <c r="AF5" s="102" t="s">
        <v>903</v>
      </c>
      <c r="AG5" s="102" t="s">
        <v>903</v>
      </c>
      <c r="AH5" s="104"/>
      <c r="AI5" s="105">
        <v>3.4289999999999998</v>
      </c>
      <c r="AJ5" s="105"/>
      <c r="AK5" s="102"/>
      <c r="AL5" s="104"/>
      <c r="AM5" s="102" t="s">
        <v>1437</v>
      </c>
      <c r="AN5" s="104">
        <v>3.2546761923554907E-2</v>
      </c>
      <c r="AO5" s="104">
        <v>5.7822208932851169E-4</v>
      </c>
    </row>
    <row r="6" spans="1:41" ht="13.5" customHeight="1">
      <c r="A6" s="102">
        <v>526</v>
      </c>
      <c r="B6" s="102">
        <v>526</v>
      </c>
      <c r="C6" s="102" t="s">
        <v>1039</v>
      </c>
      <c r="D6" s="102">
        <v>76021598</v>
      </c>
      <c r="E6" s="102" t="s">
        <v>1241</v>
      </c>
      <c r="F6" s="105">
        <v>2.9780000000000002</v>
      </c>
      <c r="G6" s="105">
        <v>-17500000</v>
      </c>
      <c r="H6" s="105">
        <v>-17500</v>
      </c>
      <c r="I6" s="104">
        <v>0.22048632984754946</v>
      </c>
      <c r="J6" s="104">
        <v>-5.3299837154600453E-2</v>
      </c>
      <c r="K6" s="102">
        <v>760215980</v>
      </c>
      <c r="L6" s="102" t="s">
        <v>1237</v>
      </c>
      <c r="M6" s="105">
        <v>1</v>
      </c>
      <c r="N6" s="105">
        <v>17500000</v>
      </c>
      <c r="O6" s="105">
        <v>55582.87427</v>
      </c>
      <c r="P6" s="104">
        <v>5.6846553721109694E-2</v>
      </c>
      <c r="Q6" s="104">
        <v>0.21905891699220476</v>
      </c>
      <c r="R6" s="105">
        <v>3467.8742699999998</v>
      </c>
      <c r="S6" s="102" t="s">
        <v>202</v>
      </c>
      <c r="T6" s="102" t="s">
        <v>202</v>
      </c>
      <c r="U6" s="102" t="s">
        <v>744</v>
      </c>
      <c r="V6" s="102" t="s">
        <v>313</v>
      </c>
      <c r="W6" s="102" t="s">
        <v>934</v>
      </c>
      <c r="X6" s="102" t="s">
        <v>1438</v>
      </c>
      <c r="Y6" s="102" t="s">
        <v>336</v>
      </c>
      <c r="Z6" s="108">
        <v>46029</v>
      </c>
      <c r="AA6" s="108">
        <v>46394</v>
      </c>
      <c r="AB6" s="102" t="s">
        <v>903</v>
      </c>
      <c r="AC6" s="102" t="s">
        <v>904</v>
      </c>
      <c r="AD6" s="102" t="s">
        <v>919</v>
      </c>
      <c r="AE6" s="102" t="s">
        <v>920</v>
      </c>
      <c r="AF6" s="102" t="s">
        <v>903</v>
      </c>
      <c r="AG6" s="102" t="s">
        <v>903</v>
      </c>
      <c r="AH6" s="104"/>
      <c r="AI6" s="105">
        <v>3.1749999999999998</v>
      </c>
      <c r="AJ6" s="105"/>
      <c r="AK6" s="102"/>
      <c r="AL6" s="104"/>
      <c r="AM6" s="102" t="s">
        <v>1437</v>
      </c>
      <c r="AN6" s="104">
        <v>0.19963633667914299</v>
      </c>
      <c r="AO6" s="104">
        <v>3.5467165665092376E-3</v>
      </c>
    </row>
    <row r="7" spans="1:41" ht="13.5" customHeight="1">
      <c r="A7" s="102">
        <v>526</v>
      </c>
      <c r="B7" s="102">
        <v>526</v>
      </c>
      <c r="C7" s="102" t="s">
        <v>1039</v>
      </c>
      <c r="D7" s="102">
        <v>76021638</v>
      </c>
      <c r="E7" s="102" t="s">
        <v>1241</v>
      </c>
      <c r="F7" s="105">
        <v>2.9780000000000002</v>
      </c>
      <c r="G7" s="105">
        <v>-4750000</v>
      </c>
      <c r="H7" s="105">
        <v>-4750</v>
      </c>
      <c r="I7" s="104">
        <v>5.9846289530049133E-2</v>
      </c>
      <c r="J7" s="104">
        <v>-1.4467098656248697E-2</v>
      </c>
      <c r="K7" s="102">
        <v>760216380</v>
      </c>
      <c r="L7" s="102" t="s">
        <v>1237</v>
      </c>
      <c r="M7" s="105">
        <v>1</v>
      </c>
      <c r="N7" s="105">
        <v>4750000</v>
      </c>
      <c r="O7" s="105">
        <v>13901.445070000002</v>
      </c>
      <c r="P7" s="104">
        <v>1.4217495125100708E-2</v>
      </c>
      <c r="Q7" s="104">
        <v>5.4787298095961251E-2</v>
      </c>
      <c r="R7" s="105">
        <v>-244.05493000000001</v>
      </c>
      <c r="S7" s="102" t="s">
        <v>202</v>
      </c>
      <c r="T7" s="102" t="s">
        <v>202</v>
      </c>
      <c r="U7" s="102" t="s">
        <v>744</v>
      </c>
      <c r="V7" s="102" t="s">
        <v>313</v>
      </c>
      <c r="W7" s="102" t="s">
        <v>934</v>
      </c>
      <c r="X7" s="102" t="s">
        <v>1438</v>
      </c>
      <c r="Y7" s="102" t="s">
        <v>336</v>
      </c>
      <c r="Z7" s="108">
        <v>46155</v>
      </c>
      <c r="AA7" s="108">
        <v>46520</v>
      </c>
      <c r="AB7" s="102" t="s">
        <v>903</v>
      </c>
      <c r="AC7" s="102" t="s">
        <v>904</v>
      </c>
      <c r="AD7" s="102" t="s">
        <v>919</v>
      </c>
      <c r="AE7" s="102" t="s">
        <v>920</v>
      </c>
      <c r="AF7" s="102" t="s">
        <v>903</v>
      </c>
      <c r="AG7" s="102" t="s">
        <v>903</v>
      </c>
      <c r="AH7" s="104"/>
      <c r="AI7" s="105">
        <v>2.9079999999999999</v>
      </c>
      <c r="AJ7" s="105"/>
      <c r="AK7" s="102"/>
      <c r="AL7" s="104"/>
      <c r="AM7" s="102" t="s">
        <v>1437</v>
      </c>
      <c r="AN7" s="104">
        <v>-1.4049595913892427E-2</v>
      </c>
      <c r="AO7" s="104">
        <v>-2.4960353114798837E-4</v>
      </c>
    </row>
    <row r="8" spans="1:41" ht="13.5" customHeight="1">
      <c r="A8" s="102">
        <v>526</v>
      </c>
      <c r="B8" s="102">
        <v>526</v>
      </c>
      <c r="C8" s="102" t="s">
        <v>1039</v>
      </c>
      <c r="D8" s="102">
        <v>76021536</v>
      </c>
      <c r="E8" s="102" t="s">
        <v>1241</v>
      </c>
      <c r="F8" s="105">
        <v>2.9780000000000002</v>
      </c>
      <c r="G8" s="105">
        <v>-3440000</v>
      </c>
      <c r="H8" s="105">
        <v>-3440</v>
      </c>
      <c r="I8" s="104">
        <v>4.3341312838604006E-2</v>
      </c>
      <c r="J8" s="104">
        <v>-1.0477225132104319E-2</v>
      </c>
      <c r="K8" s="102">
        <v>760215360</v>
      </c>
      <c r="L8" s="102" t="s">
        <v>1237</v>
      </c>
      <c r="M8" s="105">
        <v>1</v>
      </c>
      <c r="N8" s="105">
        <v>3440000</v>
      </c>
      <c r="O8" s="105">
        <v>11462.626660000002</v>
      </c>
      <c r="P8" s="104">
        <v>1.1723230055492312E-2</v>
      </c>
      <c r="Q8" s="104">
        <v>4.5175615960919138E-2</v>
      </c>
      <c r="R8" s="105">
        <v>1218.30666</v>
      </c>
      <c r="S8" s="102" t="s">
        <v>202</v>
      </c>
      <c r="T8" s="102" t="s">
        <v>202</v>
      </c>
      <c r="U8" s="102" t="s">
        <v>744</v>
      </c>
      <c r="V8" s="102" t="s">
        <v>313</v>
      </c>
      <c r="W8" s="102" t="s">
        <v>934</v>
      </c>
      <c r="X8" s="102" t="s">
        <v>1438</v>
      </c>
      <c r="Y8" s="102" t="s">
        <v>336</v>
      </c>
      <c r="Z8" s="108">
        <v>45916</v>
      </c>
      <c r="AA8" s="108">
        <v>46247</v>
      </c>
      <c r="AB8" s="102" t="s">
        <v>903</v>
      </c>
      <c r="AC8" s="102" t="s">
        <v>904</v>
      </c>
      <c r="AD8" s="102" t="s">
        <v>919</v>
      </c>
      <c r="AE8" s="102" t="s">
        <v>920</v>
      </c>
      <c r="AF8" s="102" t="s">
        <v>903</v>
      </c>
      <c r="AG8" s="102" t="s">
        <v>903</v>
      </c>
      <c r="AH8" s="104"/>
      <c r="AI8" s="105">
        <v>3.343</v>
      </c>
      <c r="AJ8" s="105"/>
      <c r="AK8" s="102"/>
      <c r="AL8" s="104"/>
      <c r="AM8" s="102" t="s">
        <v>1437</v>
      </c>
      <c r="AN8" s="104">
        <v>7.0134687597599152E-2</v>
      </c>
      <c r="AO8" s="104">
        <v>1.2460049233879915E-3</v>
      </c>
    </row>
    <row r="9" spans="1:41" ht="13.5" customHeight="1">
      <c r="A9" s="102">
        <v>526</v>
      </c>
      <c r="B9" s="102">
        <v>526</v>
      </c>
      <c r="C9" s="102" t="s">
        <v>1039</v>
      </c>
      <c r="D9" s="102">
        <v>76021494</v>
      </c>
      <c r="E9" s="102" t="s">
        <v>1241</v>
      </c>
      <c r="F9" s="105">
        <v>2.9780000000000002</v>
      </c>
      <c r="G9" s="105">
        <v>-10100000</v>
      </c>
      <c r="H9" s="105">
        <v>-10100</v>
      </c>
      <c r="I9" s="104">
        <v>0.12725211036915712</v>
      </c>
      <c r="J9" s="104">
        <v>-3.0761620300655122E-2</v>
      </c>
      <c r="K9" s="102">
        <v>760214940</v>
      </c>
      <c r="L9" s="102" t="s">
        <v>1237</v>
      </c>
      <c r="M9" s="105">
        <v>1</v>
      </c>
      <c r="N9" s="105">
        <v>10100000</v>
      </c>
      <c r="O9" s="105">
        <v>34470.277610000005</v>
      </c>
      <c r="P9" s="104">
        <v>3.5253961110752574E-2</v>
      </c>
      <c r="Q9" s="104">
        <v>0.13585158703717473</v>
      </c>
      <c r="R9" s="105">
        <v>4392.4776099999999</v>
      </c>
      <c r="S9" s="102" t="s">
        <v>202</v>
      </c>
      <c r="T9" s="102" t="s">
        <v>202</v>
      </c>
      <c r="U9" s="102" t="s">
        <v>744</v>
      </c>
      <c r="V9" s="102" t="s">
        <v>313</v>
      </c>
      <c r="W9" s="102" t="s">
        <v>934</v>
      </c>
      <c r="X9" s="102" t="s">
        <v>1438</v>
      </c>
      <c r="Y9" s="102" t="s">
        <v>336</v>
      </c>
      <c r="Z9" s="108">
        <v>45881</v>
      </c>
      <c r="AA9" s="108">
        <v>46247</v>
      </c>
      <c r="AB9" s="102" t="s">
        <v>903</v>
      </c>
      <c r="AC9" s="102" t="s">
        <v>904</v>
      </c>
      <c r="AD9" s="102" t="s">
        <v>919</v>
      </c>
      <c r="AE9" s="102" t="s">
        <v>920</v>
      </c>
      <c r="AF9" s="102" t="s">
        <v>903</v>
      </c>
      <c r="AG9" s="102" t="s">
        <v>903</v>
      </c>
      <c r="AH9" s="104"/>
      <c r="AI9" s="105">
        <v>3.4289999999999998</v>
      </c>
      <c r="AJ9" s="105"/>
      <c r="AK9" s="102"/>
      <c r="AL9" s="104"/>
      <c r="AM9" s="102" t="s">
        <v>1437</v>
      </c>
      <c r="AN9" s="104">
        <v>0.25286330204974744</v>
      </c>
      <c r="AO9" s="104">
        <v>4.4923408100974501E-3</v>
      </c>
    </row>
    <row r="10" spans="1:41" ht="13.5" customHeight="1">
      <c r="A10" s="102">
        <v>526</v>
      </c>
      <c r="B10" s="102">
        <v>526</v>
      </c>
      <c r="C10" s="102" t="s">
        <v>1039</v>
      </c>
      <c r="D10" s="102">
        <v>76021552</v>
      </c>
      <c r="E10" s="102" t="s">
        <v>1241</v>
      </c>
      <c r="F10" s="105">
        <v>2.9780000000000002</v>
      </c>
      <c r="G10" s="105">
        <v>-5640000</v>
      </c>
      <c r="H10" s="105">
        <v>-5640</v>
      </c>
      <c r="I10" s="104">
        <v>7.1059594305153087E-2</v>
      </c>
      <c r="J10" s="104">
        <v>-1.7177776088682664E-2</v>
      </c>
      <c r="K10" s="102">
        <v>760215520</v>
      </c>
      <c r="L10" s="102" t="s">
        <v>1237</v>
      </c>
      <c r="M10" s="105">
        <v>1</v>
      </c>
      <c r="N10" s="105">
        <v>5640000</v>
      </c>
      <c r="O10" s="105">
        <v>18446.929840000001</v>
      </c>
      <c r="P10" s="104">
        <v>1.886632172070114E-2</v>
      </c>
      <c r="Q10" s="104">
        <v>7.2701610444831449E-2</v>
      </c>
      <c r="R10" s="105">
        <v>1651.0098399999999</v>
      </c>
      <c r="S10" s="102" t="s">
        <v>202</v>
      </c>
      <c r="T10" s="102" t="s">
        <v>202</v>
      </c>
      <c r="U10" s="102" t="s">
        <v>744</v>
      </c>
      <c r="V10" s="102" t="s">
        <v>313</v>
      </c>
      <c r="W10" s="102" t="s">
        <v>934</v>
      </c>
      <c r="X10" s="102" t="s">
        <v>1438</v>
      </c>
      <c r="Y10" s="102" t="s">
        <v>336</v>
      </c>
      <c r="Z10" s="108">
        <v>45957</v>
      </c>
      <c r="AA10" s="108">
        <v>46321</v>
      </c>
      <c r="AB10" s="102" t="s">
        <v>903</v>
      </c>
      <c r="AC10" s="102" t="s">
        <v>904</v>
      </c>
      <c r="AD10" s="102" t="s">
        <v>919</v>
      </c>
      <c r="AE10" s="102" t="s">
        <v>920</v>
      </c>
      <c r="AF10" s="102" t="s">
        <v>903</v>
      </c>
      <c r="AG10" s="102" t="s">
        <v>903</v>
      </c>
      <c r="AH10" s="104"/>
      <c r="AI10" s="105">
        <v>3.2589999999999999</v>
      </c>
      <c r="AJ10" s="105"/>
      <c r="AK10" s="102"/>
      <c r="AL10" s="104"/>
      <c r="AM10" s="102" t="s">
        <v>1437</v>
      </c>
      <c r="AN10" s="104">
        <v>9.5044263608443341E-2</v>
      </c>
      <c r="AO10" s="104">
        <v>1.6885456320184773E-3</v>
      </c>
    </row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51.875" bestFit="1" customWidth="1"/>
    <col min="6" max="6" width="10" bestFit="1" customWidth="1"/>
    <col min="7" max="7" width="9.625" bestFit="1" customWidth="1"/>
    <col min="8" max="8" width="31.87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22.375" bestFit="1" customWidth="1"/>
    <col min="30" max="30" width="10.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21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9" t="s">
        <v>105</v>
      </c>
      <c r="AP1" s="110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6" t="s">
        <v>17</v>
      </c>
      <c r="AW1" s="106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2">
        <v>526</v>
      </c>
      <c r="B2" s="102">
        <v>526</v>
      </c>
      <c r="C2" s="102"/>
      <c r="D2" s="102"/>
      <c r="E2" s="102"/>
      <c r="F2" s="102">
        <v>5678800</v>
      </c>
      <c r="G2" s="102" t="s">
        <v>1034</v>
      </c>
      <c r="H2" s="102" t="s">
        <v>816</v>
      </c>
      <c r="I2" s="102" t="s">
        <v>202</v>
      </c>
      <c r="J2" s="102"/>
      <c r="K2" s="102" t="s">
        <v>441</v>
      </c>
      <c r="L2" s="102" t="s">
        <v>336</v>
      </c>
      <c r="M2" s="102" t="s">
        <v>336</v>
      </c>
      <c r="N2" s="102"/>
      <c r="O2" s="108">
        <v>46203</v>
      </c>
      <c r="P2" s="102" t="s">
        <v>408</v>
      </c>
      <c r="Q2" s="102" t="s">
        <v>408</v>
      </c>
      <c r="R2" s="102" t="s">
        <v>408</v>
      </c>
      <c r="S2" s="102" t="s">
        <v>1237</v>
      </c>
      <c r="T2" s="105">
        <v>5.15</v>
      </c>
      <c r="U2" s="102" t="s">
        <v>1439</v>
      </c>
      <c r="V2" s="104">
        <v>5.3464999999999999E-2</v>
      </c>
      <c r="W2" s="102"/>
      <c r="X2" s="102"/>
      <c r="Y2" s="104"/>
      <c r="Z2" s="104">
        <v>5.4800000000000001E-2</v>
      </c>
      <c r="AA2" s="108">
        <v>48395</v>
      </c>
      <c r="AB2" s="102" t="s">
        <v>410</v>
      </c>
      <c r="AC2" s="102"/>
      <c r="AD2" s="105"/>
      <c r="AE2" s="104"/>
      <c r="AF2" s="108"/>
      <c r="AG2" s="102"/>
      <c r="AH2" s="102"/>
      <c r="AI2" s="102"/>
      <c r="AJ2" s="102" t="s">
        <v>334</v>
      </c>
      <c r="AK2" s="102" t="s">
        <v>890</v>
      </c>
      <c r="AL2" s="102"/>
      <c r="AM2" s="102" t="s">
        <v>893</v>
      </c>
      <c r="AN2" s="108">
        <v>46203</v>
      </c>
      <c r="AO2" s="108"/>
      <c r="AP2" s="104"/>
      <c r="AQ2" s="105">
        <v>458675.16</v>
      </c>
      <c r="AR2" s="105">
        <v>100</v>
      </c>
      <c r="AS2" s="105">
        <v>1</v>
      </c>
      <c r="AT2" s="105">
        <v>458.67516000000001</v>
      </c>
      <c r="AU2" s="105">
        <v>458.67516000000001</v>
      </c>
      <c r="AV2" s="105"/>
      <c r="AW2" s="105"/>
      <c r="AX2" s="102"/>
      <c r="AY2" s="102"/>
      <c r="AZ2" s="104">
        <v>4.4149000000000001E-2</v>
      </c>
      <c r="BA2" s="104">
        <v>4.6900000000000002E-4</v>
      </c>
    </row>
    <row r="3" spans="1:53" ht="13.5" customHeight="1">
      <c r="A3" s="102">
        <v>526</v>
      </c>
      <c r="B3" s="102">
        <v>526</v>
      </c>
      <c r="C3" s="102"/>
      <c r="D3" s="102"/>
      <c r="E3" s="102"/>
      <c r="F3" s="102">
        <v>78910010</v>
      </c>
      <c r="G3" s="102" t="s">
        <v>1034</v>
      </c>
      <c r="H3" s="102" t="s">
        <v>785</v>
      </c>
      <c r="I3" s="102" t="s">
        <v>202</v>
      </c>
      <c r="J3" s="102"/>
      <c r="K3" s="102" t="s">
        <v>462</v>
      </c>
      <c r="L3" s="102" t="s">
        <v>336</v>
      </c>
      <c r="M3" s="102" t="s">
        <v>336</v>
      </c>
      <c r="N3" s="102"/>
      <c r="O3" s="108">
        <v>46016</v>
      </c>
      <c r="P3" s="102" t="s">
        <v>1440</v>
      </c>
      <c r="Q3" s="102" t="s">
        <v>413</v>
      </c>
      <c r="R3" s="102" t="s">
        <v>406</v>
      </c>
      <c r="S3" s="102" t="s">
        <v>1237</v>
      </c>
      <c r="T3" s="105">
        <v>10.34</v>
      </c>
      <c r="U3" s="102" t="s">
        <v>1439</v>
      </c>
      <c r="V3" s="104">
        <v>5.3765E-2</v>
      </c>
      <c r="W3" s="102"/>
      <c r="X3" s="102"/>
      <c r="Y3" s="104"/>
      <c r="Z3" s="104">
        <v>5.3600000000000002E-2</v>
      </c>
      <c r="AA3" s="108">
        <v>55184</v>
      </c>
      <c r="AB3" s="102" t="s">
        <v>410</v>
      </c>
      <c r="AC3" s="102"/>
      <c r="AD3" s="105"/>
      <c r="AE3" s="104"/>
      <c r="AF3" s="108"/>
      <c r="AG3" s="102"/>
      <c r="AH3" s="102"/>
      <c r="AI3" s="102"/>
      <c r="AJ3" s="102" t="s">
        <v>334</v>
      </c>
      <c r="AK3" s="102" t="s">
        <v>890</v>
      </c>
      <c r="AL3" s="102"/>
      <c r="AM3" s="102" t="s">
        <v>893</v>
      </c>
      <c r="AN3" s="108">
        <v>46203</v>
      </c>
      <c r="AO3" s="108"/>
      <c r="AP3" s="104"/>
      <c r="AQ3" s="105">
        <v>14685</v>
      </c>
      <c r="AR3" s="105">
        <v>102.43989999999999</v>
      </c>
      <c r="AS3" s="105">
        <v>1</v>
      </c>
      <c r="AT3" s="105">
        <v>15.04331</v>
      </c>
      <c r="AU3" s="105">
        <v>15.04331</v>
      </c>
      <c r="AV3" s="103"/>
      <c r="AW3" s="103"/>
      <c r="AX3" s="102"/>
      <c r="AY3" s="102"/>
      <c r="AZ3" s="104">
        <v>1.4469999999999999E-3</v>
      </c>
      <c r="BA3" s="104">
        <v>1.5E-5</v>
      </c>
    </row>
    <row r="4" spans="1:53" ht="13.5" customHeight="1">
      <c r="A4" s="102">
        <v>526</v>
      </c>
      <c r="B4" s="102">
        <v>526</v>
      </c>
      <c r="C4" s="102"/>
      <c r="D4" s="102"/>
      <c r="E4" s="102"/>
      <c r="F4" s="102">
        <v>76056105</v>
      </c>
      <c r="G4" s="102" t="s">
        <v>1034</v>
      </c>
      <c r="H4" s="102" t="s">
        <v>810</v>
      </c>
      <c r="I4" s="102" t="s">
        <v>202</v>
      </c>
      <c r="J4" s="102"/>
      <c r="K4" s="102" t="s">
        <v>462</v>
      </c>
      <c r="L4" s="102" t="s">
        <v>336</v>
      </c>
      <c r="M4" s="102" t="s">
        <v>334</v>
      </c>
      <c r="N4" s="102"/>
      <c r="O4" s="108">
        <v>46096</v>
      </c>
      <c r="P4" s="102" t="s">
        <v>408</v>
      </c>
      <c r="Q4" s="102" t="s">
        <v>408</v>
      </c>
      <c r="R4" s="102" t="s">
        <v>408</v>
      </c>
      <c r="S4" s="102" t="s">
        <v>1237</v>
      </c>
      <c r="T4" s="105">
        <v>0.86</v>
      </c>
      <c r="U4" s="102" t="s">
        <v>822</v>
      </c>
      <c r="V4" s="104">
        <v>6.7500000000000004E-2</v>
      </c>
      <c r="W4" s="102"/>
      <c r="X4" s="102"/>
      <c r="Y4" s="104"/>
      <c r="Z4" s="104">
        <v>8.5800000000000001E-2</v>
      </c>
      <c r="AA4" s="108">
        <v>46526</v>
      </c>
      <c r="AB4" s="102" t="s">
        <v>410</v>
      </c>
      <c r="AC4" s="102"/>
      <c r="AD4" s="105"/>
      <c r="AE4" s="104"/>
      <c r="AF4" s="108"/>
      <c r="AG4" s="102"/>
      <c r="AH4" s="102"/>
      <c r="AI4" s="102"/>
      <c r="AJ4" s="102" t="s">
        <v>334</v>
      </c>
      <c r="AK4" s="102" t="s">
        <v>890</v>
      </c>
      <c r="AL4" s="102"/>
      <c r="AM4" s="102" t="s">
        <v>893</v>
      </c>
      <c r="AN4" s="108">
        <v>46203</v>
      </c>
      <c r="AO4" s="108"/>
      <c r="AP4" s="104"/>
      <c r="AQ4" s="105">
        <v>14133.24</v>
      </c>
      <c r="AR4" s="105">
        <v>100.39</v>
      </c>
      <c r="AS4" s="105">
        <v>1</v>
      </c>
      <c r="AT4" s="105">
        <v>14.188359999999999</v>
      </c>
      <c r="AU4" s="105">
        <v>14.188359999999999</v>
      </c>
      <c r="AV4" s="103"/>
      <c r="AW4" s="103"/>
      <c r="AX4" s="102"/>
      <c r="AY4" s="102"/>
      <c r="AZ4" s="104">
        <v>1.3649999999999999E-3</v>
      </c>
      <c r="BA4" s="104">
        <v>1.4E-5</v>
      </c>
    </row>
    <row r="5" spans="1:53" ht="13.5" customHeight="1">
      <c r="A5" s="102">
        <v>526</v>
      </c>
      <c r="B5" s="102">
        <v>526</v>
      </c>
      <c r="C5" s="102"/>
      <c r="D5" s="102"/>
      <c r="E5" s="102"/>
      <c r="F5" s="102">
        <v>78910011</v>
      </c>
      <c r="G5" s="102" t="s">
        <v>1034</v>
      </c>
      <c r="H5" s="102" t="s">
        <v>785</v>
      </c>
      <c r="I5" s="102" t="s">
        <v>202</v>
      </c>
      <c r="J5" s="102"/>
      <c r="K5" s="102" t="s">
        <v>462</v>
      </c>
      <c r="L5" s="102" t="s">
        <v>336</v>
      </c>
      <c r="M5" s="102" t="s">
        <v>336</v>
      </c>
      <c r="N5" s="102"/>
      <c r="O5" s="108">
        <v>46106</v>
      </c>
      <c r="P5" s="102" t="s">
        <v>1440</v>
      </c>
      <c r="Q5" s="102" t="s">
        <v>413</v>
      </c>
      <c r="R5" s="102" t="s">
        <v>406</v>
      </c>
      <c r="S5" s="102" t="s">
        <v>1237</v>
      </c>
      <c r="T5" s="105">
        <v>10.31</v>
      </c>
      <c r="U5" s="102" t="s">
        <v>1439</v>
      </c>
      <c r="V5" s="104">
        <v>5.416E-2</v>
      </c>
      <c r="W5" s="102"/>
      <c r="X5" s="102"/>
      <c r="Y5" s="104"/>
      <c r="Z5" s="104">
        <v>5.4100000000000002E-2</v>
      </c>
      <c r="AA5" s="108">
        <v>55184</v>
      </c>
      <c r="AB5" s="102" t="s">
        <v>410</v>
      </c>
      <c r="AC5" s="102"/>
      <c r="AD5" s="105"/>
      <c r="AE5" s="104"/>
      <c r="AF5" s="108"/>
      <c r="AG5" s="102"/>
      <c r="AH5" s="102"/>
      <c r="AI5" s="102"/>
      <c r="AJ5" s="102" t="s">
        <v>334</v>
      </c>
      <c r="AK5" s="102" t="s">
        <v>890</v>
      </c>
      <c r="AL5" s="102"/>
      <c r="AM5" s="102" t="s">
        <v>893</v>
      </c>
      <c r="AN5" s="108">
        <v>46203</v>
      </c>
      <c r="AO5" s="108"/>
      <c r="AP5" s="104"/>
      <c r="AQ5" s="105">
        <v>32818.379999999997</v>
      </c>
      <c r="AR5" s="105">
        <v>102.43</v>
      </c>
      <c r="AS5" s="105">
        <v>1</v>
      </c>
      <c r="AT5" s="105">
        <v>33.615870000000001</v>
      </c>
      <c r="AU5" s="105">
        <v>33.615870000000001</v>
      </c>
      <c r="AV5" s="103"/>
      <c r="AW5" s="103"/>
      <c r="AX5" s="102"/>
      <c r="AY5" s="102"/>
      <c r="AZ5" s="104">
        <v>3.235E-3</v>
      </c>
      <c r="BA5" s="104">
        <v>3.4E-5</v>
      </c>
    </row>
    <row r="6" spans="1:53" ht="13.5" customHeight="1">
      <c r="A6" s="102">
        <v>526</v>
      </c>
      <c r="B6" s="102">
        <v>526</v>
      </c>
      <c r="C6" s="102"/>
      <c r="D6" s="102"/>
      <c r="E6" s="102"/>
      <c r="F6" s="102">
        <v>76056151</v>
      </c>
      <c r="G6" s="102" t="s">
        <v>1034</v>
      </c>
      <c r="H6" s="102" t="s">
        <v>810</v>
      </c>
      <c r="I6" s="102" t="s">
        <v>202</v>
      </c>
      <c r="J6" s="102"/>
      <c r="K6" s="102" t="s">
        <v>462</v>
      </c>
      <c r="L6" s="102" t="s">
        <v>336</v>
      </c>
      <c r="M6" s="102" t="s">
        <v>334</v>
      </c>
      <c r="N6" s="102"/>
      <c r="O6" s="108">
        <v>46106</v>
      </c>
      <c r="P6" s="102" t="s">
        <v>408</v>
      </c>
      <c r="Q6" s="102" t="s">
        <v>408</v>
      </c>
      <c r="R6" s="102" t="s">
        <v>408</v>
      </c>
      <c r="S6" s="102" t="s">
        <v>1237</v>
      </c>
      <c r="T6" s="105">
        <v>1.19</v>
      </c>
      <c r="U6" s="102" t="s">
        <v>822</v>
      </c>
      <c r="V6" s="104">
        <v>6.6299999999999998E-2</v>
      </c>
      <c r="W6" s="102"/>
      <c r="X6" s="102"/>
      <c r="Y6" s="104"/>
      <c r="Z6" s="104">
        <v>6.1400000000000003E-2</v>
      </c>
      <c r="AA6" s="108">
        <v>46654</v>
      </c>
      <c r="AB6" s="102" t="s">
        <v>410</v>
      </c>
      <c r="AC6" s="102"/>
      <c r="AD6" s="105"/>
      <c r="AE6" s="104"/>
      <c r="AF6" s="108"/>
      <c r="AG6" s="102"/>
      <c r="AH6" s="102"/>
      <c r="AI6" s="102"/>
      <c r="AJ6" s="102" t="s">
        <v>334</v>
      </c>
      <c r="AK6" s="102" t="s">
        <v>890</v>
      </c>
      <c r="AL6" s="102"/>
      <c r="AM6" s="102" t="s">
        <v>893</v>
      </c>
      <c r="AN6" s="108">
        <v>46203</v>
      </c>
      <c r="AO6" s="108"/>
      <c r="AP6" s="104"/>
      <c r="AQ6" s="105">
        <v>673940.06</v>
      </c>
      <c r="AR6" s="105">
        <v>102.42</v>
      </c>
      <c r="AS6" s="105">
        <v>1</v>
      </c>
      <c r="AT6" s="105">
        <v>690.24941000000001</v>
      </c>
      <c r="AU6" s="105">
        <v>690.24941000000001</v>
      </c>
      <c r="AV6" s="103"/>
      <c r="AW6" s="103"/>
      <c r="AX6" s="102"/>
      <c r="AY6" s="102"/>
      <c r="AZ6" s="104">
        <v>6.6439999999999999E-2</v>
      </c>
      <c r="BA6" s="104">
        <v>7.0500000000000001E-4</v>
      </c>
    </row>
    <row r="7" spans="1:53" ht="13.5" customHeight="1">
      <c r="A7" s="102">
        <v>526</v>
      </c>
      <c r="B7" s="102">
        <v>526</v>
      </c>
      <c r="C7" s="102"/>
      <c r="D7" s="102"/>
      <c r="E7" s="102"/>
      <c r="F7" s="102">
        <v>78910012</v>
      </c>
      <c r="G7" s="102" t="s">
        <v>1034</v>
      </c>
      <c r="H7" s="102" t="s">
        <v>785</v>
      </c>
      <c r="I7" s="102" t="s">
        <v>202</v>
      </c>
      <c r="J7" s="102"/>
      <c r="K7" s="102" t="s">
        <v>462</v>
      </c>
      <c r="L7" s="102" t="s">
        <v>336</v>
      </c>
      <c r="M7" s="102" t="s">
        <v>336</v>
      </c>
      <c r="N7" s="102"/>
      <c r="O7" s="108">
        <v>46176</v>
      </c>
      <c r="P7" s="102" t="s">
        <v>1440</v>
      </c>
      <c r="Q7" s="102" t="s">
        <v>413</v>
      </c>
      <c r="R7" s="102" t="s">
        <v>406</v>
      </c>
      <c r="S7" s="102" t="s">
        <v>1237</v>
      </c>
      <c r="T7" s="105">
        <v>10.26</v>
      </c>
      <c r="U7" s="102" t="s">
        <v>1439</v>
      </c>
      <c r="V7" s="104">
        <v>5.4539999999999998E-2</v>
      </c>
      <c r="W7" s="102"/>
      <c r="X7" s="102"/>
      <c r="Y7" s="104"/>
      <c r="Z7" s="104">
        <v>5.4899999999999997E-2</v>
      </c>
      <c r="AA7" s="108">
        <v>55184</v>
      </c>
      <c r="AB7" s="102" t="s">
        <v>410</v>
      </c>
      <c r="AC7" s="102"/>
      <c r="AD7" s="105"/>
      <c r="AE7" s="104"/>
      <c r="AF7" s="108"/>
      <c r="AG7" s="102"/>
      <c r="AH7" s="102"/>
      <c r="AI7" s="102"/>
      <c r="AJ7" s="102" t="s">
        <v>334</v>
      </c>
      <c r="AK7" s="102" t="s">
        <v>890</v>
      </c>
      <c r="AL7" s="102"/>
      <c r="AM7" s="102" t="s">
        <v>893</v>
      </c>
      <c r="AN7" s="108">
        <v>46203</v>
      </c>
      <c r="AO7" s="108"/>
      <c r="AP7" s="104"/>
      <c r="AQ7" s="105">
        <v>14792.84</v>
      </c>
      <c r="AR7" s="105">
        <v>100.74</v>
      </c>
      <c r="AS7" s="105">
        <v>1</v>
      </c>
      <c r="AT7" s="105">
        <v>14.90231</v>
      </c>
      <c r="AU7" s="105">
        <v>14.90231</v>
      </c>
      <c r="AV7" s="103"/>
      <c r="AW7" s="103"/>
      <c r="AX7" s="102"/>
      <c r="AY7" s="102"/>
      <c r="AZ7" s="104">
        <v>1.4339999999999999E-3</v>
      </c>
      <c r="BA7" s="104">
        <v>1.5E-5</v>
      </c>
    </row>
    <row r="8" spans="1:53" ht="13.5" customHeight="1">
      <c r="A8" s="102">
        <v>526</v>
      </c>
      <c r="B8" s="102">
        <v>526</v>
      </c>
      <c r="C8" s="102"/>
      <c r="D8" s="102"/>
      <c r="E8" s="102"/>
      <c r="F8" s="102">
        <v>78910001</v>
      </c>
      <c r="G8" s="102" t="s">
        <v>1034</v>
      </c>
      <c r="H8" s="102" t="s">
        <v>785</v>
      </c>
      <c r="I8" s="102" t="s">
        <v>202</v>
      </c>
      <c r="J8" s="102"/>
      <c r="K8" s="102" t="s">
        <v>462</v>
      </c>
      <c r="L8" s="102" t="s">
        <v>336</v>
      </c>
      <c r="M8" s="102" t="s">
        <v>336</v>
      </c>
      <c r="N8" s="102"/>
      <c r="O8" s="108">
        <v>45622</v>
      </c>
      <c r="P8" s="102" t="s">
        <v>1440</v>
      </c>
      <c r="Q8" s="102" t="s">
        <v>413</v>
      </c>
      <c r="R8" s="102" t="s">
        <v>406</v>
      </c>
      <c r="S8" s="102" t="s">
        <v>1237</v>
      </c>
      <c r="T8" s="105">
        <v>10.6</v>
      </c>
      <c r="U8" s="102" t="s">
        <v>1439</v>
      </c>
      <c r="V8" s="104">
        <v>5.2135000000000001E-2</v>
      </c>
      <c r="W8" s="102"/>
      <c r="X8" s="102"/>
      <c r="Y8" s="104"/>
      <c r="Z8" s="104">
        <v>4.9099999999999998E-2</v>
      </c>
      <c r="AA8" s="108">
        <v>55184</v>
      </c>
      <c r="AB8" s="102" t="s">
        <v>410</v>
      </c>
      <c r="AC8" s="102"/>
      <c r="AD8" s="105"/>
      <c r="AE8" s="104"/>
      <c r="AF8" s="108"/>
      <c r="AG8" s="102"/>
      <c r="AH8" s="102"/>
      <c r="AI8" s="102"/>
      <c r="AJ8" s="102" t="s">
        <v>334</v>
      </c>
      <c r="AK8" s="102" t="s">
        <v>890</v>
      </c>
      <c r="AL8" s="102"/>
      <c r="AM8" s="102" t="s">
        <v>893</v>
      </c>
      <c r="AN8" s="108">
        <v>46203</v>
      </c>
      <c r="AO8" s="108"/>
      <c r="AP8" s="104"/>
      <c r="AQ8" s="105">
        <v>97347</v>
      </c>
      <c r="AR8" s="105">
        <v>107.48</v>
      </c>
      <c r="AS8" s="105">
        <v>1</v>
      </c>
      <c r="AT8" s="105">
        <v>104.62855999999999</v>
      </c>
      <c r="AU8" s="105">
        <v>104.62855999999999</v>
      </c>
      <c r="AV8" s="103"/>
      <c r="AW8" s="103"/>
      <c r="AX8" s="102"/>
      <c r="AY8" s="102"/>
      <c r="AZ8" s="104">
        <v>1.0071E-2</v>
      </c>
      <c r="BA8" s="104">
        <v>1.07E-4</v>
      </c>
    </row>
    <row r="9" spans="1:53" ht="13.5" customHeight="1">
      <c r="A9" s="102">
        <v>526</v>
      </c>
      <c r="B9" s="102">
        <v>526</v>
      </c>
      <c r="C9" s="102"/>
      <c r="D9" s="102"/>
      <c r="E9" s="102"/>
      <c r="F9" s="102">
        <v>78910013</v>
      </c>
      <c r="G9" s="102" t="s">
        <v>1034</v>
      </c>
      <c r="H9" s="102" t="s">
        <v>785</v>
      </c>
      <c r="I9" s="102" t="s">
        <v>202</v>
      </c>
      <c r="J9" s="102"/>
      <c r="K9" s="102" t="s">
        <v>462</v>
      </c>
      <c r="L9" s="102" t="s">
        <v>336</v>
      </c>
      <c r="M9" s="102" t="s">
        <v>336</v>
      </c>
      <c r="N9" s="102"/>
      <c r="O9" s="108">
        <v>46198</v>
      </c>
      <c r="P9" s="102" t="s">
        <v>1440</v>
      </c>
      <c r="Q9" s="102" t="s">
        <v>413</v>
      </c>
      <c r="R9" s="102" t="s">
        <v>406</v>
      </c>
      <c r="S9" s="102" t="s">
        <v>1237</v>
      </c>
      <c r="T9" s="105">
        <v>10.130000000000001</v>
      </c>
      <c r="U9" s="102" t="s">
        <v>1439</v>
      </c>
      <c r="V9" s="104">
        <v>5.4539999999999998E-2</v>
      </c>
      <c r="W9" s="102"/>
      <c r="X9" s="102"/>
      <c r="Y9" s="104"/>
      <c r="Z9" s="104">
        <v>5.7700000000000001E-2</v>
      </c>
      <c r="AA9" s="108">
        <v>55184</v>
      </c>
      <c r="AB9" s="102" t="s">
        <v>410</v>
      </c>
      <c r="AC9" s="102"/>
      <c r="AD9" s="105"/>
      <c r="AE9" s="104"/>
      <c r="AF9" s="108"/>
      <c r="AG9" s="102"/>
      <c r="AH9" s="102"/>
      <c r="AI9" s="102"/>
      <c r="AJ9" s="102" t="s">
        <v>334</v>
      </c>
      <c r="AK9" s="102" t="s">
        <v>890</v>
      </c>
      <c r="AL9" s="102"/>
      <c r="AM9" s="102" t="s">
        <v>893</v>
      </c>
      <c r="AN9" s="108">
        <v>46203</v>
      </c>
      <c r="AO9" s="108"/>
      <c r="AP9" s="104"/>
      <c r="AQ9" s="105">
        <v>10397.6</v>
      </c>
      <c r="AR9" s="105">
        <v>98.07</v>
      </c>
      <c r="AS9" s="105">
        <v>1</v>
      </c>
      <c r="AT9" s="105">
        <v>10.19693</v>
      </c>
      <c r="AU9" s="105">
        <v>10.19693</v>
      </c>
      <c r="AV9" s="103"/>
      <c r="AW9" s="103"/>
      <c r="AX9" s="102"/>
      <c r="AY9" s="102"/>
      <c r="AZ9" s="104">
        <v>9.810000000000001E-4</v>
      </c>
      <c r="BA9" s="104">
        <v>1.0000000000000001E-5</v>
      </c>
    </row>
    <row r="10" spans="1:53" ht="13.5" customHeight="1">
      <c r="A10" s="102">
        <v>526</v>
      </c>
      <c r="B10" s="102">
        <v>526</v>
      </c>
      <c r="C10" s="102"/>
      <c r="D10" s="102"/>
      <c r="E10" s="102"/>
      <c r="F10" s="102">
        <v>78910002</v>
      </c>
      <c r="G10" s="102" t="s">
        <v>1034</v>
      </c>
      <c r="H10" s="102" t="s">
        <v>785</v>
      </c>
      <c r="I10" s="102" t="s">
        <v>202</v>
      </c>
      <c r="J10" s="102"/>
      <c r="K10" s="102" t="s">
        <v>462</v>
      </c>
      <c r="L10" s="102" t="s">
        <v>336</v>
      </c>
      <c r="M10" s="102" t="s">
        <v>336</v>
      </c>
      <c r="N10" s="102"/>
      <c r="O10" s="108">
        <v>45655</v>
      </c>
      <c r="P10" s="102" t="s">
        <v>1440</v>
      </c>
      <c r="Q10" s="102" t="s">
        <v>413</v>
      </c>
      <c r="R10" s="102" t="s">
        <v>406</v>
      </c>
      <c r="S10" s="102" t="s">
        <v>1237</v>
      </c>
      <c r="T10" s="105">
        <v>10.54</v>
      </c>
      <c r="U10" s="102" t="s">
        <v>1439</v>
      </c>
      <c r="V10" s="104">
        <v>5.2135000000000001E-2</v>
      </c>
      <c r="W10" s="102"/>
      <c r="X10" s="102"/>
      <c r="Y10" s="104"/>
      <c r="Z10" s="104">
        <v>5.0299999999999997E-2</v>
      </c>
      <c r="AA10" s="108">
        <v>55184</v>
      </c>
      <c r="AB10" s="102" t="s">
        <v>410</v>
      </c>
      <c r="AC10" s="102"/>
      <c r="AD10" s="105"/>
      <c r="AE10" s="104"/>
      <c r="AF10" s="108"/>
      <c r="AG10" s="102"/>
      <c r="AH10" s="102"/>
      <c r="AI10" s="102"/>
      <c r="AJ10" s="102" t="s">
        <v>334</v>
      </c>
      <c r="AK10" s="102" t="s">
        <v>890</v>
      </c>
      <c r="AL10" s="102"/>
      <c r="AM10" s="102" t="s">
        <v>893</v>
      </c>
      <c r="AN10" s="108">
        <v>46203</v>
      </c>
      <c r="AO10" s="108"/>
      <c r="AP10" s="104"/>
      <c r="AQ10" s="105">
        <v>149348.19</v>
      </c>
      <c r="AR10" s="105">
        <v>106.6199</v>
      </c>
      <c r="AS10" s="105">
        <v>1</v>
      </c>
      <c r="AT10" s="105">
        <v>159.23504</v>
      </c>
      <c r="AU10" s="105">
        <v>159.23504</v>
      </c>
      <c r="AV10" s="103"/>
      <c r="AW10" s="103"/>
      <c r="AX10" s="102"/>
      <c r="AY10" s="102"/>
      <c r="AZ10" s="104">
        <v>1.5327E-2</v>
      </c>
      <c r="BA10" s="104">
        <v>1.6200000000000001E-4</v>
      </c>
    </row>
    <row r="11" spans="1:53" ht="13.5" customHeight="1">
      <c r="A11" s="102">
        <v>526</v>
      </c>
      <c r="B11" s="102">
        <v>526</v>
      </c>
      <c r="C11" s="102"/>
      <c r="D11" s="102"/>
      <c r="E11" s="102"/>
      <c r="F11" s="102">
        <v>79004021</v>
      </c>
      <c r="G11" s="102" t="s">
        <v>1034</v>
      </c>
      <c r="H11" s="102" t="s">
        <v>784</v>
      </c>
      <c r="I11" s="102" t="s">
        <v>202</v>
      </c>
      <c r="J11" s="102"/>
      <c r="K11" s="102" t="s">
        <v>462</v>
      </c>
      <c r="L11" s="102" t="s">
        <v>336</v>
      </c>
      <c r="M11" s="102" t="s">
        <v>336</v>
      </c>
      <c r="N11" s="102"/>
      <c r="O11" s="108">
        <v>46191</v>
      </c>
      <c r="P11" s="102" t="s">
        <v>1441</v>
      </c>
      <c r="Q11" s="102" t="s">
        <v>411</v>
      </c>
      <c r="R11" s="102" t="s">
        <v>406</v>
      </c>
      <c r="S11" s="102" t="s">
        <v>1237</v>
      </c>
      <c r="T11" s="105">
        <v>5.04</v>
      </c>
      <c r="U11" s="102" t="s">
        <v>1439</v>
      </c>
      <c r="V11" s="104">
        <v>3.6558E-2</v>
      </c>
      <c r="W11" s="102"/>
      <c r="X11" s="102"/>
      <c r="Y11" s="104"/>
      <c r="Z11" s="104">
        <v>4.02E-2</v>
      </c>
      <c r="AA11" s="108">
        <v>48390</v>
      </c>
      <c r="AB11" s="102" t="s">
        <v>410</v>
      </c>
      <c r="AC11" s="102"/>
      <c r="AD11" s="105"/>
      <c r="AE11" s="104"/>
      <c r="AF11" s="108"/>
      <c r="AG11" s="102"/>
      <c r="AH11" s="102"/>
      <c r="AI11" s="102"/>
      <c r="AJ11" s="102" t="s">
        <v>334</v>
      </c>
      <c r="AK11" s="102" t="s">
        <v>890</v>
      </c>
      <c r="AL11" s="102"/>
      <c r="AM11" s="102" t="s">
        <v>893</v>
      </c>
      <c r="AN11" s="108">
        <v>46203</v>
      </c>
      <c r="AO11" s="108"/>
      <c r="AP11" s="104"/>
      <c r="AQ11" s="105">
        <v>1690133.41</v>
      </c>
      <c r="AR11" s="105">
        <v>98.509900000000002</v>
      </c>
      <c r="AS11" s="105">
        <v>1</v>
      </c>
      <c r="AT11" s="105">
        <v>1664.9504199999999</v>
      </c>
      <c r="AU11" s="105">
        <v>1664.9504199999999</v>
      </c>
      <c r="AV11" s="103"/>
      <c r="AW11" s="103"/>
      <c r="AX11" s="102"/>
      <c r="AY11" s="102"/>
      <c r="AZ11" s="104">
        <v>0.16026000000000001</v>
      </c>
      <c r="BA11" s="104">
        <v>1.702E-3</v>
      </c>
    </row>
    <row r="12" spans="1:53" ht="13.5" customHeight="1">
      <c r="A12" s="102">
        <v>526</v>
      </c>
      <c r="B12" s="102">
        <v>526</v>
      </c>
      <c r="C12" s="102"/>
      <c r="D12" s="102"/>
      <c r="E12" s="102"/>
      <c r="F12" s="102">
        <v>78910003</v>
      </c>
      <c r="G12" s="102" t="s">
        <v>1034</v>
      </c>
      <c r="H12" s="102" t="s">
        <v>785</v>
      </c>
      <c r="I12" s="102" t="s">
        <v>202</v>
      </c>
      <c r="J12" s="102"/>
      <c r="K12" s="102" t="s">
        <v>462</v>
      </c>
      <c r="L12" s="102" t="s">
        <v>336</v>
      </c>
      <c r="M12" s="102" t="s">
        <v>336</v>
      </c>
      <c r="N12" s="102"/>
      <c r="O12" s="108">
        <v>45705</v>
      </c>
      <c r="P12" s="102" t="s">
        <v>1440</v>
      </c>
      <c r="Q12" s="102" t="s">
        <v>413</v>
      </c>
      <c r="R12" s="102" t="s">
        <v>406</v>
      </c>
      <c r="S12" s="102" t="s">
        <v>1237</v>
      </c>
      <c r="T12" s="105">
        <v>10.37</v>
      </c>
      <c r="U12" s="102" t="s">
        <v>1439</v>
      </c>
      <c r="V12" s="104">
        <v>5.2549999999999999E-2</v>
      </c>
      <c r="W12" s="102"/>
      <c r="X12" s="102"/>
      <c r="Y12" s="104"/>
      <c r="Z12" s="104">
        <v>5.3699999999999998E-2</v>
      </c>
      <c r="AA12" s="108">
        <v>55184</v>
      </c>
      <c r="AB12" s="102" t="s">
        <v>410</v>
      </c>
      <c r="AC12" s="102"/>
      <c r="AD12" s="105"/>
      <c r="AE12" s="104"/>
      <c r="AF12" s="108"/>
      <c r="AG12" s="102"/>
      <c r="AH12" s="102"/>
      <c r="AI12" s="102"/>
      <c r="AJ12" s="102" t="s">
        <v>334</v>
      </c>
      <c r="AK12" s="102" t="s">
        <v>890</v>
      </c>
      <c r="AL12" s="102"/>
      <c r="AM12" s="102" t="s">
        <v>893</v>
      </c>
      <c r="AN12" s="108">
        <v>46203</v>
      </c>
      <c r="AO12" s="108"/>
      <c r="AP12" s="104"/>
      <c r="AQ12" s="105">
        <v>185361.31</v>
      </c>
      <c r="AR12" s="105">
        <v>103.13</v>
      </c>
      <c r="AS12" s="105">
        <v>1</v>
      </c>
      <c r="AT12" s="105">
        <v>191.16311999999999</v>
      </c>
      <c r="AU12" s="105">
        <v>191.16311999999999</v>
      </c>
      <c r="AV12" s="103"/>
      <c r="AW12" s="103"/>
      <c r="AX12" s="102"/>
      <c r="AY12" s="102"/>
      <c r="AZ12" s="104">
        <v>1.84E-2</v>
      </c>
      <c r="BA12" s="104">
        <v>1.95E-4</v>
      </c>
    </row>
    <row r="13" spans="1:53" ht="13.5" customHeight="1">
      <c r="A13" s="102">
        <v>526</v>
      </c>
      <c r="B13" s="102">
        <v>526</v>
      </c>
      <c r="C13" s="102"/>
      <c r="D13" s="102"/>
      <c r="E13" s="102"/>
      <c r="F13" s="102">
        <v>79100304</v>
      </c>
      <c r="G13" s="102" t="s">
        <v>1034</v>
      </c>
      <c r="H13" s="102" t="s">
        <v>816</v>
      </c>
      <c r="I13" s="102" t="s">
        <v>202</v>
      </c>
      <c r="J13" s="102"/>
      <c r="K13" s="102" t="s">
        <v>476</v>
      </c>
      <c r="L13" s="102" t="s">
        <v>336</v>
      </c>
      <c r="M13" s="102" t="s">
        <v>336</v>
      </c>
      <c r="N13" s="102"/>
      <c r="O13" s="108">
        <v>45657</v>
      </c>
      <c r="P13" s="102" t="s">
        <v>1442</v>
      </c>
      <c r="Q13" s="102" t="s">
        <v>413</v>
      </c>
      <c r="R13" s="102" t="s">
        <v>406</v>
      </c>
      <c r="S13" s="102" t="s">
        <v>1237</v>
      </c>
      <c r="T13" s="105">
        <v>1.46</v>
      </c>
      <c r="U13" s="102" t="s">
        <v>822</v>
      </c>
      <c r="V13" s="104">
        <v>5.2499999999999998E-2</v>
      </c>
      <c r="W13" s="102"/>
      <c r="X13" s="102"/>
      <c r="Y13" s="104"/>
      <c r="Z13" s="104">
        <v>4.6199999999999998E-2</v>
      </c>
      <c r="AA13" s="108">
        <v>46752</v>
      </c>
      <c r="AB13" s="102" t="s">
        <v>410</v>
      </c>
      <c r="AC13" s="102"/>
      <c r="AD13" s="105"/>
      <c r="AE13" s="104"/>
      <c r="AF13" s="108"/>
      <c r="AG13" s="102"/>
      <c r="AH13" s="102"/>
      <c r="AI13" s="102"/>
      <c r="AJ13" s="102" t="s">
        <v>334</v>
      </c>
      <c r="AK13" s="102" t="s">
        <v>890</v>
      </c>
      <c r="AL13" s="102"/>
      <c r="AM13" s="102" t="s">
        <v>893</v>
      </c>
      <c r="AN13" s="108">
        <v>46203</v>
      </c>
      <c r="AO13" s="108"/>
      <c r="AP13" s="104"/>
      <c r="AQ13" s="105">
        <v>1000000</v>
      </c>
      <c r="AR13" s="105">
        <v>101.02</v>
      </c>
      <c r="AS13" s="105">
        <v>1</v>
      </c>
      <c r="AT13" s="105">
        <v>1010.2</v>
      </c>
      <c r="AU13" s="105">
        <v>1010.2</v>
      </c>
      <c r="AV13" s="103"/>
      <c r="AW13" s="103"/>
      <c r="AX13" s="102"/>
      <c r="AY13" s="102"/>
      <c r="AZ13" s="104">
        <v>9.7237000000000004E-2</v>
      </c>
      <c r="BA13" s="104">
        <v>1.0330000000000001E-3</v>
      </c>
    </row>
    <row r="14" spans="1:53" ht="13.5" customHeight="1">
      <c r="A14" s="102">
        <v>526</v>
      </c>
      <c r="B14" s="102">
        <v>526</v>
      </c>
      <c r="C14" s="102"/>
      <c r="D14" s="102"/>
      <c r="E14" s="102"/>
      <c r="F14" s="102">
        <v>78910004</v>
      </c>
      <c r="G14" s="102" t="s">
        <v>1034</v>
      </c>
      <c r="H14" s="102" t="s">
        <v>785</v>
      </c>
      <c r="I14" s="102" t="s">
        <v>202</v>
      </c>
      <c r="J14" s="102"/>
      <c r="K14" s="102" t="s">
        <v>462</v>
      </c>
      <c r="L14" s="102" t="s">
        <v>336</v>
      </c>
      <c r="M14" s="102" t="s">
        <v>336</v>
      </c>
      <c r="N14" s="102"/>
      <c r="O14" s="108">
        <v>45741</v>
      </c>
      <c r="P14" s="102" t="s">
        <v>1440</v>
      </c>
      <c r="Q14" s="102" t="s">
        <v>413</v>
      </c>
      <c r="R14" s="102" t="s">
        <v>406</v>
      </c>
      <c r="S14" s="102" t="s">
        <v>1237</v>
      </c>
      <c r="T14" s="105">
        <v>10.57</v>
      </c>
      <c r="U14" s="102" t="s">
        <v>1439</v>
      </c>
      <c r="V14" s="104">
        <v>5.2549999999999999E-2</v>
      </c>
      <c r="W14" s="102"/>
      <c r="X14" s="102"/>
      <c r="Y14" s="104"/>
      <c r="Z14" s="104">
        <v>4.9299999999999997E-2</v>
      </c>
      <c r="AA14" s="108">
        <v>55184</v>
      </c>
      <c r="AB14" s="102" t="s">
        <v>410</v>
      </c>
      <c r="AC14" s="102"/>
      <c r="AD14" s="105"/>
      <c r="AE14" s="104"/>
      <c r="AF14" s="108"/>
      <c r="AG14" s="102"/>
      <c r="AH14" s="102"/>
      <c r="AI14" s="102"/>
      <c r="AJ14" s="102" t="s">
        <v>334</v>
      </c>
      <c r="AK14" s="102" t="s">
        <v>890</v>
      </c>
      <c r="AL14" s="102"/>
      <c r="AM14" s="102" t="s">
        <v>893</v>
      </c>
      <c r="AN14" s="108">
        <v>46203</v>
      </c>
      <c r="AO14" s="108"/>
      <c r="AP14" s="104"/>
      <c r="AQ14" s="105">
        <v>144232</v>
      </c>
      <c r="AR14" s="105">
        <v>107.75</v>
      </c>
      <c r="AS14" s="105">
        <v>1</v>
      </c>
      <c r="AT14" s="105">
        <v>155.40997999999999</v>
      </c>
      <c r="AU14" s="105">
        <v>155.40997999999999</v>
      </c>
      <c r="AV14" s="103"/>
      <c r="AW14" s="103"/>
      <c r="AX14" s="102"/>
      <c r="AY14" s="102"/>
      <c r="AZ14" s="104">
        <v>1.4959E-2</v>
      </c>
      <c r="BA14" s="104">
        <v>1.5799999999999999E-4</v>
      </c>
    </row>
    <row r="15" spans="1:53" ht="13.5" customHeight="1">
      <c r="A15" s="102">
        <v>526</v>
      </c>
      <c r="B15" s="102">
        <v>526</v>
      </c>
      <c r="C15" s="102"/>
      <c r="D15" s="102"/>
      <c r="E15" s="102"/>
      <c r="F15" s="102">
        <v>78910005</v>
      </c>
      <c r="G15" s="102" t="s">
        <v>1034</v>
      </c>
      <c r="H15" s="102" t="s">
        <v>785</v>
      </c>
      <c r="I15" s="102" t="s">
        <v>202</v>
      </c>
      <c r="J15" s="102"/>
      <c r="K15" s="102" t="s">
        <v>462</v>
      </c>
      <c r="L15" s="102" t="s">
        <v>336</v>
      </c>
      <c r="M15" s="102" t="s">
        <v>336</v>
      </c>
      <c r="N15" s="102"/>
      <c r="O15" s="108">
        <v>45791</v>
      </c>
      <c r="P15" s="102" t="s">
        <v>1440</v>
      </c>
      <c r="Q15" s="102" t="s">
        <v>413</v>
      </c>
      <c r="R15" s="102" t="s">
        <v>406</v>
      </c>
      <c r="S15" s="102" t="s">
        <v>1237</v>
      </c>
      <c r="T15" s="105">
        <v>10.49</v>
      </c>
      <c r="U15" s="102" t="s">
        <v>1439</v>
      </c>
      <c r="V15" s="104">
        <v>5.296E-2</v>
      </c>
      <c r="W15" s="102"/>
      <c r="X15" s="102"/>
      <c r="Y15" s="104"/>
      <c r="Z15" s="104">
        <v>5.0799999999999998E-2</v>
      </c>
      <c r="AA15" s="108">
        <v>55184</v>
      </c>
      <c r="AB15" s="102" t="s">
        <v>410</v>
      </c>
      <c r="AC15" s="102"/>
      <c r="AD15" s="105"/>
      <c r="AE15" s="104"/>
      <c r="AF15" s="108"/>
      <c r="AG15" s="102"/>
      <c r="AH15" s="102"/>
      <c r="AI15" s="102"/>
      <c r="AJ15" s="102" t="s">
        <v>334</v>
      </c>
      <c r="AK15" s="102" t="s">
        <v>890</v>
      </c>
      <c r="AL15" s="102"/>
      <c r="AM15" s="102" t="s">
        <v>893</v>
      </c>
      <c r="AN15" s="108">
        <v>46203</v>
      </c>
      <c r="AO15" s="108"/>
      <c r="AP15" s="104"/>
      <c r="AQ15" s="105">
        <v>33376</v>
      </c>
      <c r="AR15" s="105">
        <v>106.0699</v>
      </c>
      <c r="AS15" s="105">
        <v>1</v>
      </c>
      <c r="AT15" s="105">
        <v>35.401919999999997</v>
      </c>
      <c r="AU15" s="105">
        <v>35.401919999999997</v>
      </c>
      <c r="AV15" s="103"/>
      <c r="AW15" s="103"/>
      <c r="AX15" s="102"/>
      <c r="AY15" s="102"/>
      <c r="AZ15" s="104">
        <v>3.4069999999999999E-3</v>
      </c>
      <c r="BA15" s="104">
        <v>3.6000000000000001E-5</v>
      </c>
    </row>
    <row r="16" spans="1:53" ht="13.5" customHeight="1">
      <c r="A16" s="102">
        <v>526</v>
      </c>
      <c r="B16" s="102">
        <v>526</v>
      </c>
      <c r="C16" s="102"/>
      <c r="D16" s="102"/>
      <c r="E16" s="102"/>
      <c r="F16" s="102">
        <v>78910006</v>
      </c>
      <c r="G16" s="102" t="s">
        <v>1034</v>
      </c>
      <c r="H16" s="102" t="s">
        <v>785</v>
      </c>
      <c r="I16" s="102" t="s">
        <v>202</v>
      </c>
      <c r="J16" s="102"/>
      <c r="K16" s="102" t="s">
        <v>462</v>
      </c>
      <c r="L16" s="102" t="s">
        <v>336</v>
      </c>
      <c r="M16" s="102" t="s">
        <v>336</v>
      </c>
      <c r="N16" s="102"/>
      <c r="O16" s="108">
        <v>45833</v>
      </c>
      <c r="P16" s="102" t="s">
        <v>1440</v>
      </c>
      <c r="Q16" s="102" t="s">
        <v>413</v>
      </c>
      <c r="R16" s="102" t="s">
        <v>406</v>
      </c>
      <c r="S16" s="102" t="s">
        <v>1237</v>
      </c>
      <c r="T16" s="105">
        <v>10.42</v>
      </c>
      <c r="U16" s="102" t="s">
        <v>1439</v>
      </c>
      <c r="V16" s="104">
        <v>5.2958999999999999E-2</v>
      </c>
      <c r="W16" s="102"/>
      <c r="X16" s="102"/>
      <c r="Y16" s="104"/>
      <c r="Z16" s="104">
        <v>5.2299999999999999E-2</v>
      </c>
      <c r="AA16" s="108">
        <v>55184</v>
      </c>
      <c r="AB16" s="102" t="s">
        <v>410</v>
      </c>
      <c r="AC16" s="102"/>
      <c r="AD16" s="105"/>
      <c r="AE16" s="104"/>
      <c r="AF16" s="108"/>
      <c r="AG16" s="102"/>
      <c r="AH16" s="102"/>
      <c r="AI16" s="102"/>
      <c r="AJ16" s="102" t="s">
        <v>334</v>
      </c>
      <c r="AK16" s="102" t="s">
        <v>890</v>
      </c>
      <c r="AL16" s="102"/>
      <c r="AM16" s="102" t="s">
        <v>893</v>
      </c>
      <c r="AN16" s="108">
        <v>46203</v>
      </c>
      <c r="AO16" s="108"/>
      <c r="AP16" s="104"/>
      <c r="AQ16" s="105">
        <v>2399</v>
      </c>
      <c r="AR16" s="105">
        <v>103.7398</v>
      </c>
      <c r="AS16" s="105">
        <v>1</v>
      </c>
      <c r="AT16" s="105">
        <v>2.4887199999999998</v>
      </c>
      <c r="AU16" s="105">
        <v>2.4887199999999998</v>
      </c>
      <c r="AV16" s="103"/>
      <c r="AW16" s="103"/>
      <c r="AX16" s="102"/>
      <c r="AY16" s="102"/>
      <c r="AZ16" s="104">
        <v>2.3900000000000001E-4</v>
      </c>
      <c r="BA16" s="104">
        <v>1.9999999999999999E-6</v>
      </c>
    </row>
    <row r="17" spans="1:53" ht="13.5" customHeight="1">
      <c r="A17" s="102">
        <v>526</v>
      </c>
      <c r="B17" s="102">
        <v>526</v>
      </c>
      <c r="C17" s="102"/>
      <c r="D17" s="102"/>
      <c r="E17" s="102"/>
      <c r="F17" s="102">
        <v>78910007</v>
      </c>
      <c r="G17" s="102" t="s">
        <v>1034</v>
      </c>
      <c r="H17" s="102" t="s">
        <v>785</v>
      </c>
      <c r="I17" s="102" t="s">
        <v>202</v>
      </c>
      <c r="J17" s="102"/>
      <c r="K17" s="102" t="s">
        <v>462</v>
      </c>
      <c r="L17" s="102" t="s">
        <v>336</v>
      </c>
      <c r="M17" s="102" t="s">
        <v>336</v>
      </c>
      <c r="N17" s="102"/>
      <c r="O17" s="108">
        <v>45900</v>
      </c>
      <c r="P17" s="102" t="s">
        <v>1440</v>
      </c>
      <c r="Q17" s="102" t="s">
        <v>413</v>
      </c>
      <c r="R17" s="102" t="s">
        <v>406</v>
      </c>
      <c r="S17" s="102" t="s">
        <v>1237</v>
      </c>
      <c r="T17" s="105">
        <v>10.33</v>
      </c>
      <c r="U17" s="102" t="s">
        <v>1439</v>
      </c>
      <c r="V17" s="104">
        <v>5.3359999999999998E-2</v>
      </c>
      <c r="W17" s="102"/>
      <c r="X17" s="102"/>
      <c r="Y17" s="104"/>
      <c r="Z17" s="104">
        <v>5.4100000000000002E-2</v>
      </c>
      <c r="AA17" s="108">
        <v>55184</v>
      </c>
      <c r="AB17" s="102" t="s">
        <v>410</v>
      </c>
      <c r="AC17" s="102"/>
      <c r="AD17" s="105"/>
      <c r="AE17" s="104"/>
      <c r="AF17" s="108"/>
      <c r="AG17" s="102"/>
      <c r="AH17" s="102"/>
      <c r="AI17" s="102"/>
      <c r="AJ17" s="102" t="s">
        <v>334</v>
      </c>
      <c r="AK17" s="102" t="s">
        <v>890</v>
      </c>
      <c r="AL17" s="102"/>
      <c r="AM17" s="102" t="s">
        <v>893</v>
      </c>
      <c r="AN17" s="108">
        <v>46203</v>
      </c>
      <c r="AO17" s="108"/>
      <c r="AP17" s="104"/>
      <c r="AQ17" s="105">
        <v>129482</v>
      </c>
      <c r="AR17" s="105">
        <v>101.6399</v>
      </c>
      <c r="AS17" s="105">
        <v>1</v>
      </c>
      <c r="AT17" s="105">
        <v>131.60550000000001</v>
      </c>
      <c r="AU17" s="105">
        <v>131.60550000000001</v>
      </c>
      <c r="AV17" s="103"/>
      <c r="AW17" s="103"/>
      <c r="AX17" s="102"/>
      <c r="AY17" s="102"/>
      <c r="AZ17" s="104">
        <v>1.2666999999999999E-2</v>
      </c>
      <c r="BA17" s="104">
        <v>1.34E-4</v>
      </c>
    </row>
    <row r="18" spans="1:53" ht="13.5" customHeight="1">
      <c r="A18" s="102">
        <v>526</v>
      </c>
      <c r="B18" s="102">
        <v>526</v>
      </c>
      <c r="C18" s="102"/>
      <c r="D18" s="102"/>
      <c r="E18" s="102"/>
      <c r="F18" s="102">
        <v>76056104</v>
      </c>
      <c r="G18" s="102" t="s">
        <v>1034</v>
      </c>
      <c r="H18" s="102" t="s">
        <v>810</v>
      </c>
      <c r="I18" s="102" t="s">
        <v>202</v>
      </c>
      <c r="J18" s="102"/>
      <c r="K18" s="102" t="s">
        <v>462</v>
      </c>
      <c r="L18" s="102" t="s">
        <v>336</v>
      </c>
      <c r="M18" s="102" t="s">
        <v>334</v>
      </c>
      <c r="N18" s="102"/>
      <c r="O18" s="108">
        <v>46030</v>
      </c>
      <c r="P18" s="102" t="s">
        <v>408</v>
      </c>
      <c r="Q18" s="102" t="s">
        <v>408</v>
      </c>
      <c r="R18" s="102" t="s">
        <v>408</v>
      </c>
      <c r="S18" s="102" t="s">
        <v>1237</v>
      </c>
      <c r="T18" s="105">
        <v>0.86</v>
      </c>
      <c r="U18" s="102" t="s">
        <v>822</v>
      </c>
      <c r="V18" s="104">
        <v>6.7500000000000004E-2</v>
      </c>
      <c r="W18" s="102"/>
      <c r="X18" s="102"/>
      <c r="Y18" s="104"/>
      <c r="Z18" s="104">
        <v>8.9300000000000004E-2</v>
      </c>
      <c r="AA18" s="108">
        <v>46526</v>
      </c>
      <c r="AB18" s="102" t="s">
        <v>410</v>
      </c>
      <c r="AC18" s="102"/>
      <c r="AD18" s="105"/>
      <c r="AE18" s="104"/>
      <c r="AF18" s="108"/>
      <c r="AG18" s="102"/>
      <c r="AH18" s="102"/>
      <c r="AI18" s="102"/>
      <c r="AJ18" s="102" t="s">
        <v>334</v>
      </c>
      <c r="AK18" s="102" t="s">
        <v>890</v>
      </c>
      <c r="AL18" s="102"/>
      <c r="AM18" s="102" t="s">
        <v>893</v>
      </c>
      <c r="AN18" s="108">
        <v>46203</v>
      </c>
      <c r="AO18" s="108"/>
      <c r="AP18" s="104"/>
      <c r="AQ18" s="105">
        <v>22309.78</v>
      </c>
      <c r="AR18" s="105">
        <v>100.1499</v>
      </c>
      <c r="AS18" s="105">
        <v>1</v>
      </c>
      <c r="AT18" s="105">
        <v>22.343240000000002</v>
      </c>
      <c r="AU18" s="105">
        <v>22.343240000000002</v>
      </c>
      <c r="AV18" s="103"/>
      <c r="AW18" s="103"/>
      <c r="AX18" s="102"/>
      <c r="AY18" s="102"/>
      <c r="AZ18" s="104">
        <v>2.15E-3</v>
      </c>
      <c r="BA18" s="104">
        <v>2.1999999999999999E-5</v>
      </c>
    </row>
    <row r="19" spans="1:53" ht="13.5" customHeight="1">
      <c r="A19" s="102">
        <v>526</v>
      </c>
      <c r="B19" s="102">
        <v>526</v>
      </c>
      <c r="C19" s="102"/>
      <c r="D19" s="102"/>
      <c r="E19" s="102"/>
      <c r="F19" s="102">
        <v>76056103</v>
      </c>
      <c r="G19" s="102" t="s">
        <v>1034</v>
      </c>
      <c r="H19" s="102" t="s">
        <v>810</v>
      </c>
      <c r="I19" s="102" t="s">
        <v>202</v>
      </c>
      <c r="J19" s="102"/>
      <c r="K19" s="102" t="s">
        <v>462</v>
      </c>
      <c r="L19" s="102" t="s">
        <v>336</v>
      </c>
      <c r="M19" s="102" t="s">
        <v>334</v>
      </c>
      <c r="N19" s="102"/>
      <c r="O19" s="108">
        <v>46005</v>
      </c>
      <c r="P19" s="102" t="s">
        <v>408</v>
      </c>
      <c r="Q19" s="102" t="s">
        <v>408</v>
      </c>
      <c r="R19" s="102" t="s">
        <v>408</v>
      </c>
      <c r="S19" s="102" t="s">
        <v>1237</v>
      </c>
      <c r="T19" s="105">
        <v>0.86</v>
      </c>
      <c r="U19" s="102" t="s">
        <v>822</v>
      </c>
      <c r="V19" s="104">
        <v>6.7500000000000004E-2</v>
      </c>
      <c r="W19" s="102"/>
      <c r="X19" s="102"/>
      <c r="Y19" s="104"/>
      <c r="Z19" s="104">
        <v>8.9300000000000004E-2</v>
      </c>
      <c r="AA19" s="108">
        <v>46526</v>
      </c>
      <c r="AB19" s="102" t="s">
        <v>410</v>
      </c>
      <c r="AC19" s="102"/>
      <c r="AD19" s="105"/>
      <c r="AE19" s="104"/>
      <c r="AF19" s="108"/>
      <c r="AG19" s="102"/>
      <c r="AH19" s="102"/>
      <c r="AI19" s="102"/>
      <c r="AJ19" s="102" t="s">
        <v>334</v>
      </c>
      <c r="AK19" s="102" t="s">
        <v>890</v>
      </c>
      <c r="AL19" s="102"/>
      <c r="AM19" s="102" t="s">
        <v>893</v>
      </c>
      <c r="AN19" s="108">
        <v>46203</v>
      </c>
      <c r="AO19" s="108"/>
      <c r="AP19" s="104"/>
      <c r="AQ19" s="105">
        <v>16584.37</v>
      </c>
      <c r="AR19" s="105">
        <v>99.83</v>
      </c>
      <c r="AS19" s="105">
        <v>1</v>
      </c>
      <c r="AT19" s="105">
        <v>16.556180000000001</v>
      </c>
      <c r="AU19" s="105">
        <v>16.556180000000001</v>
      </c>
      <c r="AV19" s="103"/>
      <c r="AW19" s="103"/>
      <c r="AX19" s="102"/>
      <c r="AY19" s="102"/>
      <c r="AZ19" s="104">
        <v>1.593E-3</v>
      </c>
      <c r="BA19" s="104">
        <v>1.5999999999999999E-5</v>
      </c>
    </row>
    <row r="20" spans="1:53" ht="13.5" customHeight="1">
      <c r="A20" s="102">
        <v>526</v>
      </c>
      <c r="B20" s="102">
        <v>526</v>
      </c>
      <c r="C20" s="102"/>
      <c r="D20" s="102"/>
      <c r="E20" s="102"/>
      <c r="F20" s="102">
        <v>76056102</v>
      </c>
      <c r="G20" s="102" t="s">
        <v>1034</v>
      </c>
      <c r="H20" s="102" t="s">
        <v>810</v>
      </c>
      <c r="I20" s="102" t="s">
        <v>202</v>
      </c>
      <c r="J20" s="102"/>
      <c r="K20" s="102" t="s">
        <v>462</v>
      </c>
      <c r="L20" s="102" t="s">
        <v>336</v>
      </c>
      <c r="M20" s="102" t="s">
        <v>334</v>
      </c>
      <c r="N20" s="102"/>
      <c r="O20" s="108">
        <v>45998</v>
      </c>
      <c r="P20" s="102" t="s">
        <v>408</v>
      </c>
      <c r="Q20" s="102" t="s">
        <v>408</v>
      </c>
      <c r="R20" s="102" t="s">
        <v>408</v>
      </c>
      <c r="S20" s="102" t="s">
        <v>1237</v>
      </c>
      <c r="T20" s="105">
        <v>0.86</v>
      </c>
      <c r="U20" s="102" t="s">
        <v>822</v>
      </c>
      <c r="V20" s="104">
        <v>6.7500000000000004E-2</v>
      </c>
      <c r="W20" s="102"/>
      <c r="X20" s="102"/>
      <c r="Y20" s="104"/>
      <c r="Z20" s="104">
        <v>8.9300000000000004E-2</v>
      </c>
      <c r="AA20" s="108">
        <v>46526</v>
      </c>
      <c r="AB20" s="102" t="s">
        <v>410</v>
      </c>
      <c r="AC20" s="102"/>
      <c r="AD20" s="105"/>
      <c r="AE20" s="104"/>
      <c r="AF20" s="108"/>
      <c r="AG20" s="102"/>
      <c r="AH20" s="102"/>
      <c r="AI20" s="102"/>
      <c r="AJ20" s="102" t="s">
        <v>334</v>
      </c>
      <c r="AK20" s="102" t="s">
        <v>890</v>
      </c>
      <c r="AL20" s="102"/>
      <c r="AM20" s="102" t="s">
        <v>893</v>
      </c>
      <c r="AN20" s="108">
        <v>46203</v>
      </c>
      <c r="AO20" s="108"/>
      <c r="AP20" s="104"/>
      <c r="AQ20" s="105">
        <v>7917.54</v>
      </c>
      <c r="AR20" s="105">
        <v>99.829899999999995</v>
      </c>
      <c r="AS20" s="105">
        <v>1</v>
      </c>
      <c r="AT20" s="105">
        <v>7.9040800000000004</v>
      </c>
      <c r="AU20" s="105">
        <v>7.9040800000000004</v>
      </c>
      <c r="AV20" s="103"/>
      <c r="AW20" s="103"/>
      <c r="AX20" s="102"/>
      <c r="AY20" s="102"/>
      <c r="AZ20" s="104">
        <v>7.6000000000000004E-4</v>
      </c>
      <c r="BA20" s="104">
        <v>7.9999999999999996E-6</v>
      </c>
    </row>
    <row r="21" spans="1:53" ht="13.5" customHeight="1">
      <c r="A21" s="102">
        <v>526</v>
      </c>
      <c r="B21" s="102">
        <v>526</v>
      </c>
      <c r="C21" s="102"/>
      <c r="D21" s="102"/>
      <c r="E21" s="102"/>
      <c r="F21" s="102">
        <v>76056101</v>
      </c>
      <c r="G21" s="102" t="s">
        <v>1034</v>
      </c>
      <c r="H21" s="102" t="s">
        <v>810</v>
      </c>
      <c r="I21" s="102" t="s">
        <v>202</v>
      </c>
      <c r="J21" s="102"/>
      <c r="K21" s="102" t="s">
        <v>462</v>
      </c>
      <c r="L21" s="102" t="s">
        <v>336</v>
      </c>
      <c r="M21" s="102" t="s">
        <v>334</v>
      </c>
      <c r="N21" s="102"/>
      <c r="O21" s="108">
        <v>45980</v>
      </c>
      <c r="P21" s="102" t="s">
        <v>408</v>
      </c>
      <c r="Q21" s="102" t="s">
        <v>408</v>
      </c>
      <c r="R21" s="102" t="s">
        <v>408</v>
      </c>
      <c r="S21" s="102" t="s">
        <v>1237</v>
      </c>
      <c r="T21" s="105">
        <v>0.87</v>
      </c>
      <c r="U21" s="102" t="s">
        <v>822</v>
      </c>
      <c r="V21" s="104">
        <v>6.7500000000000004E-2</v>
      </c>
      <c r="W21" s="102"/>
      <c r="X21" s="102"/>
      <c r="Y21" s="104"/>
      <c r="Z21" s="104">
        <v>9.35E-2</v>
      </c>
      <c r="AA21" s="108">
        <v>46526</v>
      </c>
      <c r="AB21" s="102" t="s">
        <v>410</v>
      </c>
      <c r="AC21" s="102"/>
      <c r="AD21" s="105"/>
      <c r="AE21" s="104"/>
      <c r="AF21" s="108"/>
      <c r="AG21" s="102"/>
      <c r="AH21" s="102"/>
      <c r="AI21" s="102"/>
      <c r="AJ21" s="102" t="s">
        <v>334</v>
      </c>
      <c r="AK21" s="102" t="s">
        <v>890</v>
      </c>
      <c r="AL21" s="102"/>
      <c r="AM21" s="102" t="s">
        <v>893</v>
      </c>
      <c r="AN21" s="108">
        <v>46203</v>
      </c>
      <c r="AO21" s="108"/>
      <c r="AP21" s="104"/>
      <c r="AQ21" s="105">
        <v>10876.81</v>
      </c>
      <c r="AR21" s="105">
        <v>99.479900000000001</v>
      </c>
      <c r="AS21" s="105">
        <v>1</v>
      </c>
      <c r="AT21" s="105">
        <v>10.82025</v>
      </c>
      <c r="AU21" s="105">
        <v>10.82025</v>
      </c>
      <c r="AV21" s="103"/>
      <c r="AW21" s="103"/>
      <c r="AX21" s="102"/>
      <c r="AY21" s="102"/>
      <c r="AZ21" s="104">
        <v>1.041E-3</v>
      </c>
      <c r="BA21" s="104">
        <v>1.1E-5</v>
      </c>
    </row>
    <row r="22" spans="1:53" ht="13.5" customHeight="1">
      <c r="A22" s="102">
        <v>526</v>
      </c>
      <c r="B22" s="102">
        <v>526</v>
      </c>
      <c r="C22" s="102"/>
      <c r="D22" s="102"/>
      <c r="E22" s="102"/>
      <c r="F22" s="102">
        <v>57088001</v>
      </c>
      <c r="G22" s="102" t="s">
        <v>1034</v>
      </c>
      <c r="H22" s="102" t="s">
        <v>785</v>
      </c>
      <c r="I22" s="102" t="s">
        <v>202</v>
      </c>
      <c r="J22" s="102"/>
      <c r="K22" s="102" t="s">
        <v>462</v>
      </c>
      <c r="L22" s="102" t="s">
        <v>336</v>
      </c>
      <c r="M22" s="102" t="s">
        <v>336</v>
      </c>
      <c r="N22" s="102"/>
      <c r="O22" s="108">
        <v>45565</v>
      </c>
      <c r="P22" s="102" t="s">
        <v>1441</v>
      </c>
      <c r="Q22" s="102" t="s">
        <v>411</v>
      </c>
      <c r="R22" s="102" t="s">
        <v>406</v>
      </c>
      <c r="S22" s="102" t="s">
        <v>1237</v>
      </c>
      <c r="T22" s="105">
        <v>3.68</v>
      </c>
      <c r="U22" s="102" t="s">
        <v>1439</v>
      </c>
      <c r="V22" s="104">
        <v>4.7524999999999998E-2</v>
      </c>
      <c r="W22" s="102"/>
      <c r="X22" s="102"/>
      <c r="Y22" s="104"/>
      <c r="Z22" s="104">
        <v>3.4700000000000002E-2</v>
      </c>
      <c r="AA22" s="108">
        <v>47664</v>
      </c>
      <c r="AB22" s="102" t="s">
        <v>410</v>
      </c>
      <c r="AC22" s="102"/>
      <c r="AD22" s="105"/>
      <c r="AE22" s="104"/>
      <c r="AF22" s="108"/>
      <c r="AG22" s="102"/>
      <c r="AH22" s="102"/>
      <c r="AI22" s="102"/>
      <c r="AJ22" s="102" t="s">
        <v>334</v>
      </c>
      <c r="AK22" s="102" t="s">
        <v>890</v>
      </c>
      <c r="AL22" s="102"/>
      <c r="AM22" s="102" t="s">
        <v>893</v>
      </c>
      <c r="AN22" s="108">
        <v>46203</v>
      </c>
      <c r="AO22" s="108"/>
      <c r="AP22" s="104"/>
      <c r="AQ22" s="105">
        <v>1000000</v>
      </c>
      <c r="AR22" s="105">
        <v>108.63</v>
      </c>
      <c r="AS22" s="105">
        <v>1</v>
      </c>
      <c r="AT22" s="105">
        <v>1086.3</v>
      </c>
      <c r="AU22" s="105">
        <v>1086.3</v>
      </c>
      <c r="AV22" s="103"/>
      <c r="AW22" s="103"/>
      <c r="AX22" s="102"/>
      <c r="AY22" s="102"/>
      <c r="AZ22" s="104">
        <v>0.104562</v>
      </c>
      <c r="BA22" s="104">
        <v>1.1100000000000001E-3</v>
      </c>
    </row>
    <row r="23" spans="1:53" ht="13.5" customHeight="1">
      <c r="A23" s="102">
        <v>526</v>
      </c>
      <c r="B23" s="102">
        <v>526</v>
      </c>
      <c r="C23" s="102"/>
      <c r="D23" s="102"/>
      <c r="E23" s="102"/>
      <c r="F23" s="102">
        <v>5789301</v>
      </c>
      <c r="G23" s="102" t="s">
        <v>1034</v>
      </c>
      <c r="H23" s="102" t="s">
        <v>810</v>
      </c>
      <c r="I23" s="102" t="s">
        <v>202</v>
      </c>
      <c r="J23" s="102"/>
      <c r="K23" s="102" t="s">
        <v>462</v>
      </c>
      <c r="L23" s="102" t="s">
        <v>336</v>
      </c>
      <c r="M23" s="102" t="s">
        <v>334</v>
      </c>
      <c r="N23" s="102"/>
      <c r="O23" s="108">
        <v>46096</v>
      </c>
      <c r="P23" s="102" t="s">
        <v>1443</v>
      </c>
      <c r="Q23" s="102" t="s">
        <v>413</v>
      </c>
      <c r="R23" s="102" t="s">
        <v>406</v>
      </c>
      <c r="S23" s="102" t="s">
        <v>1237</v>
      </c>
      <c r="T23" s="105">
        <v>0.5</v>
      </c>
      <c r="U23" s="102" t="s">
        <v>822</v>
      </c>
      <c r="V23" s="104">
        <v>5.9499999999999997E-2</v>
      </c>
      <c r="W23" s="102"/>
      <c r="X23" s="102"/>
      <c r="Y23" s="104"/>
      <c r="Z23" s="104">
        <v>5.67E-2</v>
      </c>
      <c r="AA23" s="108">
        <v>46388</v>
      </c>
      <c r="AB23" s="102" t="s">
        <v>410</v>
      </c>
      <c r="AC23" s="102"/>
      <c r="AD23" s="105"/>
      <c r="AE23" s="104"/>
      <c r="AF23" s="108"/>
      <c r="AG23" s="102"/>
      <c r="AH23" s="102"/>
      <c r="AI23" s="102"/>
      <c r="AJ23" s="102" t="s">
        <v>334</v>
      </c>
      <c r="AK23" s="102" t="s">
        <v>890</v>
      </c>
      <c r="AL23" s="102"/>
      <c r="AM23" s="102" t="s">
        <v>893</v>
      </c>
      <c r="AN23" s="108">
        <v>46203</v>
      </c>
      <c r="AO23" s="108"/>
      <c r="AP23" s="104"/>
      <c r="AQ23" s="105">
        <v>1880414.38</v>
      </c>
      <c r="AR23" s="105">
        <v>101.6699</v>
      </c>
      <c r="AS23" s="105">
        <v>1</v>
      </c>
      <c r="AT23" s="105">
        <v>1911.8172999999999</v>
      </c>
      <c r="AU23" s="105">
        <v>1911.8172999999999</v>
      </c>
      <c r="AV23" s="103"/>
      <c r="AW23" s="103"/>
      <c r="AX23" s="102"/>
      <c r="AY23" s="102"/>
      <c r="AZ23" s="104">
        <v>0.18402199999999999</v>
      </c>
      <c r="BA23" s="104">
        <v>1.9550000000000001E-3</v>
      </c>
    </row>
    <row r="24" spans="1:53" ht="13.5" customHeight="1">
      <c r="A24" s="102">
        <v>526</v>
      </c>
      <c r="B24" s="102">
        <v>526</v>
      </c>
      <c r="C24" s="102"/>
      <c r="D24" s="102"/>
      <c r="E24" s="102"/>
      <c r="F24" s="102">
        <v>5789302</v>
      </c>
      <c r="G24" s="102" t="s">
        <v>1034</v>
      </c>
      <c r="H24" s="102" t="s">
        <v>810</v>
      </c>
      <c r="I24" s="102" t="s">
        <v>202</v>
      </c>
      <c r="J24" s="102"/>
      <c r="K24" s="102" t="s">
        <v>462</v>
      </c>
      <c r="L24" s="102" t="s">
        <v>336</v>
      </c>
      <c r="M24" s="102" t="s">
        <v>334</v>
      </c>
      <c r="N24" s="102"/>
      <c r="O24" s="108">
        <v>46188</v>
      </c>
      <c r="P24" s="102" t="s">
        <v>1443</v>
      </c>
      <c r="Q24" s="102" t="s">
        <v>413</v>
      </c>
      <c r="R24" s="102" t="s">
        <v>406</v>
      </c>
      <c r="S24" s="102" t="s">
        <v>1237</v>
      </c>
      <c r="T24" s="105">
        <v>0.5</v>
      </c>
      <c r="U24" s="102" t="s">
        <v>822</v>
      </c>
      <c r="V24" s="104">
        <v>5.9499999999999997E-2</v>
      </c>
      <c r="W24" s="102"/>
      <c r="X24" s="102"/>
      <c r="Y24" s="104"/>
      <c r="Z24" s="104">
        <v>5.7599999999999998E-2</v>
      </c>
      <c r="AA24" s="108">
        <v>46388</v>
      </c>
      <c r="AB24" s="102" t="s">
        <v>410</v>
      </c>
      <c r="AC24" s="102"/>
      <c r="AD24" s="105"/>
      <c r="AE24" s="104"/>
      <c r="AF24" s="108"/>
      <c r="AG24" s="102"/>
      <c r="AH24" s="102"/>
      <c r="AI24" s="102"/>
      <c r="AJ24" s="102" t="s">
        <v>334</v>
      </c>
      <c r="AK24" s="102" t="s">
        <v>890</v>
      </c>
      <c r="AL24" s="102"/>
      <c r="AM24" s="102" t="s">
        <v>893</v>
      </c>
      <c r="AN24" s="108">
        <v>46203</v>
      </c>
      <c r="AO24" s="108"/>
      <c r="AP24" s="104"/>
      <c r="AQ24" s="105">
        <v>125000</v>
      </c>
      <c r="AR24" s="105">
        <v>100.4</v>
      </c>
      <c r="AS24" s="105">
        <v>1</v>
      </c>
      <c r="AT24" s="105">
        <v>125.5</v>
      </c>
      <c r="AU24" s="105">
        <v>125.5</v>
      </c>
      <c r="AV24" s="103"/>
      <c r="AW24" s="103"/>
      <c r="AX24" s="102"/>
      <c r="AY24" s="102"/>
      <c r="AZ24" s="104">
        <v>1.208E-2</v>
      </c>
      <c r="BA24" s="104">
        <v>1.2799999999999999E-4</v>
      </c>
    </row>
    <row r="25" spans="1:53" ht="13.5" customHeight="1">
      <c r="A25" s="102">
        <v>526</v>
      </c>
      <c r="B25" s="102">
        <v>526</v>
      </c>
      <c r="C25" s="102"/>
      <c r="D25" s="102"/>
      <c r="E25" s="102"/>
      <c r="F25" s="102">
        <v>70005201</v>
      </c>
      <c r="G25" s="102" t="s">
        <v>1034</v>
      </c>
      <c r="H25" s="102" t="s">
        <v>785</v>
      </c>
      <c r="I25" s="102" t="s">
        <v>202</v>
      </c>
      <c r="J25" s="102"/>
      <c r="K25" s="102" t="s">
        <v>462</v>
      </c>
      <c r="L25" s="102" t="s">
        <v>336</v>
      </c>
      <c r="M25" s="102" t="s">
        <v>334</v>
      </c>
      <c r="N25" s="102"/>
      <c r="O25" s="108">
        <v>46111</v>
      </c>
      <c r="P25" s="102" t="s">
        <v>1444</v>
      </c>
      <c r="Q25" s="102" t="s">
        <v>413</v>
      </c>
      <c r="R25" s="102" t="s">
        <v>406</v>
      </c>
      <c r="S25" s="102" t="s">
        <v>1237</v>
      </c>
      <c r="T25" s="105">
        <v>2.58</v>
      </c>
      <c r="U25" s="102" t="s">
        <v>822</v>
      </c>
      <c r="V25" s="104">
        <v>0.06</v>
      </c>
      <c r="W25" s="102"/>
      <c r="X25" s="102"/>
      <c r="Y25" s="104"/>
      <c r="Z25" s="104">
        <v>5.6300000000000003E-2</v>
      </c>
      <c r="AA25" s="108">
        <v>47208</v>
      </c>
      <c r="AB25" s="102" t="s">
        <v>410</v>
      </c>
      <c r="AC25" s="102"/>
      <c r="AD25" s="105"/>
      <c r="AE25" s="104"/>
      <c r="AF25" s="108"/>
      <c r="AG25" s="102"/>
      <c r="AH25" s="102"/>
      <c r="AI25" s="102"/>
      <c r="AJ25" s="102" t="s">
        <v>334</v>
      </c>
      <c r="AK25" s="102" t="s">
        <v>890</v>
      </c>
      <c r="AL25" s="102"/>
      <c r="AM25" s="102" t="s">
        <v>893</v>
      </c>
      <c r="AN25" s="108">
        <v>46203</v>
      </c>
      <c r="AO25" s="108"/>
      <c r="AP25" s="104"/>
      <c r="AQ25" s="105">
        <v>155494.70000000001</v>
      </c>
      <c r="AR25" s="105">
        <v>101.33</v>
      </c>
      <c r="AS25" s="105">
        <v>1</v>
      </c>
      <c r="AT25" s="105">
        <v>157.56278</v>
      </c>
      <c r="AU25" s="105">
        <v>157.56278</v>
      </c>
      <c r="AV25" s="103"/>
      <c r="AW25" s="103"/>
      <c r="AX25" s="102"/>
      <c r="AY25" s="102"/>
      <c r="AZ25" s="104">
        <v>1.5166000000000001E-2</v>
      </c>
      <c r="BA25" s="104">
        <v>1.6100000000000001E-4</v>
      </c>
    </row>
    <row r="26" spans="1:53" ht="13.5" customHeight="1">
      <c r="A26" s="102">
        <v>526</v>
      </c>
      <c r="B26" s="102">
        <v>526</v>
      </c>
      <c r="C26" s="102"/>
      <c r="D26" s="102"/>
      <c r="E26" s="102"/>
      <c r="F26" s="102">
        <v>78910008</v>
      </c>
      <c r="G26" s="102" t="s">
        <v>1034</v>
      </c>
      <c r="H26" s="102" t="s">
        <v>785</v>
      </c>
      <c r="I26" s="102" t="s">
        <v>202</v>
      </c>
      <c r="J26" s="102"/>
      <c r="K26" s="102" t="s">
        <v>462</v>
      </c>
      <c r="L26" s="102" t="s">
        <v>336</v>
      </c>
      <c r="M26" s="102" t="s">
        <v>336</v>
      </c>
      <c r="N26" s="102"/>
      <c r="O26" s="108">
        <v>45928</v>
      </c>
      <c r="P26" s="102" t="s">
        <v>1440</v>
      </c>
      <c r="Q26" s="102" t="s">
        <v>413</v>
      </c>
      <c r="R26" s="102" t="s">
        <v>406</v>
      </c>
      <c r="S26" s="102" t="s">
        <v>1237</v>
      </c>
      <c r="T26" s="105">
        <v>10.52</v>
      </c>
      <c r="U26" s="102" t="s">
        <v>1439</v>
      </c>
      <c r="V26" s="104">
        <v>5.3359999999999998E-2</v>
      </c>
      <c r="W26" s="102"/>
      <c r="X26" s="102"/>
      <c r="Y26" s="104"/>
      <c r="Z26" s="104">
        <v>5.0099999999999999E-2</v>
      </c>
      <c r="AA26" s="108">
        <v>55184</v>
      </c>
      <c r="AB26" s="102" t="s">
        <v>410</v>
      </c>
      <c r="AC26" s="102"/>
      <c r="AD26" s="105"/>
      <c r="AE26" s="104"/>
      <c r="AF26" s="108"/>
      <c r="AG26" s="102"/>
      <c r="AH26" s="102"/>
      <c r="AI26" s="102"/>
      <c r="AJ26" s="102" t="s">
        <v>334</v>
      </c>
      <c r="AK26" s="102" t="s">
        <v>890</v>
      </c>
      <c r="AL26" s="102"/>
      <c r="AM26" s="102" t="s">
        <v>893</v>
      </c>
      <c r="AN26" s="108">
        <v>46203</v>
      </c>
      <c r="AO26" s="108"/>
      <c r="AP26" s="104"/>
      <c r="AQ26" s="105">
        <v>126355</v>
      </c>
      <c r="AR26" s="105">
        <v>105.05</v>
      </c>
      <c r="AS26" s="105">
        <v>1</v>
      </c>
      <c r="AT26" s="105">
        <v>132.73593</v>
      </c>
      <c r="AU26" s="105">
        <v>132.73593</v>
      </c>
      <c r="AV26" s="103"/>
      <c r="AW26" s="103"/>
      <c r="AX26" s="102"/>
      <c r="AY26" s="102"/>
      <c r="AZ26" s="104">
        <v>1.2775999999999999E-2</v>
      </c>
      <c r="BA26" s="104">
        <v>1.35E-4</v>
      </c>
    </row>
    <row r="27" spans="1:53" ht="13.5" customHeight="1">
      <c r="A27" s="102">
        <v>526</v>
      </c>
      <c r="B27" s="102">
        <v>526</v>
      </c>
      <c r="C27" s="102"/>
      <c r="D27" s="102"/>
      <c r="E27" s="102"/>
      <c r="F27" s="102">
        <v>70005202</v>
      </c>
      <c r="G27" s="102" t="s">
        <v>1034</v>
      </c>
      <c r="H27" s="102" t="s">
        <v>785</v>
      </c>
      <c r="I27" s="102" t="s">
        <v>202</v>
      </c>
      <c r="J27" s="102"/>
      <c r="K27" s="102" t="s">
        <v>462</v>
      </c>
      <c r="L27" s="102" t="s">
        <v>336</v>
      </c>
      <c r="M27" s="102" t="s">
        <v>334</v>
      </c>
      <c r="N27" s="102"/>
      <c r="O27" s="108">
        <v>46142</v>
      </c>
      <c r="P27" s="102" t="s">
        <v>1444</v>
      </c>
      <c r="Q27" s="102" t="s">
        <v>413</v>
      </c>
      <c r="R27" s="102" t="s">
        <v>406</v>
      </c>
      <c r="S27" s="102" t="s">
        <v>1237</v>
      </c>
      <c r="T27" s="105">
        <v>2.58</v>
      </c>
      <c r="U27" s="102" t="s">
        <v>822</v>
      </c>
      <c r="V27" s="104">
        <v>0.06</v>
      </c>
      <c r="W27" s="102"/>
      <c r="X27" s="102"/>
      <c r="Y27" s="104"/>
      <c r="Z27" s="104">
        <v>5.8400000000000001E-2</v>
      </c>
      <c r="AA27" s="108">
        <v>47208</v>
      </c>
      <c r="AB27" s="102" t="s">
        <v>410</v>
      </c>
      <c r="AC27" s="102"/>
      <c r="AD27" s="105"/>
      <c r="AE27" s="104"/>
      <c r="AF27" s="108"/>
      <c r="AG27" s="102"/>
      <c r="AH27" s="102"/>
      <c r="AI27" s="102"/>
      <c r="AJ27" s="102" t="s">
        <v>334</v>
      </c>
      <c r="AK27" s="102" t="s">
        <v>890</v>
      </c>
      <c r="AL27" s="102"/>
      <c r="AM27" s="102" t="s">
        <v>893</v>
      </c>
      <c r="AN27" s="108">
        <v>46203</v>
      </c>
      <c r="AO27" s="108"/>
      <c r="AP27" s="104"/>
      <c r="AQ27" s="105">
        <v>37782.199999999997</v>
      </c>
      <c r="AR27" s="105">
        <v>100.7199</v>
      </c>
      <c r="AS27" s="105">
        <v>1</v>
      </c>
      <c r="AT27" s="105">
        <v>38.054229999999997</v>
      </c>
      <c r="AU27" s="105">
        <v>38.054229999999997</v>
      </c>
      <c r="AV27" s="103"/>
      <c r="AW27" s="103"/>
      <c r="AX27" s="102"/>
      <c r="AY27" s="102"/>
      <c r="AZ27" s="104">
        <v>3.6619999999999999E-3</v>
      </c>
      <c r="BA27" s="104">
        <v>3.8000000000000002E-5</v>
      </c>
    </row>
    <row r="28" spans="1:53" ht="13.5" customHeight="1">
      <c r="A28" s="102">
        <v>526</v>
      </c>
      <c r="B28" s="102">
        <v>526</v>
      </c>
      <c r="C28" s="102"/>
      <c r="D28" s="102"/>
      <c r="E28" s="102"/>
      <c r="F28" s="102">
        <v>70005204</v>
      </c>
      <c r="G28" s="102" t="s">
        <v>1034</v>
      </c>
      <c r="H28" s="102" t="s">
        <v>785</v>
      </c>
      <c r="I28" s="102" t="s">
        <v>202</v>
      </c>
      <c r="J28" s="102"/>
      <c r="K28" s="102" t="s">
        <v>462</v>
      </c>
      <c r="L28" s="102" t="s">
        <v>336</v>
      </c>
      <c r="M28" s="102" t="s">
        <v>334</v>
      </c>
      <c r="N28" s="102"/>
      <c r="O28" s="108">
        <v>46197</v>
      </c>
      <c r="P28" s="102" t="s">
        <v>1444</v>
      </c>
      <c r="Q28" s="102" t="s">
        <v>413</v>
      </c>
      <c r="R28" s="102" t="s">
        <v>406</v>
      </c>
      <c r="S28" s="102" t="s">
        <v>1237</v>
      </c>
      <c r="T28" s="105">
        <v>2.58</v>
      </c>
      <c r="U28" s="102" t="s">
        <v>822</v>
      </c>
      <c r="V28" s="104">
        <v>0.06</v>
      </c>
      <c r="W28" s="102"/>
      <c r="X28" s="102"/>
      <c r="Y28" s="104"/>
      <c r="Z28" s="104">
        <v>6.0999999999999999E-2</v>
      </c>
      <c r="AA28" s="108">
        <v>47208</v>
      </c>
      <c r="AB28" s="102" t="s">
        <v>410</v>
      </c>
      <c r="AC28" s="102"/>
      <c r="AD28" s="105"/>
      <c r="AE28" s="104"/>
      <c r="AF28" s="108"/>
      <c r="AG28" s="102"/>
      <c r="AH28" s="102"/>
      <c r="AI28" s="102"/>
      <c r="AJ28" s="102" t="s">
        <v>334</v>
      </c>
      <c r="AK28" s="102" t="s">
        <v>890</v>
      </c>
      <c r="AL28" s="102"/>
      <c r="AM28" s="102" t="s">
        <v>893</v>
      </c>
      <c r="AN28" s="108">
        <v>46203</v>
      </c>
      <c r="AO28" s="108"/>
      <c r="AP28" s="104"/>
      <c r="AQ28" s="105">
        <v>52051.29</v>
      </c>
      <c r="AR28" s="105">
        <v>100.07989999999999</v>
      </c>
      <c r="AS28" s="105">
        <v>1</v>
      </c>
      <c r="AT28" s="105">
        <v>52.092930000000003</v>
      </c>
      <c r="AU28" s="105">
        <v>52.092930000000003</v>
      </c>
      <c r="AV28" s="103"/>
      <c r="AW28" s="103"/>
      <c r="AX28" s="102"/>
      <c r="AY28" s="102"/>
      <c r="AZ28" s="104">
        <v>5.0140000000000002E-3</v>
      </c>
      <c r="BA28" s="104">
        <v>5.3000000000000001E-5</v>
      </c>
    </row>
    <row r="29" spans="1:53" ht="13.5" customHeight="1">
      <c r="A29" s="102">
        <v>526</v>
      </c>
      <c r="B29" s="102">
        <v>526</v>
      </c>
      <c r="C29" s="102"/>
      <c r="D29" s="102"/>
      <c r="E29" s="102"/>
      <c r="F29" s="102">
        <v>70005211</v>
      </c>
      <c r="G29" s="102" t="s">
        <v>1034</v>
      </c>
      <c r="H29" s="102" t="s">
        <v>785</v>
      </c>
      <c r="I29" s="102" t="s">
        <v>202</v>
      </c>
      <c r="J29" s="102"/>
      <c r="K29" s="102" t="s">
        <v>462</v>
      </c>
      <c r="L29" s="102" t="s">
        <v>336</v>
      </c>
      <c r="M29" s="102" t="s">
        <v>334</v>
      </c>
      <c r="N29" s="102"/>
      <c r="O29" s="108">
        <v>45711</v>
      </c>
      <c r="P29" s="102" t="s">
        <v>1444</v>
      </c>
      <c r="Q29" s="102" t="s">
        <v>413</v>
      </c>
      <c r="R29" s="102" t="s">
        <v>406</v>
      </c>
      <c r="S29" s="102" t="s">
        <v>1237</v>
      </c>
      <c r="T29" s="105">
        <v>0.3</v>
      </c>
      <c r="U29" s="102" t="s">
        <v>822</v>
      </c>
      <c r="V29" s="104">
        <v>6.1499999999999999E-2</v>
      </c>
      <c r="W29" s="102"/>
      <c r="X29" s="102"/>
      <c r="Y29" s="104"/>
      <c r="Z29" s="104">
        <v>5.8700000000000002E-2</v>
      </c>
      <c r="AA29" s="108">
        <v>46311</v>
      </c>
      <c r="AB29" s="102" t="s">
        <v>410</v>
      </c>
      <c r="AC29" s="102"/>
      <c r="AD29" s="105"/>
      <c r="AE29" s="104"/>
      <c r="AF29" s="108"/>
      <c r="AG29" s="102"/>
      <c r="AH29" s="102"/>
      <c r="AI29" s="102"/>
      <c r="AJ29" s="102" t="s">
        <v>334</v>
      </c>
      <c r="AK29" s="102" t="s">
        <v>890</v>
      </c>
      <c r="AL29" s="102"/>
      <c r="AM29" s="102" t="s">
        <v>893</v>
      </c>
      <c r="AN29" s="108">
        <v>46203</v>
      </c>
      <c r="AO29" s="108"/>
      <c r="AP29" s="104"/>
      <c r="AQ29" s="105">
        <v>1000000</v>
      </c>
      <c r="AR29" s="105">
        <v>100.12</v>
      </c>
      <c r="AS29" s="105">
        <v>1</v>
      </c>
      <c r="AT29" s="105">
        <v>1001.2</v>
      </c>
      <c r="AU29" s="105">
        <v>1001.2</v>
      </c>
      <c r="AV29" s="103"/>
      <c r="AW29" s="103"/>
      <c r="AX29" s="102"/>
      <c r="AY29" s="102"/>
      <c r="AZ29" s="104">
        <v>9.6369999999999997E-2</v>
      </c>
      <c r="BA29" s="104">
        <v>1.023E-3</v>
      </c>
    </row>
    <row r="30" spans="1:53" ht="13.5" customHeight="1">
      <c r="A30" s="102">
        <v>526</v>
      </c>
      <c r="B30" s="102">
        <v>526</v>
      </c>
      <c r="C30" s="102"/>
      <c r="D30" s="102"/>
      <c r="E30" s="102"/>
      <c r="F30" s="102">
        <v>75009600</v>
      </c>
      <c r="G30" s="102" t="s">
        <v>1034</v>
      </c>
      <c r="H30" s="102" t="s">
        <v>784</v>
      </c>
      <c r="I30" s="102" t="s">
        <v>202</v>
      </c>
      <c r="J30" s="102"/>
      <c r="K30" s="102" t="s">
        <v>462</v>
      </c>
      <c r="L30" s="102" t="s">
        <v>336</v>
      </c>
      <c r="M30" s="102" t="s">
        <v>334</v>
      </c>
      <c r="N30" s="102"/>
      <c r="O30" s="108">
        <v>45328</v>
      </c>
      <c r="P30" s="102" t="s">
        <v>1445</v>
      </c>
      <c r="Q30" s="102" t="s">
        <v>413</v>
      </c>
      <c r="R30" s="102" t="s">
        <v>406</v>
      </c>
      <c r="S30" s="102" t="s">
        <v>1237</v>
      </c>
      <c r="T30" s="105">
        <v>3.21</v>
      </c>
      <c r="U30" s="102" t="s">
        <v>1439</v>
      </c>
      <c r="V30" s="104">
        <v>2.9049999999999999E-2</v>
      </c>
      <c r="W30" s="102"/>
      <c r="X30" s="102"/>
      <c r="Y30" s="104"/>
      <c r="Z30" s="104">
        <v>2.8799999999999999E-2</v>
      </c>
      <c r="AA30" s="108">
        <v>47520</v>
      </c>
      <c r="AB30" s="102" t="s">
        <v>410</v>
      </c>
      <c r="AC30" s="102"/>
      <c r="AD30" s="105"/>
      <c r="AE30" s="104"/>
      <c r="AF30" s="108">
        <v>44986</v>
      </c>
      <c r="AG30" s="102"/>
      <c r="AH30" s="102"/>
      <c r="AI30" s="102"/>
      <c r="AJ30" s="102" t="s">
        <v>334</v>
      </c>
      <c r="AK30" s="102" t="s">
        <v>890</v>
      </c>
      <c r="AL30" s="102"/>
      <c r="AM30" s="102" t="s">
        <v>893</v>
      </c>
      <c r="AN30" s="108">
        <v>46203</v>
      </c>
      <c r="AO30" s="108"/>
      <c r="AP30" s="104"/>
      <c r="AQ30" s="105">
        <v>470000</v>
      </c>
      <c r="AR30" s="105">
        <v>108.58</v>
      </c>
      <c r="AS30" s="105">
        <v>1</v>
      </c>
      <c r="AT30" s="105">
        <v>510.32600000000002</v>
      </c>
      <c r="AU30" s="105">
        <v>510.32600000000002</v>
      </c>
      <c r="AV30" s="103"/>
      <c r="AW30" s="103"/>
      <c r="AX30" s="102"/>
      <c r="AY30" s="102"/>
      <c r="AZ30" s="104">
        <v>4.9120999999999998E-2</v>
      </c>
      <c r="BA30" s="104">
        <v>5.2099999999999998E-4</v>
      </c>
    </row>
    <row r="31" spans="1:53" ht="13.5" customHeight="1">
      <c r="A31" s="102">
        <v>526</v>
      </c>
      <c r="B31" s="102">
        <v>526</v>
      </c>
      <c r="C31" s="102"/>
      <c r="D31" s="102"/>
      <c r="E31" s="102"/>
      <c r="F31" s="102">
        <v>75009601</v>
      </c>
      <c r="G31" s="102" t="s">
        <v>1034</v>
      </c>
      <c r="H31" s="102" t="s">
        <v>784</v>
      </c>
      <c r="I31" s="102" t="s">
        <v>202</v>
      </c>
      <c r="J31" s="102"/>
      <c r="K31" s="102" t="s">
        <v>462</v>
      </c>
      <c r="L31" s="102" t="s">
        <v>336</v>
      </c>
      <c r="M31" s="102" t="s">
        <v>334</v>
      </c>
      <c r="N31" s="102"/>
      <c r="O31" s="108">
        <v>45328</v>
      </c>
      <c r="P31" s="102" t="s">
        <v>1352</v>
      </c>
      <c r="Q31" s="102" t="s">
        <v>411</v>
      </c>
      <c r="R31" s="102" t="s">
        <v>406</v>
      </c>
      <c r="S31" s="102" t="s">
        <v>1237</v>
      </c>
      <c r="T31" s="105">
        <v>3.21</v>
      </c>
      <c r="U31" s="102" t="s">
        <v>1439</v>
      </c>
      <c r="V31" s="104">
        <v>2.9049999999999999E-2</v>
      </c>
      <c r="W31" s="102"/>
      <c r="X31" s="102"/>
      <c r="Y31" s="104"/>
      <c r="Z31" s="104">
        <v>2.8899999999999999E-2</v>
      </c>
      <c r="AA31" s="108">
        <v>47520</v>
      </c>
      <c r="AB31" s="102" t="s">
        <v>410</v>
      </c>
      <c r="AC31" s="102"/>
      <c r="AD31" s="105"/>
      <c r="AE31" s="104"/>
      <c r="AF31" s="108">
        <v>44986</v>
      </c>
      <c r="AG31" s="102"/>
      <c r="AH31" s="102"/>
      <c r="AI31" s="102"/>
      <c r="AJ31" s="102" t="s">
        <v>334</v>
      </c>
      <c r="AK31" s="102" t="s">
        <v>890</v>
      </c>
      <c r="AL31" s="102"/>
      <c r="AM31" s="102" t="s">
        <v>893</v>
      </c>
      <c r="AN31" s="108">
        <v>46203</v>
      </c>
      <c r="AO31" s="108"/>
      <c r="AP31" s="104"/>
      <c r="AQ31" s="105">
        <v>470000</v>
      </c>
      <c r="AR31" s="105">
        <v>108.55</v>
      </c>
      <c r="AS31" s="105">
        <v>1</v>
      </c>
      <c r="AT31" s="105">
        <v>510.185</v>
      </c>
      <c r="AU31" s="105">
        <v>510.185</v>
      </c>
      <c r="AV31" s="103"/>
      <c r="AW31" s="103"/>
      <c r="AX31" s="102"/>
      <c r="AY31" s="102"/>
      <c r="AZ31" s="104">
        <v>4.9107999999999999E-2</v>
      </c>
      <c r="BA31" s="104">
        <v>5.2099999999999998E-4</v>
      </c>
    </row>
    <row r="32" spans="1:53" ht="13.5" customHeight="1">
      <c r="A32" s="102">
        <v>526</v>
      </c>
      <c r="B32" s="102">
        <v>526</v>
      </c>
      <c r="C32" s="102"/>
      <c r="D32" s="102"/>
      <c r="E32" s="102"/>
      <c r="F32" s="102">
        <v>70005203</v>
      </c>
      <c r="G32" s="102" t="s">
        <v>1034</v>
      </c>
      <c r="H32" s="102" t="s">
        <v>785</v>
      </c>
      <c r="I32" s="102" t="s">
        <v>202</v>
      </c>
      <c r="J32" s="102"/>
      <c r="K32" s="102" t="s">
        <v>462</v>
      </c>
      <c r="L32" s="102" t="s">
        <v>336</v>
      </c>
      <c r="M32" s="102" t="s">
        <v>334</v>
      </c>
      <c r="N32" s="102"/>
      <c r="O32" s="108">
        <v>46161</v>
      </c>
      <c r="P32" s="102" t="s">
        <v>1444</v>
      </c>
      <c r="Q32" s="102" t="s">
        <v>413</v>
      </c>
      <c r="R32" s="102" t="s">
        <v>406</v>
      </c>
      <c r="S32" s="102" t="s">
        <v>1237</v>
      </c>
      <c r="T32" s="105">
        <v>2.58</v>
      </c>
      <c r="U32" s="102" t="s">
        <v>822</v>
      </c>
      <c r="V32" s="104">
        <v>0.06</v>
      </c>
      <c r="W32" s="102"/>
      <c r="X32" s="102"/>
      <c r="Y32" s="104"/>
      <c r="Z32" s="104">
        <v>6.5100000000000005E-2</v>
      </c>
      <c r="AA32" s="108">
        <v>47208</v>
      </c>
      <c r="AB32" s="102" t="s">
        <v>410</v>
      </c>
      <c r="AC32" s="102"/>
      <c r="AD32" s="105"/>
      <c r="AE32" s="104"/>
      <c r="AF32" s="108"/>
      <c r="AG32" s="102"/>
      <c r="AH32" s="102"/>
      <c r="AI32" s="102"/>
      <c r="AJ32" s="102" t="s">
        <v>334</v>
      </c>
      <c r="AK32" s="102" t="s">
        <v>890</v>
      </c>
      <c r="AL32" s="102"/>
      <c r="AM32" s="102" t="s">
        <v>893</v>
      </c>
      <c r="AN32" s="108">
        <v>46203</v>
      </c>
      <c r="AO32" s="108"/>
      <c r="AP32" s="104"/>
      <c r="AQ32" s="105">
        <v>75018.95</v>
      </c>
      <c r="AR32" s="105">
        <v>100.56</v>
      </c>
      <c r="AS32" s="105">
        <v>1</v>
      </c>
      <c r="AT32" s="105">
        <v>75.439059999999998</v>
      </c>
      <c r="AU32" s="105">
        <v>75.439059999999998</v>
      </c>
      <c r="AV32" s="103"/>
      <c r="AW32" s="103"/>
      <c r="AX32" s="102"/>
      <c r="AY32" s="102"/>
      <c r="AZ32" s="104">
        <v>7.2610000000000001E-3</v>
      </c>
      <c r="BA32" s="104">
        <v>7.7000000000000001E-5</v>
      </c>
    </row>
    <row r="33" spans="1:53" ht="13.5" customHeight="1">
      <c r="A33" s="102">
        <v>526</v>
      </c>
      <c r="B33" s="102">
        <v>526</v>
      </c>
      <c r="C33" s="102"/>
      <c r="D33" s="102"/>
      <c r="E33" s="102"/>
      <c r="F33" s="102">
        <v>78910009</v>
      </c>
      <c r="G33" s="102" t="s">
        <v>1034</v>
      </c>
      <c r="H33" s="102" t="s">
        <v>785</v>
      </c>
      <c r="I33" s="102" t="s">
        <v>202</v>
      </c>
      <c r="J33" s="102"/>
      <c r="K33" s="102" t="s">
        <v>462</v>
      </c>
      <c r="L33" s="102" t="s">
        <v>336</v>
      </c>
      <c r="M33" s="102" t="s">
        <v>336</v>
      </c>
      <c r="N33" s="101"/>
      <c r="O33" s="108">
        <v>45991</v>
      </c>
      <c r="P33" s="102" t="s">
        <v>1440</v>
      </c>
      <c r="Q33" s="102" t="s">
        <v>413</v>
      </c>
      <c r="R33" s="102" t="s">
        <v>406</v>
      </c>
      <c r="S33" s="102" t="s">
        <v>1237</v>
      </c>
      <c r="T33" s="105">
        <v>10.3</v>
      </c>
      <c r="U33" s="102" t="s">
        <v>1439</v>
      </c>
      <c r="V33" s="104">
        <v>5.3766000000000001E-2</v>
      </c>
      <c r="W33" s="102"/>
      <c r="X33" s="102"/>
      <c r="Y33" s="104"/>
      <c r="Z33" s="104">
        <v>5.45E-2</v>
      </c>
      <c r="AA33" s="108">
        <v>55184</v>
      </c>
      <c r="AB33" s="102" t="s">
        <v>410</v>
      </c>
      <c r="AC33" s="102"/>
      <c r="AD33" s="105"/>
      <c r="AE33" s="104"/>
      <c r="AF33" s="108"/>
      <c r="AG33" s="102"/>
      <c r="AH33" s="102"/>
      <c r="AI33" s="102"/>
      <c r="AJ33" s="102" t="s">
        <v>334</v>
      </c>
      <c r="AK33" s="102" t="s">
        <v>890</v>
      </c>
      <c r="AL33" s="102"/>
      <c r="AM33" s="102" t="s">
        <v>893</v>
      </c>
      <c r="AN33" s="108">
        <v>46203</v>
      </c>
      <c r="AO33" s="108"/>
      <c r="AP33" s="104"/>
      <c r="AQ33" s="105">
        <v>37847</v>
      </c>
      <c r="AR33" s="105">
        <v>101.04</v>
      </c>
      <c r="AS33" s="105">
        <v>1</v>
      </c>
      <c r="AT33" s="105">
        <v>38.240609999999997</v>
      </c>
      <c r="AU33" s="105">
        <v>38.240609999999997</v>
      </c>
      <c r="AV33" s="103"/>
      <c r="AW33" s="103"/>
      <c r="AX33" s="102"/>
      <c r="AY33" s="102"/>
      <c r="AZ33" s="104">
        <v>3.6800000000000001E-3</v>
      </c>
      <c r="BA33" s="104">
        <v>3.8999999999999999E-5</v>
      </c>
    </row>
    <row r="34" spans="1:53" ht="13.5" customHeight="1"/>
    <row r="35" spans="1:53" ht="13.5" customHeight="1"/>
    <row r="36" spans="1:53" ht="13.5" customHeight="1"/>
    <row r="37" spans="1:53" ht="13.5" customHeight="1"/>
    <row r="38" spans="1:53" ht="13.5" customHeight="1"/>
    <row r="39" spans="1:53" ht="13.5" customHeight="1"/>
    <row r="40" spans="1:53" ht="13.5" customHeight="1"/>
    <row r="41" spans="1:53" ht="13.5" customHeight="1"/>
    <row r="42" spans="1:53" ht="13.5" customHeight="1"/>
    <row r="43" spans="1:53" ht="13.5" customHeight="1"/>
    <row r="44" spans="1:53" ht="13.5" customHeight="1"/>
    <row r="45" spans="1:53" ht="13.5" customHeight="1"/>
    <row r="46" spans="1:53" ht="13.5" customHeight="1"/>
    <row r="47" spans="1:53" ht="13.5" customHeight="1"/>
    <row r="48" spans="1:5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9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6" t="s">
        <v>72</v>
      </c>
      <c r="T1" s="110" t="s">
        <v>63</v>
      </c>
      <c r="U1" s="110" t="s">
        <v>74</v>
      </c>
      <c r="V1" s="21" t="s">
        <v>101</v>
      </c>
      <c r="W1" s="21" t="s">
        <v>102</v>
      </c>
      <c r="X1" s="109" t="s">
        <v>104</v>
      </c>
      <c r="Y1" s="106" t="s">
        <v>76</v>
      </c>
      <c r="Z1" s="106" t="s">
        <v>62</v>
      </c>
      <c r="AA1" s="106" t="s">
        <v>77</v>
      </c>
      <c r="AB1" s="106" t="s">
        <v>16</v>
      </c>
      <c r="AC1" s="110" t="s">
        <v>64</v>
      </c>
      <c r="AD1" s="110" t="s">
        <v>65</v>
      </c>
    </row>
    <row r="2" spans="1:30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8"/>
      <c r="O2" s="102"/>
      <c r="P2" s="102"/>
      <c r="Q2" s="102"/>
      <c r="R2" s="102"/>
      <c r="S2" s="105"/>
      <c r="T2" s="104"/>
      <c r="U2" s="104"/>
      <c r="V2" s="102"/>
      <c r="W2" s="102"/>
      <c r="X2" s="108"/>
      <c r="Y2" s="105"/>
      <c r="Z2" s="105"/>
      <c r="AA2" s="105"/>
      <c r="AB2" s="105"/>
      <c r="AC2" s="104"/>
      <c r="AD2" s="104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9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6" t="s">
        <v>72</v>
      </c>
      <c r="O1" s="110" t="s">
        <v>63</v>
      </c>
      <c r="P1" s="110" t="s">
        <v>74</v>
      </c>
      <c r="Q1" s="106" t="s">
        <v>61</v>
      </c>
      <c r="R1" s="106" t="s">
        <v>62</v>
      </c>
      <c r="S1" s="106" t="s">
        <v>173</v>
      </c>
      <c r="T1" s="106" t="s">
        <v>16</v>
      </c>
      <c r="U1" s="110" t="s">
        <v>64</v>
      </c>
      <c r="V1" s="110" t="s">
        <v>65</v>
      </c>
      <c r="W1" s="9"/>
      <c r="X1" s="9"/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8"/>
      <c r="H2" s="102"/>
      <c r="I2" s="102"/>
      <c r="J2" s="102"/>
      <c r="K2" s="102"/>
      <c r="L2" s="102"/>
      <c r="M2" s="102"/>
      <c r="N2" s="105"/>
      <c r="O2" s="104"/>
      <c r="P2" s="104"/>
      <c r="Q2" s="105"/>
      <c r="R2" s="105"/>
      <c r="S2" s="105"/>
      <c r="T2" s="105"/>
      <c r="U2" s="104"/>
      <c r="V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9" t="s">
        <v>95</v>
      </c>
      <c r="H1" s="21" t="s">
        <v>176</v>
      </c>
      <c r="I1" s="21" t="s">
        <v>177</v>
      </c>
      <c r="J1" s="21" t="s">
        <v>178</v>
      </c>
      <c r="K1" s="110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9" t="s">
        <v>104</v>
      </c>
      <c r="Q1" s="21" t="s">
        <v>60</v>
      </c>
      <c r="R1" s="106" t="s">
        <v>171</v>
      </c>
      <c r="S1" s="106" t="s">
        <v>16</v>
      </c>
      <c r="T1" s="106" t="s">
        <v>17</v>
      </c>
      <c r="U1" s="106" t="s">
        <v>87</v>
      </c>
      <c r="V1" s="21" t="s">
        <v>18</v>
      </c>
      <c r="W1" s="110" t="s">
        <v>64</v>
      </c>
      <c r="X1" s="110" t="s">
        <v>65</v>
      </c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8"/>
      <c r="H2" s="102"/>
      <c r="I2" s="102"/>
      <c r="J2" s="102"/>
      <c r="K2" s="104"/>
      <c r="L2" s="102"/>
      <c r="M2" s="102"/>
      <c r="N2" s="102"/>
      <c r="O2" s="102"/>
      <c r="P2" s="108"/>
      <c r="Q2" s="102"/>
      <c r="R2" s="105"/>
      <c r="S2" s="105"/>
      <c r="T2" s="105"/>
      <c r="U2" s="105"/>
      <c r="V2" s="102"/>
      <c r="W2" s="104"/>
      <c r="X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9" t="s">
        <v>104</v>
      </c>
      <c r="R1" s="109" t="s">
        <v>105</v>
      </c>
      <c r="S1" s="110" t="s">
        <v>181</v>
      </c>
      <c r="T1" s="106" t="s">
        <v>182</v>
      </c>
      <c r="U1" s="106" t="s">
        <v>16</v>
      </c>
      <c r="V1" s="110" t="s">
        <v>64</v>
      </c>
      <c r="W1" s="110" t="s">
        <v>65</v>
      </c>
      <c r="X1" s="9"/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8"/>
      <c r="R2" s="108"/>
      <c r="S2" s="104"/>
      <c r="T2" s="105"/>
      <c r="U2" s="105"/>
      <c r="V2" s="104"/>
      <c r="W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9" t="s">
        <v>185</v>
      </c>
      <c r="J1" s="21" t="s">
        <v>60</v>
      </c>
      <c r="K1" s="109" t="s">
        <v>104</v>
      </c>
      <c r="L1" s="106" t="s">
        <v>61</v>
      </c>
      <c r="M1" s="106" t="s">
        <v>62</v>
      </c>
      <c r="N1" s="106" t="s">
        <v>16</v>
      </c>
      <c r="O1" s="106" t="s">
        <v>17</v>
      </c>
      <c r="P1" s="21" t="s">
        <v>18</v>
      </c>
      <c r="Q1" s="110" t="s">
        <v>64</v>
      </c>
      <c r="R1" s="110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2">
        <v>526</v>
      </c>
      <c r="B2" s="102">
        <v>526</v>
      </c>
      <c r="C2" s="102"/>
      <c r="D2" s="102"/>
      <c r="E2" s="102"/>
      <c r="F2" s="102"/>
      <c r="G2" s="102"/>
      <c r="H2" s="102"/>
      <c r="I2" s="108"/>
      <c r="J2" s="102"/>
      <c r="K2" s="108"/>
      <c r="L2" s="105"/>
      <c r="M2" s="105"/>
      <c r="N2" s="105"/>
      <c r="O2" s="105"/>
      <c r="P2" s="102"/>
      <c r="Q2" s="104"/>
      <c r="R2" s="104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I2" sqref="I2:I10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5.375" customWidth="1"/>
    <col min="4" max="4" width="17.625" customWidth="1"/>
    <col min="5" max="5" width="41.625" customWidth="1"/>
    <col min="6" max="6" width="12.25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8.125" customWidth="1"/>
    <col min="12" max="12" width="16.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9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6" t="s">
        <v>62</v>
      </c>
      <c r="P1" s="110" t="s">
        <v>63</v>
      </c>
      <c r="Q1" s="21" t="s">
        <v>158</v>
      </c>
      <c r="R1" s="106" t="s">
        <v>187</v>
      </c>
      <c r="S1" s="106" t="s">
        <v>188</v>
      </c>
      <c r="T1" s="110" t="s">
        <v>189</v>
      </c>
    </row>
    <row r="2" spans="1:20" ht="13.5" customHeight="1">
      <c r="A2">
        <v>526</v>
      </c>
      <c r="B2">
        <v>526</v>
      </c>
      <c r="C2" s="114"/>
      <c r="F2">
        <v>70000750</v>
      </c>
      <c r="G2" s="115">
        <v>45274</v>
      </c>
      <c r="H2" t="s">
        <v>202</v>
      </c>
      <c r="J2" t="s">
        <v>336</v>
      </c>
      <c r="K2" s="116" t="s">
        <v>1440</v>
      </c>
      <c r="L2" t="s">
        <v>413</v>
      </c>
      <c r="M2" t="s">
        <v>407</v>
      </c>
      <c r="N2" t="s">
        <v>1237</v>
      </c>
      <c r="O2" s="107">
        <v>1</v>
      </c>
      <c r="P2" s="117">
        <v>5.0000000000000001E-3</v>
      </c>
      <c r="Q2" t="s">
        <v>1439</v>
      </c>
      <c r="R2" s="118">
        <v>1407.2310749999999</v>
      </c>
      <c r="S2" s="118">
        <v>1407.2310749999999</v>
      </c>
      <c r="T2" s="117">
        <v>0.35610000000000003</v>
      </c>
    </row>
    <row r="3" spans="1:20" ht="13.5" customHeight="1">
      <c r="A3">
        <v>526</v>
      </c>
      <c r="B3">
        <v>526</v>
      </c>
      <c r="C3" s="114"/>
      <c r="F3">
        <v>70000753</v>
      </c>
      <c r="G3" s="115">
        <v>45274</v>
      </c>
      <c r="H3" t="s">
        <v>202</v>
      </c>
      <c r="J3" t="s">
        <v>336</v>
      </c>
      <c r="K3" s="116" t="s">
        <v>1440</v>
      </c>
      <c r="L3" t="s">
        <v>413</v>
      </c>
      <c r="M3" t="s">
        <v>407</v>
      </c>
      <c r="N3" t="s">
        <v>1237</v>
      </c>
      <c r="O3" s="107">
        <v>1</v>
      </c>
      <c r="P3" s="117">
        <v>5.0000000000000001E-3</v>
      </c>
      <c r="Q3" t="s">
        <v>1439</v>
      </c>
      <c r="R3" s="118">
        <v>192.76892500000002</v>
      </c>
      <c r="S3" s="118">
        <v>192.76892500000002</v>
      </c>
      <c r="T3" s="117">
        <v>1</v>
      </c>
    </row>
    <row r="4" spans="1:20" ht="13.5" customHeight="1">
      <c r="A4">
        <v>526</v>
      </c>
      <c r="B4">
        <v>526</v>
      </c>
      <c r="C4" s="114"/>
      <c r="F4">
        <v>70000751</v>
      </c>
      <c r="G4" s="115">
        <v>45274</v>
      </c>
      <c r="H4" t="s">
        <v>202</v>
      </c>
      <c r="J4" t="s">
        <v>336</v>
      </c>
      <c r="K4" s="116" t="s">
        <v>1440</v>
      </c>
      <c r="L4" t="s">
        <v>413</v>
      </c>
      <c r="M4" t="s">
        <v>407</v>
      </c>
      <c r="N4" t="s">
        <v>1237</v>
      </c>
      <c r="O4" s="107">
        <v>1</v>
      </c>
      <c r="P4" s="117">
        <v>0.01</v>
      </c>
      <c r="Q4" t="s">
        <v>1439</v>
      </c>
      <c r="R4" s="118">
        <v>53.193575000000003</v>
      </c>
      <c r="S4" s="118">
        <v>53.193575000000003</v>
      </c>
      <c r="T4" s="117">
        <v>1</v>
      </c>
    </row>
    <row r="5" spans="1:20" ht="13.5" customHeight="1">
      <c r="A5">
        <v>526</v>
      </c>
      <c r="B5">
        <v>526</v>
      </c>
      <c r="C5" s="114"/>
      <c r="E5" s="119"/>
      <c r="F5">
        <v>70005200</v>
      </c>
      <c r="G5" s="115">
        <v>45687</v>
      </c>
      <c r="H5" t="s">
        <v>202</v>
      </c>
      <c r="J5" t="s">
        <v>336</v>
      </c>
      <c r="K5" t="s">
        <v>1443</v>
      </c>
      <c r="L5" t="s">
        <v>413</v>
      </c>
      <c r="M5" t="s">
        <v>407</v>
      </c>
      <c r="N5" t="s">
        <v>1237</v>
      </c>
      <c r="O5" s="107">
        <v>1</v>
      </c>
      <c r="P5" s="117">
        <v>0</v>
      </c>
      <c r="Q5" t="s">
        <v>1439</v>
      </c>
      <c r="R5" s="118">
        <v>1000</v>
      </c>
      <c r="S5" s="118">
        <v>1000</v>
      </c>
      <c r="T5" s="117">
        <v>0.68298000000000003</v>
      </c>
    </row>
    <row r="6" spans="1:20" ht="13.5" customHeight="1">
      <c r="A6">
        <v>526</v>
      </c>
      <c r="B6">
        <v>526</v>
      </c>
      <c r="C6" s="114"/>
      <c r="F6">
        <v>70005100</v>
      </c>
      <c r="G6" s="115">
        <v>45664</v>
      </c>
      <c r="H6" t="s">
        <v>202</v>
      </c>
      <c r="J6" t="s">
        <v>336</v>
      </c>
      <c r="K6" t="s">
        <v>1443</v>
      </c>
      <c r="L6" t="s">
        <v>413</v>
      </c>
      <c r="M6" t="s">
        <v>407</v>
      </c>
      <c r="N6" t="s">
        <v>1237</v>
      </c>
      <c r="O6" s="107">
        <v>1</v>
      </c>
      <c r="P6" s="117">
        <v>0</v>
      </c>
      <c r="Q6" t="s">
        <v>1439</v>
      </c>
      <c r="R6" s="118">
        <v>1000</v>
      </c>
      <c r="S6" s="118">
        <v>1000</v>
      </c>
      <c r="T6" s="117">
        <v>1</v>
      </c>
    </row>
    <row r="7" spans="1:20" ht="13.5" customHeight="1">
      <c r="A7">
        <v>526</v>
      </c>
      <c r="B7">
        <v>526</v>
      </c>
      <c r="C7" s="114"/>
      <c r="E7" s="119"/>
      <c r="F7">
        <v>76056100</v>
      </c>
      <c r="G7" s="115">
        <v>45958</v>
      </c>
      <c r="H7" t="s">
        <v>202</v>
      </c>
      <c r="J7" t="s">
        <v>336</v>
      </c>
      <c r="K7" t="s">
        <v>408</v>
      </c>
      <c r="L7" s="102" t="s">
        <v>408</v>
      </c>
      <c r="M7" t="s">
        <v>407</v>
      </c>
      <c r="N7" t="s">
        <v>1237</v>
      </c>
      <c r="O7" s="107">
        <v>1</v>
      </c>
      <c r="P7" s="117">
        <v>0</v>
      </c>
      <c r="Q7" t="s">
        <v>1439</v>
      </c>
      <c r="R7" s="118">
        <v>1500</v>
      </c>
      <c r="S7" s="118">
        <v>1500</v>
      </c>
      <c r="T7" s="117">
        <v>0.95272999999999997</v>
      </c>
    </row>
    <row r="8" spans="1:20" ht="13.5" customHeight="1">
      <c r="A8">
        <v>526</v>
      </c>
      <c r="B8">
        <v>526</v>
      </c>
      <c r="C8" s="114"/>
      <c r="F8">
        <v>76056150</v>
      </c>
      <c r="G8" s="115">
        <v>46041</v>
      </c>
      <c r="H8" t="s">
        <v>202</v>
      </c>
      <c r="J8" t="s">
        <v>336</v>
      </c>
      <c r="K8" t="s">
        <v>408</v>
      </c>
      <c r="L8" s="102" t="s">
        <v>408</v>
      </c>
      <c r="M8" t="s">
        <v>407</v>
      </c>
      <c r="N8" t="s">
        <v>1237</v>
      </c>
      <c r="O8" s="107">
        <v>1</v>
      </c>
      <c r="P8" s="117">
        <v>0</v>
      </c>
      <c r="Q8" t="s">
        <v>1439</v>
      </c>
      <c r="R8" s="118">
        <v>1000</v>
      </c>
      <c r="S8" s="118">
        <v>1000</v>
      </c>
      <c r="T8" s="117">
        <v>0.32695000000000002</v>
      </c>
    </row>
    <row r="9" spans="1:20" ht="13.5" customHeight="1">
      <c r="A9">
        <v>526</v>
      </c>
      <c r="B9">
        <v>526</v>
      </c>
      <c r="C9" s="114"/>
      <c r="E9" s="102"/>
      <c r="F9">
        <v>5789300</v>
      </c>
      <c r="G9" s="115">
        <v>46083</v>
      </c>
      <c r="H9" t="s">
        <v>202</v>
      </c>
      <c r="J9" t="s">
        <v>336</v>
      </c>
      <c r="K9" t="s">
        <v>1443</v>
      </c>
      <c r="L9" t="s">
        <v>413</v>
      </c>
      <c r="M9" t="s">
        <v>407</v>
      </c>
      <c r="N9" t="s">
        <v>1237</v>
      </c>
      <c r="O9" s="107">
        <v>1</v>
      </c>
      <c r="P9" s="117">
        <v>0</v>
      </c>
      <c r="Q9" t="s">
        <v>1439</v>
      </c>
      <c r="R9" s="118">
        <v>250</v>
      </c>
      <c r="S9" s="118">
        <v>250</v>
      </c>
      <c r="T9" s="117">
        <v>1</v>
      </c>
    </row>
    <row r="10" spans="1:20" ht="13.5" customHeight="1">
      <c r="A10">
        <v>526</v>
      </c>
      <c r="B10">
        <v>526</v>
      </c>
      <c r="C10" s="114"/>
      <c r="E10" s="120"/>
      <c r="F10">
        <v>79004025</v>
      </c>
      <c r="G10" s="115">
        <v>46161</v>
      </c>
      <c r="H10" t="s">
        <v>202</v>
      </c>
      <c r="J10" t="s">
        <v>336</v>
      </c>
      <c r="K10" t="s">
        <v>408</v>
      </c>
      <c r="L10" s="102" t="s">
        <v>408</v>
      </c>
      <c r="M10" t="s">
        <v>407</v>
      </c>
      <c r="N10" t="s">
        <v>1237</v>
      </c>
      <c r="O10" s="107">
        <v>1</v>
      </c>
      <c r="P10" s="117">
        <v>0</v>
      </c>
      <c r="Q10" t="s">
        <v>1439</v>
      </c>
      <c r="R10" s="121">
        <v>2000</v>
      </c>
      <c r="S10" s="121">
        <v>2000</v>
      </c>
      <c r="T10" s="117">
        <v>1</v>
      </c>
    </row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5" customWidth="1"/>
    <col min="4" max="4" width="33.125" customWidth="1"/>
    <col min="5" max="5" width="27" customWidth="1"/>
    <col min="6" max="6" width="28.375" customWidth="1"/>
    <col min="7" max="7" width="49.37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9" t="s">
        <v>190</v>
      </c>
      <c r="L1" s="106" t="s">
        <v>191</v>
      </c>
      <c r="M1" s="106" t="s">
        <v>192</v>
      </c>
      <c r="N1" s="106" t="s">
        <v>193</v>
      </c>
      <c r="O1" s="106" t="s">
        <v>194</v>
      </c>
      <c r="P1" s="110" t="s">
        <v>195</v>
      </c>
      <c r="Q1" s="109" t="s">
        <v>196</v>
      </c>
    </row>
    <row r="2" spans="1:17" ht="13.5" customHeight="1">
      <c r="A2" s="3">
        <v>526</v>
      </c>
      <c r="B2" s="3">
        <v>526</v>
      </c>
      <c r="C2" s="3" t="s">
        <v>1089</v>
      </c>
      <c r="D2" s="3" t="s">
        <v>1360</v>
      </c>
      <c r="F2" s="3"/>
      <c r="G2" s="122" t="s">
        <v>1361</v>
      </c>
      <c r="H2" s="123">
        <v>62018045</v>
      </c>
      <c r="I2" s="3" t="s">
        <v>311</v>
      </c>
      <c r="J2" s="124" t="s">
        <v>1241</v>
      </c>
      <c r="K2" s="115">
        <v>45229</v>
      </c>
      <c r="L2" s="125">
        <v>500</v>
      </c>
      <c r="M2" s="125">
        <v>2027.4999999999998</v>
      </c>
      <c r="N2" s="125">
        <v>112.724</v>
      </c>
      <c r="O2" s="125">
        <v>335.69200000000001</v>
      </c>
      <c r="P2" s="126">
        <v>0.22544800000000001</v>
      </c>
      <c r="Q2" s="115">
        <v>48882</v>
      </c>
    </row>
    <row r="3" spans="1:17" ht="13.5" customHeight="1">
      <c r="A3" s="3">
        <v>526</v>
      </c>
      <c r="B3" s="3">
        <v>526</v>
      </c>
      <c r="C3" s="3" t="s">
        <v>1089</v>
      </c>
      <c r="D3" s="3" t="s">
        <v>1368</v>
      </c>
      <c r="F3" s="3"/>
      <c r="G3" s="122" t="s">
        <v>1369</v>
      </c>
      <c r="H3" s="123">
        <v>62008450</v>
      </c>
      <c r="I3" s="3" t="s">
        <v>311</v>
      </c>
      <c r="J3" s="127" t="s">
        <v>1237</v>
      </c>
      <c r="K3" s="115">
        <v>45223</v>
      </c>
      <c r="L3" s="125">
        <v>1000</v>
      </c>
      <c r="M3" s="125">
        <v>1000</v>
      </c>
      <c r="N3" s="125">
        <v>509.69799999999998</v>
      </c>
      <c r="O3" s="125">
        <v>509.69799999999998</v>
      </c>
      <c r="P3" s="126">
        <v>0.50969799999999998</v>
      </c>
      <c r="Q3" s="115">
        <v>48876</v>
      </c>
    </row>
    <row r="4" spans="1:17" ht="13.5" customHeight="1">
      <c r="A4" s="3">
        <v>526</v>
      </c>
      <c r="B4" s="3">
        <v>526</v>
      </c>
      <c r="C4" s="3" t="s">
        <v>1089</v>
      </c>
      <c r="D4" t="s">
        <v>1446</v>
      </c>
      <c r="F4" s="3"/>
      <c r="G4" s="122" t="s">
        <v>1367</v>
      </c>
      <c r="H4" s="123">
        <v>62008551</v>
      </c>
      <c r="I4" s="3" t="s">
        <v>311</v>
      </c>
      <c r="J4" s="124" t="s">
        <v>1241</v>
      </c>
      <c r="K4" s="115">
        <v>45223</v>
      </c>
      <c r="L4" s="125">
        <v>805.58900000000006</v>
      </c>
      <c r="M4" s="125">
        <v>3273.1080000000002</v>
      </c>
      <c r="N4" s="125">
        <v>442.88299999999998</v>
      </c>
      <c r="O4" s="125">
        <v>1318.9059999999999</v>
      </c>
      <c r="P4" s="126">
        <v>0.54976296846158523</v>
      </c>
      <c r="Q4" s="115">
        <v>48876</v>
      </c>
    </row>
    <row r="5" spans="1:17" ht="13.5" customHeight="1">
      <c r="A5" s="3">
        <v>526</v>
      </c>
      <c r="B5" s="3">
        <v>526</v>
      </c>
      <c r="C5" s="3" t="s">
        <v>1089</v>
      </c>
      <c r="D5" t="s">
        <v>1447</v>
      </c>
      <c r="F5" s="3"/>
      <c r="G5" s="122" t="s">
        <v>1359</v>
      </c>
      <c r="H5" s="123">
        <v>50007970</v>
      </c>
      <c r="I5" s="3" t="s">
        <v>311</v>
      </c>
      <c r="J5" s="127" t="s">
        <v>1237</v>
      </c>
      <c r="K5" s="115">
        <v>45061</v>
      </c>
      <c r="L5" s="125">
        <v>3000</v>
      </c>
      <c r="M5" s="125">
        <v>3000</v>
      </c>
      <c r="N5" s="125">
        <v>1290</v>
      </c>
      <c r="O5" s="125">
        <v>1290</v>
      </c>
      <c r="P5" s="126">
        <v>0.43</v>
      </c>
      <c r="Q5" s="115">
        <v>47983</v>
      </c>
    </row>
    <row r="6" spans="1:17" ht="13.5" customHeight="1">
      <c r="A6" s="3">
        <v>526</v>
      </c>
      <c r="B6" s="3">
        <v>526</v>
      </c>
      <c r="C6" s="3" t="s">
        <v>1089</v>
      </c>
      <c r="D6" t="s">
        <v>1364</v>
      </c>
      <c r="F6" s="3"/>
      <c r="G6" s="122" t="s">
        <v>1365</v>
      </c>
      <c r="H6" s="123">
        <v>62021701</v>
      </c>
      <c r="I6" s="3" t="s">
        <v>311</v>
      </c>
      <c r="J6" s="127" t="s">
        <v>1237</v>
      </c>
      <c r="K6" s="115">
        <v>45449</v>
      </c>
      <c r="L6" s="125">
        <v>1000</v>
      </c>
      <c r="M6" s="125">
        <v>1000</v>
      </c>
      <c r="N6" s="125">
        <v>668.27800000000002</v>
      </c>
      <c r="O6" s="125">
        <v>668.27800000000002</v>
      </c>
      <c r="P6" s="126">
        <v>0.66827800000000004</v>
      </c>
      <c r="Q6" s="115">
        <v>48005</v>
      </c>
    </row>
    <row r="7" spans="1:17" ht="13.5" customHeight="1">
      <c r="A7" s="3">
        <v>526</v>
      </c>
      <c r="B7" s="3">
        <v>526</v>
      </c>
      <c r="C7" s="3" t="s">
        <v>1089</v>
      </c>
      <c r="D7" t="s">
        <v>1448</v>
      </c>
      <c r="F7" s="3"/>
      <c r="G7" s="122" t="s">
        <v>1363</v>
      </c>
      <c r="H7" s="123">
        <v>38044</v>
      </c>
      <c r="I7" s="3" t="s">
        <v>311</v>
      </c>
      <c r="J7" s="127" t="s">
        <v>1237</v>
      </c>
      <c r="K7" s="115">
        <v>45545</v>
      </c>
      <c r="L7" s="125">
        <v>1000</v>
      </c>
      <c r="M7" s="125">
        <v>1000</v>
      </c>
      <c r="N7" s="125">
        <v>701.50599999999997</v>
      </c>
      <c r="O7" s="125">
        <v>701.50599999999997</v>
      </c>
      <c r="P7" s="126">
        <v>0.70150599999999996</v>
      </c>
      <c r="Q7" s="115">
        <v>49948</v>
      </c>
    </row>
    <row r="8" spans="1:17" ht="13.5" customHeight="1">
      <c r="A8" s="3">
        <v>526</v>
      </c>
      <c r="B8" s="3">
        <v>526</v>
      </c>
      <c r="C8" s="3" t="s">
        <v>1089</v>
      </c>
      <c r="D8" s="116" t="s">
        <v>1449</v>
      </c>
      <c r="F8" s="3"/>
      <c r="G8" s="128" t="s">
        <v>1357</v>
      </c>
      <c r="H8" s="123">
        <v>62028996</v>
      </c>
      <c r="I8" s="3" t="s">
        <v>311</v>
      </c>
      <c r="J8" s="127" t="s">
        <v>1237</v>
      </c>
      <c r="K8" s="115">
        <v>45992</v>
      </c>
      <c r="L8" s="125">
        <v>1340</v>
      </c>
      <c r="M8" s="125">
        <v>1340</v>
      </c>
      <c r="N8" s="125">
        <v>1256.028</v>
      </c>
      <c r="O8" s="125">
        <v>1256.028</v>
      </c>
      <c r="P8" s="126">
        <v>0.93733432835820896</v>
      </c>
      <c r="Q8" s="115">
        <v>48914</v>
      </c>
    </row>
    <row r="9" spans="1:17" ht="13.5" customHeight="1">
      <c r="A9" s="3">
        <v>526</v>
      </c>
      <c r="B9" s="3">
        <v>526</v>
      </c>
      <c r="C9" s="3" t="s">
        <v>1089</v>
      </c>
      <c r="D9" s="116" t="s">
        <v>1450</v>
      </c>
      <c r="F9" s="3"/>
      <c r="G9" s="122" t="s">
        <v>1451</v>
      </c>
      <c r="H9" s="123">
        <v>62017881</v>
      </c>
      <c r="I9" s="3" t="s">
        <v>311</v>
      </c>
      <c r="J9" s="124" t="s">
        <v>1241</v>
      </c>
      <c r="K9" s="115">
        <v>46191</v>
      </c>
      <c r="L9" s="125">
        <v>500</v>
      </c>
      <c r="M9" s="125">
        <v>1472</v>
      </c>
      <c r="N9" s="125">
        <v>500</v>
      </c>
      <c r="O9" s="125">
        <v>1489</v>
      </c>
      <c r="P9" s="126">
        <v>1</v>
      </c>
      <c r="Q9" s="115">
        <v>49849</v>
      </c>
    </row>
    <row r="10" spans="1:17" ht="13.5" customHeight="1">
      <c r="A10" s="3">
        <v>526</v>
      </c>
      <c r="B10" s="3">
        <v>526</v>
      </c>
      <c r="C10" s="3" t="s">
        <v>1089</v>
      </c>
      <c r="D10" t="s">
        <v>1452</v>
      </c>
      <c r="F10" s="3"/>
      <c r="G10" s="122" t="s">
        <v>1409</v>
      </c>
      <c r="H10" s="123">
        <v>62021209</v>
      </c>
      <c r="I10" s="3" t="s">
        <v>311</v>
      </c>
      <c r="J10" s="124" t="s">
        <v>1241</v>
      </c>
      <c r="K10" s="115">
        <v>45021</v>
      </c>
      <c r="L10" s="125">
        <v>173.26732999999999</v>
      </c>
      <c r="M10" s="125">
        <v>617.52476411999999</v>
      </c>
      <c r="N10" s="125">
        <v>98.685329999999993</v>
      </c>
      <c r="O10" s="125">
        <v>293.88491274</v>
      </c>
      <c r="P10" s="126">
        <v>0.56955532240267104</v>
      </c>
      <c r="Q10" s="115">
        <v>48674</v>
      </c>
    </row>
    <row r="11" spans="1:17" ht="13.5" customHeight="1">
      <c r="A11" s="3">
        <v>526</v>
      </c>
      <c r="B11" s="3">
        <v>526</v>
      </c>
      <c r="C11" s="3" t="s">
        <v>1089</v>
      </c>
      <c r="D11" t="s">
        <v>1452</v>
      </c>
      <c r="F11" s="3"/>
      <c r="G11" s="122" t="s">
        <v>1420</v>
      </c>
      <c r="H11" s="123">
        <v>62021214</v>
      </c>
      <c r="I11" s="3" t="s">
        <v>311</v>
      </c>
      <c r="J11" s="124" t="s">
        <v>1241</v>
      </c>
      <c r="K11" s="115">
        <v>45021</v>
      </c>
      <c r="L11" s="125">
        <v>826.7326700000001</v>
      </c>
      <c r="M11" s="125">
        <v>2946.4752358800001</v>
      </c>
      <c r="N11" s="125">
        <v>473.53867000000002</v>
      </c>
      <c r="O11" s="125">
        <v>1410.1981592600002</v>
      </c>
      <c r="P11" s="126">
        <v>0.5727833037008202</v>
      </c>
      <c r="Q11" s="115">
        <v>48674</v>
      </c>
    </row>
    <row r="12" spans="1:17" ht="13.5" customHeight="1">
      <c r="A12" s="3">
        <v>526</v>
      </c>
      <c r="B12" s="3">
        <v>526</v>
      </c>
      <c r="C12" s="3" t="s">
        <v>1089</v>
      </c>
      <c r="D12" t="s">
        <v>1358</v>
      </c>
      <c r="F12" s="3"/>
      <c r="G12" s="122" t="s">
        <v>1425</v>
      </c>
      <c r="H12" s="123">
        <v>62021274</v>
      </c>
      <c r="I12" s="3" t="s">
        <v>311</v>
      </c>
      <c r="J12" s="124" t="s">
        <v>1236</v>
      </c>
      <c r="K12" s="115">
        <v>45105</v>
      </c>
      <c r="L12" s="129">
        <v>1000</v>
      </c>
      <c r="M12" s="125">
        <v>4030.9</v>
      </c>
      <c r="N12" s="125">
        <v>688.48388</v>
      </c>
      <c r="O12" s="125">
        <v>2337.0585306599996</v>
      </c>
      <c r="P12" s="126">
        <v>0.68848388000000005</v>
      </c>
      <c r="Q12" s="115">
        <v>48758</v>
      </c>
    </row>
    <row r="13" spans="1:17" ht="13.5" customHeight="1">
      <c r="A13" s="3">
        <v>526</v>
      </c>
      <c r="B13" s="3">
        <v>526</v>
      </c>
      <c r="C13" s="3" t="s">
        <v>1089</v>
      </c>
      <c r="D13" s="3" t="s">
        <v>1453</v>
      </c>
      <c r="F13" s="3"/>
      <c r="G13" s="122" t="s">
        <v>1372</v>
      </c>
      <c r="H13" s="123">
        <v>62013932</v>
      </c>
      <c r="I13" s="3" t="s">
        <v>311</v>
      </c>
      <c r="J13" s="124" t="s">
        <v>1241</v>
      </c>
      <c r="K13" s="115">
        <v>45136</v>
      </c>
      <c r="L13" s="129">
        <v>1000</v>
      </c>
      <c r="M13" s="125">
        <v>3713</v>
      </c>
      <c r="N13" s="125">
        <v>798.75175999999999</v>
      </c>
      <c r="O13" s="125">
        <v>2378.6827412800003</v>
      </c>
      <c r="P13" s="126">
        <v>0.79875176000000003</v>
      </c>
      <c r="Q13" s="115">
        <v>49519</v>
      </c>
    </row>
    <row r="14" spans="1:17" ht="13.5" customHeight="1">
      <c r="A14" s="3">
        <v>526</v>
      </c>
      <c r="B14" s="3">
        <v>526</v>
      </c>
      <c r="C14" s="3" t="s">
        <v>1089</v>
      </c>
      <c r="D14" t="s">
        <v>1454</v>
      </c>
      <c r="F14" s="3"/>
      <c r="G14" s="122" t="s">
        <v>1427</v>
      </c>
      <c r="H14" s="123">
        <v>62021464</v>
      </c>
      <c r="I14" s="3" t="s">
        <v>311</v>
      </c>
      <c r="J14" s="124" t="s">
        <v>1236</v>
      </c>
      <c r="K14" s="115">
        <v>45238</v>
      </c>
      <c r="L14" s="129">
        <v>900</v>
      </c>
      <c r="M14" s="125">
        <v>3696.75</v>
      </c>
      <c r="N14" s="125">
        <v>261.79444999999993</v>
      </c>
      <c r="O14" s="125">
        <v>888.66126052499976</v>
      </c>
      <c r="P14" s="126">
        <v>0.29088272222222217</v>
      </c>
      <c r="Q14" s="115">
        <v>48760</v>
      </c>
    </row>
    <row r="15" spans="1:17" ht="13.5" customHeight="1">
      <c r="A15" s="3">
        <v>526</v>
      </c>
      <c r="B15" s="3">
        <v>526</v>
      </c>
      <c r="C15" s="3" t="s">
        <v>1089</v>
      </c>
      <c r="D15" s="3" t="s">
        <v>1455</v>
      </c>
      <c r="F15" s="3"/>
      <c r="G15" s="122" t="s">
        <v>1411</v>
      </c>
      <c r="H15" s="123">
        <v>62021472</v>
      </c>
      <c r="I15" s="3" t="s">
        <v>311</v>
      </c>
      <c r="J15" s="124" t="s">
        <v>1241</v>
      </c>
      <c r="K15" s="115">
        <v>45246</v>
      </c>
      <c r="L15" s="129">
        <v>1000</v>
      </c>
      <c r="M15" s="125">
        <v>3779</v>
      </c>
      <c r="N15" s="125">
        <v>150.74332999999996</v>
      </c>
      <c r="O15" s="125">
        <v>448.9136367399999</v>
      </c>
      <c r="P15" s="126">
        <v>0.15074332999999995</v>
      </c>
      <c r="Q15" s="115">
        <v>48899</v>
      </c>
    </row>
    <row r="16" spans="1:17" ht="13.5" customHeight="1">
      <c r="A16" s="3">
        <v>526</v>
      </c>
      <c r="B16" s="3">
        <v>526</v>
      </c>
      <c r="C16" s="3" t="s">
        <v>1089</v>
      </c>
      <c r="D16" t="s">
        <v>1456</v>
      </c>
      <c r="F16" s="3"/>
      <c r="G16" s="122" t="s">
        <v>1389</v>
      </c>
      <c r="H16" s="123">
        <v>62021514</v>
      </c>
      <c r="I16" s="3" t="s">
        <v>311</v>
      </c>
      <c r="J16" s="124" t="s">
        <v>1241</v>
      </c>
      <c r="K16" s="115">
        <v>45261</v>
      </c>
      <c r="L16" s="129">
        <v>750</v>
      </c>
      <c r="M16" s="125">
        <v>2804.25</v>
      </c>
      <c r="N16" s="125">
        <v>120</v>
      </c>
      <c r="O16" s="125">
        <v>357.36</v>
      </c>
      <c r="P16" s="126">
        <v>0.16</v>
      </c>
      <c r="Q16" s="115">
        <v>47270</v>
      </c>
    </row>
    <row r="17" spans="1:17" ht="13.5" customHeight="1">
      <c r="A17" s="3">
        <v>526</v>
      </c>
      <c r="B17" s="3">
        <v>526</v>
      </c>
      <c r="C17" s="3" t="s">
        <v>1089</v>
      </c>
      <c r="D17" t="s">
        <v>1457</v>
      </c>
      <c r="F17" s="3"/>
      <c r="G17" s="122" t="s">
        <v>1413</v>
      </c>
      <c r="H17" s="123">
        <v>62021597</v>
      </c>
      <c r="I17" s="3" t="s">
        <v>311</v>
      </c>
      <c r="J17" s="124" t="s">
        <v>1236</v>
      </c>
      <c r="K17" s="115">
        <v>45092</v>
      </c>
      <c r="L17" s="129">
        <v>1000</v>
      </c>
      <c r="M17" s="125">
        <v>3884.6</v>
      </c>
      <c r="N17" s="125">
        <v>631.11179000000004</v>
      </c>
      <c r="O17" s="125">
        <v>2142.3089711550001</v>
      </c>
      <c r="P17" s="126">
        <v>0.63111179000000006</v>
      </c>
      <c r="Q17" s="115">
        <v>49846</v>
      </c>
    </row>
    <row r="18" spans="1:17" ht="13.5" customHeight="1">
      <c r="A18" s="3">
        <v>526</v>
      </c>
      <c r="B18" s="3">
        <v>526</v>
      </c>
      <c r="C18" s="3" t="s">
        <v>1089</v>
      </c>
      <c r="D18" t="s">
        <v>1407</v>
      </c>
      <c r="F18" s="3"/>
      <c r="G18" s="122" t="s">
        <v>1458</v>
      </c>
      <c r="H18" s="123">
        <v>62021613</v>
      </c>
      <c r="I18" s="3" t="s">
        <v>311</v>
      </c>
      <c r="J18" s="124" t="s">
        <v>1236</v>
      </c>
      <c r="K18" s="115">
        <v>45260</v>
      </c>
      <c r="L18" s="129">
        <v>750</v>
      </c>
      <c r="M18" s="125">
        <v>3040.7249999999995</v>
      </c>
      <c r="N18" s="125">
        <v>499.14828</v>
      </c>
      <c r="O18" s="125">
        <v>1694.3588364599998</v>
      </c>
      <c r="P18" s="126">
        <v>0.66553103999999996</v>
      </c>
      <c r="Q18" s="115">
        <v>51926</v>
      </c>
    </row>
    <row r="19" spans="1:17" ht="13.5" customHeight="1">
      <c r="A19" s="3">
        <v>526</v>
      </c>
      <c r="B19" s="3">
        <v>526</v>
      </c>
      <c r="C19" s="3" t="s">
        <v>1089</v>
      </c>
      <c r="D19" t="s">
        <v>1433</v>
      </c>
      <c r="F19" s="3"/>
      <c r="G19" s="122" t="s">
        <v>1434</v>
      </c>
      <c r="H19" s="123">
        <v>62021654</v>
      </c>
      <c r="I19" s="3" t="s">
        <v>311</v>
      </c>
      <c r="J19" s="124" t="s">
        <v>1241</v>
      </c>
      <c r="K19" s="115">
        <v>45385</v>
      </c>
      <c r="L19" s="129">
        <v>1000</v>
      </c>
      <c r="M19" s="125">
        <v>3732</v>
      </c>
      <c r="N19" s="125">
        <v>448.35139000000004</v>
      </c>
      <c r="O19" s="125">
        <v>1335.1904394200001</v>
      </c>
      <c r="P19" s="126">
        <v>0.44835139000000002</v>
      </c>
      <c r="Q19" s="115">
        <v>47941</v>
      </c>
    </row>
    <row r="20" spans="1:17" ht="13.5" customHeight="1">
      <c r="A20" s="3">
        <v>526</v>
      </c>
      <c r="B20" s="3">
        <v>526</v>
      </c>
      <c r="C20" s="3" t="s">
        <v>1089</v>
      </c>
      <c r="D20" s="3" t="s">
        <v>1375</v>
      </c>
      <c r="F20" s="3"/>
      <c r="G20" s="122" t="s">
        <v>1459</v>
      </c>
      <c r="H20" s="123">
        <v>62021042</v>
      </c>
      <c r="I20" s="3" t="s">
        <v>311</v>
      </c>
      <c r="J20" s="124" t="s">
        <v>1241</v>
      </c>
      <c r="K20" s="115">
        <v>45428</v>
      </c>
      <c r="L20" s="129">
        <v>2000</v>
      </c>
      <c r="M20" s="125">
        <v>7362</v>
      </c>
      <c r="N20" s="125">
        <v>770</v>
      </c>
      <c r="O20" s="125">
        <v>2293.06</v>
      </c>
      <c r="P20" s="126">
        <v>0.38500000000000001</v>
      </c>
      <c r="Q20" s="115">
        <v>48428</v>
      </c>
    </row>
    <row r="21" spans="1:17" ht="13.5" customHeight="1">
      <c r="A21" s="3">
        <v>526</v>
      </c>
      <c r="B21" s="3">
        <v>526</v>
      </c>
      <c r="C21" s="3" t="s">
        <v>1089</v>
      </c>
      <c r="D21" s="3" t="s">
        <v>1421</v>
      </c>
      <c r="F21" s="3"/>
      <c r="G21" s="122" t="s">
        <v>1422</v>
      </c>
      <c r="H21" s="123">
        <v>62021738</v>
      </c>
      <c r="I21" s="3" t="s">
        <v>311</v>
      </c>
      <c r="J21" s="124" t="s">
        <v>1241</v>
      </c>
      <c r="K21" s="115">
        <v>45468</v>
      </c>
      <c r="L21" s="129">
        <v>500</v>
      </c>
      <c r="M21" s="125">
        <v>1862.5</v>
      </c>
      <c r="N21" s="125">
        <v>140.12</v>
      </c>
      <c r="O21" s="125">
        <v>417.27736000000004</v>
      </c>
      <c r="P21" s="126">
        <v>0.28023999999999999</v>
      </c>
      <c r="Q21" s="115">
        <v>49120</v>
      </c>
    </row>
    <row r="22" spans="1:17" ht="13.5" customHeight="1">
      <c r="A22" s="3">
        <v>526</v>
      </c>
      <c r="B22" s="3">
        <v>526</v>
      </c>
      <c r="C22" s="3" t="s">
        <v>1089</v>
      </c>
      <c r="D22" t="s">
        <v>1370</v>
      </c>
      <c r="F22" s="3"/>
      <c r="G22" s="122" t="s">
        <v>1460</v>
      </c>
      <c r="H22" s="123">
        <v>62021038</v>
      </c>
      <c r="I22" s="3" t="s">
        <v>311</v>
      </c>
      <c r="J22" s="124" t="s">
        <v>1241</v>
      </c>
      <c r="K22" s="115">
        <v>45413</v>
      </c>
      <c r="L22" s="129">
        <v>2000</v>
      </c>
      <c r="M22" s="125">
        <v>7480</v>
      </c>
      <c r="N22" s="125">
        <v>817.35</v>
      </c>
      <c r="O22" s="125">
        <v>2434.0683000000004</v>
      </c>
      <c r="P22" s="126">
        <v>0.40867500000000001</v>
      </c>
      <c r="Q22" s="115">
        <v>48407</v>
      </c>
    </row>
    <row r="23" spans="1:17" ht="13.5" customHeight="1">
      <c r="A23" s="3">
        <v>526</v>
      </c>
      <c r="B23" s="3">
        <v>526</v>
      </c>
      <c r="C23" s="3" t="s">
        <v>1089</v>
      </c>
      <c r="D23" t="s">
        <v>1461</v>
      </c>
      <c r="F23" s="3"/>
      <c r="G23" s="122" t="s">
        <v>1432</v>
      </c>
      <c r="H23" s="123">
        <v>62021811</v>
      </c>
      <c r="I23" s="3" t="s">
        <v>311</v>
      </c>
      <c r="J23" s="124" t="s">
        <v>1241</v>
      </c>
      <c r="K23" s="115">
        <v>45475</v>
      </c>
      <c r="L23" s="129">
        <v>500</v>
      </c>
      <c r="M23" s="125">
        <v>1882.5</v>
      </c>
      <c r="N23" s="125">
        <v>315.57570999999996</v>
      </c>
      <c r="O23" s="125">
        <v>939.78446437999992</v>
      </c>
      <c r="P23" s="126">
        <v>0.63115141999999991</v>
      </c>
      <c r="Q23" s="115">
        <v>49127</v>
      </c>
    </row>
    <row r="24" spans="1:17" ht="13.5" customHeight="1">
      <c r="A24" s="3">
        <v>526</v>
      </c>
      <c r="B24" s="3">
        <v>526</v>
      </c>
      <c r="C24" s="3" t="s">
        <v>1089</v>
      </c>
      <c r="D24" t="s">
        <v>1416</v>
      </c>
      <c r="E24" s="130"/>
      <c r="F24" s="3"/>
      <c r="G24" s="122" t="s">
        <v>1417</v>
      </c>
      <c r="H24" s="123">
        <v>62021837</v>
      </c>
      <c r="I24" s="3" t="s">
        <v>311</v>
      </c>
      <c r="J24" s="124" t="s">
        <v>1241</v>
      </c>
      <c r="K24" s="115">
        <v>45485</v>
      </c>
      <c r="L24" s="129">
        <v>500</v>
      </c>
      <c r="M24" s="125">
        <v>1821</v>
      </c>
      <c r="N24" s="125">
        <v>392.69600000000003</v>
      </c>
      <c r="O24" s="125">
        <v>1169.4486880000002</v>
      </c>
      <c r="P24" s="126">
        <v>0.78539200000000009</v>
      </c>
      <c r="Q24" s="115">
        <v>49137</v>
      </c>
    </row>
    <row r="25" spans="1:17" ht="13.5" customHeight="1">
      <c r="A25" s="3">
        <v>526</v>
      </c>
      <c r="B25" s="3">
        <v>526</v>
      </c>
      <c r="C25" s="3" t="s">
        <v>1089</v>
      </c>
      <c r="D25" t="s">
        <v>1462</v>
      </c>
      <c r="F25" s="3"/>
      <c r="G25" s="122" t="s">
        <v>1430</v>
      </c>
      <c r="H25" s="123">
        <v>62021902</v>
      </c>
      <c r="I25" s="3" t="s">
        <v>311</v>
      </c>
      <c r="J25" s="124" t="s">
        <v>1241</v>
      </c>
      <c r="K25" s="115">
        <v>45545</v>
      </c>
      <c r="L25" s="129">
        <v>500</v>
      </c>
      <c r="M25" s="125">
        <v>1881.5</v>
      </c>
      <c r="N25" s="125">
        <v>164.73599999999999</v>
      </c>
      <c r="O25" s="125">
        <v>490.58380800000003</v>
      </c>
      <c r="P25" s="126">
        <v>0.32947199999999999</v>
      </c>
      <c r="Q25" s="115">
        <v>49197</v>
      </c>
    </row>
    <row r="26" spans="1:17" ht="13.5" customHeight="1">
      <c r="A26" s="3">
        <v>526</v>
      </c>
      <c r="B26" s="3">
        <v>526</v>
      </c>
      <c r="C26" s="3" t="s">
        <v>1089</v>
      </c>
      <c r="D26" t="s">
        <v>1382</v>
      </c>
      <c r="F26" s="3"/>
      <c r="G26" s="122" t="s">
        <v>1383</v>
      </c>
      <c r="H26" s="123">
        <v>62021910</v>
      </c>
      <c r="I26" s="3" t="s">
        <v>311</v>
      </c>
      <c r="J26" s="124" t="s">
        <v>1241</v>
      </c>
      <c r="K26" s="115">
        <v>45526</v>
      </c>
      <c r="L26" s="129">
        <v>500</v>
      </c>
      <c r="M26" s="125">
        <v>1862</v>
      </c>
      <c r="N26" s="125">
        <v>367.40338000000003</v>
      </c>
      <c r="O26" s="125">
        <v>1094.1272656400001</v>
      </c>
      <c r="P26" s="126">
        <v>0.73480676</v>
      </c>
      <c r="Q26" s="115">
        <v>49178</v>
      </c>
    </row>
    <row r="27" spans="1:17" ht="13.5" customHeight="1">
      <c r="A27" s="3">
        <v>526</v>
      </c>
      <c r="B27" s="3">
        <v>526</v>
      </c>
      <c r="C27" s="3" t="s">
        <v>1089</v>
      </c>
      <c r="D27" t="s">
        <v>1418</v>
      </c>
      <c r="F27" s="3"/>
      <c r="G27" s="122" t="s">
        <v>1419</v>
      </c>
      <c r="H27" s="123">
        <v>62021741</v>
      </c>
      <c r="I27" s="3" t="s">
        <v>311</v>
      </c>
      <c r="J27" s="124" t="s">
        <v>1241</v>
      </c>
      <c r="K27" s="115">
        <v>45615</v>
      </c>
      <c r="L27" s="129">
        <v>1000</v>
      </c>
      <c r="M27" s="125">
        <v>3743</v>
      </c>
      <c r="N27" s="125">
        <v>529.28300000000002</v>
      </c>
      <c r="O27" s="125">
        <v>1576.2047740000003</v>
      </c>
      <c r="P27" s="126">
        <v>0.52928300000000006</v>
      </c>
      <c r="Q27" s="115">
        <v>49267</v>
      </c>
    </row>
    <row r="28" spans="1:17" ht="13.5" customHeight="1">
      <c r="A28" s="3">
        <v>526</v>
      </c>
      <c r="B28" s="3">
        <v>526</v>
      </c>
      <c r="C28" s="3" t="s">
        <v>1089</v>
      </c>
      <c r="D28" s="116" t="s">
        <v>1423</v>
      </c>
      <c r="E28" s="131"/>
      <c r="F28" s="3"/>
      <c r="G28" s="122" t="s">
        <v>1424</v>
      </c>
      <c r="H28" s="123">
        <v>62019711</v>
      </c>
      <c r="I28" s="3" t="s">
        <v>311</v>
      </c>
      <c r="J28" s="124" t="s">
        <v>1241</v>
      </c>
      <c r="K28" s="115">
        <v>45667</v>
      </c>
      <c r="L28" s="129">
        <v>500</v>
      </c>
      <c r="M28" s="125">
        <v>1832.5</v>
      </c>
      <c r="N28" s="125">
        <v>399.18700000000001</v>
      </c>
      <c r="O28" s="125">
        <v>1188.7788860000003</v>
      </c>
      <c r="P28" s="126">
        <v>0.79837400000000003</v>
      </c>
      <c r="Q28" s="115">
        <v>49319</v>
      </c>
    </row>
    <row r="29" spans="1:17" ht="13.5" customHeight="1">
      <c r="A29" s="3">
        <v>526</v>
      </c>
      <c r="B29" s="3">
        <v>526</v>
      </c>
      <c r="C29" s="3" t="s">
        <v>1089</v>
      </c>
      <c r="D29" s="116" t="s">
        <v>1463</v>
      </c>
      <c r="E29" s="116"/>
      <c r="F29" s="3"/>
      <c r="G29" s="122" t="s">
        <v>1381</v>
      </c>
      <c r="H29" s="123">
        <v>62022207</v>
      </c>
      <c r="I29" s="3" t="s">
        <v>311</v>
      </c>
      <c r="J29" s="124" t="s">
        <v>1241</v>
      </c>
      <c r="K29" s="115">
        <v>45699</v>
      </c>
      <c r="L29" s="129">
        <v>500</v>
      </c>
      <c r="M29" s="125">
        <v>1794</v>
      </c>
      <c r="N29" s="125">
        <v>275</v>
      </c>
      <c r="O29" s="125">
        <v>818.95</v>
      </c>
      <c r="P29" s="126">
        <v>0.55000000000000004</v>
      </c>
      <c r="Q29" s="115">
        <v>49036</v>
      </c>
    </row>
    <row r="30" spans="1:17" ht="13.5" customHeight="1">
      <c r="A30" s="3">
        <v>526</v>
      </c>
      <c r="B30" s="3">
        <v>526</v>
      </c>
      <c r="C30" s="3" t="s">
        <v>1089</v>
      </c>
      <c r="D30" s="116" t="s">
        <v>1405</v>
      </c>
      <c r="F30" s="3"/>
      <c r="G30" s="122" t="s">
        <v>1406</v>
      </c>
      <c r="H30" s="123">
        <v>62022249</v>
      </c>
      <c r="I30" s="3" t="s">
        <v>311</v>
      </c>
      <c r="J30" s="124" t="s">
        <v>1241</v>
      </c>
      <c r="K30" s="115">
        <v>45708</v>
      </c>
      <c r="L30" s="129">
        <v>500</v>
      </c>
      <c r="M30" s="125">
        <v>1771</v>
      </c>
      <c r="N30" s="125">
        <v>302.91191000000003</v>
      </c>
      <c r="O30" s="125">
        <v>902.07166798000014</v>
      </c>
      <c r="P30" s="126">
        <v>0.60582382000000012</v>
      </c>
      <c r="Q30" s="115">
        <v>49360</v>
      </c>
    </row>
    <row r="31" spans="1:17" ht="13.5" customHeight="1">
      <c r="A31" s="3">
        <v>526</v>
      </c>
      <c r="B31" s="3">
        <v>526</v>
      </c>
      <c r="C31" s="3" t="s">
        <v>1089</v>
      </c>
      <c r="D31" t="s">
        <v>1403</v>
      </c>
      <c r="E31" s="132"/>
      <c r="F31" s="3"/>
      <c r="G31" s="122" t="s">
        <v>1404</v>
      </c>
      <c r="H31" s="123">
        <v>62017790</v>
      </c>
      <c r="I31" s="3" t="s">
        <v>311</v>
      </c>
      <c r="J31" s="124" t="s">
        <v>1241</v>
      </c>
      <c r="K31" s="115">
        <v>45645</v>
      </c>
      <c r="L31" s="129">
        <v>500</v>
      </c>
      <c r="M31" s="125">
        <v>1809</v>
      </c>
      <c r="N31" s="125">
        <v>390.375</v>
      </c>
      <c r="O31" s="125">
        <v>1162.53675</v>
      </c>
      <c r="P31" s="126">
        <v>0.78075000000000006</v>
      </c>
      <c r="Q31" s="115">
        <v>50557</v>
      </c>
    </row>
    <row r="32" spans="1:17" ht="13.5" customHeight="1">
      <c r="A32" s="3">
        <v>526</v>
      </c>
      <c r="B32" s="3">
        <v>526</v>
      </c>
      <c r="C32" s="3" t="s">
        <v>1089</v>
      </c>
      <c r="D32" t="s">
        <v>1373</v>
      </c>
      <c r="F32" s="3"/>
      <c r="G32" s="122" t="s">
        <v>1374</v>
      </c>
      <c r="H32" s="123">
        <v>62022371</v>
      </c>
      <c r="I32" s="3" t="s">
        <v>311</v>
      </c>
      <c r="J32" s="124" t="s">
        <v>1241</v>
      </c>
      <c r="K32" s="115">
        <v>45783</v>
      </c>
      <c r="L32" s="129">
        <v>500</v>
      </c>
      <c r="M32" s="125">
        <v>1809</v>
      </c>
      <c r="N32" s="125">
        <v>228.667</v>
      </c>
      <c r="O32" s="125">
        <v>680.970326</v>
      </c>
      <c r="P32" s="126">
        <v>0.45733400000000002</v>
      </c>
      <c r="Q32" s="115">
        <v>48340</v>
      </c>
    </row>
    <row r="33" spans="1:17" ht="13.5" customHeight="1">
      <c r="A33" s="3">
        <v>526</v>
      </c>
      <c r="B33" s="3">
        <v>526</v>
      </c>
      <c r="C33" s="3" t="s">
        <v>1089</v>
      </c>
      <c r="D33" t="s">
        <v>1464</v>
      </c>
      <c r="F33" s="3"/>
      <c r="G33" s="122" t="s">
        <v>1380</v>
      </c>
      <c r="H33" s="123">
        <v>62022255</v>
      </c>
      <c r="I33" s="3" t="s">
        <v>311</v>
      </c>
      <c r="J33" s="124" t="s">
        <v>1241</v>
      </c>
      <c r="K33" s="115">
        <v>45789</v>
      </c>
      <c r="L33" s="129">
        <v>750</v>
      </c>
      <c r="M33" s="125">
        <v>2658.75</v>
      </c>
      <c r="N33" s="125">
        <v>737.50283999999999</v>
      </c>
      <c r="O33" s="125">
        <v>2196.28345752</v>
      </c>
      <c r="P33" s="126">
        <v>0.98333711999999995</v>
      </c>
      <c r="Q33" s="115">
        <v>49441</v>
      </c>
    </row>
    <row r="34" spans="1:17" ht="13.5" customHeight="1">
      <c r="A34" s="3">
        <v>526</v>
      </c>
      <c r="B34" s="3">
        <v>526</v>
      </c>
      <c r="C34" s="3" t="s">
        <v>1089</v>
      </c>
      <c r="D34" s="133" t="s">
        <v>1465</v>
      </c>
      <c r="F34" s="3"/>
      <c r="G34" s="122" t="s">
        <v>1436</v>
      </c>
      <c r="H34" s="123">
        <v>62021841</v>
      </c>
      <c r="I34" s="3" t="s">
        <v>311</v>
      </c>
      <c r="J34" s="124" t="s">
        <v>1241</v>
      </c>
      <c r="K34" s="115">
        <v>45844</v>
      </c>
      <c r="L34" s="129">
        <v>1000</v>
      </c>
      <c r="M34" s="125">
        <v>3340</v>
      </c>
      <c r="N34" s="125">
        <v>561.25490000000002</v>
      </c>
      <c r="O34" s="125">
        <v>1671.4170922000001</v>
      </c>
      <c r="P34" s="126">
        <v>0.5612549</v>
      </c>
      <c r="Q34" s="115">
        <v>50222</v>
      </c>
    </row>
    <row r="35" spans="1:17" ht="13.5" customHeight="1">
      <c r="A35" s="3">
        <v>526</v>
      </c>
      <c r="B35" s="3">
        <v>526</v>
      </c>
      <c r="C35" s="3" t="s">
        <v>1089</v>
      </c>
      <c r="D35" s="133" t="s">
        <v>1466</v>
      </c>
      <c r="F35" s="3"/>
      <c r="G35" s="122" t="s">
        <v>1467</v>
      </c>
      <c r="H35" s="123">
        <v>62022454</v>
      </c>
      <c r="I35" s="3" t="s">
        <v>311</v>
      </c>
      <c r="J35" s="124" t="s">
        <v>1241</v>
      </c>
      <c r="K35" s="115">
        <v>45834</v>
      </c>
      <c r="L35" s="129">
        <v>750</v>
      </c>
      <c r="M35" s="125">
        <v>2551.5</v>
      </c>
      <c r="N35" s="125">
        <v>750</v>
      </c>
      <c r="O35" s="125">
        <v>2233.5</v>
      </c>
      <c r="P35" s="126">
        <v>1</v>
      </c>
      <c r="Q35" s="115">
        <v>49486</v>
      </c>
    </row>
    <row r="36" spans="1:17" ht="13.5" customHeight="1">
      <c r="A36" s="3">
        <v>526</v>
      </c>
      <c r="B36" s="3">
        <v>526</v>
      </c>
      <c r="C36" s="3" t="s">
        <v>1089</v>
      </c>
      <c r="D36" s="133" t="s">
        <v>1468</v>
      </c>
      <c r="F36" s="3"/>
      <c r="G36" s="122" t="s">
        <v>1469</v>
      </c>
      <c r="H36" s="123">
        <v>62020664</v>
      </c>
      <c r="I36" s="3" t="s">
        <v>311</v>
      </c>
      <c r="J36" s="124" t="s">
        <v>1236</v>
      </c>
      <c r="K36" s="115">
        <v>45853</v>
      </c>
      <c r="L36" s="129">
        <v>1000</v>
      </c>
      <c r="M36" s="125">
        <v>3903.6</v>
      </c>
      <c r="N36" s="125">
        <v>16.110260000000011</v>
      </c>
      <c r="O36" s="125">
        <v>54.68627757000003</v>
      </c>
      <c r="P36" s="126">
        <v>1.6110260000000012E-2</v>
      </c>
      <c r="Q36" s="115">
        <v>49505</v>
      </c>
    </row>
    <row r="37" spans="1:17" ht="13.5" customHeight="1">
      <c r="A37" s="3">
        <v>526</v>
      </c>
      <c r="B37" s="3">
        <v>526</v>
      </c>
      <c r="C37" s="3" t="s">
        <v>1089</v>
      </c>
      <c r="D37" s="133" t="s">
        <v>1401</v>
      </c>
      <c r="F37" s="3"/>
      <c r="G37" s="128" t="s">
        <v>1402</v>
      </c>
      <c r="H37" s="123">
        <v>62021525</v>
      </c>
      <c r="I37" s="3" t="s">
        <v>311</v>
      </c>
      <c r="J37" s="124" t="s">
        <v>1241</v>
      </c>
      <c r="K37" s="115">
        <v>45904</v>
      </c>
      <c r="L37" s="129">
        <v>670</v>
      </c>
      <c r="M37" s="125">
        <v>2253.88</v>
      </c>
      <c r="N37" s="125">
        <v>653.25</v>
      </c>
      <c r="O37" s="125">
        <v>1945.3785000000003</v>
      </c>
      <c r="P37" s="126">
        <v>0.97499999999999998</v>
      </c>
      <c r="Q37" s="115">
        <v>48826</v>
      </c>
    </row>
    <row r="38" spans="1:17" ht="13.5" customHeight="1">
      <c r="A38" s="3">
        <v>526</v>
      </c>
      <c r="B38" s="3">
        <v>526</v>
      </c>
      <c r="C38" s="3" t="s">
        <v>1089</v>
      </c>
      <c r="D38" s="133" t="s">
        <v>1470</v>
      </c>
      <c r="F38" s="3"/>
      <c r="G38" s="122" t="s">
        <v>1393</v>
      </c>
      <c r="H38" s="123">
        <v>62021843</v>
      </c>
      <c r="I38" s="3" t="s">
        <v>311</v>
      </c>
      <c r="J38" s="124" t="s">
        <v>1241</v>
      </c>
      <c r="K38" s="115">
        <v>45950</v>
      </c>
      <c r="L38" s="129">
        <v>1000</v>
      </c>
      <c r="M38" s="125">
        <v>3311</v>
      </c>
      <c r="N38" s="125">
        <v>920</v>
      </c>
      <c r="O38" s="125">
        <v>2739.76</v>
      </c>
      <c r="P38" s="126">
        <v>0.92</v>
      </c>
      <c r="Q38" s="115">
        <v>48502</v>
      </c>
    </row>
    <row r="39" spans="1:17" ht="13.5" customHeight="1">
      <c r="A39" s="3">
        <v>526</v>
      </c>
      <c r="B39" s="3">
        <v>526</v>
      </c>
      <c r="C39" s="3" t="s">
        <v>1089</v>
      </c>
      <c r="D39" s="133" t="s">
        <v>1471</v>
      </c>
      <c r="F39" s="3"/>
      <c r="G39" s="122" t="s">
        <v>1397</v>
      </c>
      <c r="H39" s="123">
        <v>62020123</v>
      </c>
      <c r="I39" s="3" t="s">
        <v>311</v>
      </c>
      <c r="J39" s="124" t="s">
        <v>1241</v>
      </c>
      <c r="K39" s="115">
        <v>45985</v>
      </c>
      <c r="L39" s="129">
        <v>750</v>
      </c>
      <c r="M39" s="125">
        <v>2461.5</v>
      </c>
      <c r="N39" s="125">
        <v>501.755</v>
      </c>
      <c r="O39" s="125">
        <v>1494.22639</v>
      </c>
      <c r="P39" s="126">
        <v>0.66900666666666664</v>
      </c>
      <c r="Q39" s="115">
        <v>49637</v>
      </c>
    </row>
    <row r="40" spans="1:17" ht="13.5" customHeight="1">
      <c r="A40" s="3">
        <v>526</v>
      </c>
      <c r="B40" s="3">
        <v>526</v>
      </c>
      <c r="C40" s="3" t="s">
        <v>1089</v>
      </c>
      <c r="D40" s="133" t="s">
        <v>1472</v>
      </c>
      <c r="F40" s="3"/>
      <c r="G40" s="122" t="s">
        <v>1415</v>
      </c>
      <c r="H40" s="123">
        <v>62022260</v>
      </c>
      <c r="I40" s="3" t="s">
        <v>311</v>
      </c>
      <c r="J40" s="124" t="s">
        <v>1241</v>
      </c>
      <c r="K40" s="115">
        <v>46022</v>
      </c>
      <c r="L40" s="129">
        <v>1000</v>
      </c>
      <c r="M40" s="125">
        <v>3190</v>
      </c>
      <c r="N40" s="125">
        <v>938.56200000000001</v>
      </c>
      <c r="O40" s="125">
        <v>2795.0376360000005</v>
      </c>
      <c r="P40" s="126">
        <v>0.93856200000000001</v>
      </c>
      <c r="Q40" s="115">
        <v>49625</v>
      </c>
    </row>
    <row r="41" spans="1:17" ht="13.5" customHeight="1">
      <c r="A41" s="3">
        <v>526</v>
      </c>
      <c r="B41" s="3">
        <v>526</v>
      </c>
      <c r="C41" s="3" t="s">
        <v>1089</v>
      </c>
      <c r="D41" s="133" t="s">
        <v>1473</v>
      </c>
      <c r="F41" s="3"/>
      <c r="G41" s="122" t="s">
        <v>1428</v>
      </c>
      <c r="H41" s="123">
        <v>62021108</v>
      </c>
      <c r="I41" s="3" t="s">
        <v>311</v>
      </c>
      <c r="J41" s="124" t="s">
        <v>1241</v>
      </c>
      <c r="K41" s="115">
        <v>46013</v>
      </c>
      <c r="L41" s="129">
        <v>1000</v>
      </c>
      <c r="M41" s="125">
        <v>3206</v>
      </c>
      <c r="N41" s="125">
        <v>859.28332000000012</v>
      </c>
      <c r="O41" s="125">
        <v>2558.9457269600007</v>
      </c>
      <c r="P41" s="126">
        <v>0.85928332000000007</v>
      </c>
      <c r="Q41" s="115">
        <v>49665</v>
      </c>
    </row>
    <row r="42" spans="1:17" ht="13.5" customHeight="1">
      <c r="A42" s="3">
        <v>526</v>
      </c>
      <c r="B42" s="3">
        <v>526</v>
      </c>
      <c r="C42" s="3" t="s">
        <v>1089</v>
      </c>
      <c r="D42" s="133" t="s">
        <v>1471</v>
      </c>
      <c r="F42" s="3"/>
      <c r="G42" s="122" t="s">
        <v>1371</v>
      </c>
      <c r="H42" s="123">
        <v>62020234</v>
      </c>
      <c r="I42" s="3" t="s">
        <v>311</v>
      </c>
      <c r="J42" s="124" t="s">
        <v>1241</v>
      </c>
      <c r="K42" s="115">
        <v>46020</v>
      </c>
      <c r="L42" s="129">
        <v>600</v>
      </c>
      <c r="M42" s="129">
        <v>1921.8</v>
      </c>
      <c r="N42" s="125">
        <v>310.28500000000003</v>
      </c>
      <c r="O42" s="125">
        <v>924.02873000000011</v>
      </c>
      <c r="P42" s="126">
        <v>0.51714166666666672</v>
      </c>
      <c r="Q42" s="115">
        <v>47846</v>
      </c>
    </row>
    <row r="43" spans="1:17" ht="13.5" customHeight="1">
      <c r="A43" s="3">
        <v>526</v>
      </c>
      <c r="B43" s="3">
        <v>526</v>
      </c>
      <c r="C43" s="3" t="s">
        <v>1089</v>
      </c>
      <c r="D43" s="133" t="s">
        <v>1473</v>
      </c>
      <c r="F43" s="3"/>
      <c r="G43" s="122" t="s">
        <v>1385</v>
      </c>
      <c r="H43" s="123">
        <v>62022876</v>
      </c>
      <c r="I43" s="3" t="s">
        <v>311</v>
      </c>
      <c r="J43" s="124" t="s">
        <v>1241</v>
      </c>
      <c r="K43" s="115">
        <v>46044</v>
      </c>
      <c r="L43" s="129">
        <v>1000</v>
      </c>
      <c r="M43" s="129">
        <v>3141</v>
      </c>
      <c r="N43" s="125">
        <v>886.40988000000004</v>
      </c>
      <c r="O43" s="125">
        <v>2639.7286226400001</v>
      </c>
      <c r="P43" s="126">
        <v>0.88640988000000009</v>
      </c>
      <c r="Q43" s="115">
        <v>49696</v>
      </c>
    </row>
    <row r="44" spans="1:17" ht="13.5" customHeight="1">
      <c r="A44" s="3">
        <v>526</v>
      </c>
      <c r="B44" s="3">
        <v>526</v>
      </c>
      <c r="C44" s="3" t="s">
        <v>1089</v>
      </c>
      <c r="D44" s="133" t="s">
        <v>1390</v>
      </c>
      <c r="F44" s="3"/>
      <c r="G44" s="122" t="s">
        <v>1391</v>
      </c>
      <c r="H44" s="123">
        <v>62022271</v>
      </c>
      <c r="I44" s="3" t="s">
        <v>311</v>
      </c>
      <c r="J44" s="124" t="s">
        <v>1241</v>
      </c>
      <c r="K44" s="115">
        <v>46111</v>
      </c>
      <c r="L44" s="129">
        <v>1000</v>
      </c>
      <c r="M44" s="129">
        <v>3170</v>
      </c>
      <c r="N44" s="125">
        <v>879.024</v>
      </c>
      <c r="O44" s="125">
        <v>2617.7334719999999</v>
      </c>
      <c r="P44" s="126">
        <v>0.87902400000000003</v>
      </c>
      <c r="Q44" s="115">
        <v>49764</v>
      </c>
    </row>
    <row r="45" spans="1:17" ht="13.5" customHeight="1">
      <c r="A45" s="3">
        <v>526</v>
      </c>
      <c r="B45" s="3">
        <v>526</v>
      </c>
      <c r="C45" s="3" t="s">
        <v>1089</v>
      </c>
      <c r="D45" s="133" t="s">
        <v>1474</v>
      </c>
      <c r="F45" s="3"/>
      <c r="G45" s="128" t="s">
        <v>1378</v>
      </c>
      <c r="H45" s="123">
        <v>62021845</v>
      </c>
      <c r="I45" s="3" t="s">
        <v>311</v>
      </c>
      <c r="J45" s="124" t="s">
        <v>1241</v>
      </c>
      <c r="K45" s="115">
        <v>46097</v>
      </c>
      <c r="L45" s="129">
        <v>2000</v>
      </c>
      <c r="M45" s="129">
        <v>6238</v>
      </c>
      <c r="N45" s="125">
        <v>1260</v>
      </c>
      <c r="O45" s="125">
        <v>3752.2800000000007</v>
      </c>
      <c r="P45" s="126">
        <v>0.63</v>
      </c>
      <c r="Q45" s="115">
        <v>49750</v>
      </c>
    </row>
    <row r="46" spans="1:17" ht="13.5" customHeight="1">
      <c r="A46" s="3">
        <v>526</v>
      </c>
      <c r="B46" s="3">
        <v>526</v>
      </c>
      <c r="C46" s="3" t="s">
        <v>1089</v>
      </c>
      <c r="D46" s="133" t="s">
        <v>1399</v>
      </c>
      <c r="F46" s="3"/>
      <c r="G46" s="122" t="s">
        <v>1400</v>
      </c>
      <c r="H46" s="123">
        <v>62022276</v>
      </c>
      <c r="I46" s="3" t="s">
        <v>311</v>
      </c>
      <c r="J46" s="124" t="s">
        <v>1241</v>
      </c>
      <c r="K46" s="115">
        <v>46155</v>
      </c>
      <c r="L46" s="129">
        <v>500</v>
      </c>
      <c r="M46" s="129">
        <v>1454</v>
      </c>
      <c r="N46" s="125">
        <v>215</v>
      </c>
      <c r="O46" s="125">
        <v>640.27</v>
      </c>
      <c r="P46" s="126">
        <v>0.43</v>
      </c>
      <c r="Q46" s="115">
        <v>49077</v>
      </c>
    </row>
    <row r="47" spans="1:17" ht="13.5" customHeight="1">
      <c r="A47" s="3">
        <v>526</v>
      </c>
      <c r="B47" s="3">
        <v>526</v>
      </c>
      <c r="C47" s="3" t="s">
        <v>1089</v>
      </c>
      <c r="D47" s="133" t="s">
        <v>1475</v>
      </c>
      <c r="F47" s="3"/>
      <c r="G47" s="122" t="s">
        <v>1476</v>
      </c>
      <c r="H47" s="123">
        <v>62022282</v>
      </c>
      <c r="I47" s="3" t="s">
        <v>311</v>
      </c>
      <c r="J47" s="124" t="s">
        <v>1241</v>
      </c>
      <c r="K47" s="115">
        <v>46183</v>
      </c>
      <c r="L47" s="129">
        <v>571.42899999999997</v>
      </c>
      <c r="M47" s="129">
        <v>1698.8584169999999</v>
      </c>
      <c r="N47" s="125">
        <v>571.42899999999997</v>
      </c>
      <c r="O47" s="125">
        <v>1701.7155620000001</v>
      </c>
      <c r="P47" s="126">
        <v>1</v>
      </c>
      <c r="Q47" s="115">
        <v>49836</v>
      </c>
    </row>
    <row r="48" spans="1:17" ht="13.5" customHeight="1">
      <c r="A48" s="3">
        <v>526</v>
      </c>
      <c r="B48" s="3">
        <v>526</v>
      </c>
      <c r="C48" s="3" t="s">
        <v>1089</v>
      </c>
      <c r="D48" s="133" t="s">
        <v>1475</v>
      </c>
      <c r="F48" s="3"/>
      <c r="G48" s="122" t="s">
        <v>1477</v>
      </c>
      <c r="H48" s="123">
        <v>62022287</v>
      </c>
      <c r="I48" s="3" t="s">
        <v>311</v>
      </c>
      <c r="J48" s="124" t="s">
        <v>1241</v>
      </c>
      <c r="K48" s="115">
        <v>46183</v>
      </c>
      <c r="L48" s="129">
        <v>1428.5709999999999</v>
      </c>
      <c r="M48" s="129">
        <v>4247.1415829999996</v>
      </c>
      <c r="N48" s="125">
        <v>1428.5709999999999</v>
      </c>
      <c r="O48" s="125">
        <v>4254.2844379999997</v>
      </c>
      <c r="P48" s="126">
        <v>1</v>
      </c>
      <c r="Q48" s="115">
        <v>49836</v>
      </c>
    </row>
    <row r="49" spans="1:17" ht="13.5" customHeight="1">
      <c r="A49" s="3">
        <v>526</v>
      </c>
      <c r="B49" s="3">
        <v>526</v>
      </c>
      <c r="C49" s="3" t="s">
        <v>1089</v>
      </c>
      <c r="D49" s="133" t="s">
        <v>1386</v>
      </c>
      <c r="F49" s="3"/>
      <c r="G49" s="122" t="s">
        <v>1478</v>
      </c>
      <c r="H49" s="123">
        <v>62012080</v>
      </c>
      <c r="I49" s="3" t="s">
        <v>311</v>
      </c>
      <c r="J49" s="124" t="s">
        <v>1241</v>
      </c>
      <c r="K49" s="115">
        <v>46090</v>
      </c>
      <c r="L49" s="129">
        <v>1400</v>
      </c>
      <c r="M49" s="129">
        <v>4361</v>
      </c>
      <c r="N49" s="125">
        <v>1260</v>
      </c>
      <c r="O49" s="125">
        <v>3752.2800000000007</v>
      </c>
      <c r="P49" s="126">
        <v>0.9</v>
      </c>
      <c r="Q49" s="115">
        <v>47916</v>
      </c>
    </row>
    <row r="50" spans="1:17" ht="13.5" customHeight="1"/>
    <row r="51" spans="1:17" ht="13.5" customHeight="1"/>
    <row r="52" spans="1:17" ht="13.5" customHeight="1"/>
    <row r="53" spans="1:17" ht="13.5" customHeight="1"/>
    <row r="54" spans="1:17" ht="13.5" customHeight="1"/>
    <row r="55" spans="1:17" ht="13.5" customHeight="1"/>
    <row r="56" spans="1:17" ht="13.5" customHeight="1"/>
    <row r="57" spans="1:17" ht="13.5" customHeight="1"/>
    <row r="58" spans="1:17" ht="13.5" customHeight="1"/>
    <row r="59" spans="1:17" ht="13.5" customHeight="1"/>
    <row r="60" spans="1:17" ht="13.5" customHeight="1"/>
    <row r="61" spans="1:17" ht="13.5" customHeight="1"/>
    <row r="62" spans="1:17" ht="13.5" customHeight="1"/>
    <row r="63" spans="1:17" ht="13.5" customHeight="1"/>
    <row r="64" spans="1:1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4">
    <cfRule type="duplicateValues" dxfId="25" priority="26"/>
  </conditionalFormatting>
  <conditionalFormatting sqref="E5">
    <cfRule type="duplicateValues" dxfId="24" priority="20"/>
  </conditionalFormatting>
  <conditionalFormatting sqref="E6">
    <cfRule type="duplicateValues" dxfId="23" priority="19"/>
  </conditionalFormatting>
  <conditionalFormatting sqref="E7">
    <cfRule type="duplicateValues" dxfId="22" priority="15"/>
  </conditionalFormatting>
  <conditionalFormatting sqref="E14">
    <cfRule type="duplicateValues" dxfId="21" priority="21"/>
  </conditionalFormatting>
  <conditionalFormatting sqref="E15">
    <cfRule type="duplicateValues" dxfId="20" priority="24"/>
  </conditionalFormatting>
  <conditionalFormatting sqref="E16">
    <cfRule type="duplicateValues" dxfId="19" priority="25"/>
  </conditionalFormatting>
  <conditionalFormatting sqref="E17">
    <cfRule type="duplicateValues" dxfId="18" priority="23"/>
  </conditionalFormatting>
  <conditionalFormatting sqref="E18">
    <cfRule type="duplicateValues" dxfId="17" priority="22"/>
  </conditionalFormatting>
  <conditionalFormatting sqref="E19">
    <cfRule type="duplicateValues" dxfId="16" priority="18"/>
  </conditionalFormatting>
  <conditionalFormatting sqref="E20">
    <cfRule type="duplicateValues" dxfId="15" priority="17"/>
  </conditionalFormatting>
  <conditionalFormatting sqref="E21">
    <cfRule type="duplicateValues" dxfId="14" priority="16"/>
  </conditionalFormatting>
  <conditionalFormatting sqref="E25">
    <cfRule type="duplicateValues" dxfId="13" priority="14"/>
  </conditionalFormatting>
  <conditionalFormatting sqref="E26">
    <cfRule type="duplicateValues" dxfId="12" priority="13"/>
  </conditionalFormatting>
  <conditionalFormatting sqref="E27">
    <cfRule type="duplicateValues" dxfId="11" priority="12"/>
  </conditionalFormatting>
  <conditionalFormatting sqref="E29">
    <cfRule type="duplicateValues" dxfId="10" priority="10"/>
  </conditionalFormatting>
  <conditionalFormatting sqref="E30">
    <cfRule type="duplicateValues" dxfId="9" priority="11"/>
  </conditionalFormatting>
  <conditionalFormatting sqref="E32">
    <cfRule type="duplicateValues" dxfId="8" priority="9"/>
  </conditionalFormatting>
  <conditionalFormatting sqref="E33">
    <cfRule type="duplicateValues" dxfId="7" priority="8"/>
  </conditionalFormatting>
  <conditionalFormatting sqref="E34:E35">
    <cfRule type="duplicateValues" dxfId="6" priority="7"/>
  </conditionalFormatting>
  <conditionalFormatting sqref="E36">
    <cfRule type="duplicateValues" dxfId="5" priority="6"/>
  </conditionalFormatting>
  <conditionalFormatting sqref="E37">
    <cfRule type="duplicateValues" dxfId="4" priority="5"/>
  </conditionalFormatting>
  <conditionalFormatting sqref="E40:E41">
    <cfRule type="duplicateValues" dxfId="3" priority="4"/>
  </conditionalFormatting>
  <conditionalFormatting sqref="E43">
    <cfRule type="duplicateValues" dxfId="2" priority="3"/>
  </conditionalFormatting>
  <conditionalFormatting sqref="E45:E46">
    <cfRule type="duplicateValues" dxfId="1" priority="2"/>
  </conditionalFormatting>
  <conditionalFormatting sqref="E49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חוות דעת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2026-08-30T04:28:06Z</dcterms:modified>
</cp:coreProperties>
</file>