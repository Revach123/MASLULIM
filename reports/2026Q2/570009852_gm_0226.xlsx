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גמל לאתר\"/>
    </mc:Choice>
  </mc:AlternateContent>
  <xr:revisionPtr revIDLastSave="0" documentId="13_ncr:1_{2A9B19F8-9112-4A6E-A32D-42184A034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חוות דעת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3" hidden="1">'לא סחיר נגזרים אחרים'!$A$1:$AO$8</definedName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1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4" i="2" l="1"/>
  <c r="E12" i="2"/>
  <c r="E4" i="2"/>
  <c r="E30" i="2"/>
  <c r="E20" i="2"/>
  <c r="E25" i="2"/>
  <c r="E28" i="2"/>
  <c r="E8" i="2"/>
  <c r="E29" i="2"/>
  <c r="E16" i="2"/>
  <c r="E24" i="2"/>
  <c r="E10" i="2"/>
  <c r="E15" i="2"/>
  <c r="E18" i="2"/>
  <c r="E26" i="2"/>
  <c r="E7" i="2"/>
  <c r="E3" i="2"/>
  <c r="E21" i="2"/>
  <c r="E9" i="2"/>
  <c r="E11" i="2"/>
  <c r="E22" i="2"/>
  <c r="E5" i="2"/>
  <c r="E19" i="2"/>
  <c r="E23" i="2"/>
  <c r="E6" i="2"/>
  <c r="E27" i="2"/>
  <c r="E13" i="2"/>
</calcChain>
</file>

<file path=xl/sharedStrings.xml><?xml version="1.0" encoding="utf-8"?>
<sst xmlns="http://schemas.openxmlformats.org/spreadsheetml/2006/main" count="4730" uniqueCount="1348">
  <si>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</si>
  <si>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</si>
  <si>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</si>
  <si>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</si>
  <si>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</si>
  <si>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</si>
  <si>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</si>
  <si>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</si>
  <si>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</si>
  <si>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</si>
  <si>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</si>
  <si>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</si>
  <si>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</si>
  <si>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</si>
  <si>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</si>
  <si>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</si>
  <si>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</si>
  <si>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</si>
  <si>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</si>
  <si>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</si>
  <si>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</si>
  <si>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</si>
  <si>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</si>
  <si>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</si>
  <si>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</si>
  <si>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</si>
  <si>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</si>
  <si>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</si>
  <si>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</si>
  <si>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</si>
  <si>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</si>
  <si>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</si>
  <si>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</si>
  <si>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</si>
  <si>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</si>
  <si>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</si>
  <si>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</si>
  <si>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</si>
  <si>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</si>
  <si>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</si>
  <si>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</si>
  <si>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</si>
  <si>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</si>
  <si>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</si>
  <si>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</si>
  <si>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</si>
  <si>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</si>
  <si>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</si>
  <si>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</si>
  <si>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</si>
  <si>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</si>
  <si>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</si>
  <si>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</si>
  <si>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</si>
  <si>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</si>
  <si>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</si>
  <si>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</si>
  <si>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</si>
  <si>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</si>
  <si>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</si>
  <si>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</si>
  <si>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</si>
  <si>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</si>
  <si>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</si>
  <si>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</si>
  <si>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</si>
  <si>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</si>
  <si>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</si>
  <si>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</si>
  <si>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</si>
  <si>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</si>
  <si>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</si>
  <si>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</si>
  <si>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</si>
  <si>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</si>
  <si>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</si>
  <si>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</si>
  <si>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</si>
  <si>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</si>
  <si>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</si>
  <si>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</si>
  <si>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</si>
  <si>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</si>
  <si>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</si>
  <si>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</si>
  <si>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</si>
  <si>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</si>
  <si>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</si>
  <si>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</si>
  <si>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</si>
  <si>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</si>
  <si>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</si>
  <si>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</si>
  <si>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</si>
  <si>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</si>
  <si>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</si>
  <si>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</si>
  <si>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</si>
  <si>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</si>
  <si>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</si>
  <si>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</si>
  <si>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</si>
  <si>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</si>
  <si>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</si>
  <si>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</si>
  <si>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</si>
  <si>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</si>
  <si>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</si>
  <si>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</si>
  <si>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</si>
  <si>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</si>
  <si>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</si>
  <si>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</si>
  <si>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</si>
  <si>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</si>
  <si>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</si>
  <si>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</si>
  <si>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</si>
  <si>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</si>
  <si>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</si>
  <si>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</si>
  <si>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</si>
  <si>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</si>
  <si>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</si>
  <si>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</si>
  <si>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</si>
  <si>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</si>
  <si>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</si>
  <si>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</si>
  <si>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</si>
  <si>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</si>
  <si>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</si>
  <si>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</si>
  <si>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</si>
  <si>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</si>
  <si>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</si>
  <si>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</si>
  <si>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</si>
  <si>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</si>
  <si>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</si>
  <si>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</si>
  <si>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</si>
  <si>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</si>
  <si>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</si>
  <si>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</si>
  <si>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</si>
  <si>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</si>
  <si>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</si>
  <si>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</si>
  <si>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</si>
  <si>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</si>
  <si>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</si>
  <si>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</si>
  <si>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</si>
  <si>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</si>
  <si>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</si>
  <si>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</si>
  <si>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</si>
  <si>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</si>
  <si>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</si>
  <si>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</si>
  <si>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</si>
  <si>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</si>
  <si>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</si>
  <si>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</si>
  <si>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</si>
  <si>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</si>
  <si>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</si>
  <si>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</si>
  <si>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</si>
  <si>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</si>
  <si>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</si>
  <si>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</si>
  <si>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</si>
  <si>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</si>
  <si>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</si>
  <si>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</si>
  <si>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</si>
  <si>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</si>
  <si>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</si>
  <si>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</si>
  <si>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</si>
  <si>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</si>
  <si>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</si>
  <si>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</si>
  <si>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</si>
  <si>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</si>
  <si>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</si>
  <si>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</si>
  <si>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</si>
  <si>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</si>
  <si>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</si>
  <si>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</si>
  <si>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</si>
  <si>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</si>
  <si>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</si>
  <si>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</si>
  <si>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</si>
  <si>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</si>
  <si>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</si>
  <si>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</si>
  <si>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</si>
  <si>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</si>
  <si>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</si>
  <si>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</si>
  <si>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</si>
  <si>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</si>
  <si>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</si>
  <si>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</si>
  <si>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</si>
  <si>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</si>
  <si>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</si>
  <si>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</si>
  <si>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</si>
  <si>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</si>
  <si>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</si>
  <si>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</si>
  <si>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</si>
  <si>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</si>
  <si>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</si>
  <si>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</si>
  <si>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</si>
  <si>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</si>
  <si>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</si>
  <si>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</si>
  <si>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</si>
  <si>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</si>
  <si>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</si>
  <si>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</si>
  <si>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</si>
  <si>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</si>
  <si>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</si>
  <si>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</si>
  <si>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</si>
  <si>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</si>
  <si>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</si>
  <si>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</si>
  <si>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</si>
  <si>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</si>
  <si>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</si>
  <si>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</si>
  <si>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</si>
  <si>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</si>
  <si>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</si>
  <si>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</si>
  <si>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</si>
  <si>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</si>
  <si>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</si>
  <si>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</si>
  <si>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</si>
  <si>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</si>
  <si>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</si>
  <si>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</si>
  <si>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</si>
  <si>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</si>
  <si>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</si>
  <si>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</si>
  <si>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</si>
  <si>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</si>
  <si>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</si>
  <si>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</si>
  <si>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</si>
  <si>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</si>
  <si>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</si>
  <si>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</si>
  <si>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</si>
  <si>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</si>
  <si>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</si>
  <si>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</si>
  <si>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</si>
  <si>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</si>
  <si>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</si>
  <si>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</si>
  <si>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</si>
  <si>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</si>
  <si>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</si>
  <si>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</si>
  <si>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</si>
  <si>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</si>
  <si>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</si>
  <si>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</si>
  <si>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</si>
  <si>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</si>
  <si>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</si>
  <si>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</si>
  <si>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</si>
  <si>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</si>
  <si>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</si>
  <si>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</si>
  <si>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</si>
  <si>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</si>
  <si>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</si>
  <si>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</si>
  <si>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</si>
  <si>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</si>
  <si>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</si>
  <si>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</si>
  <si>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</si>
  <si>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</si>
  <si>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</si>
  <si>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</si>
  <si>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</si>
  <si>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</si>
  <si>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</si>
  <si>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</si>
  <si>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</si>
  <si>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</si>
  <si>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</si>
  <si>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</si>
  <si>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</si>
  <si>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</si>
  <si>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</si>
  <si>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</si>
  <si>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</si>
  <si>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</si>
  <si>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</si>
  <si>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</si>
  <si>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</si>
  <si>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</si>
  <si>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</si>
  <si>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</si>
  <si>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</si>
  <si>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</si>
  <si>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</si>
  <si>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</si>
  <si>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</si>
  <si>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</si>
  <si>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</si>
  <si>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</si>
  <si>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</si>
  <si>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</si>
  <si>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</si>
  <si>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</si>
  <si>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</si>
  <si>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</si>
  <si>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</si>
  <si>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</si>
  <si>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</si>
  <si>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</si>
  <si>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</si>
  <si>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</si>
  <si>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</si>
  <si>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</si>
  <si>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</si>
  <si>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</si>
  <si>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</si>
  <si>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</si>
  <si>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</si>
  <si>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</si>
  <si>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</si>
  <si>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</si>
  <si>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</si>
  <si>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</si>
  <si>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</si>
  <si>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</si>
  <si>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</si>
  <si>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</si>
  <si>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</si>
  <si>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</si>
  <si>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</si>
  <si>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</si>
  <si>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</si>
  <si>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</si>
  <si>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</si>
  <si>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</si>
  <si>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</si>
  <si>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</si>
  <si>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</si>
  <si>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</si>
  <si>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</si>
  <si>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</si>
  <si>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</si>
  <si>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</si>
  <si>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</si>
  <si>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</si>
  <si>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</si>
  <si>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</si>
  <si>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</si>
  <si>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</si>
  <si>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</si>
  <si>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</si>
  <si>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</si>
  <si>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</si>
  <si>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</si>
  <si>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</si>
  <si>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</si>
  <si>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</si>
  <si>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</si>
  <si>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</si>
  <si>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</si>
  <si>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</si>
  <si>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</si>
  <si>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</si>
  <si>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</si>
  <si>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</si>
  <si>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</si>
  <si>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</si>
  <si>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</si>
  <si>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</si>
  <si>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</si>
  <si>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</si>
  <si>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</si>
  <si>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</si>
  <si>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</si>
  <si>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</si>
  <si>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</si>
  <si>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</si>
  <si>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</si>
  <si>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</si>
  <si>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</si>
  <si>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</si>
  <si>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</si>
  <si>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</si>
  <si>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</si>
  <si>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</si>
  <si>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</si>
  <si>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</si>
  <si>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</si>
  <si>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</si>
  <si>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</si>
  <si>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</si>
  <si>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</si>
  <si>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</si>
  <si>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</si>
  <si>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</si>
  <si>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</si>
  <si>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</si>
  <si>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</si>
  <si>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</si>
  <si>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</si>
  <si>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</si>
  <si>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</si>
  <si>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</si>
  <si>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</si>
  <si>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</si>
  <si>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</si>
  <si>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</si>
  <si>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</si>
  <si>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</si>
  <si>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</si>
  <si>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</si>
  <si>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</si>
  <si>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</si>
  <si>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</si>
  <si>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</si>
  <si>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</si>
  <si>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</si>
  <si>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</si>
  <si>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</si>
  <si>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</si>
  <si>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</si>
  <si>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</si>
  <si>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</si>
  <si>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</si>
  <si>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</si>
  <si>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</si>
  <si>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</si>
  <si>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</si>
  <si>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</si>
  <si>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</si>
  <si>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</si>
  <si>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</si>
  <si>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</si>
  <si>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</si>
  <si>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</si>
  <si>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</si>
  <si>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</si>
  <si>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</si>
  <si>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</si>
  <si>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</si>
  <si>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</si>
  <si>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</si>
  <si>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</si>
  <si>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</si>
  <si>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</si>
  <si>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</si>
  <si>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</si>
  <si>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</si>
  <si>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</si>
  <si>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</si>
  <si>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</si>
  <si>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</si>
  <si>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</si>
  <si>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</si>
  <si>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</si>
  <si>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</si>
  <si>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</si>
  <si>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</si>
  <si>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</si>
  <si>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</si>
  <si>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</si>
  <si>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</si>
  <si>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</si>
  <si>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</si>
  <si>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</si>
  <si>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</si>
  <si>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</si>
  <si>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</si>
  <si>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</si>
  <si>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</si>
  <si>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</si>
  <si>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</si>
  <si>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</si>
  <si>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</si>
  <si>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</si>
  <si>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</si>
  <si>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</si>
  <si>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</si>
  <si>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</si>
  <si>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</si>
  <si>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</si>
  <si>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</si>
  <si>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</si>
  <si>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</si>
  <si>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</si>
  <si>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</si>
  <si>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</si>
  <si>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</si>
  <si>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</si>
  <si>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</si>
  <si>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</si>
  <si>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</si>
  <si>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</si>
  <si>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</si>
  <si>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</si>
  <si>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</si>
  <si>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</si>
  <si>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</si>
  <si>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</si>
  <si>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</si>
  <si>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</si>
  <si>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</si>
  <si>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</si>
  <si>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</si>
  <si>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</si>
  <si>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</si>
  <si>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</si>
  <si>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</si>
  <si>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</si>
  <si>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</si>
  <si>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</si>
  <si>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</si>
  <si>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</si>
  <si>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</si>
  <si>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</si>
  <si>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</si>
  <si>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</si>
  <si>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</si>
  <si>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</si>
  <si>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</si>
  <si>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</si>
  <si>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</si>
  <si>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</si>
  <si>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</si>
  <si>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</si>
  <si>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</si>
  <si>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</si>
  <si>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</si>
  <si>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</si>
  <si>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</si>
  <si>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</si>
  <si>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</si>
  <si>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</si>
  <si>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</si>
  <si>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</si>
  <si>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</si>
  <si>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</si>
  <si>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</si>
  <si>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</si>
  <si>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</si>
  <si>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</si>
  <si>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</si>
  <si>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</si>
  <si>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</si>
  <si>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</si>
  <si>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</si>
  <si>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</si>
  <si>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</si>
  <si>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</si>
  <si>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</si>
  <si>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</si>
  <si>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</si>
  <si>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</si>
  <si>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</si>
  <si>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</si>
  <si>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</si>
  <si>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</si>
  <si>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</si>
  <si>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</si>
  <si>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</si>
  <si>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</si>
  <si>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</si>
  <si>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</si>
  <si>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</si>
  <si>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</si>
  <si>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</si>
  <si>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</si>
  <si>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</si>
  <si>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</si>
  <si>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</si>
  <si>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</si>
  <si>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</si>
  <si>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</si>
  <si>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</si>
  <si>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</si>
  <si>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</si>
  <si>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</si>
  <si>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</si>
  <si>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</si>
  <si>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</si>
  <si>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</si>
  <si>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</si>
  <si>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</si>
  <si>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</si>
  <si>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</si>
  <si>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</si>
  <si>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</si>
  <si>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</si>
  <si>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</si>
  <si>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</si>
  <si>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</si>
  <si>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</si>
  <si>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</si>
  <si>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</si>
  <si>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</si>
  <si>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</si>
  <si>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</si>
  <si>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</si>
  <si>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</si>
  <si>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</si>
  <si>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</si>
  <si>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</si>
  <si>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</si>
  <si>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</si>
  <si>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</si>
  <si>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</si>
  <si>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</si>
  <si>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</si>
  <si>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</si>
  <si>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</si>
  <si>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</si>
  <si>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</si>
  <si>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</si>
  <si>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</si>
  <si>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</si>
  <si>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</si>
  <si>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</si>
  <si>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</si>
  <si>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</si>
  <si>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</si>
  <si>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</si>
  <si>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</si>
  <si>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</si>
  <si>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</si>
  <si>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</si>
  <si>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</si>
  <si>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</si>
  <si>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</si>
  <si>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</si>
  <si>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</si>
  <si>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</si>
  <si>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</si>
  <si>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</si>
  <si>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</si>
  <si>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</si>
  <si>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</si>
  <si>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</si>
  <si>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</si>
  <si>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</si>
  <si>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</si>
  <si>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</si>
  <si>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</si>
  <si>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</si>
  <si>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</si>
  <si>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</si>
  <si>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</si>
  <si>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</si>
  <si>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</si>
  <si>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</si>
  <si>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</si>
  <si>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</si>
  <si>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</si>
  <si>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</si>
  <si>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</si>
  <si>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</si>
  <si>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</si>
  <si>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</si>
  <si>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</si>
  <si>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</si>
  <si>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</si>
  <si>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</si>
  <si>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</si>
  <si>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</si>
  <si>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</si>
  <si>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</si>
  <si>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</si>
  <si>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</si>
  <si>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</si>
  <si>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</si>
  <si>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</si>
  <si>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</si>
  <si>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</si>
  <si>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</si>
  <si>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</si>
  <si>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</si>
  <si>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</si>
  <si>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</si>
  <si>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</si>
  <si>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</si>
  <si>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</si>
  <si>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</si>
  <si>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</si>
  <si>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</si>
  <si>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</si>
  <si>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</si>
  <si>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</si>
  <si>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</si>
  <si>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</si>
  <si>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</si>
  <si>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</si>
  <si>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</si>
  <si>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</si>
  <si>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</si>
  <si>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</si>
  <si>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</si>
  <si>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</si>
  <si>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</si>
  <si>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</si>
  <si>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</si>
  <si>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</si>
  <si>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</si>
  <si>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</si>
  <si>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</si>
  <si>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</si>
  <si>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</si>
  <si>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</si>
  <si>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</si>
  <si>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</si>
  <si>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</si>
  <si>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</si>
  <si>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</si>
  <si>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</si>
  <si>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</si>
  <si>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</si>
  <si>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</si>
  <si>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</si>
  <si>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</si>
  <si>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</si>
  <si>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</si>
  <si>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</si>
  <si>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</si>
  <si>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</si>
  <si>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</si>
  <si>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</si>
  <si>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</si>
  <si>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</si>
  <si>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</si>
  <si>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</si>
  <si>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</si>
  <si>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</si>
  <si>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</si>
  <si>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</si>
  <si>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</si>
  <si>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</si>
  <si>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</si>
  <si>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</si>
  <si>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</si>
  <si>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</si>
  <si>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</si>
  <si>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</si>
  <si>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</si>
  <si>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</si>
  <si>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</si>
  <si>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</si>
  <si>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</si>
  <si>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</si>
  <si>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</si>
  <si>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</si>
  <si>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</si>
  <si>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</si>
  <si>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</si>
  <si>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</si>
  <si>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</si>
  <si>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</si>
  <si>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</si>
  <si>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</si>
  <si>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</si>
  <si>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</si>
  <si>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</si>
  <si>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</si>
  <si>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</si>
  <si>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</si>
  <si>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</si>
  <si>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</si>
  <si>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</si>
  <si>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</si>
  <si>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</si>
  <si>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</si>
  <si>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</si>
  <si>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</si>
  <si>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</si>
  <si>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</si>
  <si>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</si>
  <si>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</si>
  <si>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</si>
  <si>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</si>
  <si>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</si>
  <si>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</si>
  <si>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</si>
  <si>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</si>
  <si>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</si>
  <si>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</si>
  <si>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</si>
  <si>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</si>
  <si>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</si>
  <si>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</si>
  <si>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</si>
  <si>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</si>
  <si>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</si>
  <si>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</si>
  <si>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</si>
  <si>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</si>
  <si>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</si>
  <si>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</si>
  <si>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</si>
  <si>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</si>
  <si>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</si>
  <si>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</si>
  <si>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</si>
  <si>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</si>
  <si>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</si>
  <si>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</si>
  <si>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</si>
  <si>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</si>
  <si>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</si>
  <si>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</si>
  <si>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</si>
  <si>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</si>
  <si>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</si>
  <si>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</si>
  <si>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</si>
  <si>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</si>
  <si>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</si>
  <si>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</si>
  <si>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</si>
  <si>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</si>
  <si>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</si>
  <si>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</si>
  <si>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</si>
  <si>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</si>
  <si>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</si>
  <si>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</si>
  <si>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</si>
  <si>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</si>
  <si>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</si>
  <si>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</si>
  <si>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</si>
  <si>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</si>
  <si>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</si>
  <si>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</si>
  <si>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</si>
  <si>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</si>
  <si>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</si>
  <si>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</si>
  <si>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</si>
  <si>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</si>
  <si>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</si>
  <si>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</si>
  <si>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</si>
  <si>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</si>
  <si>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</si>
  <si>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</si>
  <si>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</si>
  <si>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</si>
  <si>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</si>
  <si>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</si>
  <si>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</si>
  <si>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</si>
  <si>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</si>
  <si>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</si>
  <si>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</si>
  <si>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</si>
  <si>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</si>
  <si>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</si>
  <si>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</si>
  <si>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</si>
  <si>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</si>
  <si>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</si>
  <si>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</si>
  <si>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</si>
  <si>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</si>
  <si>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</si>
  <si>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</si>
  <si>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</si>
  <si>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</si>
  <si>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</si>
  <si>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</si>
  <si>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</si>
  <si>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</si>
  <si>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</si>
  <si>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</si>
  <si>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</si>
  <si>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</si>
  <si>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</si>
  <si>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</si>
  <si>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</si>
  <si>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</si>
  <si>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</si>
  <si>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</si>
  <si>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</si>
  <si>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</si>
  <si>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</si>
  <si>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</si>
  <si>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</si>
  <si>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</si>
  <si>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</si>
  <si>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</si>
  <si>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</si>
  <si>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</si>
  <si>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</si>
  <si>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</si>
  <si>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</si>
  <si>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</si>
  <si>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</si>
  <si>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</si>
  <si>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</si>
  <si>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</si>
  <si>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</si>
  <si>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</si>
  <si>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</si>
  <si>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</si>
  <si>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</si>
  <si>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</si>
  <si>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</si>
  <si>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</si>
  <si>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</si>
  <si>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</si>
  <si>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</si>
  <si>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</si>
  <si>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</si>
  <si>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</si>
  <si>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</si>
  <si>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</si>
  <si>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</si>
  <si>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</si>
  <si>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</si>
  <si>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</si>
  <si>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</si>
  <si>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</si>
  <si>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</si>
  <si>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</si>
  <si>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</si>
  <si>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</si>
  <si>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</si>
  <si>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</si>
  <si>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</si>
  <si>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</si>
  <si>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</si>
  <si>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</si>
  <si>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</si>
  <si>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</si>
  <si>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</si>
  <si>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</si>
  <si>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</si>
  <si>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</si>
  <si>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</si>
  <si>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</si>
  <si>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</si>
  <si>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</si>
  <si>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</si>
  <si>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</si>
  <si>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</si>
  <si>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</si>
  <si>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</si>
  <si>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</si>
  <si>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</si>
  <si>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</si>
  <si>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</si>
  <si>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</si>
  <si>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</si>
  <si>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</si>
  <si>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</si>
  <si>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</si>
  <si>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</si>
  <si>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</si>
  <si>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</si>
  <si>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</si>
  <si>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</si>
  <si>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</si>
  <si>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</si>
  <si>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</si>
  <si>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</si>
  <si>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</si>
  <si>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</si>
  <si>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</si>
  <si>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</si>
  <si>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</si>
  <si>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</si>
  <si>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</si>
  <si>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</si>
  <si>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</si>
  <si>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</si>
  <si>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</si>
  <si>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</si>
  <si>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</si>
  <si>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</si>
  <si>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</si>
  <si>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</si>
  <si>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</si>
  <si>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</si>
  <si>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</si>
  <si>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</si>
  <si>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</si>
  <si>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</si>
  <si>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</si>
  <si>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</si>
  <si>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</si>
  <si>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</si>
  <si>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</si>
  <si>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</si>
  <si>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</si>
  <si>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</si>
  <si>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</si>
  <si>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</si>
  <si>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</si>
  <si>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</si>
  <si>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</si>
  <si>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</si>
  <si>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</si>
  <si>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</si>
  <si>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</si>
  <si>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</si>
  <si>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</si>
  <si>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</si>
  <si>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</si>
  <si>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</si>
  <si>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</si>
  <si>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</si>
  <si>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</si>
  <si>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</si>
  <si>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</si>
  <si>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</si>
  <si>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</si>
  <si>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</si>
  <si>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</si>
  <si>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</si>
  <si>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</si>
  <si>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</si>
  <si>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</si>
  <si>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</si>
  <si>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</si>
  <si>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</si>
  <si>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</si>
  <si>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</si>
  <si>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</si>
  <si>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</si>
  <si>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</si>
  <si>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</si>
  <si>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</si>
  <si>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</si>
  <si>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</si>
  <si>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</si>
  <si>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</si>
  <si>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</si>
  <si>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</si>
  <si>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</si>
  <si>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</si>
  <si>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</si>
  <si>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</si>
  <si>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</si>
  <si>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</si>
  <si>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</si>
  <si>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</si>
  <si>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</si>
  <si>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</si>
  <si>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</si>
  <si>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</si>
  <si>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</si>
  <si>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</si>
  <si>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</si>
  <si>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</si>
  <si>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</si>
  <si>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</si>
  <si>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</si>
  <si>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</si>
  <si>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</si>
  <si>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</si>
  <si>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</si>
  <si>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</si>
  <si>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</si>
  <si>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</si>
  <si>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</si>
  <si>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</si>
  <si>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</si>
  <si>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</si>
  <si>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</si>
  <si>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</si>
  <si>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</si>
  <si>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</si>
  <si>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</si>
  <si>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</si>
  <si>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</si>
  <si>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</si>
  <si>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</si>
  <si>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</si>
  <si>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</si>
  <si>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</si>
  <si>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</si>
  <si>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</si>
  <si>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</si>
  <si>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</si>
  <si>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</si>
  <si>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</si>
  <si>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</si>
  <si>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</si>
  <si>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</si>
  <si>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</si>
  <si>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</si>
  <si>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</si>
  <si>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</si>
  <si>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</si>
  <si>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</si>
  <si>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</si>
  <si>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</si>
  <si>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</si>
  <si>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</si>
  <si>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</si>
  <si>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</si>
  <si>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</si>
  <si>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</si>
  <si>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</si>
  <si>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</si>
  <si>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</si>
  <si>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</si>
  <si>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</si>
  <si>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</si>
  <si>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</si>
  <si>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</si>
  <si>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</si>
  <si>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</si>
  <si>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</si>
  <si>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</si>
  <si>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</si>
  <si>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</si>
  <si>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</si>
  <si>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</si>
  <si>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</si>
  <si>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</si>
  <si>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</si>
  <si>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</si>
  <si>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</si>
  <si>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</si>
  <si>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</si>
  <si>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</si>
  <si>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</si>
  <si>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</si>
  <si>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</si>
  <si>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</si>
  <si>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</si>
  <si>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</si>
  <si>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</si>
  <si>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</si>
  <si>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</si>
  <si>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</si>
  <si>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</si>
  <si>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</si>
  <si>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</si>
  <si>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</si>
  <si>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</si>
  <si>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</si>
  <si>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</si>
  <si>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</si>
  <si>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</si>
  <si>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</si>
  <si>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</si>
  <si>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</si>
  <si>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</si>
  <si>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</si>
  <si>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</si>
  <si>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</si>
  <si>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</si>
  <si>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</si>
  <si>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</si>
  <si>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</si>
  <si>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</si>
  <si>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</si>
  <si>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</si>
  <si>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</si>
  <si>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</si>
  <si>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</si>
  <si>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</si>
  <si>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</si>
  <si>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</si>
  <si>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</si>
  <si>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</si>
  <si>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</si>
  <si>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</si>
  <si>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</si>
  <si>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</si>
  <si>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</si>
  <si>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</si>
  <si>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</si>
  <si>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</si>
  <si>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</si>
  <si>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</si>
  <si>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</si>
  <si>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</si>
  <si>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</si>
  <si>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</si>
  <si>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</si>
  <si>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</si>
  <si>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</si>
  <si>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</si>
  <si>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</si>
  <si>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</si>
  <si>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</si>
  <si>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</si>
  <si>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</si>
  <si>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</si>
  <si>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</si>
  <si>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</si>
  <si>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</si>
  <si>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</si>
  <si>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</si>
  <si>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</si>
  <si>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</si>
  <si>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</si>
  <si>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</si>
  <si>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</si>
  <si>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</si>
  <si>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</si>
  <si>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</si>
  <si>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</si>
  <si>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</si>
  <si>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EUR</t>
  </si>
  <si>
    <t>בנק לאומי</t>
  </si>
  <si>
    <t>10-800</t>
  </si>
  <si>
    <t>USD</t>
  </si>
  <si>
    <t>GBP</t>
  </si>
  <si>
    <t>בנק מזרחי</t>
  </si>
  <si>
    <t>20-21</t>
  </si>
  <si>
    <t>CAD</t>
  </si>
  <si>
    <t>ממשלת ישראל</t>
  </si>
  <si>
    <t>ממשל צמודה 0431</t>
  </si>
  <si>
    <t>IL0012207226</t>
  </si>
  <si>
    <t>ilRF</t>
  </si>
  <si>
    <t>ממשלתי שקלי 142</t>
  </si>
  <si>
    <t>IL0011254005</t>
  </si>
  <si>
    <t>ממשלתי צמוד 0837</t>
  </si>
  <si>
    <t>IL0012372053</t>
  </si>
  <si>
    <t>ממשל שקלית 1035</t>
  </si>
  <si>
    <t>IL0012277849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</si>
  <si>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</si>
  <si>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</si>
  <si>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</si>
  <si>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</si>
  <si>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</si>
  <si>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</si>
  <si>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</si>
  <si>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</si>
  <si>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הראל קרנות נאמנות בע"מ</t>
  </si>
  <si>
    <t>הראל סל (4A) ת"א 125</t>
  </si>
  <si>
    <t>IL0011488991</t>
  </si>
  <si>
    <t>מגדל קרנות נאמנות בע"מ</t>
  </si>
  <si>
    <t>MTF סל (4A) ת"א 35</t>
  </si>
  <si>
    <t>IL0011501843</t>
  </si>
  <si>
    <t>אי.בי.אי - קרנות נאמנות בע"מ</t>
  </si>
  <si>
    <t>אי.בי.אי (פסגות לשעבר) ETF תלבונד 60</t>
  </si>
  <si>
    <t>IL0011480063</t>
  </si>
  <si>
    <t>מיטב תכלית קרנות נאמנות בע"מ</t>
  </si>
  <si>
    <t>תכלית סל (00) תל בונד צמודות-יתר</t>
  </si>
  <si>
    <t>IL0011446908</t>
  </si>
  <si>
    <t>תכלית סל (40) ת"א 125</t>
  </si>
  <si>
    <t>IL0011437188</t>
  </si>
  <si>
    <t>קסם קרנות נאמנות בע"מ</t>
  </si>
  <si>
    <t>קסם ETFי (00) תל בונד שקלי</t>
  </si>
  <si>
    <t>IL0011464141</t>
  </si>
  <si>
    <t>אי.בי.אי. סל (4A) אינדקס בנקים ישראל</t>
  </si>
  <si>
    <t>IL0011487746</t>
  </si>
  <si>
    <t>תכלית סל (00) תל בונד שקלי</t>
  </si>
  <si>
    <t>IL0011451841</t>
  </si>
  <si>
    <t>מור ניהול קרנות נאמנות (2013) בע"מ</t>
  </si>
  <si>
    <t>מור סל (4A) תא 90</t>
  </si>
  <si>
    <t>IL0011961468</t>
  </si>
  <si>
    <t>אי בי אי   ETF תא 125</t>
  </si>
  <si>
    <t>IL0011488082</t>
  </si>
  <si>
    <t>MTF סל (00) תל בונד שקלי</t>
  </si>
  <si>
    <t>IL0011500027</t>
  </si>
  <si>
    <t>אי.בי.אי. סל (4A) ת"א-35</t>
  </si>
  <si>
    <t>IL0012259946</t>
  </si>
  <si>
    <t>הראל סל תא 35</t>
  </si>
  <si>
    <t>IL0011489072</t>
  </si>
  <si>
    <t>הראל סל תלבונד שקלי</t>
  </si>
  <si>
    <t>IL0011505232</t>
  </si>
  <si>
    <t>קסם ETF תא 35</t>
  </si>
  <si>
    <t>IL0011465700</t>
  </si>
  <si>
    <t>קסם ETF ת"א 125</t>
  </si>
  <si>
    <t>IL0011463564</t>
  </si>
  <si>
    <t>קסם ETFי (00) תל בונד צמודות-יתר</t>
  </si>
  <si>
    <t>IL0011469355</t>
  </si>
  <si>
    <t>Vanguard Group Inc</t>
  </si>
  <si>
    <t>5493002789CX3L0CJP65</t>
  </si>
  <si>
    <t>VOO VANGUARD S&amp;P 500 ETF (POALIM)</t>
  </si>
  <si>
    <t>US9229083632</t>
  </si>
  <si>
    <t>AMUNDI INVT SOLUTIONS</t>
  </si>
  <si>
    <t>213800WAVVOPS85N2205</t>
  </si>
  <si>
    <t>LCJD  LN -   MSCI Japan (P)</t>
  </si>
  <si>
    <t>LU1781541252</t>
  </si>
  <si>
    <t>AUEM  FP -  MSCI Emerging Markets (P)</t>
  </si>
  <si>
    <t>LU1681045453</t>
  </si>
  <si>
    <t>INVESCO</t>
  </si>
  <si>
    <t>ECPGFXU8A2SHKVVGJI15</t>
  </si>
  <si>
    <t>MXUK GY Invesco Europe ex UK (POALIM)</t>
  </si>
  <si>
    <t>IE00BYX5K108</t>
  </si>
  <si>
    <t>HSBC</t>
  </si>
  <si>
    <t>MLU0ZO3ML4LN2LL2TL39</t>
  </si>
  <si>
    <t>HMWD LN HSBC MSCI WORLD (Poalim)</t>
  </si>
  <si>
    <t>IE00B4X9L533</t>
  </si>
  <si>
    <t>Global X</t>
  </si>
  <si>
    <t>988400XS10PE37QW6R37</t>
  </si>
  <si>
    <t>HXT  CN -  Canada TSX 60 (P)</t>
  </si>
  <si>
    <t>CA37963M1086</t>
  </si>
  <si>
    <t>State Street</t>
  </si>
  <si>
    <t>549300ZFEEJ2IP5VME73</t>
  </si>
  <si>
    <t>SPY SPDR S&amp;P 500 (poalim)</t>
  </si>
  <si>
    <t>US78462F1030</t>
  </si>
  <si>
    <t>LYXOR INTL</t>
  </si>
  <si>
    <t>L100  LN -   FTSE 100 (P)</t>
  </si>
  <si>
    <t>LU1650492173</t>
  </si>
  <si>
    <t>U127  LN -  MSCI Emerging Markets (P)</t>
  </si>
  <si>
    <t>LU2573966905</t>
  </si>
  <si>
    <t>Xtrackers</t>
  </si>
  <si>
    <t>549300PKYNYSI1CU4632</t>
  </si>
  <si>
    <t>XPXD LN DB Pacific Ex- Japan  (POALIM)</t>
  </si>
  <si>
    <t>LU0322252338</t>
  </si>
  <si>
    <t>UBS</t>
  </si>
  <si>
    <t>549300SZJ9VS8SGXAN81</t>
  </si>
  <si>
    <t>USMEGA SW UBS  Poalim</t>
  </si>
  <si>
    <t>IE000YCD1TY0</t>
  </si>
  <si>
    <t>ISHARES</t>
  </si>
  <si>
    <t>529900VBK42Y5HHRMD23</t>
  </si>
  <si>
    <t>IVV US Ishares S&amp;P (Poalim)</t>
  </si>
  <si>
    <t>US4642872000</t>
  </si>
  <si>
    <t>PBUS MSCI US Invesco</t>
  </si>
  <si>
    <t>US46138E4614</t>
  </si>
  <si>
    <t>MIZBILIT</t>
  </si>
  <si>
    <t>USDILS</t>
  </si>
  <si>
    <t>570009852_gm_p_0226.xlsx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</si>
</sst>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667800</xdr:colOff>
      <xdr:row>45</xdr:row>
      <xdr:rowOff>77347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D4FEABA-20E9-D055-C342-640A6D643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621400" y="0"/>
          <a:ext cx="7525800" cy="8221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B19E-B272-4359-A467-781D3537665C}">
  <dimension ref="A1"/>
  <sheetViews>
    <sheetView rightToLeft="1" tabSelected="1" workbookViewId="0">
      <selection activeCell="M13" sqref="M13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7" sqref="D7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1193</v>
      </c>
    </row>
    <row r="12" spans="1:4" ht="13.5" customHeight="1"/>
    <row r="13" spans="1:4" ht="13.5" customHeight="1">
      <c r="A13" s="3" t="s">
        <v>6</v>
      </c>
      <c r="D13" s="4">
        <v>570009852</v>
      </c>
    </row>
    <row r="14" spans="1:4" ht="13.5" customHeight="1"/>
    <row r="15" spans="1:4" ht="13.5" customHeight="1">
      <c r="A15" s="6" t="s">
        <v>7</v>
      </c>
      <c r="D15" s="113" t="s">
        <v>1347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8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8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99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3" sqref="B3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2187.7553900000003</v>
      </c>
      <c r="C3" s="92"/>
      <c r="D3" s="95"/>
      <c r="E3" s="96">
        <f>IFERROR(B3/$B$30,0)</f>
        <v>4.1442083935531684E-2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6943.1348600000001</v>
      </c>
      <c r="C4" s="92"/>
      <c r="D4" s="95"/>
      <c r="E4" s="96">
        <f t="shared" ref="E4:E30" si="0">IFERROR(B4/$B$30,0)</f>
        <v>0.13152200605198189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85.304949999999991</v>
      </c>
      <c r="C6" s="92"/>
      <c r="D6" s="95"/>
      <c r="E6" s="96">
        <f t="shared" si="0"/>
        <v>1.6159095821111577E-3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42757.784729999992</v>
      </c>
      <c r="C8" s="92"/>
      <c r="D8" s="95"/>
      <c r="E8" s="96">
        <f t="shared" si="0"/>
        <v>0.80994964600592501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0</v>
      </c>
      <c r="C15" s="92"/>
      <c r="D15" s="95"/>
      <c r="E15" s="96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0</v>
      </c>
      <c r="C16" s="92"/>
      <c r="D16" s="95"/>
      <c r="E16" s="96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0</v>
      </c>
      <c r="C18" s="92"/>
      <c r="D18" s="95"/>
      <c r="E18" s="96">
        <f t="shared" si="0"/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0</v>
      </c>
      <c r="C19" s="92"/>
      <c r="D19" s="95"/>
      <c r="E19" s="96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816.69037999999989</v>
      </c>
      <c r="C23" s="92"/>
      <c r="D23" s="95"/>
      <c r="E23" s="96">
        <f t="shared" si="0"/>
        <v>1.5470354424450194E-2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מוחזקות'!U:U)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0</v>
      </c>
      <c r="C29" s="92"/>
      <c r="D29" s="95"/>
      <c r="E29" s="96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52790.670309999994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N2" sqref="N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0">
        <v>513</v>
      </c>
      <c r="B2" s="100">
        <v>513</v>
      </c>
      <c r="C2" s="100" t="s">
        <v>1230</v>
      </c>
      <c r="D2" s="100" t="s">
        <v>1231</v>
      </c>
      <c r="E2" s="100" t="s">
        <v>314</v>
      </c>
      <c r="F2" s="100" t="s">
        <v>940</v>
      </c>
      <c r="G2" s="100" t="s">
        <v>202</v>
      </c>
      <c r="H2" s="100" t="s">
        <v>336</v>
      </c>
      <c r="I2" s="100" t="s">
        <v>1232</v>
      </c>
      <c r="J2" s="100" t="s">
        <v>411</v>
      </c>
      <c r="K2" s="100" t="s">
        <v>1233</v>
      </c>
      <c r="L2" s="103">
        <v>1524.0217500000001</v>
      </c>
      <c r="M2" s="103">
        <v>1</v>
      </c>
      <c r="N2" s="102"/>
      <c r="O2" s="103">
        <v>1524.0217500000001</v>
      </c>
      <c r="P2" s="102">
        <v>0.69661300000000004</v>
      </c>
      <c r="Q2" s="102">
        <v>2.8868999999999999E-2</v>
      </c>
    </row>
    <row r="3" spans="1:26" ht="13.5" customHeight="1">
      <c r="A3" s="100">
        <v>513</v>
      </c>
      <c r="B3" s="100">
        <v>513</v>
      </c>
      <c r="C3" s="100" t="s">
        <v>1230</v>
      </c>
      <c r="D3" s="100" t="s">
        <v>1231</v>
      </c>
      <c r="E3" s="100" t="s">
        <v>314</v>
      </c>
      <c r="F3" s="100" t="s">
        <v>943</v>
      </c>
      <c r="G3" s="100" t="s">
        <v>202</v>
      </c>
      <c r="H3" s="100" t="s">
        <v>336</v>
      </c>
      <c r="I3" s="100" t="s">
        <v>1232</v>
      </c>
      <c r="J3" s="100" t="s">
        <v>411</v>
      </c>
      <c r="K3" s="100" t="s">
        <v>1234</v>
      </c>
      <c r="L3" s="103">
        <v>0.88368999999999998</v>
      </c>
      <c r="M3" s="103">
        <v>3.3944999999999999</v>
      </c>
      <c r="N3" s="102"/>
      <c r="O3" s="103">
        <v>2.9996900000000002</v>
      </c>
      <c r="P3" s="102">
        <v>1.371E-3</v>
      </c>
      <c r="Q3" s="102">
        <v>5.5999999999999999E-5</v>
      </c>
    </row>
    <row r="4" spans="1:26" ht="13.5" customHeight="1">
      <c r="A4" s="100">
        <v>513</v>
      </c>
      <c r="B4" s="100">
        <v>513</v>
      </c>
      <c r="C4" s="100" t="s">
        <v>1235</v>
      </c>
      <c r="D4" s="100" t="s">
        <v>1236</v>
      </c>
      <c r="E4" s="100" t="s">
        <v>314</v>
      </c>
      <c r="F4" s="100" t="s">
        <v>940</v>
      </c>
      <c r="G4" s="100" t="s">
        <v>202</v>
      </c>
      <c r="H4" s="100" t="s">
        <v>336</v>
      </c>
      <c r="I4" s="100" t="s">
        <v>1232</v>
      </c>
      <c r="J4" s="100" t="s">
        <v>411</v>
      </c>
      <c r="K4" s="100" t="s">
        <v>1233</v>
      </c>
      <c r="L4" s="103">
        <v>8.9219999999999994E-2</v>
      </c>
      <c r="M4" s="103">
        <v>1</v>
      </c>
      <c r="N4" s="102"/>
      <c r="O4" s="103">
        <v>8.9219999999999994E-2</v>
      </c>
      <c r="P4" s="102">
        <v>4.0000000000000003E-5</v>
      </c>
      <c r="Q4" s="102">
        <v>9.9999999999999995E-7</v>
      </c>
    </row>
    <row r="5" spans="1:26" ht="13.5" customHeight="1">
      <c r="A5" s="100">
        <v>513</v>
      </c>
      <c r="B5" s="100">
        <v>513</v>
      </c>
      <c r="C5" s="100" t="s">
        <v>1235</v>
      </c>
      <c r="D5" s="100" t="s">
        <v>1236</v>
      </c>
      <c r="E5" s="100" t="s">
        <v>314</v>
      </c>
      <c r="F5" s="100" t="s">
        <v>943</v>
      </c>
      <c r="G5" s="100" t="s">
        <v>202</v>
      </c>
      <c r="H5" s="100" t="s">
        <v>336</v>
      </c>
      <c r="I5" s="100" t="s">
        <v>1232</v>
      </c>
      <c r="J5" s="100" t="s">
        <v>411</v>
      </c>
      <c r="K5" s="100" t="s">
        <v>1237</v>
      </c>
      <c r="L5" s="103">
        <v>9.1319999999999998E-2</v>
      </c>
      <c r="M5" s="103">
        <v>2.9780000000000002</v>
      </c>
      <c r="N5" s="102"/>
      <c r="O5" s="103">
        <v>0.27195000000000003</v>
      </c>
      <c r="P5" s="102">
        <v>1.2400000000000001E-4</v>
      </c>
      <c r="Q5" s="102">
        <v>5.0000000000000004E-6</v>
      </c>
    </row>
    <row r="6" spans="1:26" ht="13.5" customHeight="1">
      <c r="A6" s="100">
        <v>513</v>
      </c>
      <c r="B6" s="100">
        <v>513</v>
      </c>
      <c r="C6" s="100" t="s">
        <v>1235</v>
      </c>
      <c r="D6" s="100" t="s">
        <v>1236</v>
      </c>
      <c r="E6" s="100" t="s">
        <v>314</v>
      </c>
      <c r="F6" s="100" t="s">
        <v>943</v>
      </c>
      <c r="G6" s="100" t="s">
        <v>202</v>
      </c>
      <c r="H6" s="100" t="s">
        <v>336</v>
      </c>
      <c r="I6" s="100" t="s">
        <v>1232</v>
      </c>
      <c r="J6" s="100" t="s">
        <v>411</v>
      </c>
      <c r="K6" s="100" t="s">
        <v>1238</v>
      </c>
      <c r="L6" s="103">
        <v>7.9710000000000003E-2</v>
      </c>
      <c r="M6" s="103">
        <v>3.9388999999999998</v>
      </c>
      <c r="N6" s="102"/>
      <c r="O6" s="103">
        <v>0.31397000000000003</v>
      </c>
      <c r="P6" s="102">
        <v>1.4300000000000001E-4</v>
      </c>
      <c r="Q6" s="102">
        <v>5.0000000000000004E-6</v>
      </c>
    </row>
    <row r="7" spans="1:26" ht="13.5" customHeight="1">
      <c r="A7" s="100">
        <v>513</v>
      </c>
      <c r="B7" s="100">
        <v>513</v>
      </c>
      <c r="C7" s="100" t="s">
        <v>1239</v>
      </c>
      <c r="D7" s="100" t="s">
        <v>1240</v>
      </c>
      <c r="E7" s="100" t="s">
        <v>314</v>
      </c>
      <c r="F7" s="100" t="s">
        <v>940</v>
      </c>
      <c r="G7" s="100" t="s">
        <v>202</v>
      </c>
      <c r="H7" s="100" t="s">
        <v>336</v>
      </c>
      <c r="I7" s="100" t="s">
        <v>1232</v>
      </c>
      <c r="J7" s="100" t="s">
        <v>411</v>
      </c>
      <c r="K7" s="100" t="s">
        <v>1233</v>
      </c>
      <c r="L7" s="103">
        <v>493.46557999999999</v>
      </c>
      <c r="M7" s="103">
        <v>1</v>
      </c>
      <c r="N7" s="102"/>
      <c r="O7" s="103">
        <v>493.46557999999999</v>
      </c>
      <c r="P7" s="102">
        <v>0.22555700000000001</v>
      </c>
      <c r="Q7" s="102">
        <v>9.3469999999999994E-3</v>
      </c>
    </row>
    <row r="8" spans="1:26" ht="13.5" customHeight="1">
      <c r="A8" s="100">
        <v>513</v>
      </c>
      <c r="B8" s="100">
        <v>513</v>
      </c>
      <c r="C8" s="100" t="s">
        <v>1239</v>
      </c>
      <c r="D8" s="100" t="s">
        <v>1240</v>
      </c>
      <c r="E8" s="100" t="s">
        <v>314</v>
      </c>
      <c r="F8" s="100" t="s">
        <v>943</v>
      </c>
      <c r="G8" s="100" t="s">
        <v>202</v>
      </c>
      <c r="H8" s="100" t="s">
        <v>336</v>
      </c>
      <c r="I8" s="100" t="s">
        <v>1232</v>
      </c>
      <c r="J8" s="100" t="s">
        <v>411</v>
      </c>
      <c r="K8" s="100" t="s">
        <v>1237</v>
      </c>
      <c r="L8" s="103">
        <v>3.4619999999999998E-2</v>
      </c>
      <c r="M8" s="103">
        <v>2.9780000000000002</v>
      </c>
      <c r="N8" s="102"/>
      <c r="O8" s="103">
        <v>0.1031</v>
      </c>
      <c r="P8" s="102">
        <v>4.6999999999999997E-5</v>
      </c>
      <c r="Q8" s="102">
        <v>9.9999999999999995E-7</v>
      </c>
    </row>
    <row r="9" spans="1:26" ht="13.5" customHeight="1">
      <c r="A9" s="100">
        <v>513</v>
      </c>
      <c r="B9" s="100">
        <v>513</v>
      </c>
      <c r="C9" s="100" t="s">
        <v>1230</v>
      </c>
      <c r="D9" s="100" t="s">
        <v>1231</v>
      </c>
      <c r="E9" s="100" t="s">
        <v>314</v>
      </c>
      <c r="F9" s="100" t="s">
        <v>943</v>
      </c>
      <c r="G9" s="100" t="s">
        <v>202</v>
      </c>
      <c r="H9" s="100" t="s">
        <v>336</v>
      </c>
      <c r="I9" s="100" t="s">
        <v>1232</v>
      </c>
      <c r="J9" s="100" t="s">
        <v>411</v>
      </c>
      <c r="K9" s="100" t="s">
        <v>1238</v>
      </c>
      <c r="L9" s="103">
        <v>0.72584000000000004</v>
      </c>
      <c r="M9" s="103">
        <v>3.9388999999999998</v>
      </c>
      <c r="N9" s="102"/>
      <c r="O9" s="103">
        <v>2.8590100000000001</v>
      </c>
      <c r="P9" s="102">
        <v>1.3060000000000001E-3</v>
      </c>
      <c r="Q9" s="102">
        <v>5.3999999999999998E-5</v>
      </c>
    </row>
    <row r="10" spans="1:26" ht="13.5" customHeight="1">
      <c r="A10" s="100">
        <v>513</v>
      </c>
      <c r="B10" s="100">
        <v>513</v>
      </c>
      <c r="C10" s="100" t="s">
        <v>1230</v>
      </c>
      <c r="D10" s="100" t="s">
        <v>1231</v>
      </c>
      <c r="E10" s="100" t="s">
        <v>314</v>
      </c>
      <c r="F10" s="100" t="s">
        <v>943</v>
      </c>
      <c r="G10" s="100" t="s">
        <v>202</v>
      </c>
      <c r="H10" s="100" t="s">
        <v>336</v>
      </c>
      <c r="I10" s="100" t="s">
        <v>1232</v>
      </c>
      <c r="J10" s="100" t="s">
        <v>411</v>
      </c>
      <c r="K10" s="100" t="s">
        <v>1241</v>
      </c>
      <c r="L10" s="103">
        <v>0.13988999999999999</v>
      </c>
      <c r="M10" s="103">
        <v>2.0916999999999999</v>
      </c>
      <c r="N10" s="102"/>
      <c r="O10" s="103">
        <v>0.29260999999999998</v>
      </c>
      <c r="P10" s="102">
        <v>1.3300000000000001E-4</v>
      </c>
      <c r="Q10" s="102">
        <v>5.0000000000000004E-6</v>
      </c>
    </row>
    <row r="11" spans="1:26" ht="13.5" customHeight="1">
      <c r="A11" s="100">
        <v>513</v>
      </c>
      <c r="B11" s="100">
        <v>513</v>
      </c>
      <c r="C11" s="100" t="s">
        <v>1230</v>
      </c>
      <c r="D11" s="100" t="s">
        <v>1231</v>
      </c>
      <c r="E11" s="100" t="s">
        <v>314</v>
      </c>
      <c r="F11" s="100" t="s">
        <v>943</v>
      </c>
      <c r="G11" s="100" t="s">
        <v>202</v>
      </c>
      <c r="H11" s="100" t="s">
        <v>336</v>
      </c>
      <c r="I11" s="100" t="s">
        <v>1232</v>
      </c>
      <c r="J11" s="100" t="s">
        <v>411</v>
      </c>
      <c r="K11" s="100" t="s">
        <v>1237</v>
      </c>
      <c r="L11" s="103">
        <v>54.828279999999999</v>
      </c>
      <c r="M11" s="103">
        <v>2.9780000000000002</v>
      </c>
      <c r="N11" s="102"/>
      <c r="O11" s="103">
        <v>163.27861999999999</v>
      </c>
      <c r="P11" s="102">
        <v>7.4632000000000004E-2</v>
      </c>
      <c r="Q11" s="102">
        <v>3.0920000000000001E-3</v>
      </c>
    </row>
    <row r="12" spans="1:26" ht="13.5" customHeight="1">
      <c r="A12" s="100">
        <v>513</v>
      </c>
      <c r="B12" s="100">
        <v>513</v>
      </c>
      <c r="C12" s="100" t="s">
        <v>1235</v>
      </c>
      <c r="D12" s="100" t="s">
        <v>1236</v>
      </c>
      <c r="E12" s="100" t="s">
        <v>314</v>
      </c>
      <c r="F12" s="100" t="s">
        <v>943</v>
      </c>
      <c r="G12" s="100" t="s">
        <v>202</v>
      </c>
      <c r="H12" s="100" t="s">
        <v>336</v>
      </c>
      <c r="I12" s="100" t="s">
        <v>1232</v>
      </c>
      <c r="J12" s="100" t="s">
        <v>411</v>
      </c>
      <c r="K12" s="100" t="s">
        <v>1241</v>
      </c>
      <c r="L12" s="103">
        <v>2.8629999999999999E-2</v>
      </c>
      <c r="M12" s="103">
        <v>2.0916999999999999</v>
      </c>
      <c r="N12" s="102"/>
      <c r="O12" s="103">
        <v>5.9889999999999999E-2</v>
      </c>
      <c r="P12" s="102">
        <v>2.6999999999999999E-5</v>
      </c>
      <c r="Q12" s="102">
        <v>9.9999999999999995E-7</v>
      </c>
    </row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3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4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0">
        <v>513</v>
      </c>
      <c r="B2" s="100">
        <v>513</v>
      </c>
      <c r="C2" s="100" t="s">
        <v>1242</v>
      </c>
      <c r="D2" s="100" t="s">
        <v>1243</v>
      </c>
      <c r="E2" s="100" t="s">
        <v>1244</v>
      </c>
      <c r="F2" s="100" t="s">
        <v>950</v>
      </c>
      <c r="G2" s="100" t="s">
        <v>202</v>
      </c>
      <c r="H2" s="100" t="s">
        <v>202</v>
      </c>
      <c r="I2" s="100" t="s">
        <v>337</v>
      </c>
      <c r="J2" s="100" t="s">
        <v>1245</v>
      </c>
      <c r="K2" s="100" t="s">
        <v>411</v>
      </c>
      <c r="L2" s="100" t="s">
        <v>1233</v>
      </c>
      <c r="M2" s="103">
        <v>4.6399999999999997</v>
      </c>
      <c r="N2" s="106">
        <v>47968</v>
      </c>
      <c r="O2" s="102">
        <v>0.02</v>
      </c>
      <c r="P2" s="102">
        <v>1.8100000000000002E-2</v>
      </c>
      <c r="Q2" s="103">
        <v>0</v>
      </c>
      <c r="R2" s="103">
        <v>2938271</v>
      </c>
      <c r="S2" s="103">
        <v>1</v>
      </c>
      <c r="T2" s="103">
        <v>103.97</v>
      </c>
      <c r="U2" s="103">
        <v>3054.9203600000001</v>
      </c>
      <c r="V2" s="103"/>
      <c r="W2" s="100"/>
      <c r="X2" s="102">
        <v>1.3899999999999999E-4</v>
      </c>
      <c r="Y2" s="102">
        <v>0.43999100000000002</v>
      </c>
      <c r="Z2" s="102">
        <v>5.7868000000000003E-2</v>
      </c>
    </row>
    <row r="3" spans="1:26" ht="13.5" customHeight="1">
      <c r="A3" s="100">
        <v>513</v>
      </c>
      <c r="B3" s="100">
        <v>513</v>
      </c>
      <c r="C3" s="100" t="s">
        <v>1242</v>
      </c>
      <c r="D3" s="100" t="s">
        <v>1246</v>
      </c>
      <c r="E3" s="100" t="s">
        <v>1247</v>
      </c>
      <c r="F3" s="100" t="s">
        <v>953</v>
      </c>
      <c r="G3" s="100" t="s">
        <v>202</v>
      </c>
      <c r="H3" s="100" t="s">
        <v>202</v>
      </c>
      <c r="I3" s="100" t="s">
        <v>337</v>
      </c>
      <c r="J3" s="100" t="s">
        <v>1245</v>
      </c>
      <c r="K3" s="100" t="s">
        <v>411</v>
      </c>
      <c r="L3" s="100" t="s">
        <v>1233</v>
      </c>
      <c r="M3" s="103">
        <v>11.06</v>
      </c>
      <c r="N3" s="106">
        <v>51897</v>
      </c>
      <c r="O3" s="102">
        <v>5.5E-2</v>
      </c>
      <c r="P3" s="102">
        <v>3.9399999999999998E-2</v>
      </c>
      <c r="Q3" s="103">
        <v>0</v>
      </c>
      <c r="R3" s="103">
        <v>1571941</v>
      </c>
      <c r="S3" s="103">
        <v>1</v>
      </c>
      <c r="T3" s="103">
        <v>120.13</v>
      </c>
      <c r="U3" s="103">
        <v>1888.3727200000001</v>
      </c>
      <c r="V3" s="101"/>
      <c r="W3" s="100"/>
      <c r="X3" s="102">
        <v>4.1999999999999998E-5</v>
      </c>
      <c r="Y3" s="102">
        <v>0.271976</v>
      </c>
      <c r="Z3" s="102">
        <v>3.5770000000000003E-2</v>
      </c>
    </row>
    <row r="4" spans="1:26" ht="13.5" customHeight="1">
      <c r="A4" s="100">
        <v>513</v>
      </c>
      <c r="B4" s="100">
        <v>513</v>
      </c>
      <c r="C4" s="100" t="s">
        <v>1242</v>
      </c>
      <c r="D4" s="100" t="s">
        <v>1248</v>
      </c>
      <c r="E4" s="100" t="s">
        <v>1249</v>
      </c>
      <c r="F4" s="100" t="s">
        <v>950</v>
      </c>
      <c r="G4" s="100" t="s">
        <v>202</v>
      </c>
      <c r="H4" s="100" t="s">
        <v>202</v>
      </c>
      <c r="I4" s="100" t="s">
        <v>337</v>
      </c>
      <c r="J4" s="100" t="s">
        <v>1245</v>
      </c>
      <c r="K4" s="100" t="s">
        <v>411</v>
      </c>
      <c r="L4" s="100" t="s">
        <v>1233</v>
      </c>
      <c r="M4" s="103">
        <v>10.130000000000001</v>
      </c>
      <c r="N4" s="106">
        <v>50283</v>
      </c>
      <c r="O4" s="102">
        <v>1.8499999999999999E-2</v>
      </c>
      <c r="P4" s="102">
        <v>1.95E-2</v>
      </c>
      <c r="Q4" s="103">
        <v>0</v>
      </c>
      <c r="R4" s="103">
        <v>1891466</v>
      </c>
      <c r="S4" s="103">
        <v>1</v>
      </c>
      <c r="T4" s="103">
        <v>101</v>
      </c>
      <c r="U4" s="103">
        <v>1910.38066</v>
      </c>
      <c r="V4" s="101"/>
      <c r="W4" s="100"/>
      <c r="X4" s="102">
        <v>2.2900000000000001E-4</v>
      </c>
      <c r="Y4" s="102">
        <v>0.275146</v>
      </c>
      <c r="Z4" s="102">
        <v>3.6186999999999997E-2</v>
      </c>
    </row>
    <row r="5" spans="1:26" ht="13.5" customHeight="1">
      <c r="A5" s="100">
        <v>513</v>
      </c>
      <c r="B5" s="100">
        <v>513</v>
      </c>
      <c r="C5" s="100" t="s">
        <v>1242</v>
      </c>
      <c r="D5" s="100" t="s">
        <v>1250</v>
      </c>
      <c r="E5" s="100" t="s">
        <v>1251</v>
      </c>
      <c r="F5" s="100" t="s">
        <v>953</v>
      </c>
      <c r="G5" s="100" t="s">
        <v>202</v>
      </c>
      <c r="H5" s="100" t="s">
        <v>202</v>
      </c>
      <c r="I5" s="100" t="s">
        <v>337</v>
      </c>
      <c r="J5" s="100" t="s">
        <v>1245</v>
      </c>
      <c r="K5" s="100" t="s">
        <v>411</v>
      </c>
      <c r="L5" s="100" t="s">
        <v>1233</v>
      </c>
      <c r="M5" s="103">
        <v>7.76</v>
      </c>
      <c r="N5" s="106">
        <v>49613</v>
      </c>
      <c r="O5" s="102">
        <v>4.1500000000000002E-2</v>
      </c>
      <c r="P5" s="102">
        <v>3.6799999999999999E-2</v>
      </c>
      <c r="Q5" s="103">
        <v>0</v>
      </c>
      <c r="R5" s="103">
        <v>84080</v>
      </c>
      <c r="S5" s="103">
        <v>1</v>
      </c>
      <c r="T5" s="103">
        <v>106.4</v>
      </c>
      <c r="U5" s="103">
        <v>89.461119999999994</v>
      </c>
      <c r="V5" s="101"/>
      <c r="W5" s="100"/>
      <c r="X5" s="102">
        <v>3.9999999999999998E-6</v>
      </c>
      <c r="Y5" s="102">
        <v>1.2884E-2</v>
      </c>
      <c r="Z5" s="102">
        <v>1.694E-3</v>
      </c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84</v>
      </c>
      <c r="U1" s="107" t="s">
        <v>73</v>
      </c>
      <c r="V1" s="108" t="s">
        <v>63</v>
      </c>
      <c r="W1" s="108" t="s">
        <v>74</v>
      </c>
      <c r="X1" s="21" t="s">
        <v>85</v>
      </c>
      <c r="Y1" s="21" t="s">
        <v>86</v>
      </c>
      <c r="Z1" s="104" t="s">
        <v>76</v>
      </c>
      <c r="AA1" s="104" t="s">
        <v>62</v>
      </c>
      <c r="AB1" s="104" t="s">
        <v>77</v>
      </c>
      <c r="AC1" s="104" t="s">
        <v>75</v>
      </c>
      <c r="AD1" s="104" t="s">
        <v>16</v>
      </c>
      <c r="AE1" s="104" t="s">
        <v>17</v>
      </c>
      <c r="AF1" s="104" t="s">
        <v>87</v>
      </c>
      <c r="AG1" s="21" t="s">
        <v>18</v>
      </c>
      <c r="AH1" s="108" t="s">
        <v>78</v>
      </c>
      <c r="AI1" s="108" t="s">
        <v>64</v>
      </c>
      <c r="AJ1" s="108" t="s">
        <v>65</v>
      </c>
    </row>
    <row r="2" spans="1:3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3"/>
      <c r="T2" s="100"/>
      <c r="U2" s="106"/>
      <c r="V2" s="102"/>
      <c r="W2" s="102"/>
      <c r="X2" s="100"/>
      <c r="Y2" s="100"/>
      <c r="Z2" s="103"/>
      <c r="AA2" s="103"/>
      <c r="AB2" s="103"/>
      <c r="AC2" s="103"/>
      <c r="AD2" s="103"/>
      <c r="AE2" s="103"/>
      <c r="AF2" s="103"/>
      <c r="AG2" s="100"/>
      <c r="AH2" s="102"/>
      <c r="AI2" s="102"/>
      <c r="AJ2" s="102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4" t="s">
        <v>17</v>
      </c>
      <c r="AF1" s="104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0">
        <v>513</v>
      </c>
      <c r="B2" s="100">
        <v>513</v>
      </c>
      <c r="C2" s="100" t="s">
        <v>1252</v>
      </c>
      <c r="D2" s="100">
        <v>513623314</v>
      </c>
      <c r="E2" s="100" t="s">
        <v>308</v>
      </c>
      <c r="F2" s="100" t="s">
        <v>1253</v>
      </c>
      <c r="G2" s="100" t="s">
        <v>1254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322</v>
      </c>
      <c r="M2" s="100" t="s">
        <v>337</v>
      </c>
      <c r="N2" s="100" t="s">
        <v>462</v>
      </c>
      <c r="O2" s="100" t="s">
        <v>336</v>
      </c>
      <c r="P2" s="100" t="s">
        <v>1255</v>
      </c>
      <c r="Q2" s="100" t="s">
        <v>413</v>
      </c>
      <c r="R2" s="100" t="s">
        <v>404</v>
      </c>
      <c r="S2" s="100" t="s">
        <v>1233</v>
      </c>
      <c r="T2" s="103">
        <v>3.34</v>
      </c>
      <c r="U2" s="106">
        <v>47937</v>
      </c>
      <c r="V2" s="102">
        <v>1.3299999999999999E-2</v>
      </c>
      <c r="W2" s="102">
        <v>2.47E-2</v>
      </c>
      <c r="X2" s="100" t="s">
        <v>410</v>
      </c>
      <c r="Y2" s="100"/>
      <c r="Z2" s="103">
        <v>34602.53</v>
      </c>
      <c r="AA2" s="103">
        <v>1</v>
      </c>
      <c r="AB2" s="103">
        <v>115.22</v>
      </c>
      <c r="AC2" s="103">
        <v>0</v>
      </c>
      <c r="AD2" s="103">
        <v>39.869039999999998</v>
      </c>
      <c r="AE2" s="103"/>
      <c r="AF2" s="103"/>
      <c r="AG2" s="100"/>
      <c r="AH2" s="102">
        <v>3.4999999999999997E-5</v>
      </c>
      <c r="AI2" s="102">
        <v>0.46737000000000001</v>
      </c>
      <c r="AJ2" s="102">
        <v>7.5500000000000003E-4</v>
      </c>
    </row>
    <row r="3" spans="1:36" ht="13.5" customHeight="1">
      <c r="A3" s="100">
        <v>513</v>
      </c>
      <c r="B3" s="100">
        <v>513</v>
      </c>
      <c r="C3" s="100" t="s">
        <v>1256</v>
      </c>
      <c r="D3" s="100">
        <v>513893123</v>
      </c>
      <c r="E3" s="100" t="s">
        <v>308</v>
      </c>
      <c r="F3" s="100" t="s">
        <v>1257</v>
      </c>
      <c r="G3" s="100" t="s">
        <v>1258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322</v>
      </c>
      <c r="M3" s="100" t="s">
        <v>337</v>
      </c>
      <c r="N3" s="100" t="s">
        <v>441</v>
      </c>
      <c r="O3" s="100" t="s">
        <v>336</v>
      </c>
      <c r="P3" s="100" t="s">
        <v>1259</v>
      </c>
      <c r="Q3" s="100" t="s">
        <v>413</v>
      </c>
      <c r="R3" s="100" t="s">
        <v>404</v>
      </c>
      <c r="S3" s="100" t="s">
        <v>1233</v>
      </c>
      <c r="T3" s="103">
        <v>2.33</v>
      </c>
      <c r="U3" s="106">
        <v>48060</v>
      </c>
      <c r="V3" s="102">
        <v>0.01</v>
      </c>
      <c r="W3" s="102">
        <v>2.5999999999999999E-2</v>
      </c>
      <c r="X3" s="100" t="s">
        <v>410</v>
      </c>
      <c r="Y3" s="100"/>
      <c r="Z3" s="103">
        <v>40337.279999999999</v>
      </c>
      <c r="AA3" s="103">
        <v>1</v>
      </c>
      <c r="AB3" s="103">
        <v>112.64</v>
      </c>
      <c r="AC3" s="103">
        <v>0</v>
      </c>
      <c r="AD3" s="103">
        <v>45.43591</v>
      </c>
      <c r="AE3" s="101"/>
      <c r="AF3" s="101"/>
      <c r="AG3" s="100"/>
      <c r="AH3" s="102">
        <v>2.3E-5</v>
      </c>
      <c r="AI3" s="102">
        <v>0.53262900000000002</v>
      </c>
      <c r="AJ3" s="102">
        <v>8.5999999999999998E-4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75</v>
      </c>
      <c r="U1" s="104" t="s">
        <v>16</v>
      </c>
      <c r="V1" s="108" t="s">
        <v>78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3"/>
      <c r="S2" s="103"/>
      <c r="T2" s="103"/>
      <c r="U2" s="103"/>
      <c r="V2" s="102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0">
        <v>513</v>
      </c>
      <c r="B2" s="100">
        <v>513</v>
      </c>
      <c r="C2" s="100" t="s">
        <v>1260</v>
      </c>
      <c r="D2" s="100">
        <v>511776783</v>
      </c>
      <c r="E2" s="100" t="s">
        <v>308</v>
      </c>
      <c r="F2" s="100" t="s">
        <v>1261</v>
      </c>
      <c r="G2" s="100" t="s">
        <v>1262</v>
      </c>
      <c r="H2" s="100" t="s">
        <v>319</v>
      </c>
      <c r="I2" s="100" t="s">
        <v>978</v>
      </c>
      <c r="J2" s="100" t="s">
        <v>202</v>
      </c>
      <c r="K2" s="100" t="s">
        <v>202</v>
      </c>
      <c r="L2" s="100" t="s">
        <v>337</v>
      </c>
      <c r="M2" s="111" t="s">
        <v>570</v>
      </c>
      <c r="N2" s="100" t="s">
        <v>336</v>
      </c>
      <c r="O2" s="100" t="s">
        <v>1233</v>
      </c>
      <c r="P2" s="103">
        <v>7445</v>
      </c>
      <c r="Q2" s="103">
        <v>1</v>
      </c>
      <c r="R2" s="103">
        <v>3912</v>
      </c>
      <c r="S2" s="103">
        <v>0</v>
      </c>
      <c r="T2" s="103">
        <v>291.2484</v>
      </c>
      <c r="U2" s="102">
        <v>3.6000000000000001E-5</v>
      </c>
      <c r="V2" s="102">
        <v>6.8110000000000002E-3</v>
      </c>
      <c r="W2" s="102">
        <v>5.5170000000000002E-3</v>
      </c>
    </row>
    <row r="3" spans="1:26" ht="13.5" customHeight="1">
      <c r="A3" s="100">
        <v>513</v>
      </c>
      <c r="B3" s="100">
        <v>513</v>
      </c>
      <c r="C3" s="100" t="s">
        <v>1263</v>
      </c>
      <c r="D3" s="100">
        <v>511303661</v>
      </c>
      <c r="E3" s="100" t="s">
        <v>308</v>
      </c>
      <c r="F3" s="100" t="s">
        <v>1264</v>
      </c>
      <c r="G3" s="100" t="s">
        <v>1265</v>
      </c>
      <c r="H3" s="100" t="s">
        <v>319</v>
      </c>
      <c r="I3" s="100" t="s">
        <v>978</v>
      </c>
      <c r="J3" s="100" t="s">
        <v>202</v>
      </c>
      <c r="K3" s="100" t="s">
        <v>202</v>
      </c>
      <c r="L3" s="100" t="s">
        <v>337</v>
      </c>
      <c r="M3" s="111" t="s">
        <v>572</v>
      </c>
      <c r="N3" s="100" t="s">
        <v>336</v>
      </c>
      <c r="O3" s="100" t="s">
        <v>1233</v>
      </c>
      <c r="P3" s="103">
        <v>13826</v>
      </c>
      <c r="Q3" s="103">
        <v>1</v>
      </c>
      <c r="R3" s="103">
        <v>5417</v>
      </c>
      <c r="S3" s="103">
        <v>0</v>
      </c>
      <c r="T3" s="103">
        <v>748.95442000000003</v>
      </c>
      <c r="U3" s="102">
        <v>1.9699999999999999E-4</v>
      </c>
      <c r="V3" s="102">
        <v>1.7516E-2</v>
      </c>
      <c r="W3" s="102">
        <v>1.4187E-2</v>
      </c>
    </row>
    <row r="4" spans="1:26" ht="13.5" customHeight="1">
      <c r="A4" s="100">
        <v>513</v>
      </c>
      <c r="B4" s="100">
        <v>513</v>
      </c>
      <c r="C4" s="100" t="s">
        <v>1266</v>
      </c>
      <c r="D4" s="100">
        <v>513765339</v>
      </c>
      <c r="E4" s="100" t="s">
        <v>308</v>
      </c>
      <c r="F4" s="100" t="s">
        <v>1267</v>
      </c>
      <c r="G4" s="100" t="s">
        <v>1268</v>
      </c>
      <c r="H4" s="100" t="s">
        <v>319</v>
      </c>
      <c r="I4" s="100" t="s">
        <v>981</v>
      </c>
      <c r="J4" s="100" t="s">
        <v>202</v>
      </c>
      <c r="K4" s="100" t="s">
        <v>202</v>
      </c>
      <c r="L4" s="100" t="s">
        <v>337</v>
      </c>
      <c r="M4" s="111" t="s">
        <v>574</v>
      </c>
      <c r="N4" s="100" t="s">
        <v>336</v>
      </c>
      <c r="O4" s="100" t="s">
        <v>1233</v>
      </c>
      <c r="P4" s="103">
        <v>0.86</v>
      </c>
      <c r="Q4" s="103">
        <v>1</v>
      </c>
      <c r="R4" s="103">
        <v>408.38</v>
      </c>
      <c r="S4" s="103">
        <v>0</v>
      </c>
      <c r="T4" s="103">
        <v>3.5100000000000001E-3</v>
      </c>
      <c r="U4" s="102">
        <v>0</v>
      </c>
      <c r="V4" s="102">
        <v>0</v>
      </c>
      <c r="W4" s="102">
        <v>0</v>
      </c>
    </row>
    <row r="5" spans="1:26" ht="13.5" customHeight="1">
      <c r="A5" s="100">
        <v>513</v>
      </c>
      <c r="B5" s="100">
        <v>513</v>
      </c>
      <c r="C5" s="100" t="s">
        <v>1269</v>
      </c>
      <c r="D5" s="100">
        <v>513534974</v>
      </c>
      <c r="E5" s="100" t="s">
        <v>308</v>
      </c>
      <c r="F5" s="100" t="s">
        <v>1270</v>
      </c>
      <c r="G5" s="100" t="s">
        <v>1271</v>
      </c>
      <c r="H5" s="100" t="s">
        <v>319</v>
      </c>
      <c r="I5" s="100" t="s">
        <v>981</v>
      </c>
      <c r="J5" s="100" t="s">
        <v>202</v>
      </c>
      <c r="K5" s="100" t="s">
        <v>202</v>
      </c>
      <c r="L5" s="100" t="s">
        <v>337</v>
      </c>
      <c r="M5" s="111" t="s">
        <v>571</v>
      </c>
      <c r="N5" s="100" t="s">
        <v>336</v>
      </c>
      <c r="O5" s="100" t="s">
        <v>1233</v>
      </c>
      <c r="P5" s="103">
        <v>68497</v>
      </c>
      <c r="Q5" s="103">
        <v>1</v>
      </c>
      <c r="R5" s="103">
        <v>4351.45</v>
      </c>
      <c r="S5" s="103">
        <v>0</v>
      </c>
      <c r="T5" s="103">
        <v>2980.6127099999999</v>
      </c>
      <c r="U5" s="102">
        <v>4.9899999999999996E-3</v>
      </c>
      <c r="V5" s="102">
        <v>6.9708999999999993E-2</v>
      </c>
      <c r="W5" s="102">
        <v>5.6460000000000003E-2</v>
      </c>
    </row>
    <row r="6" spans="1:26" ht="13.5" customHeight="1">
      <c r="A6" s="100">
        <v>513</v>
      </c>
      <c r="B6" s="100">
        <v>513</v>
      </c>
      <c r="C6" s="100" t="s">
        <v>1269</v>
      </c>
      <c r="D6" s="100">
        <v>513534974</v>
      </c>
      <c r="E6" s="100" t="s">
        <v>308</v>
      </c>
      <c r="F6" s="100" t="s">
        <v>1272</v>
      </c>
      <c r="G6" s="100" t="s">
        <v>1273</v>
      </c>
      <c r="H6" s="100" t="s">
        <v>319</v>
      </c>
      <c r="I6" s="100" t="s">
        <v>978</v>
      </c>
      <c r="J6" s="100" t="s">
        <v>202</v>
      </c>
      <c r="K6" s="100" t="s">
        <v>202</v>
      </c>
      <c r="L6" s="100" t="s">
        <v>337</v>
      </c>
      <c r="M6" s="111" t="s">
        <v>570</v>
      </c>
      <c r="N6" s="100" t="s">
        <v>336</v>
      </c>
      <c r="O6" s="100" t="s">
        <v>1233</v>
      </c>
      <c r="P6" s="103">
        <v>89928</v>
      </c>
      <c r="Q6" s="103">
        <v>1</v>
      </c>
      <c r="R6" s="103">
        <v>3930</v>
      </c>
      <c r="S6" s="103">
        <v>0</v>
      </c>
      <c r="T6" s="103">
        <v>3534.1704</v>
      </c>
      <c r="U6" s="102">
        <v>2.04E-4</v>
      </c>
      <c r="V6" s="102">
        <v>8.2655000000000006E-2</v>
      </c>
      <c r="W6" s="102">
        <v>6.6946000000000006E-2</v>
      </c>
    </row>
    <row r="7" spans="1:26" ht="13.5" customHeight="1">
      <c r="A7" s="100">
        <v>513</v>
      </c>
      <c r="B7" s="100">
        <v>513</v>
      </c>
      <c r="C7" s="100" t="s">
        <v>1274</v>
      </c>
      <c r="D7" s="100">
        <v>510938608</v>
      </c>
      <c r="E7" s="100" t="s">
        <v>308</v>
      </c>
      <c r="F7" s="100" t="s">
        <v>1275</v>
      </c>
      <c r="G7" s="100" t="s">
        <v>1276</v>
      </c>
      <c r="H7" s="100" t="s">
        <v>319</v>
      </c>
      <c r="I7" s="100" t="s">
        <v>981</v>
      </c>
      <c r="J7" s="100" t="s">
        <v>202</v>
      </c>
      <c r="K7" s="100" t="s">
        <v>202</v>
      </c>
      <c r="L7" s="100" t="s">
        <v>337</v>
      </c>
      <c r="M7" s="111" t="s">
        <v>630</v>
      </c>
      <c r="N7" s="100" t="s">
        <v>336</v>
      </c>
      <c r="O7" s="100" t="s">
        <v>1233</v>
      </c>
      <c r="P7" s="103">
        <v>68142</v>
      </c>
      <c r="Q7" s="103">
        <v>1</v>
      </c>
      <c r="R7" s="103">
        <v>4391.3</v>
      </c>
      <c r="S7" s="103">
        <v>0</v>
      </c>
      <c r="T7" s="103">
        <v>2992.3196499999999</v>
      </c>
      <c r="U7" s="102">
        <v>1.261E-3</v>
      </c>
      <c r="V7" s="102">
        <v>6.9983000000000004E-2</v>
      </c>
      <c r="W7" s="102">
        <v>5.6682000000000003E-2</v>
      </c>
    </row>
    <row r="8" spans="1:26" ht="13.5" customHeight="1">
      <c r="A8" s="100">
        <v>513</v>
      </c>
      <c r="B8" s="100">
        <v>513</v>
      </c>
      <c r="C8" s="100" t="s">
        <v>1266</v>
      </c>
      <c r="D8" s="100">
        <v>513765339</v>
      </c>
      <c r="E8" s="100" t="s">
        <v>308</v>
      </c>
      <c r="F8" s="100" t="s">
        <v>1277</v>
      </c>
      <c r="G8" s="100" t="s">
        <v>1278</v>
      </c>
      <c r="H8" s="100" t="s">
        <v>319</v>
      </c>
      <c r="I8" s="100" t="s">
        <v>978</v>
      </c>
      <c r="J8" s="100" t="s">
        <v>202</v>
      </c>
      <c r="K8" s="100" t="s">
        <v>202</v>
      </c>
      <c r="L8" s="100" t="s">
        <v>337</v>
      </c>
      <c r="M8" s="111" t="s">
        <v>695</v>
      </c>
      <c r="N8" s="100" t="s">
        <v>336</v>
      </c>
      <c r="O8" s="100" t="s">
        <v>1233</v>
      </c>
      <c r="P8" s="103">
        <v>6561</v>
      </c>
      <c r="Q8" s="103">
        <v>1</v>
      </c>
      <c r="R8" s="103">
        <v>6622</v>
      </c>
      <c r="S8" s="103">
        <v>0</v>
      </c>
      <c r="T8" s="103">
        <v>434.46942000000001</v>
      </c>
      <c r="U8" s="102">
        <v>2.8E-5</v>
      </c>
      <c r="V8" s="102">
        <v>1.0161E-2</v>
      </c>
      <c r="W8" s="102">
        <v>8.2299999999999995E-3</v>
      </c>
    </row>
    <row r="9" spans="1:26" ht="13.5" customHeight="1">
      <c r="A9" s="100">
        <v>513</v>
      </c>
      <c r="B9" s="100">
        <v>513</v>
      </c>
      <c r="C9" s="100" t="s">
        <v>1269</v>
      </c>
      <c r="D9" s="100">
        <v>513534974</v>
      </c>
      <c r="E9" s="100" t="s">
        <v>308</v>
      </c>
      <c r="F9" s="100" t="s">
        <v>1279</v>
      </c>
      <c r="G9" s="100" t="s">
        <v>1280</v>
      </c>
      <c r="H9" s="100" t="s">
        <v>319</v>
      </c>
      <c r="I9" s="100" t="s">
        <v>981</v>
      </c>
      <c r="J9" s="100" t="s">
        <v>202</v>
      </c>
      <c r="K9" s="100" t="s">
        <v>202</v>
      </c>
      <c r="L9" s="100" t="s">
        <v>337</v>
      </c>
      <c r="M9" s="111" t="s">
        <v>630</v>
      </c>
      <c r="N9" s="100" t="s">
        <v>336</v>
      </c>
      <c r="O9" s="100" t="s">
        <v>1233</v>
      </c>
      <c r="P9" s="103">
        <v>49104</v>
      </c>
      <c r="Q9" s="103">
        <v>1</v>
      </c>
      <c r="R9" s="103">
        <v>441.89</v>
      </c>
      <c r="S9" s="103">
        <v>0</v>
      </c>
      <c r="T9" s="103">
        <v>216.98567</v>
      </c>
      <c r="U9" s="102">
        <v>6.6000000000000005E-5</v>
      </c>
      <c r="V9" s="102">
        <v>5.0740000000000004E-3</v>
      </c>
      <c r="W9" s="102">
        <v>4.1099999999999999E-3</v>
      </c>
    </row>
    <row r="10" spans="1:26" ht="13.5" customHeight="1">
      <c r="A10" s="100">
        <v>513</v>
      </c>
      <c r="B10" s="100">
        <v>513</v>
      </c>
      <c r="C10" s="100" t="s">
        <v>1281</v>
      </c>
      <c r="D10" s="100">
        <v>514884485</v>
      </c>
      <c r="E10" s="100" t="s">
        <v>308</v>
      </c>
      <c r="F10" s="100" t="s">
        <v>1282</v>
      </c>
      <c r="G10" s="100" t="s">
        <v>1283</v>
      </c>
      <c r="H10" s="100" t="s">
        <v>319</v>
      </c>
      <c r="I10" s="100" t="s">
        <v>978</v>
      </c>
      <c r="J10" s="100" t="s">
        <v>202</v>
      </c>
      <c r="K10" s="100" t="s">
        <v>202</v>
      </c>
      <c r="L10" s="100" t="s">
        <v>337</v>
      </c>
      <c r="M10" s="111" t="s">
        <v>575</v>
      </c>
      <c r="N10" s="100" t="s">
        <v>336</v>
      </c>
      <c r="O10" s="100" t="s">
        <v>1233</v>
      </c>
      <c r="P10" s="103">
        <v>10280</v>
      </c>
      <c r="Q10" s="103">
        <v>1</v>
      </c>
      <c r="R10" s="103">
        <v>9756</v>
      </c>
      <c r="S10" s="103">
        <v>0</v>
      </c>
      <c r="T10" s="103">
        <v>1002.9168</v>
      </c>
      <c r="U10" s="102">
        <v>7.18E-4</v>
      </c>
      <c r="V10" s="102">
        <v>2.3455E-2</v>
      </c>
      <c r="W10" s="102">
        <v>1.8997E-2</v>
      </c>
    </row>
    <row r="11" spans="1:26" ht="13.5" customHeight="1">
      <c r="A11" s="100">
        <v>513</v>
      </c>
      <c r="B11" s="100">
        <v>513</v>
      </c>
      <c r="C11" s="100" t="s">
        <v>1266</v>
      </c>
      <c r="D11" s="100">
        <v>513765339</v>
      </c>
      <c r="E11" s="100" t="s">
        <v>308</v>
      </c>
      <c r="F11" s="100" t="s">
        <v>1284</v>
      </c>
      <c r="G11" s="100" t="s">
        <v>1285</v>
      </c>
      <c r="H11" s="100" t="s">
        <v>319</v>
      </c>
      <c r="I11" s="100" t="s">
        <v>978</v>
      </c>
      <c r="J11" s="100" t="s">
        <v>202</v>
      </c>
      <c r="K11" s="100" t="s">
        <v>202</v>
      </c>
      <c r="L11" s="100" t="s">
        <v>337</v>
      </c>
      <c r="M11" s="111" t="s">
        <v>570</v>
      </c>
      <c r="N11" s="100" t="s">
        <v>336</v>
      </c>
      <c r="O11" s="100" t="s">
        <v>1233</v>
      </c>
      <c r="P11" s="103">
        <v>36912</v>
      </c>
      <c r="Q11" s="103">
        <v>1</v>
      </c>
      <c r="R11" s="103">
        <v>3889</v>
      </c>
      <c r="S11" s="103">
        <v>0</v>
      </c>
      <c r="T11" s="103">
        <v>1435.5076799999999</v>
      </c>
      <c r="U11" s="102">
        <v>9.1000000000000003E-5</v>
      </c>
      <c r="V11" s="102">
        <v>3.3572999999999999E-2</v>
      </c>
      <c r="W11" s="102">
        <v>2.7192000000000001E-2</v>
      </c>
    </row>
    <row r="12" spans="1:26" ht="13.5" customHeight="1">
      <c r="A12" s="100">
        <v>513</v>
      </c>
      <c r="B12" s="100">
        <v>513</v>
      </c>
      <c r="C12" s="100" t="s">
        <v>1263</v>
      </c>
      <c r="D12" s="100">
        <v>511303661</v>
      </c>
      <c r="E12" s="100" t="s">
        <v>308</v>
      </c>
      <c r="F12" s="100" t="s">
        <v>1286</v>
      </c>
      <c r="G12" s="100" t="s">
        <v>1287</v>
      </c>
      <c r="H12" s="100" t="s">
        <v>319</v>
      </c>
      <c r="I12" s="100" t="s">
        <v>981</v>
      </c>
      <c r="J12" s="100" t="s">
        <v>202</v>
      </c>
      <c r="K12" s="100" t="s">
        <v>202</v>
      </c>
      <c r="L12" s="100" t="s">
        <v>337</v>
      </c>
      <c r="M12" s="111" t="s">
        <v>630</v>
      </c>
      <c r="N12" s="100" t="s">
        <v>336</v>
      </c>
      <c r="O12" s="100" t="s">
        <v>1233</v>
      </c>
      <c r="P12" s="103">
        <v>22278</v>
      </c>
      <c r="Q12" s="103">
        <v>1</v>
      </c>
      <c r="R12" s="103">
        <v>511.44</v>
      </c>
      <c r="S12" s="103">
        <v>0</v>
      </c>
      <c r="T12" s="103">
        <v>113.93859999999999</v>
      </c>
      <c r="U12" s="102">
        <v>9.0000000000000006E-5</v>
      </c>
      <c r="V12" s="102">
        <v>2.6640000000000001E-3</v>
      </c>
      <c r="W12" s="102">
        <v>2.1580000000000002E-3</v>
      </c>
    </row>
    <row r="13" spans="1:26" ht="13.5" customHeight="1">
      <c r="A13" s="100">
        <v>513</v>
      </c>
      <c r="B13" s="100">
        <v>513</v>
      </c>
      <c r="C13" s="100" t="s">
        <v>1266</v>
      </c>
      <c r="D13" s="100">
        <v>513765339</v>
      </c>
      <c r="E13" s="100" t="s">
        <v>308</v>
      </c>
      <c r="F13" s="100" t="s">
        <v>1288</v>
      </c>
      <c r="G13" s="100" t="s">
        <v>1289</v>
      </c>
      <c r="H13" s="100" t="s">
        <v>319</v>
      </c>
      <c r="I13" s="100" t="s">
        <v>978</v>
      </c>
      <c r="J13" s="100" t="s">
        <v>202</v>
      </c>
      <c r="K13" s="100" t="s">
        <v>202</v>
      </c>
      <c r="L13" s="100" t="s">
        <v>337</v>
      </c>
      <c r="M13" s="111" t="s">
        <v>572</v>
      </c>
      <c r="N13" s="100" t="s">
        <v>336</v>
      </c>
      <c r="O13" s="100" t="s">
        <v>1233</v>
      </c>
      <c r="P13" s="103">
        <v>1994</v>
      </c>
      <c r="Q13" s="103">
        <v>1</v>
      </c>
      <c r="R13" s="103">
        <v>6594</v>
      </c>
      <c r="S13" s="103">
        <v>0</v>
      </c>
      <c r="T13" s="103">
        <v>131.48436000000001</v>
      </c>
      <c r="U13" s="102">
        <v>1.9900000000000001E-4</v>
      </c>
      <c r="V13" s="102">
        <v>3.075E-3</v>
      </c>
      <c r="W13" s="102">
        <v>2.49E-3</v>
      </c>
    </row>
    <row r="14" spans="1:26" ht="13.5" customHeight="1">
      <c r="A14" s="100">
        <v>513</v>
      </c>
      <c r="B14" s="100">
        <v>513</v>
      </c>
      <c r="C14" s="100" t="s">
        <v>1260</v>
      </c>
      <c r="D14" s="100">
        <v>511776783</v>
      </c>
      <c r="E14" s="100" t="s">
        <v>308</v>
      </c>
      <c r="F14" s="100" t="s">
        <v>1290</v>
      </c>
      <c r="G14" s="100" t="s">
        <v>1291</v>
      </c>
      <c r="H14" s="100" t="s">
        <v>319</v>
      </c>
      <c r="I14" s="100" t="s">
        <v>978</v>
      </c>
      <c r="J14" s="100" t="s">
        <v>202</v>
      </c>
      <c r="K14" s="100" t="s">
        <v>202</v>
      </c>
      <c r="L14" s="100" t="s">
        <v>337</v>
      </c>
      <c r="M14" s="111" t="s">
        <v>572</v>
      </c>
      <c r="N14" s="100" t="s">
        <v>336</v>
      </c>
      <c r="O14" s="100" t="s">
        <v>1233</v>
      </c>
      <c r="P14" s="103">
        <v>52820</v>
      </c>
      <c r="Q14" s="103">
        <v>1</v>
      </c>
      <c r="R14" s="103">
        <v>3992</v>
      </c>
      <c r="S14" s="103">
        <v>0</v>
      </c>
      <c r="T14" s="103">
        <v>2108.5744</v>
      </c>
      <c r="U14" s="102">
        <v>6.2E-4</v>
      </c>
      <c r="V14" s="102">
        <v>4.9313999999999997E-2</v>
      </c>
      <c r="W14" s="102">
        <v>3.9941999999999998E-2</v>
      </c>
    </row>
    <row r="15" spans="1:26" ht="13.5" customHeight="1">
      <c r="A15" s="100">
        <v>513</v>
      </c>
      <c r="B15" s="100">
        <v>513</v>
      </c>
      <c r="C15" s="100" t="s">
        <v>1260</v>
      </c>
      <c r="D15" s="100">
        <v>511776783</v>
      </c>
      <c r="E15" s="100" t="s">
        <v>308</v>
      </c>
      <c r="F15" s="100" t="s">
        <v>1292</v>
      </c>
      <c r="G15" s="100" t="s">
        <v>1293</v>
      </c>
      <c r="H15" s="100" t="s">
        <v>319</v>
      </c>
      <c r="I15" s="100" t="s">
        <v>981</v>
      </c>
      <c r="J15" s="100" t="s">
        <v>202</v>
      </c>
      <c r="K15" s="100" t="s">
        <v>202</v>
      </c>
      <c r="L15" s="100" t="s">
        <v>337</v>
      </c>
      <c r="M15" s="111" t="s">
        <v>630</v>
      </c>
      <c r="N15" s="100" t="s">
        <v>336</v>
      </c>
      <c r="O15" s="100" t="s">
        <v>1233</v>
      </c>
      <c r="P15" s="103">
        <v>364434</v>
      </c>
      <c r="Q15" s="103">
        <v>1</v>
      </c>
      <c r="R15" s="103">
        <v>440.02</v>
      </c>
      <c r="S15" s="103">
        <v>0</v>
      </c>
      <c r="T15" s="103">
        <v>1603.58249</v>
      </c>
      <c r="U15" s="102">
        <v>1.101E-3</v>
      </c>
      <c r="V15" s="102">
        <v>3.7503000000000002E-2</v>
      </c>
      <c r="W15" s="102">
        <v>3.0376E-2</v>
      </c>
    </row>
    <row r="16" spans="1:26" ht="13.5" customHeight="1">
      <c r="A16" s="100">
        <v>513</v>
      </c>
      <c r="B16" s="100">
        <v>513</v>
      </c>
      <c r="C16" s="100" t="s">
        <v>1274</v>
      </c>
      <c r="D16" s="100">
        <v>510938608</v>
      </c>
      <c r="E16" s="100" t="s">
        <v>308</v>
      </c>
      <c r="F16" s="100" t="s">
        <v>1294</v>
      </c>
      <c r="G16" s="100" t="s">
        <v>1295</v>
      </c>
      <c r="H16" s="100" t="s">
        <v>319</v>
      </c>
      <c r="I16" s="100" t="s">
        <v>978</v>
      </c>
      <c r="J16" s="100" t="s">
        <v>202</v>
      </c>
      <c r="K16" s="100" t="s">
        <v>202</v>
      </c>
      <c r="L16" s="100" t="s">
        <v>337</v>
      </c>
      <c r="M16" s="111" t="s">
        <v>572</v>
      </c>
      <c r="N16" s="100" t="s">
        <v>336</v>
      </c>
      <c r="O16" s="100" t="s">
        <v>1233</v>
      </c>
      <c r="P16" s="103">
        <v>1174.42</v>
      </c>
      <c r="Q16" s="103">
        <v>1</v>
      </c>
      <c r="R16" s="103">
        <v>39660</v>
      </c>
      <c r="S16" s="103">
        <v>0</v>
      </c>
      <c r="T16" s="103">
        <v>465.77497</v>
      </c>
      <c r="U16" s="102">
        <v>6.0000000000000002E-5</v>
      </c>
      <c r="V16" s="102">
        <v>1.0893E-2</v>
      </c>
      <c r="W16" s="102">
        <v>8.8229999999999992E-3</v>
      </c>
    </row>
    <row r="17" spans="1:23" ht="13.5" customHeight="1">
      <c r="A17" s="100">
        <v>513</v>
      </c>
      <c r="B17" s="100">
        <v>513</v>
      </c>
      <c r="C17" s="100" t="s">
        <v>1274</v>
      </c>
      <c r="D17" s="100">
        <v>510938608</v>
      </c>
      <c r="E17" s="100" t="s">
        <v>308</v>
      </c>
      <c r="F17" s="100" t="s">
        <v>1296</v>
      </c>
      <c r="G17" s="100" t="s">
        <v>1297</v>
      </c>
      <c r="H17" s="100" t="s">
        <v>319</v>
      </c>
      <c r="I17" s="100" t="s">
        <v>978</v>
      </c>
      <c r="J17" s="100" t="s">
        <v>202</v>
      </c>
      <c r="K17" s="100" t="s">
        <v>202</v>
      </c>
      <c r="L17" s="100" t="s">
        <v>337</v>
      </c>
      <c r="M17" s="111" t="s">
        <v>570</v>
      </c>
      <c r="N17" s="100" t="s">
        <v>336</v>
      </c>
      <c r="O17" s="100" t="s">
        <v>1233</v>
      </c>
      <c r="P17" s="103">
        <v>2201</v>
      </c>
      <c r="Q17" s="103">
        <v>1</v>
      </c>
      <c r="R17" s="103">
        <v>39070</v>
      </c>
      <c r="S17" s="103">
        <v>0</v>
      </c>
      <c r="T17" s="103">
        <v>859.9307</v>
      </c>
      <c r="U17" s="102">
        <v>6.2000000000000003E-5</v>
      </c>
      <c r="V17" s="102">
        <v>2.0111E-2</v>
      </c>
      <c r="W17" s="102">
        <v>1.6289000000000001E-2</v>
      </c>
    </row>
    <row r="18" spans="1:23" ht="13.5" customHeight="1">
      <c r="A18" s="100">
        <v>513</v>
      </c>
      <c r="B18" s="100">
        <v>513</v>
      </c>
      <c r="C18" s="100" t="s">
        <v>1274</v>
      </c>
      <c r="D18" s="100">
        <v>510938608</v>
      </c>
      <c r="E18" s="100" t="s">
        <v>308</v>
      </c>
      <c r="F18" s="100" t="s">
        <v>1298</v>
      </c>
      <c r="G18" s="100" t="s">
        <v>1299</v>
      </c>
      <c r="H18" s="100" t="s">
        <v>319</v>
      </c>
      <c r="I18" s="100" t="s">
        <v>981</v>
      </c>
      <c r="J18" s="100" t="s">
        <v>202</v>
      </c>
      <c r="K18" s="100" t="s">
        <v>202</v>
      </c>
      <c r="L18" s="100" t="s">
        <v>337</v>
      </c>
      <c r="M18" s="111" t="s">
        <v>571</v>
      </c>
      <c r="N18" s="100" t="s">
        <v>336</v>
      </c>
      <c r="O18" s="100" t="s">
        <v>1233</v>
      </c>
      <c r="P18" s="103">
        <v>58937</v>
      </c>
      <c r="Q18" s="103">
        <v>1</v>
      </c>
      <c r="R18" s="103">
        <v>4334.6000000000004</v>
      </c>
      <c r="S18" s="103">
        <v>0</v>
      </c>
      <c r="T18" s="103">
        <v>2554.6831999999999</v>
      </c>
      <c r="U18" s="102">
        <v>3.0300000000000001E-3</v>
      </c>
      <c r="V18" s="102">
        <v>5.9747000000000001E-2</v>
      </c>
      <c r="W18" s="102">
        <v>4.8391999999999998E-2</v>
      </c>
    </row>
    <row r="19" spans="1:23" ht="13.5" customHeight="1">
      <c r="A19" s="100">
        <v>513</v>
      </c>
      <c r="B19" s="100">
        <v>513</v>
      </c>
      <c r="C19" s="100" t="s">
        <v>1300</v>
      </c>
      <c r="D19" s="100" t="s">
        <v>1301</v>
      </c>
      <c r="E19" s="100" t="s">
        <v>312</v>
      </c>
      <c r="F19" s="100" t="s">
        <v>1302</v>
      </c>
      <c r="G19" s="100" t="s">
        <v>1303</v>
      </c>
      <c r="H19" s="100" t="s">
        <v>319</v>
      </c>
      <c r="I19" s="100" t="s">
        <v>980</v>
      </c>
      <c r="J19" s="100" t="s">
        <v>203</v>
      </c>
      <c r="K19" s="100" t="s">
        <v>223</v>
      </c>
      <c r="L19" s="100" t="s">
        <v>341</v>
      </c>
      <c r="M19" s="111" t="s">
        <v>733</v>
      </c>
      <c r="N19" s="100" t="s">
        <v>336</v>
      </c>
      <c r="O19" s="100" t="s">
        <v>1237</v>
      </c>
      <c r="P19" s="103">
        <v>1773</v>
      </c>
      <c r="Q19" s="103">
        <v>2.9780000000000002</v>
      </c>
      <c r="R19" s="103">
        <v>68681</v>
      </c>
      <c r="S19" s="103">
        <v>0</v>
      </c>
      <c r="T19" s="103">
        <v>3626.35268</v>
      </c>
      <c r="U19" s="102">
        <v>9.9999999999999995E-7</v>
      </c>
      <c r="V19" s="102">
        <v>8.4810999999999998E-2</v>
      </c>
      <c r="W19" s="102">
        <v>6.8693000000000004E-2</v>
      </c>
    </row>
    <row r="20" spans="1:23" ht="13.5" customHeight="1">
      <c r="A20" s="100">
        <v>513</v>
      </c>
      <c r="B20" s="100">
        <v>513</v>
      </c>
      <c r="C20" s="100" t="s">
        <v>1304</v>
      </c>
      <c r="D20" s="100" t="s">
        <v>1305</v>
      </c>
      <c r="E20" s="100" t="s">
        <v>312</v>
      </c>
      <c r="F20" s="100" t="s">
        <v>1306</v>
      </c>
      <c r="G20" s="100" t="s">
        <v>1307</v>
      </c>
      <c r="H20" s="100" t="s">
        <v>319</v>
      </c>
      <c r="I20" s="100" t="s">
        <v>980</v>
      </c>
      <c r="J20" s="100" t="s">
        <v>203</v>
      </c>
      <c r="K20" s="100" t="s">
        <v>250</v>
      </c>
      <c r="L20" s="100" t="s">
        <v>377</v>
      </c>
      <c r="M20" s="111" t="s">
        <v>733</v>
      </c>
      <c r="N20" s="100" t="s">
        <v>336</v>
      </c>
      <c r="O20" s="100" t="s">
        <v>1237</v>
      </c>
      <c r="P20" s="103">
        <v>13734</v>
      </c>
      <c r="Q20" s="103">
        <v>2.9780000000000002</v>
      </c>
      <c r="R20" s="103">
        <v>2585.5</v>
      </c>
      <c r="S20" s="103">
        <v>0</v>
      </c>
      <c r="T20" s="103">
        <v>1057.46567</v>
      </c>
      <c r="U20" s="102">
        <v>5.7000000000000003E-5</v>
      </c>
      <c r="V20" s="102">
        <v>2.4731E-2</v>
      </c>
      <c r="W20" s="102">
        <v>2.0031E-2</v>
      </c>
    </row>
    <row r="21" spans="1:23" ht="13.5" customHeight="1">
      <c r="A21" s="100">
        <v>513</v>
      </c>
      <c r="B21" s="100">
        <v>513</v>
      </c>
      <c r="C21" s="100" t="s">
        <v>1304</v>
      </c>
      <c r="D21" s="100" t="s">
        <v>1305</v>
      </c>
      <c r="E21" s="100" t="s">
        <v>312</v>
      </c>
      <c r="F21" s="100" t="s">
        <v>1308</v>
      </c>
      <c r="G21" s="100" t="s">
        <v>1309</v>
      </c>
      <c r="H21" s="100" t="s">
        <v>319</v>
      </c>
      <c r="I21" s="100" t="s">
        <v>980</v>
      </c>
      <c r="J21" s="100" t="s">
        <v>203</v>
      </c>
      <c r="K21" s="100" t="s">
        <v>295</v>
      </c>
      <c r="L21" s="100" t="s">
        <v>361</v>
      </c>
      <c r="M21" s="111" t="s">
        <v>733</v>
      </c>
      <c r="N21" s="100" t="s">
        <v>336</v>
      </c>
      <c r="O21" s="100" t="s">
        <v>1237</v>
      </c>
      <c r="P21" s="103">
        <v>78391</v>
      </c>
      <c r="Q21" s="103">
        <v>2.9780000000000002</v>
      </c>
      <c r="R21" s="103">
        <v>901.7</v>
      </c>
      <c r="S21" s="103">
        <v>0</v>
      </c>
      <c r="T21" s="103">
        <v>2105.0041999999999</v>
      </c>
      <c r="U21" s="102">
        <v>4.15E-4</v>
      </c>
      <c r="V21" s="102">
        <v>4.9230000000000003E-2</v>
      </c>
      <c r="W21" s="102">
        <v>3.9874E-2</v>
      </c>
    </row>
    <row r="22" spans="1:23" ht="13.5" customHeight="1">
      <c r="A22" s="100">
        <v>513</v>
      </c>
      <c r="B22" s="100">
        <v>513</v>
      </c>
      <c r="C22" s="100" t="s">
        <v>1310</v>
      </c>
      <c r="D22" s="100" t="s">
        <v>1311</v>
      </c>
      <c r="E22" s="100" t="s">
        <v>312</v>
      </c>
      <c r="F22" s="100" t="s">
        <v>1312</v>
      </c>
      <c r="G22" s="100" t="s">
        <v>1313</v>
      </c>
      <c r="H22" s="100" t="s">
        <v>319</v>
      </c>
      <c r="I22" s="100" t="s">
        <v>980</v>
      </c>
      <c r="J22" s="100" t="s">
        <v>203</v>
      </c>
      <c r="K22" s="100" t="s">
        <v>292</v>
      </c>
      <c r="L22" s="100" t="s">
        <v>313</v>
      </c>
      <c r="M22" s="111" t="s">
        <v>733</v>
      </c>
      <c r="N22" s="100" t="s">
        <v>336</v>
      </c>
      <c r="O22" s="100" t="s">
        <v>1234</v>
      </c>
      <c r="P22" s="103">
        <v>14022</v>
      </c>
      <c r="Q22" s="103">
        <v>3.3944999999999999</v>
      </c>
      <c r="R22" s="103">
        <v>4779</v>
      </c>
      <c r="S22" s="103">
        <v>0</v>
      </c>
      <c r="T22" s="103">
        <v>2274.69308</v>
      </c>
      <c r="U22" s="102">
        <v>1.0345E-2</v>
      </c>
      <c r="V22" s="102">
        <v>5.3199000000000003E-2</v>
      </c>
      <c r="W22" s="102">
        <v>4.3088000000000001E-2</v>
      </c>
    </row>
    <row r="23" spans="1:23" ht="13.5" customHeight="1">
      <c r="A23" s="100">
        <v>513</v>
      </c>
      <c r="B23" s="100">
        <v>513</v>
      </c>
      <c r="C23" s="100" t="s">
        <v>1314</v>
      </c>
      <c r="D23" s="100" t="s">
        <v>1315</v>
      </c>
      <c r="E23" s="100" t="s">
        <v>312</v>
      </c>
      <c r="F23" s="100" t="s">
        <v>1316</v>
      </c>
      <c r="G23" s="100" t="s">
        <v>1317</v>
      </c>
      <c r="H23" s="100" t="s">
        <v>319</v>
      </c>
      <c r="I23" s="100" t="s">
        <v>980</v>
      </c>
      <c r="J23" s="100" t="s">
        <v>203</v>
      </c>
      <c r="K23" s="100" t="s">
        <v>288</v>
      </c>
      <c r="L23" s="100" t="s">
        <v>377</v>
      </c>
      <c r="M23" s="111" t="s">
        <v>733</v>
      </c>
      <c r="N23" s="100" t="s">
        <v>336</v>
      </c>
      <c r="O23" s="100" t="s">
        <v>1237</v>
      </c>
      <c r="P23" s="103">
        <v>2896</v>
      </c>
      <c r="Q23" s="103">
        <v>2.9780000000000002</v>
      </c>
      <c r="R23" s="103">
        <v>4847.88</v>
      </c>
      <c r="S23" s="103">
        <v>0</v>
      </c>
      <c r="T23" s="103">
        <v>418.09469999999999</v>
      </c>
      <c r="U23" s="102">
        <v>9.0000000000000002E-6</v>
      </c>
      <c r="V23" s="102">
        <v>9.7780000000000002E-3</v>
      </c>
      <c r="W23" s="102">
        <v>7.9190000000000007E-3</v>
      </c>
    </row>
    <row r="24" spans="1:23" ht="13.5" customHeight="1">
      <c r="A24" s="100">
        <v>513</v>
      </c>
      <c r="B24" s="100">
        <v>513</v>
      </c>
      <c r="C24" s="100" t="s">
        <v>1318</v>
      </c>
      <c r="D24" s="100" t="s">
        <v>1319</v>
      </c>
      <c r="E24" s="100" t="s">
        <v>312</v>
      </c>
      <c r="F24" s="100" t="s">
        <v>1320</v>
      </c>
      <c r="G24" s="100" t="s">
        <v>1321</v>
      </c>
      <c r="H24" s="100" t="s">
        <v>319</v>
      </c>
      <c r="I24" s="100" t="s">
        <v>980</v>
      </c>
      <c r="J24" s="100" t="s">
        <v>203</v>
      </c>
      <c r="K24" s="100" t="s">
        <v>281</v>
      </c>
      <c r="L24" s="100" t="s">
        <v>399</v>
      </c>
      <c r="M24" s="111" t="s">
        <v>733</v>
      </c>
      <c r="N24" s="100" t="s">
        <v>336</v>
      </c>
      <c r="O24" s="100" t="s">
        <v>1241</v>
      </c>
      <c r="P24" s="103">
        <v>3137</v>
      </c>
      <c r="Q24" s="103">
        <v>2.0916999999999999</v>
      </c>
      <c r="R24" s="103">
        <v>9256</v>
      </c>
      <c r="S24" s="103">
        <v>0</v>
      </c>
      <c r="T24" s="103">
        <v>607.34752000000003</v>
      </c>
      <c r="U24" s="102">
        <v>5.3999999999999998E-5</v>
      </c>
      <c r="V24" s="102">
        <v>1.4204E-2</v>
      </c>
      <c r="W24" s="102">
        <v>1.1504E-2</v>
      </c>
    </row>
    <row r="25" spans="1:23" ht="13.5" customHeight="1">
      <c r="A25" s="100">
        <v>513</v>
      </c>
      <c r="B25" s="100">
        <v>513</v>
      </c>
      <c r="C25" s="100" t="s">
        <v>1322</v>
      </c>
      <c r="D25" s="100" t="s">
        <v>1323</v>
      </c>
      <c r="E25" s="100" t="s">
        <v>312</v>
      </c>
      <c r="F25" s="100" t="s">
        <v>1324</v>
      </c>
      <c r="G25" s="100" t="s">
        <v>1325</v>
      </c>
      <c r="H25" s="100" t="s">
        <v>319</v>
      </c>
      <c r="I25" s="100" t="s">
        <v>980</v>
      </c>
      <c r="J25" s="100" t="s">
        <v>203</v>
      </c>
      <c r="K25" s="100" t="s">
        <v>223</v>
      </c>
      <c r="L25" s="100" t="s">
        <v>341</v>
      </c>
      <c r="M25" s="111" t="s">
        <v>733</v>
      </c>
      <c r="N25" s="100" t="s">
        <v>336</v>
      </c>
      <c r="O25" s="100" t="s">
        <v>1237</v>
      </c>
      <c r="P25" s="103">
        <v>1758</v>
      </c>
      <c r="Q25" s="103">
        <v>2.9780000000000002</v>
      </c>
      <c r="R25" s="103">
        <v>74677</v>
      </c>
      <c r="S25" s="103">
        <v>3.3463699999999998</v>
      </c>
      <c r="T25" s="103">
        <v>3919.5483899999999</v>
      </c>
      <c r="U25" s="102">
        <v>9.9999999999999995E-7</v>
      </c>
      <c r="V25" s="102">
        <v>9.1667999999999999E-2</v>
      </c>
      <c r="W25" s="102">
        <v>7.4246000000000006E-2</v>
      </c>
    </row>
    <row r="26" spans="1:23" ht="13.5" customHeight="1">
      <c r="A26" s="100">
        <v>513</v>
      </c>
      <c r="B26" s="100">
        <v>513</v>
      </c>
      <c r="C26" s="100" t="s">
        <v>1326</v>
      </c>
      <c r="D26" s="100" t="s">
        <v>1305</v>
      </c>
      <c r="E26" s="100" t="s">
        <v>312</v>
      </c>
      <c r="F26" s="100" t="s">
        <v>1327</v>
      </c>
      <c r="G26" s="100" t="s">
        <v>1328</v>
      </c>
      <c r="H26" s="100" t="s">
        <v>319</v>
      </c>
      <c r="I26" s="100" t="s">
        <v>980</v>
      </c>
      <c r="J26" s="100" t="s">
        <v>203</v>
      </c>
      <c r="K26" s="100" t="s">
        <v>232</v>
      </c>
      <c r="L26" s="100" t="s">
        <v>341</v>
      </c>
      <c r="M26" s="111" t="s">
        <v>733</v>
      </c>
      <c r="N26" s="100" t="s">
        <v>336</v>
      </c>
      <c r="O26" s="100" t="s">
        <v>1238</v>
      </c>
      <c r="P26" s="103">
        <v>8586</v>
      </c>
      <c r="Q26" s="103">
        <v>3.9388999999999998</v>
      </c>
      <c r="R26" s="103">
        <v>1913.8</v>
      </c>
      <c r="S26" s="103">
        <v>0</v>
      </c>
      <c r="T26" s="103">
        <v>647.23555999999996</v>
      </c>
      <c r="U26" s="102">
        <v>2.7799999999999998E-4</v>
      </c>
      <c r="V26" s="102">
        <v>1.5136999999999999E-2</v>
      </c>
      <c r="W26" s="102">
        <v>1.226E-2</v>
      </c>
    </row>
    <row r="27" spans="1:23" ht="13.5" customHeight="1">
      <c r="A27" s="100">
        <v>513</v>
      </c>
      <c r="B27" s="100">
        <v>513</v>
      </c>
      <c r="C27" s="100" t="s">
        <v>1304</v>
      </c>
      <c r="D27" s="100" t="s">
        <v>1305</v>
      </c>
      <c r="E27" s="100" t="s">
        <v>312</v>
      </c>
      <c r="F27" s="100" t="s">
        <v>1329</v>
      </c>
      <c r="G27" s="100" t="s">
        <v>1330</v>
      </c>
      <c r="H27" s="100" t="s">
        <v>319</v>
      </c>
      <c r="I27" s="100" t="s">
        <v>980</v>
      </c>
      <c r="J27" s="100" t="s">
        <v>203</v>
      </c>
      <c r="K27" s="100" t="s">
        <v>295</v>
      </c>
      <c r="L27" s="100" t="s">
        <v>377</v>
      </c>
      <c r="M27" s="111" t="s">
        <v>733</v>
      </c>
      <c r="N27" s="100" t="s">
        <v>336</v>
      </c>
      <c r="O27" s="100" t="s">
        <v>1237</v>
      </c>
      <c r="P27" s="103">
        <v>2445</v>
      </c>
      <c r="Q27" s="103">
        <v>2.9780000000000002</v>
      </c>
      <c r="R27" s="103">
        <v>7694.5</v>
      </c>
      <c r="S27" s="103">
        <v>0</v>
      </c>
      <c r="T27" s="103">
        <v>560.2527</v>
      </c>
      <c r="U27" s="102">
        <v>3.1000000000000001E-5</v>
      </c>
      <c r="V27" s="102">
        <v>1.3102000000000001E-2</v>
      </c>
      <c r="W27" s="102">
        <v>1.0612E-2</v>
      </c>
    </row>
    <row r="28" spans="1:23" ht="13.5" customHeight="1">
      <c r="A28" s="100">
        <v>513</v>
      </c>
      <c r="B28" s="100">
        <v>513</v>
      </c>
      <c r="C28" s="100" t="s">
        <v>1331</v>
      </c>
      <c r="D28" s="100" t="s">
        <v>1332</v>
      </c>
      <c r="E28" s="100" t="s">
        <v>312</v>
      </c>
      <c r="F28" s="100" t="s">
        <v>1333</v>
      </c>
      <c r="G28" s="100" t="s">
        <v>1334</v>
      </c>
      <c r="H28" s="100" t="s">
        <v>319</v>
      </c>
      <c r="I28" s="100" t="s">
        <v>980</v>
      </c>
      <c r="J28" s="100" t="s">
        <v>203</v>
      </c>
      <c r="K28" s="100" t="s">
        <v>303</v>
      </c>
      <c r="L28" s="100" t="s">
        <v>377</v>
      </c>
      <c r="M28" s="111" t="s">
        <v>733</v>
      </c>
      <c r="N28" s="100" t="s">
        <v>336</v>
      </c>
      <c r="O28" s="100" t="s">
        <v>1237</v>
      </c>
      <c r="P28" s="103">
        <v>1603</v>
      </c>
      <c r="Q28" s="103">
        <v>2.9780000000000002</v>
      </c>
      <c r="R28" s="103">
        <v>9005</v>
      </c>
      <c r="S28" s="103">
        <v>0</v>
      </c>
      <c r="T28" s="103">
        <v>429.87475000000001</v>
      </c>
      <c r="U28" s="102">
        <v>2.0000000000000001E-4</v>
      </c>
      <c r="V28" s="102">
        <v>1.0052999999999999E-2</v>
      </c>
      <c r="W28" s="102">
        <v>8.1429999999999992E-3</v>
      </c>
    </row>
    <row r="29" spans="1:23" ht="13.5" customHeight="1">
      <c r="A29" s="100">
        <v>513</v>
      </c>
      <c r="B29" s="100">
        <v>513</v>
      </c>
      <c r="C29" s="100" t="s">
        <v>1335</v>
      </c>
      <c r="D29" s="100" t="s">
        <v>1336</v>
      </c>
      <c r="E29" s="100" t="s">
        <v>312</v>
      </c>
      <c r="F29" s="100" t="s">
        <v>1337</v>
      </c>
      <c r="G29" s="100" t="s">
        <v>1338</v>
      </c>
      <c r="H29" s="100" t="s">
        <v>319</v>
      </c>
      <c r="I29" s="100" t="s">
        <v>980</v>
      </c>
      <c r="J29" s="100" t="s">
        <v>203</v>
      </c>
      <c r="K29" s="100" t="s">
        <v>223</v>
      </c>
      <c r="L29" s="100" t="s">
        <v>393</v>
      </c>
      <c r="M29" s="111" t="s">
        <v>733</v>
      </c>
      <c r="N29" s="100" t="s">
        <v>336</v>
      </c>
      <c r="O29" s="100" t="s">
        <v>1237</v>
      </c>
      <c r="P29" s="103">
        <v>10740</v>
      </c>
      <c r="Q29" s="103">
        <v>2.9780000000000002</v>
      </c>
      <c r="R29" s="103">
        <v>884.2</v>
      </c>
      <c r="S29" s="103">
        <v>0</v>
      </c>
      <c r="T29" s="103">
        <v>282.80005</v>
      </c>
      <c r="U29" s="102">
        <v>3.5444999999999997E-2</v>
      </c>
      <c r="V29" s="102">
        <v>6.6140000000000001E-3</v>
      </c>
      <c r="W29" s="102">
        <v>5.3569999999999998E-3</v>
      </c>
    </row>
    <row r="30" spans="1:23" ht="13.5" customHeight="1">
      <c r="A30" s="100">
        <v>513</v>
      </c>
      <c r="B30" s="100">
        <v>513</v>
      </c>
      <c r="C30" s="100" t="s">
        <v>1339</v>
      </c>
      <c r="D30" s="100" t="s">
        <v>1340</v>
      </c>
      <c r="E30" s="100" t="s">
        <v>312</v>
      </c>
      <c r="F30" s="100" t="s">
        <v>1341</v>
      </c>
      <c r="G30" s="100" t="s">
        <v>1342</v>
      </c>
      <c r="H30" s="100" t="s">
        <v>319</v>
      </c>
      <c r="I30" s="100" t="s">
        <v>980</v>
      </c>
      <c r="J30" s="100" t="s">
        <v>203</v>
      </c>
      <c r="K30" s="100" t="s">
        <v>223</v>
      </c>
      <c r="L30" s="100" t="s">
        <v>341</v>
      </c>
      <c r="M30" s="111" t="s">
        <v>733</v>
      </c>
      <c r="N30" s="100" t="s">
        <v>336</v>
      </c>
      <c r="O30" s="100" t="s">
        <v>1237</v>
      </c>
      <c r="P30" s="103">
        <v>1742</v>
      </c>
      <c r="Q30" s="103">
        <v>2.9780000000000002</v>
      </c>
      <c r="R30" s="103">
        <v>74889</v>
      </c>
      <c r="S30" s="103">
        <v>0</v>
      </c>
      <c r="T30" s="103">
        <v>3884.9986800000001</v>
      </c>
      <c r="U30" s="102">
        <v>9.9999999999999995E-7</v>
      </c>
      <c r="V30" s="102">
        <v>9.0859999999999996E-2</v>
      </c>
      <c r="W30" s="102">
        <v>7.3592000000000005E-2</v>
      </c>
    </row>
    <row r="31" spans="1:23" ht="13.5" customHeight="1">
      <c r="A31" s="100">
        <v>513</v>
      </c>
      <c r="B31" s="100">
        <v>513</v>
      </c>
      <c r="C31" s="100" t="s">
        <v>1310</v>
      </c>
      <c r="D31" s="100" t="s">
        <v>1311</v>
      </c>
      <c r="E31" s="100" t="s">
        <v>312</v>
      </c>
      <c r="F31" s="100" t="s">
        <v>1343</v>
      </c>
      <c r="G31" s="100" t="s">
        <v>1344</v>
      </c>
      <c r="H31" s="100" t="s">
        <v>319</v>
      </c>
      <c r="I31" s="100" t="s">
        <v>980</v>
      </c>
      <c r="J31" s="100" t="s">
        <v>203</v>
      </c>
      <c r="K31" s="100" t="s">
        <v>223</v>
      </c>
      <c r="L31" s="100" t="s">
        <v>357</v>
      </c>
      <c r="M31" s="111" t="s">
        <v>733</v>
      </c>
      <c r="N31" s="100" t="s">
        <v>336</v>
      </c>
      <c r="O31" s="100" t="s">
        <v>1237</v>
      </c>
      <c r="P31" s="103">
        <v>6591</v>
      </c>
      <c r="Q31" s="103">
        <v>2.9780000000000002</v>
      </c>
      <c r="R31" s="103">
        <v>7484</v>
      </c>
      <c r="S31" s="103">
        <v>0</v>
      </c>
      <c r="T31" s="103">
        <v>1468.95937</v>
      </c>
      <c r="U31" s="102">
        <v>4.3000000000000002E-5</v>
      </c>
      <c r="V31" s="102">
        <v>3.4354999999999997E-2</v>
      </c>
      <c r="W31" s="102">
        <v>2.7826E-2</v>
      </c>
    </row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16</v>
      </c>
      <c r="U1" s="108" t="s">
        <v>78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11"/>
      <c r="O2" s="100"/>
      <c r="P2" s="100"/>
      <c r="Q2" s="103"/>
      <c r="R2" s="103"/>
      <c r="S2" s="103"/>
      <c r="T2" s="103"/>
      <c r="U2" s="102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93</v>
      </c>
      <c r="T1" s="104" t="s">
        <v>76</v>
      </c>
      <c r="U1" s="104" t="s">
        <v>62</v>
      </c>
      <c r="V1" s="104" t="s">
        <v>77</v>
      </c>
      <c r="W1" s="104" t="s">
        <v>16</v>
      </c>
      <c r="X1" s="108" t="s">
        <v>64</v>
      </c>
      <c r="Y1" s="108" t="s">
        <v>65</v>
      </c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3"/>
      <c r="X2" s="102"/>
      <c r="Y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76</v>
      </c>
      <c r="T1" s="104" t="s">
        <v>62</v>
      </c>
      <c r="U1" s="104" t="s">
        <v>77</v>
      </c>
      <c r="V1" s="104" t="s">
        <v>16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4" t="s">
        <v>76</v>
      </c>
      <c r="P1" s="104" t="s">
        <v>62</v>
      </c>
      <c r="Q1" s="104" t="s">
        <v>77</v>
      </c>
      <c r="R1" s="104" t="s">
        <v>16</v>
      </c>
      <c r="S1" s="108" t="s">
        <v>64</v>
      </c>
      <c r="T1" s="108" t="s">
        <v>65</v>
      </c>
      <c r="U1" s="9"/>
      <c r="V1" s="9"/>
      <c r="W1" s="9"/>
      <c r="X1" s="9"/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3"/>
      <c r="P2" s="103"/>
      <c r="Q2" s="103"/>
      <c r="R2" s="103"/>
      <c r="S2" s="102"/>
      <c r="T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4" t="s">
        <v>72</v>
      </c>
      <c r="Q1" s="108" t="s">
        <v>63</v>
      </c>
      <c r="R1" s="108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4" t="s">
        <v>76</v>
      </c>
      <c r="X1" s="104" t="s">
        <v>62</v>
      </c>
      <c r="Y1" s="104" t="s">
        <v>77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2"/>
      <c r="R2" s="102"/>
      <c r="S2" s="100"/>
      <c r="T2" s="100"/>
      <c r="U2" s="100"/>
      <c r="V2" s="100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topLeftCell="P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7" t="s">
        <v>95</v>
      </c>
      <c r="K1" s="21" t="s">
        <v>71</v>
      </c>
      <c r="L1" s="21" t="s">
        <v>59</v>
      </c>
      <c r="M1" s="21" t="s">
        <v>60</v>
      </c>
      <c r="N1" s="104" t="s">
        <v>72</v>
      </c>
      <c r="O1" s="107" t="s">
        <v>73</v>
      </c>
      <c r="P1" s="108" t="s">
        <v>63</v>
      </c>
      <c r="Q1" s="108" t="s">
        <v>74</v>
      </c>
      <c r="R1" s="104" t="s">
        <v>76</v>
      </c>
      <c r="S1" s="104" t="s">
        <v>62</v>
      </c>
      <c r="T1" s="104" t="s">
        <v>77</v>
      </c>
      <c r="U1" s="104" t="s">
        <v>16</v>
      </c>
      <c r="V1" s="104" t="s">
        <v>17</v>
      </c>
      <c r="W1" s="21" t="s">
        <v>18</v>
      </c>
      <c r="X1" s="108" t="s">
        <v>64</v>
      </c>
      <c r="Y1" s="108" t="s">
        <v>65</v>
      </c>
    </row>
    <row r="2" spans="1:25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6"/>
      <c r="K2" s="100"/>
      <c r="L2" s="100"/>
      <c r="M2" s="100"/>
      <c r="N2" s="103"/>
      <c r="O2" s="106"/>
      <c r="P2" s="102"/>
      <c r="Q2" s="102"/>
      <c r="R2" s="103"/>
      <c r="S2" s="103"/>
      <c r="T2" s="103"/>
      <c r="U2" s="103"/>
      <c r="V2" s="103"/>
      <c r="W2" s="100"/>
      <c r="X2" s="102"/>
      <c r="Y2" s="102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7" t="s">
        <v>95</v>
      </c>
      <c r="G1" s="104" t="s">
        <v>72</v>
      </c>
      <c r="H1" s="21" t="s">
        <v>96</v>
      </c>
      <c r="I1" s="107" t="s">
        <v>73</v>
      </c>
      <c r="J1" s="108" t="s">
        <v>63</v>
      </c>
      <c r="K1" s="108" t="s">
        <v>74</v>
      </c>
      <c r="L1" s="104" t="s">
        <v>76</v>
      </c>
      <c r="M1" s="104" t="s">
        <v>77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6"/>
      <c r="G2" s="103"/>
      <c r="H2" s="100"/>
      <c r="I2" s="106"/>
      <c r="J2" s="102"/>
      <c r="K2" s="102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7" t="s">
        <v>98</v>
      </c>
      <c r="E1" s="107" t="s">
        <v>99</v>
      </c>
      <c r="F1" s="104" t="s">
        <v>100</v>
      </c>
      <c r="G1" s="108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513</v>
      </c>
      <c r="B2" s="100">
        <v>513</v>
      </c>
      <c r="C2" s="100"/>
      <c r="D2" s="106"/>
      <c r="E2" s="106"/>
      <c r="F2" s="103"/>
      <c r="G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96</v>
      </c>
      <c r="U1" s="21" t="s">
        <v>84</v>
      </c>
      <c r="V1" s="107" t="s">
        <v>73</v>
      </c>
      <c r="W1" s="108" t="s">
        <v>63</v>
      </c>
      <c r="X1" s="108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7" t="s">
        <v>104</v>
      </c>
      <c r="AE1" s="107" t="s">
        <v>105</v>
      </c>
      <c r="AF1" s="104" t="s">
        <v>76</v>
      </c>
      <c r="AG1" s="104" t="s">
        <v>62</v>
      </c>
      <c r="AH1" s="104" t="s">
        <v>77</v>
      </c>
      <c r="AI1" s="104" t="s">
        <v>16</v>
      </c>
      <c r="AJ1" s="104" t="s">
        <v>17</v>
      </c>
      <c r="AK1" s="104" t="s">
        <v>87</v>
      </c>
      <c r="AL1" s="21" t="s">
        <v>18</v>
      </c>
      <c r="AM1" s="108" t="s">
        <v>64</v>
      </c>
      <c r="AN1" s="108" t="s">
        <v>65</v>
      </c>
    </row>
    <row r="2" spans="1:40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0"/>
      <c r="U2" s="100"/>
      <c r="V2" s="106"/>
      <c r="W2" s="102"/>
      <c r="X2" s="102"/>
      <c r="Y2" s="100"/>
      <c r="Z2" s="100"/>
      <c r="AA2" s="100"/>
      <c r="AB2" s="100"/>
      <c r="AC2" s="100"/>
      <c r="AD2" s="106"/>
      <c r="AE2" s="106"/>
      <c r="AF2" s="103"/>
      <c r="AG2" s="103"/>
      <c r="AH2" s="103"/>
      <c r="AI2" s="103"/>
      <c r="AJ2" s="103"/>
      <c r="AK2" s="103"/>
      <c r="AL2" s="100"/>
      <c r="AM2" s="102"/>
      <c r="AN2" s="102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7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104" t="s">
        <v>72</v>
      </c>
      <c r="U1" s="107" t="s">
        <v>73</v>
      </c>
      <c r="V1" s="108" t="s">
        <v>74</v>
      </c>
      <c r="W1" s="108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107" t="s">
        <v>104</v>
      </c>
      <c r="AC1" s="107" t="s">
        <v>105</v>
      </c>
      <c r="AD1" s="104" t="s">
        <v>76</v>
      </c>
      <c r="AE1" s="104" t="s">
        <v>62</v>
      </c>
      <c r="AF1" s="104" t="s">
        <v>77</v>
      </c>
      <c r="AG1" s="104" t="s">
        <v>16</v>
      </c>
      <c r="AH1" s="104" t="s">
        <v>17</v>
      </c>
      <c r="AI1" s="104" t="s">
        <v>87</v>
      </c>
      <c r="AJ1" s="21" t="s">
        <v>18</v>
      </c>
      <c r="AK1" s="108" t="s">
        <v>64</v>
      </c>
      <c r="AL1" s="108" t="s">
        <v>65</v>
      </c>
    </row>
    <row r="2" spans="1:38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6"/>
      <c r="V2" s="102"/>
      <c r="W2" s="102"/>
      <c r="X2" s="100"/>
      <c r="Y2" s="100"/>
      <c r="Z2" s="100"/>
      <c r="AA2" s="100"/>
      <c r="AB2" s="106"/>
      <c r="AC2" s="106"/>
      <c r="AD2" s="103"/>
      <c r="AE2" s="103"/>
      <c r="AF2" s="103"/>
      <c r="AG2" s="103"/>
      <c r="AH2" s="103"/>
      <c r="AI2" s="103"/>
      <c r="AJ2" s="100"/>
      <c r="AK2" s="102"/>
      <c r="AL2" s="102"/>
    </row>
    <row r="3" spans="1:38" ht="13.5" customHeight="1"/>
    <row r="4" spans="1:38" ht="13.5" customHeight="1"/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7" t="s">
        <v>95</v>
      </c>
      <c r="P1" s="21" t="s">
        <v>60</v>
      </c>
      <c r="Q1" s="21" t="s">
        <v>101</v>
      </c>
      <c r="R1" s="21" t="s">
        <v>102</v>
      </c>
      <c r="S1" s="107" t="s">
        <v>104</v>
      </c>
      <c r="T1" s="107" t="s">
        <v>105</v>
      </c>
      <c r="U1" s="104" t="s">
        <v>76</v>
      </c>
      <c r="V1" s="104" t="s">
        <v>62</v>
      </c>
      <c r="W1" s="104" t="s">
        <v>77</v>
      </c>
      <c r="X1" s="104" t="s">
        <v>16</v>
      </c>
      <c r="Y1" s="108" t="s">
        <v>64</v>
      </c>
      <c r="Z1" s="108" t="s">
        <v>65</v>
      </c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6"/>
      <c r="T2" s="106"/>
      <c r="U2" s="103"/>
      <c r="V2" s="103"/>
      <c r="W2" s="103"/>
      <c r="X2" s="103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62</v>
      </c>
      <c r="V1" s="23" t="s">
        <v>115</v>
      </c>
      <c r="W1" s="104" t="s">
        <v>16</v>
      </c>
      <c r="X1" s="108" t="s">
        <v>116</v>
      </c>
      <c r="Y1" s="108" t="s">
        <v>64</v>
      </c>
      <c r="Z1" s="108" t="s">
        <v>65</v>
      </c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6"/>
      <c r="Q2" s="100"/>
      <c r="R2" s="100"/>
      <c r="S2" s="100"/>
      <c r="T2" s="106"/>
      <c r="U2" s="103"/>
      <c r="V2" s="101"/>
      <c r="W2" s="103"/>
      <c r="X2" s="102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4.125" bestFit="1" customWidth="1"/>
    <col min="8" max="8" width="10.625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5" bestFit="1" customWidth="1"/>
    <col min="14" max="14" width="13.5" bestFit="1" customWidth="1"/>
    <col min="15" max="15" width="10.625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4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0">
        <v>513</v>
      </c>
      <c r="B2" s="100">
        <v>513</v>
      </c>
      <c r="C2" s="100" t="s">
        <v>1039</v>
      </c>
      <c r="D2" s="100">
        <v>76021632</v>
      </c>
      <c r="E2" s="100" t="s">
        <v>1237</v>
      </c>
      <c r="F2" s="103">
        <v>2.9780000000000002</v>
      </c>
      <c r="G2" s="103">
        <v>-450000</v>
      </c>
      <c r="H2" s="103">
        <v>-450</v>
      </c>
      <c r="I2" s="102">
        <v>0.12651110486364914</v>
      </c>
      <c r="J2" s="102">
        <v>-2.5385167343596856E-2</v>
      </c>
      <c r="K2" s="100">
        <v>760216320</v>
      </c>
      <c r="L2" s="100" t="s">
        <v>1233</v>
      </c>
      <c r="M2" s="103">
        <v>1</v>
      </c>
      <c r="N2" s="103">
        <v>450000</v>
      </c>
      <c r="O2" s="103">
        <v>1392.4689700000001</v>
      </c>
      <c r="P2" s="102">
        <v>2.6377179183804157E-2</v>
      </c>
      <c r="Q2" s="102">
        <v>0.12204537749479961</v>
      </c>
      <c r="R2" s="103">
        <v>52.368969999999997</v>
      </c>
      <c r="S2" s="100" t="s">
        <v>202</v>
      </c>
      <c r="T2" s="100" t="s">
        <v>202</v>
      </c>
      <c r="U2" s="100" t="s">
        <v>744</v>
      </c>
      <c r="V2" s="100" t="s">
        <v>313</v>
      </c>
      <c r="W2" s="100" t="s">
        <v>934</v>
      </c>
      <c r="X2" s="100" t="s">
        <v>1346</v>
      </c>
      <c r="Y2" s="100" t="s">
        <v>336</v>
      </c>
      <c r="Z2" s="106">
        <v>46121</v>
      </c>
      <c r="AA2" s="106">
        <v>46485</v>
      </c>
      <c r="AB2" s="100" t="s">
        <v>903</v>
      </c>
      <c r="AC2" s="100" t="s">
        <v>904</v>
      </c>
      <c r="AD2" s="100" t="s">
        <v>919</v>
      </c>
      <c r="AE2" s="100" t="s">
        <v>920</v>
      </c>
      <c r="AF2" s="100" t="s">
        <v>903</v>
      </c>
      <c r="AG2" s="100" t="s">
        <v>903</v>
      </c>
      <c r="AH2" s="102"/>
      <c r="AI2" s="103">
        <v>3.0880000000000001</v>
      </c>
      <c r="AJ2" s="103"/>
      <c r="AK2" s="100"/>
      <c r="AL2" s="102"/>
      <c r="AM2" s="100" t="s">
        <v>1345</v>
      </c>
      <c r="AN2" s="102">
        <v>6.4123407453385212E-2</v>
      </c>
      <c r="AO2" s="102">
        <v>9.9201184020730033E-4</v>
      </c>
    </row>
    <row r="3" spans="1:41" ht="13.5" customHeight="1">
      <c r="A3" s="100">
        <v>513</v>
      </c>
      <c r="B3" s="100">
        <v>513</v>
      </c>
      <c r="C3" s="100" t="s">
        <v>1039</v>
      </c>
      <c r="D3" s="100">
        <v>76021580</v>
      </c>
      <c r="E3" s="100" t="s">
        <v>1237</v>
      </c>
      <c r="F3" s="103">
        <v>2.9780000000000002</v>
      </c>
      <c r="G3" s="103">
        <v>-1090000</v>
      </c>
      <c r="H3" s="103">
        <v>-1090</v>
      </c>
      <c r="I3" s="102">
        <v>0.30643800955861683</v>
      </c>
      <c r="J3" s="102">
        <v>-6.1488516454490161E-2</v>
      </c>
      <c r="K3" s="100">
        <v>760215800</v>
      </c>
      <c r="L3" s="100" t="s">
        <v>1233</v>
      </c>
      <c r="M3" s="103">
        <v>1</v>
      </c>
      <c r="N3" s="103">
        <v>1090000</v>
      </c>
      <c r="O3" s="103">
        <v>3507.4901100000006</v>
      </c>
      <c r="P3" s="102">
        <v>6.6441477052728112E-2</v>
      </c>
      <c r="Q3" s="102">
        <v>0.30742010325316355</v>
      </c>
      <c r="R3" s="103">
        <v>261.47010999999998</v>
      </c>
      <c r="S3" s="100" t="s">
        <v>202</v>
      </c>
      <c r="T3" s="100" t="s">
        <v>202</v>
      </c>
      <c r="U3" s="100" t="s">
        <v>744</v>
      </c>
      <c r="V3" s="100" t="s">
        <v>313</v>
      </c>
      <c r="W3" s="100" t="s">
        <v>934</v>
      </c>
      <c r="X3" s="100" t="s">
        <v>1346</v>
      </c>
      <c r="Y3" s="100" t="s">
        <v>336</v>
      </c>
      <c r="Z3" s="106">
        <v>46001</v>
      </c>
      <c r="AA3" s="106">
        <v>46366</v>
      </c>
      <c r="AB3" s="100" t="s">
        <v>903</v>
      </c>
      <c r="AC3" s="100" t="s">
        <v>904</v>
      </c>
      <c r="AD3" s="100" t="s">
        <v>919</v>
      </c>
      <c r="AE3" s="100" t="s">
        <v>920</v>
      </c>
      <c r="AF3" s="100" t="s">
        <v>903</v>
      </c>
      <c r="AG3" s="100" t="s">
        <v>903</v>
      </c>
      <c r="AH3" s="102"/>
      <c r="AI3" s="103">
        <v>3.2280000000000002</v>
      </c>
      <c r="AJ3" s="103"/>
      <c r="AK3" s="100"/>
      <c r="AL3" s="102"/>
      <c r="AM3" s="100" t="s">
        <v>1345</v>
      </c>
      <c r="AN3" s="102">
        <v>0.32015818528436685</v>
      </c>
      <c r="AO3" s="102">
        <v>4.9529605982379498E-3</v>
      </c>
    </row>
    <row r="4" spans="1:41" ht="13.5" customHeight="1">
      <c r="A4" s="100">
        <v>513</v>
      </c>
      <c r="B4" s="100">
        <v>513</v>
      </c>
      <c r="C4" s="100" t="s">
        <v>1039</v>
      </c>
      <c r="D4" s="100">
        <v>76021598</v>
      </c>
      <c r="E4" s="100" t="s">
        <v>1237</v>
      </c>
      <c r="F4" s="103">
        <v>2.9780000000000002</v>
      </c>
      <c r="G4" s="103">
        <v>-1000000</v>
      </c>
      <c r="H4" s="103">
        <v>-1000</v>
      </c>
      <c r="I4" s="102">
        <v>0.281135788585887</v>
      </c>
      <c r="J4" s="102">
        <v>-5.6411482985770783E-2</v>
      </c>
      <c r="K4" s="100">
        <v>760215980</v>
      </c>
      <c r="L4" s="100" t="s">
        <v>1233</v>
      </c>
      <c r="M4" s="103">
        <v>1</v>
      </c>
      <c r="N4" s="103">
        <v>1000000</v>
      </c>
      <c r="O4" s="103">
        <v>3176.1642400000001</v>
      </c>
      <c r="P4" s="102">
        <v>6.0165256878701681E-2</v>
      </c>
      <c r="Q4" s="102">
        <v>0.27838046808058015</v>
      </c>
      <c r="R4" s="103">
        <v>198.16424000000001</v>
      </c>
      <c r="S4" s="100" t="s">
        <v>202</v>
      </c>
      <c r="T4" s="100" t="s">
        <v>202</v>
      </c>
      <c r="U4" s="100" t="s">
        <v>744</v>
      </c>
      <c r="V4" s="100" t="s">
        <v>313</v>
      </c>
      <c r="W4" s="100" t="s">
        <v>934</v>
      </c>
      <c r="X4" s="100" t="s">
        <v>1346</v>
      </c>
      <c r="Y4" s="100" t="s">
        <v>336</v>
      </c>
      <c r="Z4" s="106">
        <v>46029</v>
      </c>
      <c r="AA4" s="106">
        <v>46394</v>
      </c>
      <c r="AB4" s="100" t="s">
        <v>903</v>
      </c>
      <c r="AC4" s="100" t="s">
        <v>904</v>
      </c>
      <c r="AD4" s="100" t="s">
        <v>919</v>
      </c>
      <c r="AE4" s="100" t="s">
        <v>920</v>
      </c>
      <c r="AF4" s="100" t="s">
        <v>903</v>
      </c>
      <c r="AG4" s="100" t="s">
        <v>903</v>
      </c>
      <c r="AH4" s="102"/>
      <c r="AI4" s="103">
        <v>3.1749999999999998</v>
      </c>
      <c r="AJ4" s="103"/>
      <c r="AK4" s="100"/>
      <c r="AL4" s="102"/>
      <c r="AM4" s="100" t="s">
        <v>1345</v>
      </c>
      <c r="AN4" s="102">
        <v>0.24264304423421762</v>
      </c>
      <c r="AO4" s="102">
        <v>3.7537738929308926E-3</v>
      </c>
    </row>
    <row r="5" spans="1:41" ht="13.5" customHeight="1">
      <c r="A5" s="100">
        <v>513</v>
      </c>
      <c r="B5" s="100">
        <v>513</v>
      </c>
      <c r="C5" s="100" t="s">
        <v>1039</v>
      </c>
      <c r="D5" s="100">
        <v>76021638</v>
      </c>
      <c r="E5" s="100" t="s">
        <v>1237</v>
      </c>
      <c r="F5" s="103">
        <v>2.9780000000000002</v>
      </c>
      <c r="G5" s="103">
        <v>-180000</v>
      </c>
      <c r="H5" s="103">
        <v>-180</v>
      </c>
      <c r="I5" s="102">
        <v>5.0604441945459655E-2</v>
      </c>
      <c r="J5" s="102">
        <v>-1.0154066937438743E-2</v>
      </c>
      <c r="K5" s="100">
        <v>760216380</v>
      </c>
      <c r="L5" s="100" t="s">
        <v>1233</v>
      </c>
      <c r="M5" s="103">
        <v>1</v>
      </c>
      <c r="N5" s="103">
        <v>180000</v>
      </c>
      <c r="O5" s="103">
        <v>526.79160000000013</v>
      </c>
      <c r="P5" s="102">
        <v>9.9788768906806501E-3</v>
      </c>
      <c r="Q5" s="102">
        <v>4.6171570834421895E-2</v>
      </c>
      <c r="R5" s="103">
        <v>-9.2484000000000002</v>
      </c>
      <c r="S5" s="100" t="s">
        <v>202</v>
      </c>
      <c r="T5" s="100" t="s">
        <v>202</v>
      </c>
      <c r="U5" s="100" t="s">
        <v>744</v>
      </c>
      <c r="V5" s="100" t="s">
        <v>313</v>
      </c>
      <c r="W5" s="100" t="s">
        <v>934</v>
      </c>
      <c r="X5" s="100" t="s">
        <v>1346</v>
      </c>
      <c r="Y5" s="100" t="s">
        <v>336</v>
      </c>
      <c r="Z5" s="106">
        <v>46155</v>
      </c>
      <c r="AA5" s="106">
        <v>46520</v>
      </c>
      <c r="AB5" s="100" t="s">
        <v>903</v>
      </c>
      <c r="AC5" s="100" t="s">
        <v>904</v>
      </c>
      <c r="AD5" s="100" t="s">
        <v>919</v>
      </c>
      <c r="AE5" s="100" t="s">
        <v>920</v>
      </c>
      <c r="AF5" s="100" t="s">
        <v>903</v>
      </c>
      <c r="AG5" s="100" t="s">
        <v>903</v>
      </c>
      <c r="AH5" s="102"/>
      <c r="AI5" s="103">
        <v>2.9079999999999999</v>
      </c>
      <c r="AJ5" s="103"/>
      <c r="AK5" s="100"/>
      <c r="AL5" s="102"/>
      <c r="AM5" s="100" t="s">
        <v>1345</v>
      </c>
      <c r="AN5" s="102">
        <v>-1.1324242609543166E-2</v>
      </c>
      <c r="AO5" s="102">
        <v>-1.7519004675809353E-4</v>
      </c>
    </row>
    <row r="6" spans="1:41" ht="13.5" customHeight="1">
      <c r="A6" s="100">
        <v>513</v>
      </c>
      <c r="B6" s="100">
        <v>513</v>
      </c>
      <c r="C6" s="100" t="s">
        <v>1039</v>
      </c>
      <c r="D6" s="100">
        <v>76021536</v>
      </c>
      <c r="E6" s="100" t="s">
        <v>1237</v>
      </c>
      <c r="F6" s="103">
        <v>2.9780000000000002</v>
      </c>
      <c r="G6" s="103">
        <v>-180000</v>
      </c>
      <c r="H6" s="103">
        <v>-180</v>
      </c>
      <c r="I6" s="102">
        <v>5.0604441945459655E-2</v>
      </c>
      <c r="J6" s="102">
        <v>-1.0154066937438743E-2</v>
      </c>
      <c r="K6" s="100">
        <v>760215360</v>
      </c>
      <c r="L6" s="100" t="s">
        <v>1233</v>
      </c>
      <c r="M6" s="103">
        <v>1</v>
      </c>
      <c r="N6" s="103">
        <v>180000</v>
      </c>
      <c r="O6" s="103">
        <v>599.78860000000009</v>
      </c>
      <c r="P6" s="102">
        <v>1.1361640162511512E-2</v>
      </c>
      <c r="Q6" s="102">
        <v>5.2569520528760773E-2</v>
      </c>
      <c r="R6" s="103">
        <v>63.748600000000003</v>
      </c>
      <c r="S6" s="100" t="s">
        <v>202</v>
      </c>
      <c r="T6" s="100" t="s">
        <v>202</v>
      </c>
      <c r="U6" s="100" t="s">
        <v>744</v>
      </c>
      <c r="V6" s="100" t="s">
        <v>313</v>
      </c>
      <c r="W6" s="100" t="s">
        <v>934</v>
      </c>
      <c r="X6" s="100" t="s">
        <v>1346</v>
      </c>
      <c r="Y6" s="100" t="s">
        <v>336</v>
      </c>
      <c r="Z6" s="106">
        <v>45916</v>
      </c>
      <c r="AA6" s="106">
        <v>46247</v>
      </c>
      <c r="AB6" s="100" t="s">
        <v>903</v>
      </c>
      <c r="AC6" s="100" t="s">
        <v>904</v>
      </c>
      <c r="AD6" s="100" t="s">
        <v>919</v>
      </c>
      <c r="AE6" s="100" t="s">
        <v>920</v>
      </c>
      <c r="AF6" s="100" t="s">
        <v>903</v>
      </c>
      <c r="AG6" s="100" t="s">
        <v>903</v>
      </c>
      <c r="AH6" s="102"/>
      <c r="AI6" s="103">
        <v>3.343</v>
      </c>
      <c r="AJ6" s="103"/>
      <c r="AK6" s="100"/>
      <c r="AL6" s="102"/>
      <c r="AM6" s="100" t="s">
        <v>1345</v>
      </c>
      <c r="AN6" s="102">
        <v>7.8057243676606061E-2</v>
      </c>
      <c r="AO6" s="102">
        <v>1.2075732250727694E-3</v>
      </c>
    </row>
    <row r="7" spans="1:41" ht="13.5" customHeight="1">
      <c r="A7" s="100">
        <v>513</v>
      </c>
      <c r="B7" s="100">
        <v>513</v>
      </c>
      <c r="C7" s="100" t="s">
        <v>1039</v>
      </c>
      <c r="D7" s="100">
        <v>76021494</v>
      </c>
      <c r="E7" s="100" t="s">
        <v>1237</v>
      </c>
      <c r="F7" s="103">
        <v>2.9780000000000002</v>
      </c>
      <c r="G7" s="103">
        <v>-407000</v>
      </c>
      <c r="H7" s="103">
        <v>-407</v>
      </c>
      <c r="I7" s="102">
        <v>0.114422265954456</v>
      </c>
      <c r="J7" s="102">
        <v>-2.2959473575208712E-2</v>
      </c>
      <c r="K7" s="100">
        <v>760214940</v>
      </c>
      <c r="L7" s="100" t="s">
        <v>1233</v>
      </c>
      <c r="M7" s="103">
        <v>1</v>
      </c>
      <c r="N7" s="103">
        <v>407000</v>
      </c>
      <c r="O7" s="103">
        <v>1389.0498</v>
      </c>
      <c r="P7" s="102">
        <v>2.6312410731728783E-2</v>
      </c>
      <c r="Q7" s="102">
        <v>0.12174569836200795</v>
      </c>
      <c r="R7" s="103">
        <v>177.00380000000001</v>
      </c>
      <c r="S7" s="100" t="s">
        <v>202</v>
      </c>
      <c r="T7" s="100" t="s">
        <v>202</v>
      </c>
      <c r="U7" s="100" t="s">
        <v>744</v>
      </c>
      <c r="V7" s="100" t="s">
        <v>313</v>
      </c>
      <c r="W7" s="100" t="s">
        <v>934</v>
      </c>
      <c r="X7" s="100" t="s">
        <v>1346</v>
      </c>
      <c r="Y7" s="100" t="s">
        <v>336</v>
      </c>
      <c r="Z7" s="106">
        <v>45881</v>
      </c>
      <c r="AA7" s="106">
        <v>46247</v>
      </c>
      <c r="AB7" s="100" t="s">
        <v>903</v>
      </c>
      <c r="AC7" s="100" t="s">
        <v>904</v>
      </c>
      <c r="AD7" s="100" t="s">
        <v>919</v>
      </c>
      <c r="AE7" s="100" t="s">
        <v>920</v>
      </c>
      <c r="AF7" s="100" t="s">
        <v>903</v>
      </c>
      <c r="AG7" s="100" t="s">
        <v>903</v>
      </c>
      <c r="AH7" s="102"/>
      <c r="AI7" s="103">
        <v>3.4289999999999998</v>
      </c>
      <c r="AJ7" s="103"/>
      <c r="AK7" s="100"/>
      <c r="AL7" s="102"/>
      <c r="AM7" s="100" t="s">
        <v>1345</v>
      </c>
      <c r="AN7" s="102">
        <v>0.2167330537185953</v>
      </c>
      <c r="AO7" s="102">
        <v>3.3529371565200724E-3</v>
      </c>
    </row>
    <row r="8" spans="1:41" ht="13.5" customHeight="1">
      <c r="A8" s="100">
        <v>513</v>
      </c>
      <c r="B8" s="100">
        <v>513</v>
      </c>
      <c r="C8" s="100" t="s">
        <v>1039</v>
      </c>
      <c r="D8" s="100">
        <v>76021552</v>
      </c>
      <c r="E8" s="100" t="s">
        <v>1237</v>
      </c>
      <c r="F8" s="103">
        <v>2.9780000000000002</v>
      </c>
      <c r="G8" s="103">
        <v>-250000</v>
      </c>
      <c r="H8" s="103">
        <v>-250</v>
      </c>
      <c r="I8" s="102">
        <v>7.0283947146471751E-2</v>
      </c>
      <c r="J8" s="102">
        <v>-1.4102870746442696E-2</v>
      </c>
      <c r="K8" s="100">
        <v>760215520</v>
      </c>
      <c r="L8" s="100" t="s">
        <v>1233</v>
      </c>
      <c r="M8" s="103">
        <v>1</v>
      </c>
      <c r="N8" s="103">
        <v>250000</v>
      </c>
      <c r="O8" s="103">
        <v>817.68305999999995</v>
      </c>
      <c r="P8" s="102">
        <v>1.5489158504681997E-2</v>
      </c>
      <c r="Q8" s="102">
        <v>7.1667261446266103E-2</v>
      </c>
      <c r="R8" s="103">
        <v>73.183059999999998</v>
      </c>
      <c r="S8" s="100" t="s">
        <v>202</v>
      </c>
      <c r="T8" s="100" t="s">
        <v>202</v>
      </c>
      <c r="U8" s="100" t="s">
        <v>744</v>
      </c>
      <c r="V8" s="100" t="s">
        <v>313</v>
      </c>
      <c r="W8" s="100" t="s">
        <v>934</v>
      </c>
      <c r="X8" s="100" t="s">
        <v>1346</v>
      </c>
      <c r="Y8" s="100" t="s">
        <v>336</v>
      </c>
      <c r="Z8" s="106">
        <v>45957</v>
      </c>
      <c r="AA8" s="106">
        <v>46321</v>
      </c>
      <c r="AB8" s="100" t="s">
        <v>903</v>
      </c>
      <c r="AC8" s="100" t="s">
        <v>904</v>
      </c>
      <c r="AD8" s="100" t="s">
        <v>919</v>
      </c>
      <c r="AE8" s="100" t="s">
        <v>920</v>
      </c>
      <c r="AF8" s="100" t="s">
        <v>903</v>
      </c>
      <c r="AG8" s="100" t="s">
        <v>903</v>
      </c>
      <c r="AH8" s="102"/>
      <c r="AI8" s="103">
        <v>3.2589999999999999</v>
      </c>
      <c r="AJ8" s="103"/>
      <c r="AK8" s="100"/>
      <c r="AL8" s="102"/>
      <c r="AM8" s="100" t="s">
        <v>1345</v>
      </c>
      <c r="AN8" s="102">
        <v>8.9609308242372093E-2</v>
      </c>
      <c r="AO8" s="102">
        <v>1.3862877582393024E-3</v>
      </c>
    </row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7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4" t="s">
        <v>72</v>
      </c>
      <c r="U1" s="21" t="s">
        <v>158</v>
      </c>
      <c r="V1" s="108" t="s">
        <v>63</v>
      </c>
      <c r="W1" s="21" t="s">
        <v>96</v>
      </c>
      <c r="X1" s="21" t="s">
        <v>84</v>
      </c>
      <c r="Y1" s="108" t="s">
        <v>159</v>
      </c>
      <c r="Z1" s="108" t="s">
        <v>74</v>
      </c>
      <c r="AA1" s="107" t="s">
        <v>73</v>
      </c>
      <c r="AB1" s="21" t="s">
        <v>85</v>
      </c>
      <c r="AC1" s="21" t="s">
        <v>160</v>
      </c>
      <c r="AD1" s="104" t="s">
        <v>161</v>
      </c>
      <c r="AE1" s="108" t="s">
        <v>162</v>
      </c>
      <c r="AF1" s="107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7" t="s">
        <v>104</v>
      </c>
      <c r="AO1" s="107" t="s">
        <v>105</v>
      </c>
      <c r="AP1" s="108" t="s">
        <v>168</v>
      </c>
      <c r="AQ1" s="104" t="s">
        <v>169</v>
      </c>
      <c r="AR1" s="104" t="s">
        <v>170</v>
      </c>
      <c r="AS1" s="104" t="s">
        <v>62</v>
      </c>
      <c r="AT1" s="104" t="s">
        <v>16</v>
      </c>
      <c r="AU1" s="104" t="s">
        <v>171</v>
      </c>
      <c r="AV1" s="104" t="s">
        <v>17</v>
      </c>
      <c r="AW1" s="104" t="s">
        <v>87</v>
      </c>
      <c r="AX1" s="21" t="s">
        <v>86</v>
      </c>
      <c r="AY1" s="21" t="s">
        <v>18</v>
      </c>
      <c r="AZ1" s="108" t="s">
        <v>64</v>
      </c>
      <c r="BA1" s="108" t="s">
        <v>65</v>
      </c>
    </row>
    <row r="2" spans="1:53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0"/>
      <c r="V2" s="102"/>
      <c r="W2" s="100"/>
      <c r="X2" s="100"/>
      <c r="Y2" s="102"/>
      <c r="Z2" s="102"/>
      <c r="AA2" s="106"/>
      <c r="AB2" s="100"/>
      <c r="AC2" s="100"/>
      <c r="AD2" s="103"/>
      <c r="AE2" s="102"/>
      <c r="AF2" s="106"/>
      <c r="AG2" s="100"/>
      <c r="AH2" s="100"/>
      <c r="AI2" s="100"/>
      <c r="AJ2" s="100"/>
      <c r="AK2" s="100"/>
      <c r="AL2" s="100"/>
      <c r="AM2" s="100"/>
      <c r="AN2" s="106"/>
      <c r="AO2" s="106"/>
      <c r="AP2" s="102"/>
      <c r="AQ2" s="103"/>
      <c r="AR2" s="103"/>
      <c r="AS2" s="103"/>
      <c r="AT2" s="103"/>
      <c r="AU2" s="103"/>
      <c r="AV2" s="103"/>
      <c r="AW2" s="103"/>
      <c r="AX2" s="100"/>
      <c r="AY2" s="100"/>
      <c r="AZ2" s="102"/>
      <c r="BA2" s="102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108" t="s">
        <v>63</v>
      </c>
      <c r="U1" s="108" t="s">
        <v>74</v>
      </c>
      <c r="V1" s="21" t="s">
        <v>101</v>
      </c>
      <c r="W1" s="21" t="s">
        <v>102</v>
      </c>
      <c r="X1" s="107" t="s">
        <v>104</v>
      </c>
      <c r="Y1" s="104" t="s">
        <v>76</v>
      </c>
      <c r="Z1" s="104" t="s">
        <v>62</v>
      </c>
      <c r="AA1" s="104" t="s">
        <v>77</v>
      </c>
      <c r="AB1" s="104" t="s">
        <v>16</v>
      </c>
      <c r="AC1" s="108" t="s">
        <v>64</v>
      </c>
      <c r="AD1" s="108" t="s">
        <v>65</v>
      </c>
    </row>
    <row r="2" spans="1:30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2"/>
      <c r="U2" s="102"/>
      <c r="V2" s="100"/>
      <c r="W2" s="100"/>
      <c r="X2" s="106"/>
      <c r="Y2" s="103"/>
      <c r="Z2" s="103"/>
      <c r="AA2" s="103"/>
      <c r="AB2" s="103"/>
      <c r="AC2" s="102"/>
      <c r="AD2" s="102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7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4" t="s">
        <v>72</v>
      </c>
      <c r="O1" s="108" t="s">
        <v>63</v>
      </c>
      <c r="P1" s="108" t="s">
        <v>74</v>
      </c>
      <c r="Q1" s="104" t="s">
        <v>61</v>
      </c>
      <c r="R1" s="104" t="s">
        <v>62</v>
      </c>
      <c r="S1" s="104" t="s">
        <v>173</v>
      </c>
      <c r="T1" s="104" t="s">
        <v>16</v>
      </c>
      <c r="U1" s="108" t="s">
        <v>64</v>
      </c>
      <c r="V1" s="108" t="s">
        <v>65</v>
      </c>
      <c r="W1" s="9"/>
      <c r="X1" s="9"/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3"/>
      <c r="O2" s="102"/>
      <c r="P2" s="102"/>
      <c r="Q2" s="103"/>
      <c r="R2" s="103"/>
      <c r="S2" s="103"/>
      <c r="T2" s="103"/>
      <c r="U2" s="102"/>
      <c r="V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7" t="s">
        <v>95</v>
      </c>
      <c r="H1" s="21" t="s">
        <v>176</v>
      </c>
      <c r="I1" s="21" t="s">
        <v>177</v>
      </c>
      <c r="J1" s="21" t="s">
        <v>178</v>
      </c>
      <c r="K1" s="108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7" t="s">
        <v>104</v>
      </c>
      <c r="Q1" s="21" t="s">
        <v>60</v>
      </c>
      <c r="R1" s="104" t="s">
        <v>171</v>
      </c>
      <c r="S1" s="104" t="s">
        <v>16</v>
      </c>
      <c r="T1" s="104" t="s">
        <v>17</v>
      </c>
      <c r="U1" s="104" t="s">
        <v>87</v>
      </c>
      <c r="V1" s="21" t="s">
        <v>18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6"/>
      <c r="H2" s="100"/>
      <c r="I2" s="100"/>
      <c r="J2" s="100"/>
      <c r="K2" s="102"/>
      <c r="L2" s="100"/>
      <c r="M2" s="100"/>
      <c r="N2" s="100"/>
      <c r="O2" s="100"/>
      <c r="P2" s="106"/>
      <c r="Q2" s="100"/>
      <c r="R2" s="103"/>
      <c r="S2" s="103"/>
      <c r="T2" s="103"/>
      <c r="U2" s="103"/>
      <c r="V2" s="100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7" t="s">
        <v>104</v>
      </c>
      <c r="R1" s="107" t="s">
        <v>105</v>
      </c>
      <c r="S1" s="108" t="s">
        <v>181</v>
      </c>
      <c r="T1" s="104" t="s">
        <v>182</v>
      </c>
      <c r="U1" s="104" t="s">
        <v>16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6"/>
      <c r="R2" s="106"/>
      <c r="S2" s="102"/>
      <c r="T2" s="103"/>
      <c r="U2" s="103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7" t="s">
        <v>185</v>
      </c>
      <c r="J1" s="21" t="s">
        <v>60</v>
      </c>
      <c r="K1" s="107" t="s">
        <v>104</v>
      </c>
      <c r="L1" s="104" t="s">
        <v>61</v>
      </c>
      <c r="M1" s="104" t="s">
        <v>62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6"/>
      <c r="J2" s="100"/>
      <c r="K2" s="106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7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4" t="s">
        <v>62</v>
      </c>
      <c r="P1" s="108" t="s">
        <v>63</v>
      </c>
      <c r="Q1" s="21" t="s">
        <v>158</v>
      </c>
      <c r="R1" s="104" t="s">
        <v>187</v>
      </c>
      <c r="S1" s="104" t="s">
        <v>188</v>
      </c>
      <c r="T1" s="108" t="s">
        <v>189</v>
      </c>
    </row>
    <row r="2" spans="1:20" ht="13.5" customHeight="1">
      <c r="A2" s="100">
        <v>513</v>
      </c>
      <c r="B2" s="100">
        <v>513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0"/>
      <c r="O2" s="103"/>
      <c r="P2" s="102"/>
      <c r="Q2" s="100"/>
      <c r="R2" s="103"/>
      <c r="S2" s="103"/>
      <c r="T2" s="102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7" t="s">
        <v>190</v>
      </c>
      <c r="L1" s="104" t="s">
        <v>191</v>
      </c>
      <c r="M1" s="104" t="s">
        <v>192</v>
      </c>
      <c r="N1" s="104" t="s">
        <v>193</v>
      </c>
      <c r="O1" s="104" t="s">
        <v>194</v>
      </c>
      <c r="P1" s="108" t="s">
        <v>195</v>
      </c>
      <c r="Q1" s="107" t="s">
        <v>196</v>
      </c>
    </row>
    <row r="2" spans="1:17" ht="13.5" customHeight="1">
      <c r="A2" s="100">
        <v>513</v>
      </c>
      <c r="B2" s="100">
        <v>513</v>
      </c>
      <c r="C2" s="100"/>
      <c r="D2" s="100"/>
      <c r="E2" s="100"/>
      <c r="F2" s="100"/>
      <c r="G2" s="100"/>
      <c r="H2" s="100"/>
      <c r="I2" s="100"/>
      <c r="J2" s="100"/>
      <c r="K2" s="106"/>
      <c r="L2" s="103"/>
      <c r="M2" s="103"/>
      <c r="N2" s="103"/>
      <c r="O2" s="103"/>
      <c r="P2" s="102"/>
      <c r="Q2" s="106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חוות דעת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2026-08-30T04:25:53Z</dcterms:modified>
</cp:coreProperties>
</file>