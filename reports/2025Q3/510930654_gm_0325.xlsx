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092025\yahav rofeem\"/>
    </mc:Choice>
  </mc:AlternateContent>
  <xr:revisionPtr revIDLastSave="0" documentId="13_ncr:1_{1926684B-FE41-4850-A2CD-C5020EBAEF62}" xr6:coauthVersionLast="47" xr6:coauthVersionMax="47" xr10:uidLastSave="{00000000-0000-0000-0000-000000000000}"/>
  <bookViews>
    <workbookView xWindow="28680" yWindow="84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30" hidden="1">'יתרות התחייבות להשקעה'!$A$1:$R$35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E32" i="2"/>
  <c r="B32" i="2"/>
  <c r="D30" i="2"/>
  <c r="C30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B30" i="2" l="1"/>
  <c r="E30" i="2"/>
</calcChain>
</file>

<file path=xl/sharedStrings.xml><?xml version="1.0" encoding="utf-8"?>
<sst xmlns="http://schemas.openxmlformats.org/spreadsheetml/2006/main" count="16720" uniqueCount="2887">
  <si>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</si>
  <si>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</si>
  <si>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</si>
  <si>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</si>
  <si>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</si>
  <si>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</si>
  <si>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</si>
  <si>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</si>
  <si>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</si>
  <si>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</si>
  <si>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</si>
  <si>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</si>
  <si>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</si>
  <si>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</si>
  <si>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</si>
  <si>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</si>
  <si>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</si>
  <si>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</si>
  <si>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</si>
  <si>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</si>
  <si>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</si>
  <si>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</si>
  <si>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</si>
  <si>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</si>
  <si>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</si>
  <si>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</si>
  <si>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גליל</t>
  </si>
  <si>
    <t>ממשל צמודה0431</t>
  </si>
  <si>
    <t>IL0012207226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</si>
  <si>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</si>
  <si>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</si>
  <si>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</si>
  <si>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</si>
  <si>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</si>
  <si>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</si>
  <si>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30/04/2031</t>
  </si>
  <si>
    <t>שווי הוגן</t>
  </si>
  <si>
    <t>ממשלתית צמודה 1.10% 1028</t>
  </si>
  <si>
    <t>IL0011973265</t>
  </si>
  <si>
    <t>31/10/2028</t>
  </si>
  <si>
    <t>שחר</t>
  </si>
  <si>
    <t>ממשלתית שקלית 1.00% 03/30</t>
  </si>
  <si>
    <t>IL0011609851</t>
  </si>
  <si>
    <t>לא צמוד למדד המחירים לצרכן ריבית קבועה</t>
  </si>
  <si>
    <t>31/03/2030</t>
  </si>
  <si>
    <t>בנק ישראל- מק"מ</t>
  </si>
  <si>
    <t>מלווה קצר מועד 1115</t>
  </si>
  <si>
    <t>IL0082511184</t>
  </si>
  <si>
    <t>מק"מ קצר משנים עשר חודשים</t>
  </si>
  <si>
    <t>05/11/2025</t>
  </si>
  <si>
    <t>מלווה קצר מועד 116</t>
  </si>
  <si>
    <t>IL0082601191</t>
  </si>
  <si>
    <t>07/01/2026</t>
  </si>
  <si>
    <t>ממשל צמודה 0527</t>
  </si>
  <si>
    <t>IL0011408478</t>
  </si>
  <si>
    <t>31/05/2027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</si>
  <si>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</si>
  <si>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</si>
  <si>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</si>
  <si>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</si>
  <si>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</si>
  <si>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</si>
  <si>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</si>
  <si>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</si>
  <si>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</si>
  <si>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ממשל צמודה 1151</t>
  </si>
  <si>
    <t>IL0011683013</t>
  </si>
  <si>
    <t>NR</t>
  </si>
  <si>
    <t>30/11/2051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</si>
  <si>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</si>
  <si>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</si>
  <si>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</si>
  <si>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</si>
  <si>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</si>
  <si>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</si>
  <si>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</si>
  <si>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</si>
  <si>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</si>
  <si>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</si>
  <si>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</si>
  <si>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</si>
  <si>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צמוד 841</t>
  </si>
  <si>
    <t>IL0011205833</t>
  </si>
  <si>
    <t>30/08/2041</t>
  </si>
  <si>
    <t>ממשלתי שקלית 0142</t>
  </si>
  <si>
    <t>IL0011254005</t>
  </si>
  <si>
    <t>31/01/2042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</si>
  <si>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</si>
  <si>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</si>
  <si>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</si>
  <si>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</si>
  <si>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</si>
  <si>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</si>
  <si>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</si>
  <si>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</si>
  <si>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</si>
  <si>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</si>
  <si>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</si>
  <si>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1.6% 1033</t>
  </si>
  <si>
    <t>IL0012043795</t>
  </si>
  <si>
    <t>31/10/2033</t>
  </si>
  <si>
    <t>ממשלתית שקלית 0537</t>
  </si>
  <si>
    <t>IL0011661803</t>
  </si>
  <si>
    <t>31/05/2037</t>
  </si>
  <si>
    <t>ממשלתית שקלית 1.3% 04/32</t>
  </si>
  <si>
    <t>IL0011806606</t>
  </si>
  <si>
    <t>30/04/2032</t>
  </si>
  <si>
    <t>מקמ       216</t>
  </si>
  <si>
    <t>IL0082602181</t>
  </si>
  <si>
    <t>04/02/2026</t>
  </si>
  <si>
    <t>מקמ       516</t>
  </si>
  <si>
    <t>IL0082605150</t>
  </si>
  <si>
    <t>06/05/2026</t>
  </si>
  <si>
    <t>מלווה קצר מועד 616</t>
  </si>
  <si>
    <t>IL0082606141</t>
  </si>
  <si>
    <t>03/06/2026</t>
  </si>
  <si>
    <t>ממשל שיקלית 0928</t>
  </si>
  <si>
    <t>IL0011508798</t>
  </si>
  <si>
    <t>28/09/2028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</si>
  <si>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</si>
  <si>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</si>
  <si>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</si>
  <si>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</si>
  <si>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</si>
  <si>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</si>
  <si>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</si>
  <si>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</si>
  <si>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</si>
  <si>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</si>
  <si>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</si>
  <si>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אבגול תעשיות 1953 בע"מ</t>
  </si>
  <si>
    <t>510119068</t>
  </si>
  <si>
    <t>ח.פ.</t>
  </si>
  <si>
    <t>אבגול אג"ח ד' 5</t>
  </si>
  <si>
    <t>IL0011404170</t>
  </si>
  <si>
    <t>ISIN</t>
  </si>
  <si>
    <t>צמוד למט"ח</t>
  </si>
  <si>
    <t>סחיר</t>
  </si>
  <si>
    <t>עץ, נייר ודפוס</t>
  </si>
  <si>
    <t>לא</t>
  </si>
  <si>
    <t>A+</t>
  </si>
  <si>
    <t>S&amp;P מעלות</t>
  </si>
  <si>
    <t>נייר ערך</t>
  </si>
  <si>
    <t>31/12/2025</t>
  </si>
  <si>
    <t>החוב לא נחות</t>
  </si>
  <si>
    <t>אדמה פתרונות לחקלאות בע"מ</t>
  </si>
  <si>
    <t>520043605</t>
  </si>
  <si>
    <t>אדמה אגח ב</t>
  </si>
  <si>
    <t>IL0011109159</t>
  </si>
  <si>
    <t>צמוד למדד המחירים לצרכן</t>
  </si>
  <si>
    <t>כימיה, גומי ופלסטיק</t>
  </si>
  <si>
    <t>AA-</t>
  </si>
  <si>
    <t>30/11/2036</t>
  </si>
  <si>
    <t>או.פי.סי. אנרגיה בע"מ</t>
  </si>
  <si>
    <t>514401702</t>
  </si>
  <si>
    <t>או פי סי אגח ב'</t>
  </si>
  <si>
    <t>IL0011660573</t>
  </si>
  <si>
    <t>אנרגיה</t>
  </si>
  <si>
    <t>01/10/2028</t>
  </si>
  <si>
    <t>או.פי.סי  אגח ג</t>
  </si>
  <si>
    <t>IL0011803553</t>
  </si>
  <si>
    <t>לא צמוד למדד המחירים לצרכן</t>
  </si>
  <si>
    <t>01/09/2030</t>
  </si>
  <si>
    <t xml:space="preserve">אול-יר  הולדינגס לימיטד </t>
  </si>
  <si>
    <t>1841580</t>
  </si>
  <si>
    <t>מספר תאגיד או שותפות בחו"ל</t>
  </si>
  <si>
    <t>אול-יר אגח ה בהשעיה -יהב</t>
  </si>
  <si>
    <t>IL0011433047</t>
  </si>
  <si>
    <t>ארה"ב</t>
  </si>
  <si>
    <t>השעיה</t>
  </si>
  <si>
    <t>נדל"ן מניב בחו"ל</t>
  </si>
  <si>
    <t>C</t>
  </si>
  <si>
    <t>מידרוג Moodys</t>
  </si>
  <si>
    <t>31/07/2024</t>
  </si>
  <si>
    <t>אזורים-חברה להשקעות בפתוח ובבנין בע"מ</t>
  </si>
  <si>
    <t>520025990</t>
  </si>
  <si>
    <t>אזורים סדרה 14</t>
  </si>
  <si>
    <t>IL0071504448</t>
  </si>
  <si>
    <t>בנייה</t>
  </si>
  <si>
    <t>A1</t>
  </si>
  <si>
    <t>31/12/2028</t>
  </si>
  <si>
    <t>איי.די.איי. הנפקות (2010) בע"מ</t>
  </si>
  <si>
    <t>514486042</t>
  </si>
  <si>
    <t>איידיאיי הנ הת ז</t>
  </si>
  <si>
    <t>IL0012293507</t>
  </si>
  <si>
    <t>ביטוח</t>
  </si>
  <si>
    <t>A2</t>
  </si>
  <si>
    <t>22/09/2035</t>
  </si>
  <si>
    <t>איידיאיי הנפקות אגח ו</t>
  </si>
  <si>
    <t>IL0011830374</t>
  </si>
  <si>
    <t>15/12/2028</t>
  </si>
  <si>
    <t>איידיאיי הנפקות התחייבות ה</t>
  </si>
  <si>
    <t>IL0011558785</t>
  </si>
  <si>
    <t>16/11/2025</t>
  </si>
  <si>
    <t>איי.סי.אל גרופ בע"מ (דואלי)</t>
  </si>
  <si>
    <t>520027830</t>
  </si>
  <si>
    <t>אייסיאל   אגח ז</t>
  </si>
  <si>
    <t>IL0028103724</t>
  </si>
  <si>
    <t>AA</t>
  </si>
  <si>
    <t>30/12/2034</t>
  </si>
  <si>
    <t>איירפורט סיטי בע"מ</t>
  </si>
  <si>
    <t>511659401</t>
  </si>
  <si>
    <t>איירפורט אגח ה</t>
  </si>
  <si>
    <t>IL0011334872</t>
  </si>
  <si>
    <t>נדל"ן מניב בישראל</t>
  </si>
  <si>
    <t>אלוני-חץ נכסים והשקעות בע"מ</t>
  </si>
  <si>
    <t>520038506</t>
  </si>
  <si>
    <t>אלוני חץ אגח יב</t>
  </si>
  <si>
    <t>IL0039004952</t>
  </si>
  <si>
    <t>28/02/2031</t>
  </si>
  <si>
    <t>אלוני חץ אגח יג</t>
  </si>
  <si>
    <t>IL0011894065</t>
  </si>
  <si>
    <t>01/03/2037</t>
  </si>
  <si>
    <t>אלקטרה בע"מ</t>
  </si>
  <si>
    <t>520028911</t>
  </si>
  <si>
    <t>אלקטרה    אגח ד</t>
  </si>
  <si>
    <t>IL0073901493</t>
  </si>
  <si>
    <t>השקעה ואחזקות</t>
  </si>
  <si>
    <t>30/06/2026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</si>
  <si>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</si>
  <si>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</si>
  <si>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</si>
  <si>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</si>
  <si>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</si>
  <si>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</si>
  <si>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אלקטרה נדל"ן בע"מ</t>
  </si>
  <si>
    <t>510607328</t>
  </si>
  <si>
    <t>אלקטרה נדלן אגח ז</t>
  </si>
  <si>
    <t>IL0012035536</t>
  </si>
  <si>
    <t>A3</t>
  </si>
  <si>
    <t>30/11/2034</t>
  </si>
  <si>
    <t>אמות השקעות בע"מ</t>
  </si>
  <si>
    <t>520026683</t>
  </si>
  <si>
    <t>אמות אגח ח</t>
  </si>
  <si>
    <t>IL0011727828</t>
  </si>
  <si>
    <t>05/01/2032</t>
  </si>
  <si>
    <t>אנלייט אנרגיה מתחדשת בע"מ</t>
  </si>
  <si>
    <t>520041146</t>
  </si>
  <si>
    <t>אנלייט אנר אגח ז</t>
  </si>
  <si>
    <t>IL0012181223</t>
  </si>
  <si>
    <t>אחר</t>
  </si>
  <si>
    <t>אנרגיה מתחדשת</t>
  </si>
  <si>
    <t>01/09/2033</t>
  </si>
  <si>
    <t>אנלייט אנרגיה אגח ד</t>
  </si>
  <si>
    <t>IL0072002566</t>
  </si>
  <si>
    <t>02/09/2029</t>
  </si>
  <si>
    <t>אנרג'יקס אנרגיות מתחדשות בע"מ</t>
  </si>
  <si>
    <t>513901371</t>
  </si>
  <si>
    <t>אנרג'יקס אגח א</t>
  </si>
  <si>
    <t>IL0011617516</t>
  </si>
  <si>
    <t>A</t>
  </si>
  <si>
    <t>01/08/2030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</si>
  <si>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</si>
  <si>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</si>
  <si>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</si>
  <si>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</si>
  <si>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</si>
  <si>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</si>
  <si>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</si>
  <si>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</si>
  <si>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</si>
  <si>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</si>
  <si>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</si>
  <si>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קבוצת אקרו בע"מ</t>
  </si>
  <si>
    <t>511996803</t>
  </si>
  <si>
    <t>אקרו אגח ב</t>
  </si>
  <si>
    <t>IL0012260597</t>
  </si>
  <si>
    <t>31/12/2032</t>
  </si>
  <si>
    <t>ארפורט אגח ט</t>
  </si>
  <si>
    <t>IL0011609448</t>
  </si>
  <si>
    <t>30/08/2035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</si>
  <si>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</si>
  <si>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</si>
  <si>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</si>
  <si>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</si>
  <si>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</si>
  <si>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</si>
  <si>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</si>
  <si>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</si>
  <si>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10</t>
  </si>
  <si>
    <t>IL0025102042</t>
  </si>
  <si>
    <t>02/01/2028</t>
  </si>
  <si>
    <t>קבוצת אשטרום</t>
  </si>
  <si>
    <t>510381601</t>
  </si>
  <si>
    <t>אשטרום קב אגח ג</t>
  </si>
  <si>
    <t>IL0011401028</t>
  </si>
  <si>
    <t>15/01/2029</t>
  </si>
  <si>
    <t>אשטרום קבוצה אגח ה</t>
  </si>
  <si>
    <t>IL0011995797</t>
  </si>
  <si>
    <t>בתי זקוק לנפט בע"מ</t>
  </si>
  <si>
    <t>520036658</t>
  </si>
  <si>
    <t>בזן אגח טו</t>
  </si>
  <si>
    <t>IL0012119868</t>
  </si>
  <si>
    <t>25/12/2034</t>
  </si>
  <si>
    <t>ביג מרכזי קניות (2004) בע"מ</t>
  </si>
  <si>
    <t>513623314</t>
  </si>
  <si>
    <t>ביג אגח יח</t>
  </si>
  <si>
    <t>IL0011742264</t>
  </si>
  <si>
    <t>Aa3</t>
  </si>
  <si>
    <t>ביג אגח כ</t>
  </si>
  <si>
    <t>IL0011861882</t>
  </si>
  <si>
    <t>01/05/2033</t>
  </si>
  <si>
    <t>ביג אגח כד</t>
  </si>
  <si>
    <t>IL0012270323</t>
  </si>
  <si>
    <t>10/08/2034</t>
  </si>
  <si>
    <t>הבינלאומי הראשון הנפקות בע"מ</t>
  </si>
  <si>
    <t>513141879</t>
  </si>
  <si>
    <t>בינל הנפקות אגח יג</t>
  </si>
  <si>
    <t>IL0012284696</t>
  </si>
  <si>
    <t>בנקים</t>
  </si>
  <si>
    <t>AAA</t>
  </si>
  <si>
    <t>04/09/2028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</si>
  <si>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</si>
  <si>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</si>
  <si>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</si>
  <si>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</si>
  <si>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</si>
  <si>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</si>
  <si>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</si>
  <si>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</si>
  <si>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</si>
  <si>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</si>
  <si>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</si>
  <si>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</si>
  <si>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</si>
  <si>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</si>
  <si>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 ים אגח יא</t>
  </si>
  <si>
    <t>IL0012083395</t>
  </si>
  <si>
    <t>גב ים סד' ו'</t>
  </si>
  <si>
    <t>IL0075901285</t>
  </si>
  <si>
    <t>31/03/2026</t>
  </si>
  <si>
    <t>דיסקונט מנפיקים בע"מ</t>
  </si>
  <si>
    <t>520029935</t>
  </si>
  <si>
    <t>דיסק מנ אגח טז</t>
  </si>
  <si>
    <t>IL0012031576</t>
  </si>
  <si>
    <t>20/03/2035</t>
  </si>
  <si>
    <t>דיסק מנ אגח יז</t>
  </si>
  <si>
    <t>IL0012159534</t>
  </si>
  <si>
    <t>דיסקונט אגח יד</t>
  </si>
  <si>
    <t>IL0074801635</t>
  </si>
  <si>
    <t>05/12/2030</t>
  </si>
  <si>
    <t>דיסקונט מנ נד ט</t>
  </si>
  <si>
    <t>IL0011912461</t>
  </si>
  <si>
    <t>30/11/2028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</si>
  <si>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</si>
  <si>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</si>
  <si>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</si>
  <si>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</si>
  <si>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</si>
  <si>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</si>
  <si>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</si>
  <si>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A-</t>
  </si>
  <si>
    <t>01/10/2034</t>
  </si>
  <si>
    <t>קבוצת דלק בע"מ</t>
  </si>
  <si>
    <t>520044322</t>
  </si>
  <si>
    <t>דלק קבוצה אג"ח מא</t>
  </si>
  <si>
    <t>IL0012286188</t>
  </si>
  <si>
    <t>חיפושי נפט וגז</t>
  </si>
  <si>
    <t>31/03/2035</t>
  </si>
  <si>
    <t>הכשרה חברה לביטוח בע"מ</t>
  </si>
  <si>
    <t>520042177</t>
  </si>
  <si>
    <t>הכשרה חברה לביטוח ד</t>
  </si>
  <si>
    <t>IL0011560252</t>
  </si>
  <si>
    <t>Baa2</t>
  </si>
  <si>
    <t>חברת הכשרת הישוב בישראל בע"מ</t>
  </si>
  <si>
    <t>520020116</t>
  </si>
  <si>
    <t>הכשרת הישוב אגח 24</t>
  </si>
  <si>
    <t>IL0011915191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</si>
  <si>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</si>
  <si>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</si>
  <si>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</si>
  <si>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</si>
  <si>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</si>
  <si>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</si>
  <si>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אחזקות בע"מ</t>
  </si>
  <si>
    <t>520017450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</si>
  <si>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</si>
  <si>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</si>
  <si>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</si>
  <si>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</si>
  <si>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</si>
  <si>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טו</t>
  </si>
  <si>
    <t>IL0011431306</t>
  </si>
  <si>
    <t>31/12/2031</t>
  </si>
  <si>
    <t>הראל הנפק אגח יח</t>
  </si>
  <si>
    <t>IL0011826661</t>
  </si>
  <si>
    <t>הראל הנפק אגח כ 31/12/2036</t>
  </si>
  <si>
    <t>IL0012079849</t>
  </si>
  <si>
    <t>הראל הנפק נד כא</t>
  </si>
  <si>
    <t>IL0012206079</t>
  </si>
  <si>
    <t>30/06/2074</t>
  </si>
  <si>
    <t>הראל הנפקות אגח יט</t>
  </si>
  <si>
    <t>IL0011927725</t>
  </si>
  <si>
    <t>31/12/2029</t>
  </si>
  <si>
    <t>הראל הנפקות יא</t>
  </si>
  <si>
    <t>IL0011363160</t>
  </si>
  <si>
    <t>ויתניה בע"מ</t>
  </si>
  <si>
    <t>512096793</t>
  </si>
  <si>
    <t>ויתניה אגח ז</t>
  </si>
  <si>
    <t>IL0012162413</t>
  </si>
  <si>
    <t>30/06/2032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</si>
  <si>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</si>
  <si>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</si>
  <si>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</si>
  <si>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</si>
  <si>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</si>
  <si>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</si>
  <si>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</si>
  <si>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    אגח 29</t>
  </si>
  <si>
    <t>IL0060002362</t>
  </si>
  <si>
    <t>01/03/2026</t>
  </si>
  <si>
    <t>חשמל אגח 33</t>
  </si>
  <si>
    <t>IL0060003923</t>
  </si>
  <si>
    <t>30/05/2036</t>
  </si>
  <si>
    <t>חשמל אגח 34</t>
  </si>
  <si>
    <t>IL0011967812</t>
  </si>
  <si>
    <t>12/06/2033</t>
  </si>
  <si>
    <t>חשמל אגח 35</t>
  </si>
  <si>
    <t>IL0011967994</t>
  </si>
  <si>
    <t>12/06/2037</t>
  </si>
  <si>
    <t>חשמל אגח 36</t>
  </si>
  <si>
    <t>IL0012215898</t>
  </si>
  <si>
    <t>11/05/2034</t>
  </si>
  <si>
    <t>יו.אמ.איץ' פרופרטיס אינק.</t>
  </si>
  <si>
    <t>221890929</t>
  </si>
  <si>
    <t>יו.אמ.איץ' אגח א</t>
  </si>
  <si>
    <t>IL0011841678</t>
  </si>
  <si>
    <t>USD</t>
  </si>
  <si>
    <t>28/02/2027</t>
  </si>
  <si>
    <t>ירושלים מימון והנפקות (2005) בע"מ</t>
  </si>
  <si>
    <t>513682146</t>
  </si>
  <si>
    <t>ירושלים אגח ט"ו</t>
  </si>
  <si>
    <t>IL0011617698</t>
  </si>
  <si>
    <t>31/12/2026</t>
  </si>
  <si>
    <t>ירושלים הנפ אגח טז</t>
  </si>
  <si>
    <t>IL0011721706</t>
  </si>
  <si>
    <t>ירושלים הנפ אגח יט</t>
  </si>
  <si>
    <t>IL0012014333</t>
  </si>
  <si>
    <t>31/01/2031</t>
  </si>
  <si>
    <t>ישראמקו נגב 2 שותפות מוגבלת</t>
  </si>
  <si>
    <t>550010003</t>
  </si>
  <si>
    <t>מספר שותפות</t>
  </si>
  <si>
    <t>ישראמקו אגח ג</t>
  </si>
  <si>
    <t>IL0023202323</t>
  </si>
  <si>
    <t>10/10/2030</t>
  </si>
  <si>
    <t>ישרס חברה להשקעות בע"מ</t>
  </si>
  <si>
    <t>520017807</t>
  </si>
  <si>
    <t>ישרס אגח יט</t>
  </si>
  <si>
    <t>IL0061303488</t>
  </si>
  <si>
    <t>31/03/2036</t>
  </si>
  <si>
    <t>כללביט מימון בע"מ</t>
  </si>
  <si>
    <t>513754069</t>
  </si>
  <si>
    <t>כלל אגח יא</t>
  </si>
  <si>
    <t>IL0011606477</t>
  </si>
  <si>
    <t>כלל החזקות עסקי ביטוח בע"מ</t>
  </si>
  <si>
    <t>520036120</t>
  </si>
  <si>
    <t>כלל ביטוח אגח א</t>
  </si>
  <si>
    <t>IL0011934812</t>
  </si>
  <si>
    <t>28/02/2028</t>
  </si>
  <si>
    <t>כלל הון  אגח יד</t>
  </si>
  <si>
    <t>IL0012205246</t>
  </si>
  <si>
    <t>30/09/2039</t>
  </si>
  <si>
    <t>כלל מימון אגח יב</t>
  </si>
  <si>
    <t>IL0011799280</t>
  </si>
  <si>
    <t>31/03/2032</t>
  </si>
  <si>
    <t>כלל מימון אגח יג</t>
  </si>
  <si>
    <t>IL0011979205</t>
  </si>
  <si>
    <t>שירותים פיננסיים</t>
  </si>
  <si>
    <t>31/07/2034</t>
  </si>
  <si>
    <t>בנק לאומי לישראל בע"מ</t>
  </si>
  <si>
    <t>520018078</t>
  </si>
  <si>
    <t>לאומי אגח 179</t>
  </si>
  <si>
    <t>IL0060403727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</si>
  <si>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</si>
  <si>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</si>
  <si>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</si>
  <si>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</si>
  <si>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</si>
  <si>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</si>
  <si>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אגח סד' 188</t>
  </si>
  <si>
    <t>IL0012286675</t>
  </si>
  <si>
    <t>Aaa</t>
  </si>
  <si>
    <t>01/08/2036</t>
  </si>
  <si>
    <t>לאומי התח נדח' סד' 406</t>
  </si>
  <si>
    <t>IL0012164237</t>
  </si>
  <si>
    <t>28/02/2036</t>
  </si>
  <si>
    <t>מבנה נדל"ן (כ.ד)  בע"מ</t>
  </si>
  <si>
    <t>520024126</t>
  </si>
  <si>
    <t>מבנה אגח כה</t>
  </si>
  <si>
    <t>IL0022606367</t>
  </si>
  <si>
    <t>30/09/2033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</si>
  <si>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</si>
  <si>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</si>
  <si>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</si>
  <si>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</si>
  <si>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</si>
  <si>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</si>
  <si>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מגדל הון אגח יג 31/12/2032</t>
  </si>
  <si>
    <t>IL0012075136</t>
  </si>
  <si>
    <t>מגדלי הים התיכון</t>
  </si>
  <si>
    <t>512719485</t>
  </si>
  <si>
    <t>מגדלי תיכון אגח ו</t>
  </si>
  <si>
    <t>IL0011991242</t>
  </si>
  <si>
    <t>מגדלי תיכון אגח ז</t>
  </si>
  <si>
    <t>IL0012176942</t>
  </si>
  <si>
    <t>מגה אור החזקות בע"מ</t>
  </si>
  <si>
    <t>513257873</t>
  </si>
  <si>
    <t>מגה אור אגח יא</t>
  </si>
  <si>
    <t>IL0011783755</t>
  </si>
  <si>
    <t>מגוריט ישראל בעמ</t>
  </si>
  <si>
    <t>515434074</t>
  </si>
  <si>
    <t>מגוריט אגח ו</t>
  </si>
  <si>
    <t>IL0012035049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</si>
  <si>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</si>
  <si>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</si>
  <si>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</si>
  <si>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</si>
  <si>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</si>
  <si>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הנפ אגח61</t>
  </si>
  <si>
    <t>IL0023104644</t>
  </si>
  <si>
    <t>04/12/2026</t>
  </si>
  <si>
    <t>מז טפ הנפק 52</t>
  </si>
  <si>
    <t>IL0023103810</t>
  </si>
  <si>
    <t>01/07/2030</t>
  </si>
  <si>
    <t>מזרחי טפ הנפק התח 69</t>
  </si>
  <si>
    <t>IL0012021593</t>
  </si>
  <si>
    <t>25/06/2029</t>
  </si>
  <si>
    <t>מזרחי טפ הנפק התח 71</t>
  </si>
  <si>
    <t>IL0012138918</t>
  </si>
  <si>
    <t>25/11/2035</t>
  </si>
  <si>
    <t>מזרחי טפחות הנפק 49</t>
  </si>
  <si>
    <t>IL0023102820</t>
  </si>
  <si>
    <t>23/06/2026</t>
  </si>
  <si>
    <t>מזרחי טפחות הנפקות אגח 42</t>
  </si>
  <si>
    <t>IL0023101830</t>
  </si>
  <si>
    <t>09/06/2030</t>
  </si>
  <si>
    <t>מישורים השקעות נדלן בעמ</t>
  </si>
  <si>
    <t>511491839</t>
  </si>
  <si>
    <t>מישורים   אגח ח</t>
  </si>
  <si>
    <t>IL0011431637</t>
  </si>
  <si>
    <t>BBB+</t>
  </si>
  <si>
    <t>מליסרון בע"מ</t>
  </si>
  <si>
    <t>520037789</t>
  </si>
  <si>
    <t>מליסרון  אגח יט</t>
  </si>
  <si>
    <t>IL0032303989</t>
  </si>
  <si>
    <t>01/07/2029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</si>
  <si>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</si>
  <si>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</si>
  <si>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</si>
  <si>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</si>
  <si>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</si>
  <si>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</si>
  <si>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>ממן-מסופי מטען וניטול בע"מ</t>
  </si>
  <si>
    <t>520036435</t>
  </si>
  <si>
    <t>ממן אגח ג</t>
  </si>
  <si>
    <t>IL0023800530</t>
  </si>
  <si>
    <t>שירותים</t>
  </si>
  <si>
    <t xml:space="preserve">מניף - שירותים פיננסים בע"מ </t>
  </si>
  <si>
    <t>512764408</t>
  </si>
  <si>
    <t>מניף אגח א</t>
  </si>
  <si>
    <t>IL0011858839</t>
  </si>
  <si>
    <t>אשראי חוץ בנקאי</t>
  </si>
  <si>
    <t>30/09/2026</t>
  </si>
  <si>
    <t>מניף אגח ב</t>
  </si>
  <si>
    <t>IL0011988602</t>
  </si>
  <si>
    <t>31/07/2028</t>
  </si>
  <si>
    <t>מניף אגח ג</t>
  </si>
  <si>
    <t>IL0012167206</t>
  </si>
  <si>
    <t>30/11/2029</t>
  </si>
  <si>
    <t>קבוצת מנרב  בע"מ</t>
  </si>
  <si>
    <t>520034505</t>
  </si>
  <si>
    <t>מנרב אגח ד</t>
  </si>
  <si>
    <t>IL0015501690</t>
  </si>
  <si>
    <t>Baa1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</si>
  <si>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</si>
  <si>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</si>
  <si>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</si>
  <si>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</si>
  <si>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</si>
  <si>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</si>
  <si>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</si>
  <si>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</si>
  <si>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</si>
  <si>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</si>
  <si>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</si>
  <si>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נאוויטס פטרוליום, שותפות מוגבלת</t>
  </si>
  <si>
    <t>550263107</t>
  </si>
  <si>
    <t>נאוויטס אגח ז</t>
  </si>
  <si>
    <t>IL0012160433</t>
  </si>
  <si>
    <t>30/06/2030</t>
  </si>
  <si>
    <t>נאוויטס פטרו אגח ו</t>
  </si>
  <si>
    <t>IL0012048257</t>
  </si>
  <si>
    <t>30/09/2029</t>
  </si>
  <si>
    <t>נאייקס בע"מ</t>
  </si>
  <si>
    <t>513639013</t>
  </si>
  <si>
    <t>נאייקס  אגח  א</t>
  </si>
  <si>
    <t>IL0012189655</t>
  </si>
  <si>
    <t>תוכנה ואינטרנט</t>
  </si>
  <si>
    <t>30/09/2030</t>
  </si>
  <si>
    <t>ע.י נופר אנרגי' בע"מ</t>
  </si>
  <si>
    <t>514599943</t>
  </si>
  <si>
    <t>נופר אנרג אגח ג</t>
  </si>
  <si>
    <t>IL0011980435</t>
  </si>
  <si>
    <t>נופר אנרג אגח ד</t>
  </si>
  <si>
    <t>IL0012114166</t>
  </si>
  <si>
    <t>31/12/2033</t>
  </si>
  <si>
    <t>חברת נמלי ישראל - פיתוח נכסים בע"מ</t>
  </si>
  <si>
    <t>513569780</t>
  </si>
  <si>
    <t>נמלי ישראל אג ב</t>
  </si>
  <si>
    <t>IL0011455727</t>
  </si>
  <si>
    <t>נמלי ישראל אגח א</t>
  </si>
  <si>
    <t>IL0011455644</t>
  </si>
  <si>
    <t>נמקו ריאליטי לטד</t>
  </si>
  <si>
    <t>1905761</t>
  </si>
  <si>
    <t>נמקו אגח ד 15/04/2029 6.25%</t>
  </si>
  <si>
    <t>IL0012064734</t>
  </si>
  <si>
    <t>15/04/2029</t>
  </si>
  <si>
    <t>נמקו אגח ה</t>
  </si>
  <si>
    <t>IL0012132143</t>
  </si>
  <si>
    <t>15/04/2040</t>
  </si>
  <si>
    <t>נמקו אגח ו</t>
  </si>
  <si>
    <t>IL0012231713</t>
  </si>
  <si>
    <t>SILVERSTEIN PROPERTIES LTD</t>
  </si>
  <si>
    <t>1970336</t>
  </si>
  <si>
    <t>סילברסטין אגח ב</t>
  </si>
  <si>
    <t>IL0011605974</t>
  </si>
  <si>
    <t>סילברסטין אגח ג</t>
  </si>
  <si>
    <t>IL0012116484</t>
  </si>
  <si>
    <t>31/12/2030</t>
  </si>
  <si>
    <t>סלקום ישראל בע"מ</t>
  </si>
  <si>
    <t>511930125</t>
  </si>
  <si>
    <t>סלקום אגח יג</t>
  </si>
  <si>
    <t>IL0011891905</t>
  </si>
  <si>
    <t>תקשורת ומדיה</t>
  </si>
  <si>
    <t>06/01/2030</t>
  </si>
  <si>
    <t>קבוצת עזריאלי בע"מ (לשעבר קנית מימון)</t>
  </si>
  <si>
    <t>510960719</t>
  </si>
  <si>
    <t>עזריאלי אגח ה</t>
  </si>
  <si>
    <t>IL0011566036</t>
  </si>
  <si>
    <t>Aa1</t>
  </si>
  <si>
    <t>עזריאלי אגח ז</t>
  </si>
  <si>
    <t>IL0011786725</t>
  </si>
  <si>
    <t>AA+</t>
  </si>
  <si>
    <t>02/07/2036</t>
  </si>
  <si>
    <t>עזריאלי אגח ט</t>
  </si>
  <si>
    <t>IL0012092537</t>
  </si>
  <si>
    <t>02/01/2046</t>
  </si>
  <si>
    <t>בנק הפועלים בע"מ</t>
  </si>
  <si>
    <t>520000118</t>
  </si>
  <si>
    <t>פועלים אגח 200</t>
  </si>
  <si>
    <t>IL0066204962</t>
  </si>
  <si>
    <t>09/12/2031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</si>
  <si>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</si>
  <si>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</si>
  <si>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</si>
  <si>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</si>
  <si>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</si>
  <si>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</si>
  <si>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 נד טו</t>
  </si>
  <si>
    <t>IL0012274465</t>
  </si>
  <si>
    <t>21/08/2037</t>
  </si>
  <si>
    <t>פועלים התח נד יא</t>
  </si>
  <si>
    <t>IL0012014663</t>
  </si>
  <si>
    <t>07/12/2029</t>
  </si>
  <si>
    <t>פועלים התח נד יב</t>
  </si>
  <si>
    <t>IL0012141219</t>
  </si>
  <si>
    <t>28/11/2032</t>
  </si>
  <si>
    <t>פז קמעונאות ואנרגיה בע"מ</t>
  </si>
  <si>
    <t>510216054</t>
  </si>
  <si>
    <t>פז נפט  אגח ח</t>
  </si>
  <si>
    <t>IL0011628174</t>
  </si>
  <si>
    <t>הפניקס גיוסי הון (2009) בע"מ</t>
  </si>
  <si>
    <t>514290345</t>
  </si>
  <si>
    <t>פניקס הון אגח טו</t>
  </si>
  <si>
    <t>IL0012019530</t>
  </si>
  <si>
    <t>פניקס הון אגח טז</t>
  </si>
  <si>
    <t>IL0012203340</t>
  </si>
  <si>
    <t>01/11/2034</t>
  </si>
  <si>
    <t>פניקס הון אגח יא</t>
  </si>
  <si>
    <t>IL0011593592</t>
  </si>
  <si>
    <t>30/04/2029</t>
  </si>
  <si>
    <t>פתאל נכסים(אירופה)בע"מ</t>
  </si>
  <si>
    <t>515328250</t>
  </si>
  <si>
    <t>פתאל אירו אגח ו</t>
  </si>
  <si>
    <t>IL0012192865</t>
  </si>
  <si>
    <t>פתאל אירופה אגח ג</t>
  </si>
  <si>
    <t>IL0011418527</t>
  </si>
  <si>
    <t>30/08/2027</t>
  </si>
  <si>
    <t>פתאל החזקות 1998 בע"מ</t>
  </si>
  <si>
    <t>512607888</t>
  </si>
  <si>
    <t>פתאל החז אגח ה</t>
  </si>
  <si>
    <t>IL0012039421</t>
  </si>
  <si>
    <t>מלונאות ותיירות</t>
  </si>
  <si>
    <t>31/08/2032</t>
  </si>
  <si>
    <t>צור שמיר אחזקות בע"מ</t>
  </si>
  <si>
    <t>520025586</t>
  </si>
  <si>
    <t>צור אגח י</t>
  </si>
  <si>
    <t>IL0073001716</t>
  </si>
  <si>
    <t>צור אגח יג</t>
  </si>
  <si>
    <t>IL0012246661</t>
  </si>
  <si>
    <t>30/06/2037</t>
  </si>
  <si>
    <t>קרסו מוטורס בע"מ</t>
  </si>
  <si>
    <t>514065283</t>
  </si>
  <si>
    <t>קרסו מוט' אגח ו'</t>
  </si>
  <si>
    <t>IL0012262247</t>
  </si>
  <si>
    <t>מסחר</t>
  </si>
  <si>
    <t>28/01/2033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</si>
  <si>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</si>
  <si>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</si>
  <si>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</si>
  <si>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</si>
  <si>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</si>
  <si>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</si>
  <si>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</si>
  <si>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</si>
  <si>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</si>
  <si>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Chamoss International Limited</t>
  </si>
  <si>
    <t>633896</t>
  </si>
  <si>
    <t>שמוס אגח א</t>
  </si>
  <si>
    <t>IL0011559510</t>
  </si>
  <si>
    <t>בריטניה</t>
  </si>
  <si>
    <t>10/07/2028</t>
  </si>
  <si>
    <t>שפיר הנדסה ותעשיה בע"מ</t>
  </si>
  <si>
    <t>514892801</t>
  </si>
  <si>
    <t>שפיר הנדסה  אג"ח א</t>
  </si>
  <si>
    <t>IL0011361347</t>
  </si>
  <si>
    <t>מתכת ומוצרי בניה</t>
  </si>
  <si>
    <t>03/10/2025</t>
  </si>
  <si>
    <t>תדיראן גרופ בע"מ</t>
  </si>
  <si>
    <t>520036732</t>
  </si>
  <si>
    <t>תדיראן גרופ אגח 4</t>
  </si>
  <si>
    <t>IL0012087842</t>
  </si>
  <si>
    <t>תמר פטרוליום בעמ</t>
  </si>
  <si>
    <t>515334662</t>
  </si>
  <si>
    <t>תמר פטרו אגח ב</t>
  </si>
  <si>
    <t>IL0011435935</t>
  </si>
  <si>
    <t>30/08/2028</t>
  </si>
  <si>
    <t>טבע תעשיות פרמצבטיות בע"מ</t>
  </si>
  <si>
    <t>520013954</t>
  </si>
  <si>
    <t>TEVA 4 3/8 05/09/30</t>
  </si>
  <si>
    <t>XS2406607171</t>
  </si>
  <si>
    <t>חו"ל</t>
  </si>
  <si>
    <t>Pharmaceuticals</t>
  </si>
  <si>
    <t>BB</t>
  </si>
  <si>
    <t>S&amp;P</t>
  </si>
  <si>
    <t>EUR</t>
  </si>
  <si>
    <t>09/05/2030</t>
  </si>
  <si>
    <t>אלקטרה נדלן אגח ו</t>
  </si>
  <si>
    <t>IL0011745648</t>
  </si>
  <si>
    <t>30/05/2030</t>
  </si>
  <si>
    <t>בזק החברה הישראלית לתקשורת בע"מ</t>
  </si>
  <si>
    <t>520031931</t>
  </si>
  <si>
    <t>בזק אגח 9</t>
  </si>
  <si>
    <t>IL0023001766</t>
  </si>
  <si>
    <t>01/12/2025</t>
  </si>
  <si>
    <t>ביג אגח טו</t>
  </si>
  <si>
    <t>IL0011622219</t>
  </si>
  <si>
    <t>31/01/2030</t>
  </si>
  <si>
    <t>חברת השקעות דיסקונט בע"מ</t>
  </si>
  <si>
    <t>520023896</t>
  </si>
  <si>
    <t>דיסקונט השקעות אגח ו</t>
  </si>
  <si>
    <t>IL0063902071</t>
  </si>
  <si>
    <t>BBB</t>
  </si>
  <si>
    <t>כן</t>
  </si>
  <si>
    <t>חשמל אגח 31</t>
  </si>
  <si>
    <t>IL0060002859</t>
  </si>
  <si>
    <t>21/09/2031</t>
  </si>
  <si>
    <t>ישרס אגח טז</t>
  </si>
  <si>
    <t>IL0061302233</t>
  </si>
  <si>
    <t>30/07/2031</t>
  </si>
  <si>
    <t>מנורה מבטחים החזקות בע"מ</t>
  </si>
  <si>
    <t>520007469</t>
  </si>
  <si>
    <t>מנורה מב  אגח ג</t>
  </si>
  <si>
    <t>IL0056600633</t>
  </si>
  <si>
    <t>Aa2</t>
  </si>
  <si>
    <t>ספנסר אקוויטי גרופ לימיטד</t>
  </si>
  <si>
    <t>1838863</t>
  </si>
  <si>
    <t>ספנסר אגח ב</t>
  </si>
  <si>
    <t>IL0011398984</t>
  </si>
  <si>
    <t>31/03/2028</t>
  </si>
  <si>
    <t>עזריאלי אגח ח</t>
  </si>
  <si>
    <t>IL0011786808</t>
  </si>
  <si>
    <t>02/01/2041</t>
  </si>
  <si>
    <t>שופר-סל בע"מ</t>
  </si>
  <si>
    <t>520022732</t>
  </si>
  <si>
    <t>שופרסל אגח ה</t>
  </si>
  <si>
    <t>IL0077702095</t>
  </si>
  <si>
    <t>רשתות שיווק</t>
  </si>
  <si>
    <t>08/10/2029</t>
  </si>
  <si>
    <t>שטראוס גרופ בע"מ</t>
  </si>
  <si>
    <t>520003781</t>
  </si>
  <si>
    <t>שטראוס אגח ו</t>
  </si>
  <si>
    <t>IL0074604211</t>
  </si>
  <si>
    <t>מזון</t>
  </si>
  <si>
    <t>ש.שלמה החזקות בע"מ</t>
  </si>
  <si>
    <t>520034372</t>
  </si>
  <si>
    <t>שלמה החז אגח יח</t>
  </si>
  <si>
    <t>IL0014103076</t>
  </si>
  <si>
    <t>21/06/2026</t>
  </si>
  <si>
    <t>שפיר הנדסה אגח ב</t>
  </si>
  <si>
    <t>IL0011419517</t>
  </si>
  <si>
    <t>05/07/2030</t>
  </si>
  <si>
    <t>איי.סי.אל</t>
  </si>
  <si>
    <t>IL0002810146</t>
  </si>
  <si>
    <t>מניות</t>
  </si>
  <si>
    <t>אנלייט אנרגיה</t>
  </si>
  <si>
    <t>IL0007200111</t>
  </si>
  <si>
    <t>Energean plc</t>
  </si>
  <si>
    <t>549300RVMKU0CYUZBB05</t>
  </si>
  <si>
    <t>LEI</t>
  </si>
  <si>
    <t>אנרג'יאן</t>
  </si>
  <si>
    <t>GB00BG12Y042</t>
  </si>
  <si>
    <t>ביג</t>
  </si>
  <si>
    <t>IL0010972607</t>
  </si>
  <si>
    <t>מנועי בית שמש אחזקות (1997) בע"מ</t>
  </si>
  <si>
    <t>520043480</t>
  </si>
  <si>
    <t>בית שמש</t>
  </si>
  <si>
    <t>IL0010815616</t>
  </si>
  <si>
    <t>בנק דיסקונט לישראל בע"מ</t>
  </si>
  <si>
    <t>520007030</t>
  </si>
  <si>
    <t>דיסקונט</t>
  </si>
  <si>
    <t>IL0006912120</t>
  </si>
  <si>
    <t>דלק קבוצה</t>
  </si>
  <si>
    <t>IL0010841281</t>
  </si>
  <si>
    <t>דלתא-גליל תעשיות בע"מ</t>
  </si>
  <si>
    <t>520025602</t>
  </si>
  <si>
    <t>דלתא גליל</t>
  </si>
  <si>
    <t>IL0006270347</t>
  </si>
  <si>
    <t>אופנה והלבשה</t>
  </si>
  <si>
    <t>טאואר סמיקונדקטור בע"מ</t>
  </si>
  <si>
    <t>520041997</t>
  </si>
  <si>
    <t>טאואר</t>
  </si>
  <si>
    <t>IL0010823792</t>
  </si>
  <si>
    <t>גלובלי</t>
  </si>
  <si>
    <t>מוליכים למחצה</t>
  </si>
  <si>
    <t>טבע</t>
  </si>
  <si>
    <t>IL0006290147</t>
  </si>
  <si>
    <t>פארמה</t>
  </si>
  <si>
    <t>כלל ביטוח</t>
  </si>
  <si>
    <t>IL0002240146</t>
  </si>
  <si>
    <t>לאומי</t>
  </si>
  <si>
    <t>IL0006046119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</si>
  <si>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</si>
  <si>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</si>
  <si>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</si>
  <si>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</si>
  <si>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</si>
  <si>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</si>
  <si>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</si>
  <si>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</si>
  <si>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פועלים</t>
  </si>
  <si>
    <t>IL0006625771</t>
  </si>
  <si>
    <t>רשת חנויות רמי לוי שיווק השיקמה 2006 בע"מ</t>
  </si>
  <si>
    <t>513770669</t>
  </si>
  <si>
    <t>רמי לוי</t>
  </si>
  <si>
    <t>IL0011042491</t>
  </si>
  <si>
    <t>תאת טכנולוגיות בע"מ</t>
  </si>
  <si>
    <t>520035791</t>
  </si>
  <si>
    <t>תאת טכנולוגיות</t>
  </si>
  <si>
    <t>IL0010827264</t>
  </si>
  <si>
    <t>חשמל</t>
  </si>
  <si>
    <t>JANUS CAPITAL FUNDS PLC</t>
  </si>
  <si>
    <t>VRMT02ZFO5ZMX44P4506</t>
  </si>
  <si>
    <t>JANUS HEN</t>
  </si>
  <si>
    <t>LU2914768309</t>
  </si>
  <si>
    <t>Financial Services</t>
  </si>
  <si>
    <t>ORYX</t>
  </si>
  <si>
    <t>2138005O9XJIJN4JPN90</t>
  </si>
  <si>
    <t>MODINE MFG CO</t>
  </si>
  <si>
    <t>US6078281002</t>
  </si>
  <si>
    <t>Automobiles</t>
  </si>
  <si>
    <t>או פי סי אנרגיה</t>
  </si>
  <si>
    <t>IL0011415713</t>
  </si>
  <si>
    <t xml:space="preserve">אורמת טכנולגיות אינק </t>
  </si>
  <si>
    <t>5493000TSHHWY24VHM09</t>
  </si>
  <si>
    <t>אורמת טכנולוגיות</t>
  </si>
  <si>
    <t>US6866881021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</si>
  <si>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</si>
  <si>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</si>
  <si>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</si>
  <si>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</si>
  <si>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</si>
  <si>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</si>
  <si>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</si>
  <si>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</si>
  <si>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אלביט מערכות בע"מ</t>
  </si>
  <si>
    <t>520043027</t>
  </si>
  <si>
    <t>אלביט מערכות</t>
  </si>
  <si>
    <t>IL0010811243</t>
  </si>
  <si>
    <t>ביטחוניות</t>
  </si>
  <si>
    <t>אלקטרה</t>
  </si>
  <si>
    <t>IL0007390375</t>
  </si>
  <si>
    <t>אלקטרה מוצרי צריכה בע"מ</t>
  </si>
  <si>
    <t>520039967</t>
  </si>
  <si>
    <t>אלקטרה צריכה</t>
  </si>
  <si>
    <t>IL0050101299</t>
  </si>
  <si>
    <t>אפי נכסים</t>
  </si>
  <si>
    <t>IL0010913544</t>
  </si>
  <si>
    <t>אר פי אופטיקל לאב בעמ</t>
  </si>
  <si>
    <t>514454701</t>
  </si>
  <si>
    <t>אר פי אופטיקל לאב</t>
  </si>
  <si>
    <t>IL0012224627</t>
  </si>
  <si>
    <t>ארגו פרופרטיז אן. וי</t>
  </si>
  <si>
    <t>70252750</t>
  </si>
  <si>
    <t>NL0015000D84</t>
  </si>
  <si>
    <t>גרמניה</t>
  </si>
  <si>
    <t>אשטרום קבוצה</t>
  </si>
  <si>
    <t>IL0011323156</t>
  </si>
  <si>
    <t>בזק</t>
  </si>
  <si>
    <t>IL0002300114</t>
  </si>
  <si>
    <t>ביונ תלת מימד בע"מ</t>
  </si>
  <si>
    <t>514669506</t>
  </si>
  <si>
    <t>IL0011755613</t>
  </si>
  <si>
    <t>אלקטרוניקה ואופטיקה</t>
  </si>
  <si>
    <t>ג'י וואן פתרונות אבטחה בע"מ</t>
  </si>
  <si>
    <t>510095987</t>
  </si>
  <si>
    <t>גי וואן</t>
  </si>
  <si>
    <t>IL0011562803</t>
  </si>
  <si>
    <t>הולמס פלייס אינטרנשיונל בע"מ</t>
  </si>
  <si>
    <t>512466723</t>
  </si>
  <si>
    <t>הולמס פלייס</t>
  </si>
  <si>
    <t>IL0011425878</t>
  </si>
  <si>
    <t>הפניקס</t>
  </si>
  <si>
    <t>IL0007670123</t>
  </si>
  <si>
    <t>קבוצת חמת בע"מ</t>
  </si>
  <si>
    <t>520038530</t>
  </si>
  <si>
    <t>חמת</t>
  </si>
  <si>
    <t>IL0003840167</t>
  </si>
  <si>
    <t>טיב טעם הולדינגס 1 בע"מ</t>
  </si>
  <si>
    <t>520041187</t>
  </si>
  <si>
    <t>טיב טעם</t>
  </si>
  <si>
    <t>IL0001030100</t>
  </si>
  <si>
    <t>יומן אקסטנשנס בע"מ</t>
  </si>
  <si>
    <t>514707736</t>
  </si>
  <si>
    <t>יומן אקסטנשנס</t>
  </si>
  <si>
    <t>IL0011700007</t>
  </si>
  <si>
    <t>מכשור רפואי</t>
  </si>
  <si>
    <t>יוניברסל מוטורס  ישראל בע"מ</t>
  </si>
  <si>
    <t>511809071</t>
  </si>
  <si>
    <t>יוניברסל מוטורס</t>
  </si>
  <si>
    <t>IL0011447732</t>
  </si>
  <si>
    <t>ישראכרט בע"מ</t>
  </si>
  <si>
    <t>510706153</t>
  </si>
  <si>
    <t>ישראכרט</t>
  </si>
  <si>
    <t>IL0011574030</t>
  </si>
  <si>
    <t>לסיכו בע"מ</t>
  </si>
  <si>
    <t>510512056</t>
  </si>
  <si>
    <t>לסיכו</t>
  </si>
  <si>
    <t>IL0011409468</t>
  </si>
  <si>
    <t>מבנה</t>
  </si>
  <si>
    <t>IL0002260193</t>
  </si>
  <si>
    <t>מגדלי תיכון</t>
  </si>
  <si>
    <t>IL0011315236</t>
  </si>
  <si>
    <t>מולטי ריטייל גרופ בע"מ</t>
  </si>
  <si>
    <t>515546224</t>
  </si>
  <si>
    <t>מולטי ריטייל (אייס )</t>
  </si>
  <si>
    <t>IL0011716698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</si>
  <si>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</si>
  <si>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</si>
  <si>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</si>
  <si>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</si>
  <si>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</si>
  <si>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</si>
  <si>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</si>
  <si>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</si>
  <si>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שירותי מידע</t>
  </si>
  <si>
    <t>מליסרון</t>
  </si>
  <si>
    <t>IL0003230146</t>
  </si>
  <si>
    <t>מנורה מבטחים החזקות</t>
  </si>
  <si>
    <t>IL0005660183</t>
  </si>
  <si>
    <t>מקס סטוק בע"מ</t>
  </si>
  <si>
    <t>513618967</t>
  </si>
  <si>
    <t>מקס סטוק</t>
  </si>
  <si>
    <t>IL0011685588</t>
  </si>
  <si>
    <t>נאוויטס פט יהש</t>
  </si>
  <si>
    <t>IL0011419699</t>
  </si>
  <si>
    <t>עזריאלי קבוצה</t>
  </si>
  <si>
    <t>IL0011194789</t>
  </si>
  <si>
    <t>פורמולה מערכות (1985)בע"מ</t>
  </si>
  <si>
    <t>520036690</t>
  </si>
  <si>
    <t>פורמולה מערכות</t>
  </si>
  <si>
    <t>IL0002560162</t>
  </si>
  <si>
    <t>חברת פרטנר תקשורת בע"מ</t>
  </si>
  <si>
    <t>520044314</t>
  </si>
  <si>
    <t>פרטנר</t>
  </si>
  <si>
    <t>IL0010834849</t>
  </si>
  <si>
    <t>פרימוטק גרופ בע"מ</t>
  </si>
  <si>
    <t>516292992</t>
  </si>
  <si>
    <t>פרימוטק</t>
  </si>
  <si>
    <t>IL0011754962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</si>
  <si>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</si>
  <si>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</si>
  <si>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</si>
  <si>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</si>
  <si>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</si>
  <si>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</si>
  <si>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ריט אזורים - ה.פ ליווינג בע"מ</t>
  </si>
  <si>
    <t>516117181</t>
  </si>
  <si>
    <t>ריט אזורים זכו' 2</t>
  </si>
  <si>
    <t>IL0012010299</t>
  </si>
  <si>
    <t>ריט אזורים ליווינג</t>
  </si>
  <si>
    <t>IL0011627754</t>
  </si>
  <si>
    <t>רציו חיפושי נפט (1992) - שותפות מוגבלת</t>
  </si>
  <si>
    <t>550012777</t>
  </si>
  <si>
    <t>רציו יהש</t>
  </si>
  <si>
    <t>IL0003940157</t>
  </si>
  <si>
    <t>שטראוס</t>
  </si>
  <si>
    <t>IL0007460160</t>
  </si>
  <si>
    <t>שפיר הנדסה</t>
  </si>
  <si>
    <t>IL0011338758</t>
  </si>
  <si>
    <t>תדיראן גרופ</t>
  </si>
  <si>
    <t>IL0002580129</t>
  </si>
  <si>
    <t>Airbnb Inc</t>
  </si>
  <si>
    <t>549300HMUDNO0RY56D37</t>
  </si>
  <si>
    <t>AIRBNB INC</t>
  </si>
  <si>
    <t>US0090661010</t>
  </si>
  <si>
    <t>NASDAQ</t>
  </si>
  <si>
    <t>Diversified Consumer Services</t>
  </si>
  <si>
    <t>ALPHABET INC</t>
  </si>
  <si>
    <t>5493006MHB84DD0ZWV18</t>
  </si>
  <si>
    <t>ALPHABET  INC  CL C ׂ</t>
  </si>
  <si>
    <t>US02079K1079</t>
  </si>
  <si>
    <t>Diversified Telecommunication Services</t>
  </si>
  <si>
    <t>amazon.com</t>
  </si>
  <si>
    <t>ZXTILKJKG63JELOEG630</t>
  </si>
  <si>
    <t>Amazon inc</t>
  </si>
  <si>
    <t>US0231351067</t>
  </si>
  <si>
    <t>Commercial Services &amp; Supplies</t>
  </si>
  <si>
    <t>ATERIAN INC</t>
  </si>
  <si>
    <t>11303</t>
  </si>
  <si>
    <t>US02156U2006</t>
  </si>
  <si>
    <t>Textiles, Apparel &amp; Luxury Goods</t>
  </si>
  <si>
    <t>BERKSHIRE HATHAWAY FIN</t>
  </si>
  <si>
    <t>5493000C01ZX7D35SD85</t>
  </si>
  <si>
    <t>Berkshire Hathway- B</t>
  </si>
  <si>
    <t>US0846707026</t>
  </si>
  <si>
    <t>NYSE</t>
  </si>
  <si>
    <t>Diversified Financial Services Financial Services</t>
  </si>
  <si>
    <t>BIOGEN IDEC INC</t>
  </si>
  <si>
    <t>W8J5WZB5IY3K0NDQT671</t>
  </si>
  <si>
    <t>Biogen idec inc</t>
  </si>
  <si>
    <t>US09062X1037</t>
  </si>
  <si>
    <t>COSTCO WHOLESAL</t>
  </si>
  <si>
    <t>29DX7H14B9S6O3FD6V18</t>
  </si>
  <si>
    <t>COSTCO WHOLESALE CORP</t>
  </si>
  <si>
    <t>US22160K1051</t>
  </si>
  <si>
    <t>Consumer Staples Distribution &amp; Retail</t>
  </si>
  <si>
    <t>ELI LILLY  &amp; CO</t>
  </si>
  <si>
    <t>FRDRIPF3EKNDJ2CQJL29</t>
  </si>
  <si>
    <t>Eli Lilly</t>
  </si>
  <si>
    <t>US5324571083</t>
  </si>
  <si>
    <t>Flextronics International ltd</t>
  </si>
  <si>
    <t>549300EAQH74YHD07T53</t>
  </si>
  <si>
    <t>Flextronics Intll</t>
  </si>
  <si>
    <t>SG9999000020</t>
  </si>
  <si>
    <t>Technology Hardware, Storage &amp; Peripherals</t>
  </si>
  <si>
    <t>HONEYWELL INTERNATIONAL INC</t>
  </si>
  <si>
    <t>ISRPG12PN4EIEOEMW547</t>
  </si>
  <si>
    <t>Honeywell international inc</t>
  </si>
  <si>
    <t>US4385161066</t>
  </si>
  <si>
    <t>Food &amp; Staples Retailing Consumer Staples Distribution &amp; Retail</t>
  </si>
  <si>
    <t>INTEL CORP</t>
  </si>
  <si>
    <t>KNX4USFCNGPY45LOCE31</t>
  </si>
  <si>
    <t>US4581401001</t>
  </si>
  <si>
    <t>Semiconductors &amp; Semiconductor Equipment</t>
  </si>
  <si>
    <t>MASTERCARD INC</t>
  </si>
  <si>
    <t>AR5L2ODV9HN37376R084</t>
  </si>
  <si>
    <t>Mastercard inc-cla</t>
  </si>
  <si>
    <t>US57636Q1040</t>
  </si>
  <si>
    <t>Consumer Finance </t>
  </si>
  <si>
    <t>MercadoLibre Inc</t>
  </si>
  <si>
    <t>549300DKPDN9M5S8GB14</t>
  </si>
  <si>
    <t>MERCADOLIBRE INC</t>
  </si>
  <si>
    <t>US58733R1023</t>
  </si>
  <si>
    <t>ארגנטינה</t>
  </si>
  <si>
    <t>MICROSOFT CORP</t>
  </si>
  <si>
    <t>INR2EJN1ERAN0W5ZP974</t>
  </si>
  <si>
    <t>Microsoft corp</t>
  </si>
  <si>
    <t>US5949181045</t>
  </si>
  <si>
    <t>Software</t>
  </si>
  <si>
    <t>MODERNA INC</t>
  </si>
  <si>
    <t>549300EI6OKH5K5Q2G38</t>
  </si>
  <si>
    <t>US60770K1079</t>
  </si>
  <si>
    <t>MARVELL TECH</t>
  </si>
  <si>
    <t>8DF36O58U3QIHUCGZB18</t>
  </si>
  <si>
    <t>MRVL US Equity</t>
  </si>
  <si>
    <t>US5738741041</t>
  </si>
  <si>
    <t>NIKE INC</t>
  </si>
  <si>
    <t>787RXPR0UX0O0XUXPZ81</t>
  </si>
  <si>
    <t>NIKE INC CL-B</t>
  </si>
  <si>
    <t>US6541061031</t>
  </si>
  <si>
    <t>Northrop Grumman Corp</t>
  </si>
  <si>
    <t>RIMU48P07456QXSO0R61</t>
  </si>
  <si>
    <t>Northrop Grumman</t>
  </si>
  <si>
    <t>US6668071029</t>
  </si>
  <si>
    <t>Capital Markets</t>
  </si>
  <si>
    <t>NVIDIA CORP</t>
  </si>
  <si>
    <t>549300S4KLFTLO7GSQ80</t>
  </si>
  <si>
    <t>Nvidia crop</t>
  </si>
  <si>
    <t>US67066G1040</t>
  </si>
  <si>
    <t>ORACLE CORP</t>
  </si>
  <si>
    <t>1Z4GXXU7ZHVWFCD8TV52</t>
  </si>
  <si>
    <t>Oracle system co</t>
  </si>
  <si>
    <t>US68389X1054</t>
  </si>
  <si>
    <t>Prologis Inc</t>
  </si>
  <si>
    <t>529900DFH19P073LZ636</t>
  </si>
  <si>
    <t>PROLOGIS INC</t>
  </si>
  <si>
    <t>US74340W1036</t>
  </si>
  <si>
    <t>Real Estate Management &amp; Development</t>
  </si>
  <si>
    <t>Samsung Electronics co ltd</t>
  </si>
  <si>
    <t>9884007ER46L6N7EI764</t>
  </si>
  <si>
    <t>Samsung electronics</t>
  </si>
  <si>
    <t>US7960508882</t>
  </si>
  <si>
    <t>אסיה</t>
  </si>
  <si>
    <t>LSE</t>
  </si>
  <si>
    <t>Scoutcam LTD</t>
  </si>
  <si>
    <t>549300FBP1ANSJE5TE25</t>
  </si>
  <si>
    <t>Scoutcam</t>
  </si>
  <si>
    <t>US81063V2043</t>
  </si>
  <si>
    <t>SentinelOne Inc</t>
  </si>
  <si>
    <t>984500DCD44DBF954221</t>
  </si>
  <si>
    <t>SENTINELONE IN-A</t>
  </si>
  <si>
    <t>US81730H1095</t>
  </si>
  <si>
    <t>TAIWAN Semiconductor</t>
  </si>
  <si>
    <t>549300KB6NK5SBD14S87</t>
  </si>
  <si>
    <t>Taiwan Semiconductor Adr</t>
  </si>
  <si>
    <t>US8740391003</t>
  </si>
  <si>
    <t>טיוואן</t>
  </si>
  <si>
    <t>TAT technolgies</t>
  </si>
  <si>
    <t>UBER TECHNOLOGIE</t>
  </si>
  <si>
    <t>549300B2FTG34FILDR98</t>
  </si>
  <si>
    <t>US90353T1007</t>
  </si>
  <si>
    <t>Ground Transportation</t>
  </si>
  <si>
    <t>VISA  Inc - CLASS  A</t>
  </si>
  <si>
    <t>549300JZ4OKEHW3DPJ59</t>
  </si>
  <si>
    <t>VISA inc-class a</t>
  </si>
  <si>
    <t>US92826C8394</t>
  </si>
  <si>
    <t>הבנק הבינלאומי הראשון לישראל בע"מ</t>
  </si>
  <si>
    <t>520029083</t>
  </si>
  <si>
    <t>בינלאומי 5</t>
  </si>
  <si>
    <t>IL0005930388</t>
  </si>
  <si>
    <t>וואן טכנולוגיות תוכנה(או.אס.טי)בע"מ</t>
  </si>
  <si>
    <t>520034695</t>
  </si>
  <si>
    <t>וואן טכנולוגיות תוכנה</t>
  </si>
  <si>
    <t>IL0001610182</t>
  </si>
  <si>
    <t>פ.י.ב.י. אחזקות בע"מ</t>
  </si>
  <si>
    <t>520029026</t>
  </si>
  <si>
    <t>פיבי</t>
  </si>
  <si>
    <t>IL0007630119</t>
  </si>
  <si>
    <t>ALPHABET INC-A</t>
  </si>
  <si>
    <t>US02079K3059</t>
  </si>
  <si>
    <t>SONOS INC</t>
  </si>
  <si>
    <t>549300WEPU6075I77M08</t>
  </si>
  <si>
    <t>US83570H1086</t>
  </si>
  <si>
    <t>סיווג הקרן</t>
  </si>
  <si>
    <t>מגדל קרנות נאמנות בע"מ</t>
  </si>
  <si>
    <t>511303661</t>
  </si>
  <si>
    <t>MTF סל תא 35</t>
  </si>
  <si>
    <t>IL0011501843</t>
  </si>
  <si>
    <t>עוקב אחר מדדי מניות בישראל</t>
  </si>
  <si>
    <t>35 מניות בארץ - מניות כללי-ת"א</t>
  </si>
  <si>
    <t>MTF סל תלבונד 60</t>
  </si>
  <si>
    <t>IL0011499964</t>
  </si>
  <si>
    <t>עוקב אחר מדדים אחרים בישראל</t>
  </si>
  <si>
    <t>60 אג"ח בארץ - חברות והמרה-תל בונד צמוד מדד-תל בונד</t>
  </si>
  <si>
    <t>MTF.תלבונדשקלי</t>
  </si>
  <si>
    <t>IL0011500027</t>
  </si>
  <si>
    <t>אג"ח בארץ - חברות והמרה-תל בונד שקלי-תל בונד שקלי- אחר</t>
  </si>
  <si>
    <t>אי.בי.אי קרנות נאמנות בע"מ</t>
  </si>
  <si>
    <t>513765339</t>
  </si>
  <si>
    <t>אי.בי.אי. סל (00) תל בונד 60 צמודות</t>
  </si>
  <si>
    <t>IL0011480063</t>
  </si>
  <si>
    <t>אי.בי.אי. סל ת"א 125</t>
  </si>
  <si>
    <t>IL0011488082</t>
  </si>
  <si>
    <t>125 מניות בארץ - מניות כללי-ת"א</t>
  </si>
  <si>
    <t>הראל קרנות נאמנות בע"מ</t>
  </si>
  <si>
    <t>511776783</t>
  </si>
  <si>
    <t>הראל סל תא 90</t>
  </si>
  <si>
    <t>IL0011489312</t>
  </si>
  <si>
    <t>90 מניות בארץ - מניות כללי-ת"א</t>
  </si>
  <si>
    <t>הראל סל תל בונד 60</t>
  </si>
  <si>
    <t>IL0011504730</t>
  </si>
  <si>
    <t xml:space="preserve">ילין לפידות קרנות נאמנות בע"מ </t>
  </si>
  <si>
    <t>513846808</t>
  </si>
  <si>
    <t>י.ל סל S&amp;P</t>
  </si>
  <si>
    <t>IL0012016569</t>
  </si>
  <si>
    <t>עוקב אחר מדדי מניות בחו"ל</t>
  </si>
  <si>
    <t>מניות בחו"ל - מניות בחו"ל משולבת</t>
  </si>
  <si>
    <t xml:space="preserve">מור ניהול קרנות נאמנות בע"מ </t>
  </si>
  <si>
    <t>514884485</t>
  </si>
  <si>
    <t>מור סל )00( תל בונד 60</t>
  </si>
  <si>
    <t>IL0011953044</t>
  </si>
  <si>
    <t>מור סל )4D(י S&amp;P 500</t>
  </si>
  <si>
    <t>IL0011658106</t>
  </si>
  <si>
    <t>S&amp;P 500 - מניות בחו"ל - מניות גיאוגרפי - חשופת מט"ח-ארה"ב</t>
  </si>
  <si>
    <t>קסם קרנות נאמנות בע"מ</t>
  </si>
  <si>
    <t>510938608</t>
  </si>
  <si>
    <t>קסMSCIACWORLDממ</t>
  </si>
  <si>
    <t>IL0011473621</t>
  </si>
  <si>
    <t>MSCI AC WORLD INDEX - מניות בחו"ל - מניות כללי בחו"ל - חשופת מט"ח-מניות כללי בחו"ל</t>
  </si>
  <si>
    <t>קסם 500 P&amp;S PR מנוטרלת מטבע</t>
  </si>
  <si>
    <t>IL0011466047</t>
  </si>
  <si>
    <t>קסם FTSE China 50 (4D) ETF</t>
  </si>
  <si>
    <t>IL0011465213</t>
  </si>
  <si>
    <t>FTSE China 50 - מניות בחו"ל - מניות גיאוגרפי - חשופת מט"ח-אסיה סין</t>
  </si>
  <si>
    <t>קסם MSCI India (!)(4D) ETF</t>
  </si>
  <si>
    <t>IL0011457475</t>
  </si>
  <si>
    <t>CNX NIFTY - מניות בחו"ל - מניות גיאוגרפי - חשופת מט"ח-אסיה הודו</t>
  </si>
  <si>
    <t>קסם תל בונד שקלי</t>
  </si>
  <si>
    <t>IL0011464141</t>
  </si>
  <si>
    <t>אג"ח בארץ - חברות והמרה-תל בונד שקלי-תל בונד- שקלי</t>
  </si>
  <si>
    <t>קסם.STOX600מא</t>
  </si>
  <si>
    <t>IL0011461824</t>
  </si>
  <si>
    <t>אירופה</t>
  </si>
  <si>
    <t>STOXX EUROPE 600 -מניות בחו"ל - מניות גיאוגרפי - חשופת מט"ח-אירופה כללי</t>
  </si>
  <si>
    <t>Amundi Asset Management</t>
  </si>
  <si>
    <t>213800VZW861M5FHMD50</t>
  </si>
  <si>
    <t>A MSCI WLRD $ACC</t>
  </si>
  <si>
    <t>IE000BI8OT95</t>
  </si>
  <si>
    <t xml:space="preserve">BlackRock  Asset Managment </t>
  </si>
  <si>
    <t>97ZR60BLU36N5VJMH054</t>
  </si>
  <si>
    <t>ISH $ CORP BD $A</t>
  </si>
  <si>
    <t>IE00BYXYYJ35</t>
  </si>
  <si>
    <t>עוקב אחר מדדים אחרים בחו"ל</t>
  </si>
  <si>
    <t>אג"ח בחו"ל - אג"ח חשופת מט"ח</t>
  </si>
  <si>
    <t>State Street Corp</t>
  </si>
  <si>
    <t>07F5H7W3ET8ZLWNMFP29</t>
  </si>
  <si>
    <t>SPDR BLOOMBERG SASB</t>
  </si>
  <si>
    <t>IE0004TYCC17</t>
  </si>
  <si>
    <t>EUREX</t>
  </si>
  <si>
    <t>MSCI AC WORLD סל MTF</t>
  </si>
  <si>
    <t>IL0011760316</t>
  </si>
  <si>
    <t>MTF סל MSCI AC World (4D(</t>
  </si>
  <si>
    <t>IL0012010034</t>
  </si>
  <si>
    <t>MTF500SP ממ</t>
  </si>
  <si>
    <t>IL0011505729</t>
  </si>
  <si>
    <t>אי.בי.אי. סל (4A)י 500 S&amp;P מנוטרלת מט"ח</t>
  </si>
  <si>
    <t>IL0012004359</t>
  </si>
  <si>
    <t>אי בי אי ניהול קרנות נאמנות בע"מ</t>
  </si>
  <si>
    <t>510791031</t>
  </si>
  <si>
    <t>אי.בי.אי. סל )4A(י Nasdaq 100</t>
  </si>
  <si>
    <t>IL0012004433</t>
  </si>
  <si>
    <t>NASDAQ 100 - מניות בחו"ל - מניות גיאוגרפי - חשופת מט"ח-ארה"ב</t>
  </si>
  <si>
    <t>הראל סל (4A) MSCI AC World מנ</t>
  </si>
  <si>
    <t>IL0011502007</t>
  </si>
  <si>
    <t>הראל קרן סל תא 125</t>
  </si>
  <si>
    <t>IL0011488991</t>
  </si>
  <si>
    <t>ילין לפידות סל )4A(י asdaq 100</t>
  </si>
  <si>
    <t>IL0012016981</t>
  </si>
  <si>
    <t>מור סל )4A( ת"א90-</t>
  </si>
  <si>
    <t>IL0011961468</t>
  </si>
  <si>
    <t>מור סל )4D(י NASDAQ 100</t>
  </si>
  <si>
    <t>IL0011658361</t>
  </si>
  <si>
    <t>קסם קרן סל תא 125</t>
  </si>
  <si>
    <t>IL0011463564</t>
  </si>
  <si>
    <t>Amex tech sel indx</t>
  </si>
  <si>
    <t>US81369Y8030</t>
  </si>
  <si>
    <t>Technology מניות בחו"ל - מניות לפי ענפים בחו"ל - חשופת מט"ח-ארה"ב- מניות</t>
  </si>
  <si>
    <t>AMUNDI MSCI EMII</t>
  </si>
  <si>
    <t>LU2573967036</t>
  </si>
  <si>
    <t>שווקים מתעוררים</t>
  </si>
  <si>
    <t>MSCI EMERGING MARKETS - מניות בחו"ל - מניות גיאוגרפי - חשופת מט"ח-שווקים מתעוררים כללי</t>
  </si>
  <si>
    <t>DB x TRACKERS</t>
  </si>
  <si>
    <t>549300L70BS183Y6ML67</t>
  </si>
  <si>
    <t>DB X-Trackers msciI</t>
  </si>
  <si>
    <t>LU0274209237</t>
  </si>
  <si>
    <t>Invesco investment management limited</t>
  </si>
  <si>
    <t>635400TLFJSNHVSOFH59</t>
  </si>
  <si>
    <t>Invesco QQQ  trust NAS1</t>
  </si>
  <si>
    <t>US46090E1038</t>
  </si>
  <si>
    <t>Ishares ftse china25</t>
  </si>
  <si>
    <t>US4642871846</t>
  </si>
  <si>
    <t>סין</t>
  </si>
  <si>
    <t>Vanguard Group</t>
  </si>
  <si>
    <t>549300Y88GQ3VLJIBX57</t>
  </si>
  <si>
    <t>Vanguard S&amp;P 500 etf</t>
  </si>
  <si>
    <t>US9229083632</t>
  </si>
  <si>
    <t>VANGUARD TOT WORLD</t>
  </si>
  <si>
    <t>US9220427424</t>
  </si>
  <si>
    <t>WisdomTree Europe ltd</t>
  </si>
  <si>
    <t>213800B789JS6Y4H8936</t>
  </si>
  <si>
    <t>WisdomTree emerging markets</t>
  </si>
  <si>
    <t>US97717X5784</t>
  </si>
  <si>
    <t>Wisdomtree india earnings fund</t>
  </si>
  <si>
    <t>US97717W4226</t>
  </si>
  <si>
    <t>הודו</t>
  </si>
  <si>
    <t>MTF סל (S&amp;P 500 (4D</t>
  </si>
  <si>
    <t>IL0011503336</t>
  </si>
  <si>
    <t>אי.בי.אי. סל (4D)י S&amp;P 500</t>
  </si>
  <si>
    <t>IL0011481624</t>
  </si>
  <si>
    <t>הראל סל SP500</t>
  </si>
  <si>
    <t>IL0011490203</t>
  </si>
  <si>
    <t>INVESCO S&amp;P 500 EQUITY</t>
  </si>
  <si>
    <t>IE00B3YCGJ38</t>
  </si>
  <si>
    <t>Ishares core s&amp;p 500 etf</t>
  </si>
  <si>
    <t>US4642872000</t>
  </si>
  <si>
    <t>LYXOR ETF</t>
  </si>
  <si>
    <t>LYXETF S&amp;P500</t>
  </si>
  <si>
    <t>LU1135865084</t>
  </si>
  <si>
    <t>MTF סל )00( תל בונד - שקלי A</t>
  </si>
  <si>
    <t>IL0011728248</t>
  </si>
  <si>
    <t>MTF סל תא 90</t>
  </si>
  <si>
    <t>IL0011502593</t>
  </si>
  <si>
    <t>סל mtf Trave l&amp; Vacation</t>
  </si>
  <si>
    <t>IL0011675845</t>
  </si>
  <si>
    <t>Consumer discretionary etf</t>
  </si>
  <si>
    <t>US81369Y4070</t>
  </si>
  <si>
    <t>Financial sel sector spdr</t>
  </si>
  <si>
    <t>US81369Y6059</t>
  </si>
  <si>
    <t>Financial מניות בחו"ל - מניות לפי ענפים בחו"ל - חשופת מט"ח-ארה"ב- מניות</t>
  </si>
  <si>
    <t>First trust</t>
  </si>
  <si>
    <t>549300ZLB3EUU3H8NE60</t>
  </si>
  <si>
    <t>FIRST TR NCESGII</t>
  </si>
  <si>
    <t>US33737A1088</t>
  </si>
  <si>
    <t>Global X Management Co LLc</t>
  </si>
  <si>
    <t>213800R3E823B1UBIA81</t>
  </si>
  <si>
    <t>GLOBAL X US INFR</t>
  </si>
  <si>
    <t>US37954Y673</t>
  </si>
  <si>
    <t>Health care select xlv</t>
  </si>
  <si>
    <t>US81369Y2090</t>
  </si>
  <si>
    <t>Health Care מניות בחו"ל - מניות לפי ענפים בחו"ל - חשופת מט"ח-ארה"ב- מניות</t>
  </si>
  <si>
    <t>Industrial select</t>
  </si>
  <si>
    <t>US81369Y7040</t>
  </si>
  <si>
    <t>INVESCO AEROSPAC</t>
  </si>
  <si>
    <t>US46137V1008</t>
  </si>
  <si>
    <t>Ishares DJ construction</t>
  </si>
  <si>
    <t>US4642887529</t>
  </si>
  <si>
    <t>Ishares ftse 100</t>
  </si>
  <si>
    <t>IE0005042456</t>
  </si>
  <si>
    <t>FTSE 250 INDEX - מניות בחו"ל - מניות גיאוגרפי - מנוטרלת מט"ח-אירופה אנגליה</t>
  </si>
  <si>
    <t>GBP</t>
  </si>
  <si>
    <t>Ishares msci china</t>
  </si>
  <si>
    <t>US46429B6719</t>
  </si>
  <si>
    <t>ISHARES-IND G&amp;S</t>
  </si>
  <si>
    <t>DE000A0H08J9</t>
  </si>
  <si>
    <t>FWB</t>
  </si>
  <si>
    <t>Kbw cap market etf</t>
  </si>
  <si>
    <t>us78464a7717</t>
  </si>
  <si>
    <t>LYX STX600 HCARE</t>
  </si>
  <si>
    <t>LU1834986900</t>
  </si>
  <si>
    <t>EURONEXT</t>
  </si>
  <si>
    <t>LYX STX600 UTIL</t>
  </si>
  <si>
    <t>LU1834988864</t>
  </si>
  <si>
    <t>Materiales sel sector</t>
  </si>
  <si>
    <t>US81369Y1001</t>
  </si>
  <si>
    <t>NASD LN Equity</t>
  </si>
  <si>
    <t>LU1829221024</t>
  </si>
  <si>
    <t>REAL EST SEL SEC</t>
  </si>
  <si>
    <t>US81369y8600</t>
  </si>
  <si>
    <t>Real Estate Funds</t>
  </si>
  <si>
    <t>SPDR COMM SERV SELECT</t>
  </si>
  <si>
    <t>US81369Y8527</t>
  </si>
  <si>
    <t>SPDR US ENERGY</t>
  </si>
  <si>
    <t>IE00BWBXM492</t>
  </si>
  <si>
    <t>Utilities select spdr</t>
  </si>
  <si>
    <t>US81369Y8865</t>
  </si>
  <si>
    <t>Van Eck ETF</t>
  </si>
  <si>
    <t>549300ZLFKNTXC51ZN76</t>
  </si>
  <si>
    <t>VANECK DFNS ETF</t>
  </si>
  <si>
    <t>IE000YYE6WK5</t>
  </si>
  <si>
    <t>Equity Funds</t>
  </si>
  <si>
    <t>VANGUARD S&amp;P MID</t>
  </si>
  <si>
    <t>US9219328856</t>
  </si>
  <si>
    <t>MTF סל תא 125</t>
  </si>
  <si>
    <t>IL0011502833</t>
  </si>
  <si>
    <t>קסם NDX100 ETF</t>
  </si>
  <si>
    <t>IL0011465056</t>
  </si>
  <si>
    <t>קסם תא 90</t>
  </si>
  <si>
    <t>IL0011463317</t>
  </si>
  <si>
    <t>ISHARES STOXX EU</t>
  </si>
  <si>
    <t>DE000A0F5UJ7</t>
  </si>
  <si>
    <t>LYX CORE EURSTX</t>
  </si>
  <si>
    <t>LU0908500753</t>
  </si>
  <si>
    <t>US9219327031</t>
  </si>
  <si>
    <t>Vanguard reit vipers</t>
  </si>
  <si>
    <t>US9229085538</t>
  </si>
  <si>
    <t>קסם S&amp;P 500 (4D) ETF</t>
  </si>
  <si>
    <t>IL0011464711</t>
  </si>
  <si>
    <t xml:space="preserve">שם נייר ערך </t>
  </si>
  <si>
    <t>איביאי סל תא-ביטוח</t>
  </si>
  <si>
    <t>IL0012157710</t>
  </si>
  <si>
    <t>מניות בארץ - מניות לפי ענפים</t>
  </si>
  <si>
    <t>Artemis Funds Lux - US Smaller</t>
  </si>
  <si>
    <t>213800SJ3IH3EXMXSJ47</t>
  </si>
  <si>
    <t>ARTEMIS-UK SL-IA</t>
  </si>
  <si>
    <t>GB00B2PLJG05</t>
  </si>
  <si>
    <t>White Oak</t>
  </si>
  <si>
    <t>635400CFK4T1LTOQKB10</t>
  </si>
  <si>
    <t>Ashoka India Opport Fd-D Usd</t>
  </si>
  <si>
    <t>IE00BH3N4915</t>
  </si>
  <si>
    <t>Kotak</t>
  </si>
  <si>
    <t>KOTAK FDS-INDIA</t>
  </si>
  <si>
    <t>LU2126068639</t>
  </si>
  <si>
    <t>Trigon New Europe Fund</t>
  </si>
  <si>
    <t>529900X2YIFA3JTG4580</t>
  </si>
  <si>
    <t>Trig -Nw EUROP-AEUR</t>
  </si>
  <si>
    <t>LU1687402393</t>
  </si>
  <si>
    <t>איביאי טכנולגיית עילית</t>
  </si>
  <si>
    <t>IL0011425381</t>
  </si>
  <si>
    <t>קרן סגורה-קרן טכנולוגיה עילית</t>
  </si>
  <si>
    <t>$INV-GIG CB-CACC</t>
  </si>
  <si>
    <t>LU1218206339</t>
  </si>
  <si>
    <t>אג"ח קונצרני</t>
  </si>
  <si>
    <t>לוכסמבורג</t>
  </si>
  <si>
    <t>CIFC Senior Secured Corporate</t>
  </si>
  <si>
    <t>3912000TN89ESDWHS93</t>
  </si>
  <si>
    <t>.CIFC SEN.SEC.COR</t>
  </si>
  <si>
    <t>BBG00L2X6QM0</t>
  </si>
  <si>
    <t>איסלנד</t>
  </si>
  <si>
    <t>INV-US SEN-G</t>
  </si>
  <si>
    <t>LU0564079282</t>
  </si>
  <si>
    <t>Schroder ISF Greater China</t>
  </si>
  <si>
    <t>8AFAYMK90I2QVGLMLS34</t>
  </si>
  <si>
    <t>Sisf-GRT CHI-IZ</t>
  </si>
  <si>
    <t>LU1953148969</t>
  </si>
  <si>
    <t>Ubam Global</t>
  </si>
  <si>
    <t>5493007WR9BT7NBDHF50</t>
  </si>
  <si>
    <t>Ubam Gb HY</t>
  </si>
  <si>
    <t>LU0569863243</t>
  </si>
  <si>
    <t>ARTEMIS SMARTGA</t>
  </si>
  <si>
    <t>GB00B2PLJD73</t>
  </si>
  <si>
    <t>נכס בסיס (כתב אופציה)</t>
  </si>
  <si>
    <t>תאריך פקיעה</t>
  </si>
  <si>
    <t>שער מימוש</t>
  </si>
  <si>
    <t>יחס המרה</t>
  </si>
  <si>
    <t>ביג אפ 7</t>
  </si>
  <si>
    <t>IL0012143454</t>
  </si>
  <si>
    <t>01/06/2026</t>
  </si>
  <si>
    <t>נכס בסיס</t>
  </si>
  <si>
    <t>מסלקת הבורסה</t>
  </si>
  <si>
    <t>520027152</t>
  </si>
  <si>
    <t>ארו-C0395.0M511</t>
  </si>
  <si>
    <t>IL0859193554</t>
  </si>
  <si>
    <t>מט"ח</t>
  </si>
  <si>
    <t>נגזרים</t>
  </si>
  <si>
    <t>26/11/2026</t>
  </si>
  <si>
    <t>ארו-P0395.0M511</t>
  </si>
  <si>
    <t>IL0859195468</t>
  </si>
  <si>
    <t>דלר-C0340.0M510</t>
  </si>
  <si>
    <t>IL0858838662</t>
  </si>
  <si>
    <t>28/10/2025</t>
  </si>
  <si>
    <t>דלר-P0340.0M510</t>
  </si>
  <si>
    <t>IL0858839652</t>
  </si>
  <si>
    <t>29/10/2025</t>
  </si>
  <si>
    <t>חוזים עתידיים בחול</t>
  </si>
  <si>
    <t>10527</t>
  </si>
  <si>
    <t>ESZ5_S&amp;P500 EMINI FUT  DEC 25</t>
  </si>
  <si>
    <t>ESZ5</t>
  </si>
  <si>
    <t>CME</t>
  </si>
  <si>
    <t>מניות לרבות מדדי מניות</t>
  </si>
  <si>
    <t>NQZ5_NASDAQ 100 E-MINI  DEC 25</t>
  </si>
  <si>
    <t>NQZ5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</si>
  <si>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</si>
  <si>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</si>
  <si>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</si>
  <si>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</si>
  <si>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</si>
  <si>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</si>
  <si>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קרדיטו הנפקות בע"מ</t>
  </si>
  <si>
    <t>516804499</t>
  </si>
  <si>
    <t>קרדיטו אגח א</t>
  </si>
  <si>
    <t>IL0012103276</t>
  </si>
  <si>
    <t>ריבית ואג"ח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</si>
  <si>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</si>
  <si>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</si>
  <si>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</si>
  <si>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</si>
  <si>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</si>
  <si>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</si>
  <si>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</si>
  <si>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</si>
  <si>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</si>
  <si>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</si>
  <si>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</si>
  <si>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אלעד לאס וגאס</t>
  </si>
  <si>
    <t>898</t>
  </si>
  <si>
    <t>2008 14.5%  לאס וגאס סד  א</t>
  </si>
  <si>
    <t>9999798</t>
  </si>
  <si>
    <t>אג"ח מובנות</t>
  </si>
  <si>
    <t>24/09/2020</t>
  </si>
  <si>
    <t>17/04/2013</t>
  </si>
  <si>
    <t>קיימת תלות</t>
  </si>
  <si>
    <t>31/12/2024</t>
  </si>
  <si>
    <t>NEON CAPITAL LTD</t>
  </si>
  <si>
    <t>549300K1NZTY5QS1NO76</t>
  </si>
  <si>
    <t>NEONCA 0 01/04/41</t>
  </si>
  <si>
    <t>XS0207404343</t>
  </si>
  <si>
    <t>איי קיימן</t>
  </si>
  <si>
    <t>04/01/2041</t>
  </si>
  <si>
    <t>אלון חברת הדלק לישראל בע"מ</t>
  </si>
  <si>
    <t>520041690</t>
  </si>
  <si>
    <t>אלון חברת הדלק א ( תיק 204)</t>
  </si>
  <si>
    <t>IL0011015679</t>
  </si>
  <si>
    <t>29/10/2020</t>
  </si>
  <si>
    <t>22/01/2023</t>
  </si>
  <si>
    <t>וי.אי.די. התפלת מי אשקלון</t>
  </si>
  <si>
    <t>513102384</t>
  </si>
  <si>
    <t>וי.אי.די. אג"ח מאוחד 0706</t>
  </si>
  <si>
    <t>IL0010979974</t>
  </si>
  <si>
    <t>29/11/2020</t>
  </si>
  <si>
    <t>22/10/2025</t>
  </si>
  <si>
    <t>חברת ציטוט</t>
  </si>
  <si>
    <t>אי-תלות</t>
  </si>
  <si>
    <t>30/09/2025</t>
  </si>
  <si>
    <t>מפעלי פלדה מאוחדים בע"מ</t>
  </si>
  <si>
    <t>520022492</t>
  </si>
  <si>
    <t>מ.פלדה אג-1 מפ1/00</t>
  </si>
  <si>
    <t>IL0039800425</t>
  </si>
  <si>
    <t>31/08/2020</t>
  </si>
  <si>
    <t>31/01/2001</t>
  </si>
  <si>
    <t>החוב נחות</t>
  </si>
  <si>
    <t>מפעלי פלדה אג1</t>
  </si>
  <si>
    <t>IL0039800185</t>
  </si>
  <si>
    <t>מקס איט פיננסים בע"מ לשעבר לאומי קארד</t>
  </si>
  <si>
    <t>512905423</t>
  </si>
  <si>
    <t>מקס איט התח אגח ו-רמ</t>
  </si>
  <si>
    <t>IL0012250101</t>
  </si>
  <si>
    <t>10/07/2025</t>
  </si>
  <si>
    <t>30/06/2031</t>
  </si>
  <si>
    <t>מת"ם - מרכז תעשיות מדע חיפה בע"מ</t>
  </si>
  <si>
    <t>510687403</t>
  </si>
  <si>
    <t>מתם  מרכז תעשיות מדע חיפה  אגח ב</t>
  </si>
  <si>
    <t>IL0012235367</t>
  </si>
  <si>
    <t>24/06/2025</t>
  </si>
  <si>
    <t>30/06/2035</t>
  </si>
  <si>
    <t>מתם מרכז תעשיות מדע חיפה אגח א ר.מ</t>
  </si>
  <si>
    <t>IL0011389991</t>
  </si>
  <si>
    <t>לא סחיר</t>
  </si>
  <si>
    <t>31/05/2020</t>
  </si>
  <si>
    <t>נתיבים אגרות חוב בע"מ</t>
  </si>
  <si>
    <t>513502229</t>
  </si>
  <si>
    <t>נתיבים אגח א רמ</t>
  </si>
  <si>
    <t>IL0010902810</t>
  </si>
  <si>
    <t>02/07/2027</t>
  </si>
  <si>
    <t>אפאר</t>
  </si>
  <si>
    <t>516072931</t>
  </si>
  <si>
    <t>IL0002940174</t>
  </si>
  <si>
    <t>מניות לא סחירות</t>
  </si>
  <si>
    <t>גורם תלוי/פנימי</t>
  </si>
  <si>
    <t>ג'נריישן ניהול בע"מ</t>
  </si>
  <si>
    <t>515785012</t>
  </si>
  <si>
    <t>ויולה ג'נריישן ניהול</t>
  </si>
  <si>
    <t>561841</t>
  </si>
  <si>
    <t>תשתיות</t>
  </si>
  <si>
    <t>30/11/2020</t>
  </si>
  <si>
    <t>דיווח מנהל הקרן</t>
  </si>
  <si>
    <t>28/07/2025</t>
  </si>
  <si>
    <t>רייכרט תעשיות בע"מ</t>
  </si>
  <si>
    <t>520039652</t>
  </si>
  <si>
    <t>רייכרט</t>
  </si>
  <si>
    <t>IL0004760109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</si>
  <si>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</si>
  <si>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</si>
  <si>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</si>
  <si>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</si>
  <si>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</si>
  <si>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</si>
  <si>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</si>
  <si>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</si>
  <si>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</si>
  <si>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</si>
  <si>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</si>
  <si>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אלפא ערך בע"מ</t>
  </si>
  <si>
    <t>513834986</t>
  </si>
  <si>
    <t>Alpha Value I</t>
  </si>
  <si>
    <t>קרן גידור (Hedge Fund)</t>
  </si>
  <si>
    <t>Other</t>
  </si>
  <si>
    <t>BRIDGES ISRAEL GP GROWTH FUND 1 LIMITED PARTNERSHI</t>
  </si>
  <si>
    <t>540279460</t>
  </si>
  <si>
    <t>Bridges Israel Growth Investments I</t>
  </si>
  <si>
    <t>פרייבט אקוויטי</t>
  </si>
  <si>
    <t>Growth Venture Capital</t>
  </si>
  <si>
    <t>02/09/2020</t>
  </si>
  <si>
    <t>04/08/2025</t>
  </si>
  <si>
    <t>Forma european fund 2</t>
  </si>
  <si>
    <t>516190006</t>
  </si>
  <si>
    <t>Forma European Fund II LP-יהב</t>
  </si>
  <si>
    <t>Value Added Real Estate</t>
  </si>
  <si>
    <t>06/12/2021</t>
  </si>
  <si>
    <t>13/08/2025</t>
  </si>
  <si>
    <t>הראל אלטרנטיב קרנות השקעה</t>
  </si>
  <si>
    <t>516463247</t>
  </si>
  <si>
    <t>Harel Alternativ Credit Co-Invest Fund, LP</t>
  </si>
  <si>
    <t>Direct Lending Debt</t>
  </si>
  <si>
    <t>12/05/2023</t>
  </si>
  <si>
    <t>15/09/2025</t>
  </si>
  <si>
    <t xml:space="preserve">Klirmark Opportunity Fund </t>
  </si>
  <si>
    <t>CO-101523</t>
  </si>
  <si>
    <t>KLIRMARK III</t>
  </si>
  <si>
    <t>Special Situations Debt</t>
  </si>
  <si>
    <t>31/03/2022</t>
  </si>
  <si>
    <t>27/08/2025</t>
  </si>
  <si>
    <t>Pitango Growth Fund</t>
  </si>
  <si>
    <t>MC-103097</t>
  </si>
  <si>
    <t>Pitango Growth Fund II, L.P-יהב</t>
  </si>
  <si>
    <t>31/08/2021</t>
  </si>
  <si>
    <t>25/09/2025</t>
  </si>
  <si>
    <t>ס.ה. סקיי 4 ניהול שותפות מוגבלת</t>
  </si>
  <si>
    <t>540311180</t>
  </si>
  <si>
    <t>Sky IV</t>
  </si>
  <si>
    <t>Buyout</t>
  </si>
  <si>
    <t>15/03/2022</t>
  </si>
  <si>
    <t>28/08/2025</t>
  </si>
  <si>
    <t>Winton Capital Management</t>
  </si>
  <si>
    <t>540295888</t>
  </si>
  <si>
    <t>Windin' Capital Fund LP</t>
  </si>
  <si>
    <t>14/07/2020</t>
  </si>
  <si>
    <t>31/08/2025</t>
  </si>
  <si>
    <t>ALEMIF III Management LLC</t>
  </si>
  <si>
    <t>84-3368433</t>
  </si>
  <si>
    <t>אלקטרה נדל"ן 3</t>
  </si>
  <si>
    <t>27/07/2020</t>
  </si>
  <si>
    <t>01/09/2025</t>
  </si>
  <si>
    <t>יסודות א נדלן שותפות מוגבלת</t>
  </si>
  <si>
    <t>550257125</t>
  </si>
  <si>
    <t>יסודות נדל"ן ג' פיתוח ושותפות</t>
  </si>
  <si>
    <t>03/09/2025</t>
  </si>
  <si>
    <t>קאי קפיטל</t>
  </si>
  <si>
    <t>540283793</t>
  </si>
  <si>
    <t xml:space="preserve">ריאליטי שותף כללי 5 בע"מ </t>
  </si>
  <si>
    <t>516758315</t>
  </si>
  <si>
    <t>ריאליטי קרן השקעות בנדלן 5</t>
  </si>
  <si>
    <t>קרן נדל"ן</t>
  </si>
  <si>
    <t>20/11/2023</t>
  </si>
  <si>
    <t>תשתיות ישראל  ג'י. פי. 4 שותפות מוגבלת</t>
  </si>
  <si>
    <t>550243026</t>
  </si>
  <si>
    <t>תשתיות ישראל 4</t>
  </si>
  <si>
    <t>Opportunistic Infrastructure</t>
  </si>
  <si>
    <t>10/02/2021</t>
  </si>
  <si>
    <t>ALTO FUND</t>
  </si>
  <si>
    <t>27092</t>
  </si>
  <si>
    <t>ALTO רופאים</t>
  </si>
  <si>
    <t>12/11/2020</t>
  </si>
  <si>
    <t>29/09/2025</t>
  </si>
  <si>
    <t xml:space="preserve">Direct Lending Fund III General Partner </t>
  </si>
  <si>
    <t xml:space="preserve"> B216569</t>
  </si>
  <si>
    <t>ARCMONT Direct Lending Fund III</t>
  </si>
  <si>
    <t>Bow Advisers II Sarl</t>
  </si>
  <si>
    <t>1104807</t>
  </si>
  <si>
    <t>Arrow -יהב</t>
  </si>
  <si>
    <t>Distressed Debt</t>
  </si>
  <si>
    <t>04/01/2023</t>
  </si>
  <si>
    <t>Blue Atlantic PTNR</t>
  </si>
  <si>
    <t>81-1259854</t>
  </si>
  <si>
    <t>Blue Atlantic Partners I</t>
  </si>
  <si>
    <t>20/08/2025</t>
  </si>
  <si>
    <t>AP Fund III GP, LLC</t>
  </si>
  <si>
    <t>84-2057868</t>
  </si>
  <si>
    <t>Blue Atlantic Partners III</t>
  </si>
  <si>
    <t>BRACK CAPITAL REAL ESTATE ( INDIA-CHINA )</t>
  </si>
  <si>
    <t>HE193935</t>
  </si>
  <si>
    <t>BRACK CAPITAL REAL ESTATE(INDIA)-יהב</t>
  </si>
  <si>
    <t>קפריסין</t>
  </si>
  <si>
    <t>05/10/2023</t>
  </si>
  <si>
    <t>HarbourVest Partners</t>
  </si>
  <si>
    <t>801-53287</t>
  </si>
  <si>
    <t>DOVER STREET X LP-יהב</t>
  </si>
  <si>
    <t>Secondaries</t>
  </si>
  <si>
    <t>19/08/2021</t>
  </si>
  <si>
    <t>10/09/2025</t>
  </si>
  <si>
    <t>DOVER STREET XI LP-יהב</t>
  </si>
  <si>
    <t>20/03/2024</t>
  </si>
  <si>
    <t>18/09/2025</t>
  </si>
  <si>
    <t>Electra America</t>
  </si>
  <si>
    <t>CO-113235</t>
  </si>
  <si>
    <t>Electra America Hospitality</t>
  </si>
  <si>
    <t>18/05/2022</t>
  </si>
  <si>
    <t>82-5051216</t>
  </si>
  <si>
    <t>ELECTRA MULTIFAM 2</t>
  </si>
  <si>
    <t>04/09/2025</t>
  </si>
  <si>
    <t>EQT Infrastructure V</t>
  </si>
  <si>
    <t>2020 2423 842</t>
  </si>
  <si>
    <t>EQT Infrastructure V (No.1) EUR-יהב</t>
  </si>
  <si>
    <t>Value Added Infrastructure</t>
  </si>
  <si>
    <t>23/12/2021</t>
  </si>
  <si>
    <t>EQT IX (General Partner) S.à.r.l.</t>
  </si>
  <si>
    <t>2019 2465 878</t>
  </si>
  <si>
    <t>EQT IX</t>
  </si>
  <si>
    <t>04/02/2021</t>
  </si>
  <si>
    <t>Primavera Capital GP IV Ltd.</t>
  </si>
  <si>
    <t>CO-86950</t>
  </si>
  <si>
    <t>Firstime II</t>
  </si>
  <si>
    <t>Co-Investment/Direct</t>
  </si>
  <si>
    <t>22/07/2025</t>
  </si>
  <si>
    <t>Forma fund General Partner LTD</t>
  </si>
  <si>
    <t>515527968</t>
  </si>
  <si>
    <t>FORMA FUND I</t>
  </si>
  <si>
    <t>14/08/2025</t>
  </si>
  <si>
    <t>FORTISSIMO CAPITA FUND</t>
  </si>
  <si>
    <t>530278498</t>
  </si>
  <si>
    <t>Fortissimo VI</t>
  </si>
  <si>
    <t>16/10/2023</t>
  </si>
  <si>
    <t>FORTTISSIMO V</t>
  </si>
  <si>
    <t>Hamilton Lane Advisors, LLC</t>
  </si>
  <si>
    <t xml:space="preserve">98-1588386 </t>
  </si>
  <si>
    <t>HAMILTON</t>
  </si>
  <si>
    <t>Hamilton Lane Equity Opportunities Fund V-B LP-יהב</t>
  </si>
  <si>
    <t>28/11/2022</t>
  </si>
  <si>
    <t>Insight Associates XI, L.P.</t>
  </si>
  <si>
    <t>981502442</t>
  </si>
  <si>
    <t>INSIGHT XI</t>
  </si>
  <si>
    <t>15/11/2020</t>
  </si>
  <si>
    <t>ION Crossover Partners GP II LP</t>
  </si>
  <si>
    <t>MC-108979</t>
  </si>
  <si>
    <t>ION Crossover Partners 2</t>
  </si>
  <si>
    <t>Klirmark Opportunity L.P</t>
  </si>
  <si>
    <t>CO-121764</t>
  </si>
  <si>
    <t>Klirmark Opportunity Fund IV, L.P-יהב</t>
  </si>
  <si>
    <t>18/04/2023</t>
  </si>
  <si>
    <t>LLCP Partners VI GP, L.P.</t>
  </si>
  <si>
    <t>820734071</t>
  </si>
  <si>
    <t>Levine Leichtman VI</t>
  </si>
  <si>
    <t>01/07/2021</t>
  </si>
  <si>
    <t>02/09/2025</t>
  </si>
  <si>
    <t>Madison Realty Capital</t>
  </si>
  <si>
    <t>84-2386457</t>
  </si>
  <si>
    <t>Madison Realty Capital Debt Fund V</t>
  </si>
  <si>
    <t>Moneta Capital</t>
  </si>
  <si>
    <t>540296522</t>
  </si>
  <si>
    <t>MONETA CAPITAL</t>
  </si>
  <si>
    <t>30/06/2021</t>
  </si>
  <si>
    <t>MV Senior II</t>
  </si>
  <si>
    <t>16/11/2020</t>
  </si>
  <si>
    <t>OEP VIII General Partner, L.P.</t>
  </si>
  <si>
    <t>981582217</t>
  </si>
  <si>
    <t>One Equity Partners VIII-יהב</t>
  </si>
  <si>
    <t>16/05/2022</t>
  </si>
  <si>
    <t xml:space="preserve">Pantheon Access Feeder LP </t>
  </si>
  <si>
    <t>B 201.101</t>
  </si>
  <si>
    <t>PANTHEON ACCESS-יהב</t>
  </si>
  <si>
    <t>30/09/2021</t>
  </si>
  <si>
    <t xml:space="preserve">Pantheon PGIF IV GP (Lux) </t>
  </si>
  <si>
    <t>B 283012</t>
  </si>
  <si>
    <t>PGIF IV Feeder (Luxembourg) SCSp -יהב</t>
  </si>
  <si>
    <t>31/01/2023</t>
  </si>
  <si>
    <t>Vintage Fund of Funds VII Breakout</t>
  </si>
  <si>
    <t>7859357</t>
  </si>
  <si>
    <t>Vintage fund of fund VI breakout</t>
  </si>
  <si>
    <t>קרן חוב</t>
  </si>
  <si>
    <t>FOF/Managed Account</t>
  </si>
  <si>
    <t>14/01/2021</t>
  </si>
  <si>
    <t>Helios General 3 ltd</t>
  </si>
  <si>
    <t>7836236</t>
  </si>
  <si>
    <t>Vintage Fund of Funds VI (Access)</t>
  </si>
  <si>
    <t>05/11/2020</t>
  </si>
  <si>
    <t>7515244</t>
  </si>
  <si>
    <t>Vintage Growth Fund III</t>
  </si>
  <si>
    <t>06/07/2020</t>
  </si>
  <si>
    <t>08/09/2025</t>
  </si>
  <si>
    <t>Vintage Investments 11 Access.</t>
  </si>
  <si>
    <t>MC-96011</t>
  </si>
  <si>
    <t>VINTAGE V ACESS</t>
  </si>
  <si>
    <t>מונטה סיד 2</t>
  </si>
  <si>
    <t>21/03/2021</t>
  </si>
  <si>
    <t>ODYSIGHT</t>
  </si>
  <si>
    <t>515950400</t>
  </si>
  <si>
    <t>ODYSIGHT  אופציה לא סחירה (לשעבר SCOUTCAM)</t>
  </si>
  <si>
    <t>62018205</t>
  </si>
  <si>
    <t>29/04/2021</t>
  </si>
  <si>
    <t>1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</si>
  <si>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</si>
  <si>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</si>
  <si>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</si>
  <si>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</si>
  <si>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</si>
  <si>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</si>
  <si>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</si>
  <si>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</si>
  <si>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</si>
  <si>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</si>
  <si>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</si>
  <si>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</si>
  <si>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</si>
  <si>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</si>
  <si>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</si>
  <si>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</si>
  <si>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</si>
  <si>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</si>
  <si>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</si>
  <si>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</si>
  <si>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</si>
  <si>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</si>
  <si>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</si>
  <si>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</si>
  <si>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</si>
  <si>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</si>
  <si>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</si>
  <si>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</si>
  <si>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</si>
  <si>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</si>
  <si>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</si>
  <si>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419</t>
  </si>
  <si>
    <t>12435</t>
  </si>
  <si>
    <t>Funded Forward</t>
  </si>
  <si>
    <t>90026143</t>
  </si>
  <si>
    <t>מדינה/איזור גאוגרפי</t>
  </si>
  <si>
    <t>מט"ח/₪</t>
  </si>
  <si>
    <t>EUR ILS</t>
  </si>
  <si>
    <t>07/08/2025</t>
  </si>
  <si>
    <t>06/11/2025</t>
  </si>
  <si>
    <t>ללא</t>
  </si>
  <si>
    <t>Delivery</t>
  </si>
  <si>
    <t>הצד הנגדי</t>
  </si>
  <si>
    <t>0</t>
  </si>
  <si>
    <t>NA</t>
  </si>
  <si>
    <t>LUMILIT</t>
  </si>
  <si>
    <t>90026144</t>
  </si>
  <si>
    <t>USD ILS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</si>
  <si>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</si>
  <si>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</si>
  <si>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</si>
  <si>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</si>
  <si>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</si>
  <si>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</si>
  <si>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</si>
  <si>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</si>
  <si>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</si>
  <si>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</si>
  <si>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</si>
  <si>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</si>
  <si>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</si>
  <si>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</si>
  <si>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</si>
  <si>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</si>
  <si>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</si>
  <si>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</si>
  <si>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</si>
  <si>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</si>
  <si>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</si>
  <si>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</si>
  <si>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</si>
  <si>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516705795</t>
  </si>
  <si>
    <t>נמלי הים התיכון אינטרנשיונל א.ד.ג.ד בע"מ-נמל חיפה</t>
  </si>
  <si>
    <t>299944700</t>
  </si>
  <si>
    <t>תאגיד</t>
  </si>
  <si>
    <t>קרקעות - אחר/לא מסווג</t>
  </si>
  <si>
    <t>10/01/2023</t>
  </si>
  <si>
    <t>Ba2</t>
  </si>
  <si>
    <t>הלוואה</t>
  </si>
  <si>
    <t>קבועה</t>
  </si>
  <si>
    <t>לא צמוד</t>
  </si>
  <si>
    <t>שעבוד שוטף</t>
  </si>
  <si>
    <t>בלון</t>
  </si>
  <si>
    <t>מימון רכישת הנמל</t>
  </si>
  <si>
    <t>מרווח הוגן</t>
  </si>
  <si>
    <t>510960586</t>
  </si>
  <si>
    <t>שווי לא צמוד571</t>
  </si>
  <si>
    <t>91571000</t>
  </si>
  <si>
    <t>עמית/מבוטח</t>
  </si>
  <si>
    <t>אנשים פרטיים </t>
  </si>
  <si>
    <t>משתנה</t>
  </si>
  <si>
    <t>other</t>
  </si>
  <si>
    <t>05/07/2032</t>
  </si>
  <si>
    <t>הלוואה לעמית</t>
  </si>
  <si>
    <t>מערכת פריים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</si>
  <si>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</si>
  <si>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</si>
  <si>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</si>
  <si>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</si>
  <si>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</si>
  <si>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</si>
  <si>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</si>
  <si>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</si>
  <si>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</si>
  <si>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</si>
  <si>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</si>
  <si>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</si>
  <si>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</si>
  <si>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</si>
  <si>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</si>
  <si>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</si>
  <si>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</si>
  <si>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</si>
  <si>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</si>
  <si>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</si>
  <si>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</si>
  <si>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</si>
  <si>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</si>
  <si>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</si>
  <si>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</si>
  <si>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</si>
  <si>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</si>
  <si>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</si>
  <si>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</si>
  <si>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</si>
  <si>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</si>
  <si>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</si>
  <si>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</si>
  <si>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</si>
  <si>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</si>
  <si>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</si>
  <si>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</si>
  <si>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23-2962336</t>
  </si>
  <si>
    <t>Hamilton Lane CI IV</t>
  </si>
  <si>
    <t>6201277</t>
  </si>
  <si>
    <t>29992354</t>
  </si>
  <si>
    <t>ריאליטי קרן השקעות בנדל"ן 5</t>
  </si>
  <si>
    <t>Hamilton Lane Equity Opportunities Fund V-B LP</t>
  </si>
  <si>
    <t>29994487</t>
  </si>
  <si>
    <t>29994488</t>
  </si>
  <si>
    <t>ARROW</t>
  </si>
  <si>
    <t xml:space="preserve">יסודות מעטפת פיננסית גי'פי שותפות מוגבלת </t>
  </si>
  <si>
    <t>יסודות נדלן ג</t>
  </si>
  <si>
    <t>50000883</t>
  </si>
  <si>
    <t>Firstime Ventures II General Partner L.P.</t>
  </si>
  <si>
    <t>62006721</t>
  </si>
  <si>
    <t>ION Crossover Parthers II</t>
  </si>
  <si>
    <t>62010133</t>
  </si>
  <si>
    <t>Electra America Hospitality AKA LLC</t>
  </si>
  <si>
    <t xml:space="preserve">Electra America Hospitality </t>
  </si>
  <si>
    <t>62011839</t>
  </si>
  <si>
    <t xml:space="preserve">Vintage Co-Investment III GP, L.P. </t>
  </si>
  <si>
    <t>VINTAGE 3</t>
  </si>
  <si>
    <t>62015227</t>
  </si>
  <si>
    <t>Fortissimo Capital Fund V (GP), L.P</t>
  </si>
  <si>
    <t>62016084</t>
  </si>
  <si>
    <t>Fortissimo Capital Fund VI GP, L.P</t>
  </si>
  <si>
    <t>530278647</t>
  </si>
  <si>
    <t>62016085</t>
  </si>
  <si>
    <t>Madison Realty Capital Debt Fund V GP LLC</t>
  </si>
  <si>
    <t>Madison Realty Capital Debt V</t>
  </si>
  <si>
    <t>62016571</t>
  </si>
  <si>
    <t>Windin Capital</t>
  </si>
  <si>
    <t>62017132</t>
  </si>
  <si>
    <t>הראל אלטרנטיב קרנות השקעה בע"מ</t>
  </si>
  <si>
    <t>62017133</t>
  </si>
  <si>
    <t xml:space="preserve">OEP VIII General Partner, L.P. </t>
  </si>
  <si>
    <t>98-1582217</t>
  </si>
  <si>
    <t>One Equity Partners VIII</t>
  </si>
  <si>
    <t>62019751</t>
  </si>
  <si>
    <t>EQT9</t>
  </si>
  <si>
    <t>125512851</t>
  </si>
  <si>
    <t>Pitango G.E. Fund II, L.P.</t>
  </si>
  <si>
    <t>Pitango 2</t>
  </si>
  <si>
    <t>201400091</t>
  </si>
  <si>
    <t>Vintage Fund of Funds VI (Access) GP, L.P</t>
  </si>
  <si>
    <t>Vintage VI Access</t>
  </si>
  <si>
    <t>400051120</t>
  </si>
  <si>
    <t xml:space="preserve">תשתיות ישראל  ג'י. פי. 4 שותפות מוגבלת </t>
  </si>
  <si>
    <t>540294501</t>
  </si>
  <si>
    <t xml:space="preserve">תשתיות ישראל 4 </t>
  </si>
  <si>
    <t>400131020</t>
  </si>
  <si>
    <t>Vintage Fund of Funds VI (Breakout) GP, L.P</t>
  </si>
  <si>
    <t>vintage fund of fund VI breako</t>
  </si>
  <si>
    <t>400301020</t>
  </si>
  <si>
    <t>Vintage Investments 11 (Access), L.P</t>
  </si>
  <si>
    <t xml:space="preserve">Vintage V access  </t>
  </si>
  <si>
    <t>401311183</t>
  </si>
  <si>
    <t>Klirmark Fund III (G.P) L.P</t>
  </si>
  <si>
    <t xml:space="preserve">KLIRMARK III </t>
  </si>
  <si>
    <t>500010150</t>
  </si>
  <si>
    <t>Klirmark Fund IV (G.P) L.P</t>
  </si>
  <si>
    <t>Klirmark Opportunity Fund IV</t>
  </si>
  <si>
    <t>500010152</t>
  </si>
  <si>
    <t>SKY 4</t>
  </si>
  <si>
    <t>500010160</t>
  </si>
  <si>
    <t>Pantheon PGIF IV GP (Lux) S.à r.l</t>
  </si>
  <si>
    <t>PGIF IV Feeder (Luxembourg) SCSp</t>
  </si>
  <si>
    <t>620019914</t>
  </si>
  <si>
    <t>Pantheon Access GP S.à r.l</t>
  </si>
  <si>
    <t>Pantheon Access Feeder LP 2017</t>
  </si>
  <si>
    <t>620070833</t>
  </si>
  <si>
    <t>Moneta Seeds II G.P. L.P.</t>
  </si>
  <si>
    <t>516167277</t>
  </si>
  <si>
    <t>Moneta Seeds II</t>
  </si>
  <si>
    <t>620104341</t>
  </si>
  <si>
    <t>HarbourVest Partners, LLC</t>
  </si>
  <si>
    <t>Dover Street X</t>
  </si>
  <si>
    <t>620141701</t>
  </si>
  <si>
    <t>Dover Street XI</t>
  </si>
  <si>
    <t>620141702</t>
  </si>
  <si>
    <t>BRIDGES ISRAEL GP GROWTH FUND 1</t>
  </si>
  <si>
    <t>620143861</t>
  </si>
  <si>
    <t>98-1502442</t>
  </si>
  <si>
    <t>620158621</t>
  </si>
  <si>
    <t>MV Senior GP S.à r.l</t>
  </si>
  <si>
    <t>2016 2429 508</t>
  </si>
  <si>
    <t>MV SENIOR II</t>
  </si>
  <si>
    <t>620171401</t>
  </si>
  <si>
    <t>FORMA EUROPEAN FUND II GENERAL PARTNER LTD</t>
  </si>
  <si>
    <t>Forma 2</t>
  </si>
  <si>
    <t>620185288</t>
  </si>
  <si>
    <t>EQT Infrastructure V (General Partner) S.à r.l.</t>
  </si>
  <si>
    <t>620188900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</si>
  <si>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</si>
  <si>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</si>
  <si>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</si>
  <si>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</si>
  <si>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</si>
  <si>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</si>
  <si>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</si>
  <si>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</si>
  <si>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</si>
  <si>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</si>
  <si>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</si>
  <si>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</si>
  <si>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</si>
  <si>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</si>
  <si>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</si>
  <si>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</si>
  <si>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</si>
  <si>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אירלנד</t>
  </si>
  <si>
    <t>אנדורה</t>
  </si>
  <si>
    <t>אסטוניה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</si>
  <si>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</si>
  <si>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</si>
  <si>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</si>
  <si>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</si>
  <si>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</si>
  <si>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</si>
  <si>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</si>
  <si>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</si>
  <si>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</si>
  <si>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</si>
  <si>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</si>
  <si>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</si>
  <si>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</si>
  <si>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</si>
  <si>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</si>
  <si>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</si>
  <si>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</si>
  <si>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</si>
  <si>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</si>
  <si>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</si>
  <si>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</si>
  <si>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</si>
  <si>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</si>
  <si>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</si>
  <si>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</si>
  <si>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</si>
  <si>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</si>
  <si>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</si>
  <si>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</si>
  <si>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</si>
  <si>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</si>
  <si>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</si>
  <si>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</si>
  <si>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</si>
  <si>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</si>
  <si>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</si>
  <si>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</si>
  <si>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</si>
  <si>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</si>
  <si>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</si>
  <si>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</si>
  <si>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</si>
  <si>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</si>
  <si>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</si>
  <si>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</si>
  <si>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</si>
  <si>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</si>
  <si>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</si>
  <si>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</si>
  <si>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</si>
  <si>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</si>
  <si>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</si>
  <si>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</si>
  <si>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</si>
  <si>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רוסיה</t>
  </si>
  <si>
    <t>שוודיה</t>
  </si>
  <si>
    <t>שוויץ</t>
  </si>
  <si>
    <t>תורכיה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</si>
  <si>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</si>
  <si>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</si>
  <si>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</si>
  <si>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</si>
  <si>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</si>
  <si>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</si>
  <si>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</si>
  <si>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</si>
  <si>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</si>
  <si>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</si>
  <si>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</si>
  <si>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</si>
  <si>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</si>
  <si>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</si>
  <si>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</si>
  <si>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</si>
  <si>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</si>
  <si>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</si>
  <si>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</si>
  <si>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</si>
  <si>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</si>
  <si>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</si>
  <si>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</si>
  <si>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</si>
  <si>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</si>
  <si>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</si>
  <si>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</si>
  <si>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</si>
  <si>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</si>
  <si>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</si>
  <si>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</si>
  <si>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</si>
  <si>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</si>
  <si>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</si>
  <si>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</si>
  <si>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</si>
  <si>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</si>
  <si>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</si>
  <si>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</si>
  <si>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</si>
  <si>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</si>
  <si>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</si>
  <si>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</si>
  <si>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</si>
  <si>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</si>
  <si>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</si>
  <si>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</si>
  <si>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</si>
  <si>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</si>
  <si>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</si>
  <si>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</si>
  <si>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</si>
  <si>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</si>
  <si>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</si>
  <si>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</si>
  <si>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</si>
  <si>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 - Euronext Group Stock Exchange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</si>
  <si>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</si>
  <si>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</si>
  <si>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</si>
  <si>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</si>
  <si>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</si>
  <si>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</si>
  <si>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</si>
  <si>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</si>
  <si>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</si>
  <si>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</si>
  <si>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</si>
  <si>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</si>
  <si>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</si>
  <si>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</si>
  <si>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</si>
  <si>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</si>
  <si>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</si>
  <si>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</si>
  <si>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</si>
  <si>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</si>
  <si>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</si>
  <si>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</si>
  <si>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</si>
  <si>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</si>
  <si>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</si>
  <si>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</si>
  <si>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</si>
  <si>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</si>
  <si>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</si>
  <si>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</si>
  <si>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</si>
  <si>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</si>
  <si>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</si>
  <si>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</si>
  <si>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</si>
  <si>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</si>
  <si>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</si>
  <si>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</si>
  <si>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</si>
  <si>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</si>
  <si>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</si>
  <si>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</si>
  <si>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</si>
  <si>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</si>
  <si>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</si>
  <si>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</si>
  <si>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</si>
  <si>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</si>
  <si>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</si>
  <si>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</si>
  <si>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</si>
  <si>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</si>
  <si>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</si>
  <si>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</si>
  <si>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</si>
  <si>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</si>
  <si>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</si>
  <si>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</si>
  <si>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</si>
  <si>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</si>
  <si>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</si>
  <si>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</si>
  <si>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</si>
  <si>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</si>
  <si>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</si>
  <si>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</si>
  <si>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ליסינג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</si>
  <si>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</si>
  <si>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</si>
  <si>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</si>
  <si>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</si>
  <si>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</si>
  <si>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</si>
  <si>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</si>
  <si>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</si>
  <si>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</si>
  <si>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</si>
  <si>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</si>
  <si>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</si>
  <si>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</si>
  <si>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</si>
  <si>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</si>
  <si>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</si>
  <si>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</si>
  <si>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</si>
  <si>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</si>
  <si>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</si>
  <si>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</si>
  <si>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</si>
  <si>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</si>
  <si>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</si>
  <si>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</si>
  <si>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</si>
  <si>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</si>
  <si>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</si>
  <si>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</si>
  <si>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</si>
  <si>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</si>
  <si>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</si>
  <si>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</si>
  <si>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</si>
  <si>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</si>
  <si>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</si>
  <si>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</si>
  <si>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</si>
  <si>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</si>
  <si>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</si>
  <si>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</si>
  <si>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</si>
  <si>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</si>
  <si>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</si>
  <si>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</si>
  <si>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</si>
  <si>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</si>
  <si>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</si>
  <si>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</si>
  <si>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</si>
  <si>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</si>
  <si>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</si>
  <si>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</si>
  <si>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</si>
  <si>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</si>
  <si>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</si>
  <si>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</si>
  <si>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</si>
  <si>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</si>
  <si>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</si>
  <si>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</si>
  <si>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</si>
  <si>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</si>
  <si>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</si>
  <si>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</si>
  <si>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</si>
  <si>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</si>
  <si>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</si>
  <si>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</si>
  <si>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</si>
  <si>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</si>
  <si>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</si>
  <si>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</si>
  <si>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</si>
  <si>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</si>
  <si>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</si>
  <si>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</si>
  <si>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</si>
  <si>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</si>
  <si>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</si>
  <si>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</si>
  <si>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</si>
  <si>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</si>
  <si>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</si>
  <si>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40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</si>
  <si>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</si>
  <si>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</si>
  <si>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</si>
  <si>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</si>
  <si>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</si>
  <si>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</si>
  <si>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</si>
  <si>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</si>
  <si>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</si>
  <si>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</si>
  <si>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</si>
  <si>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</si>
  <si>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</si>
  <si>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</si>
  <si>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</si>
  <si>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</si>
  <si>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</si>
  <si>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</si>
  <si>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</si>
  <si>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</si>
  <si>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</si>
  <si>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</si>
  <si>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</si>
  <si>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</si>
  <si>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</si>
  <si>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</si>
  <si>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</si>
  <si>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</si>
  <si>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</si>
  <si>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</si>
  <si>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</si>
  <si>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</si>
  <si>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</si>
  <si>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</si>
  <si>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</si>
  <si>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</si>
  <si>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</si>
  <si>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</si>
  <si>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</si>
  <si>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</si>
  <si>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</si>
  <si>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</si>
  <si>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</si>
  <si>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</si>
  <si>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</si>
  <si>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</si>
  <si>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</si>
  <si>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</si>
  <si>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</si>
  <si>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</si>
  <si>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</si>
  <si>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</si>
  <si>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</si>
  <si>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</si>
  <si>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</si>
  <si>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</si>
  <si>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</si>
  <si>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</si>
  <si>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</si>
  <si>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</si>
  <si>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</si>
  <si>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</si>
  <si>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</si>
  <si>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</si>
  <si>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</si>
  <si>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</si>
  <si>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</si>
  <si>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</si>
  <si>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</si>
  <si>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</si>
  <si>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</si>
  <si>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</si>
  <si>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</si>
  <si>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</si>
  <si>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</si>
  <si>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</si>
  <si>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</si>
  <si>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</si>
  <si>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</si>
  <si>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</si>
  <si>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</si>
  <si>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</si>
  <si>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</si>
  <si>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</si>
  <si>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</si>
  <si>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</si>
  <si>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</si>
  <si>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</si>
  <si>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</si>
  <si>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</si>
  <si>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</si>
  <si>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</si>
  <si>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</si>
  <si>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</si>
  <si>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</si>
  <si>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</si>
  <si>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</si>
  <si>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</si>
  <si>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</si>
  <si>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</si>
  <si>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</si>
  <si>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</si>
  <si>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</si>
  <si>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</si>
  <si>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</si>
  <si>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</si>
  <si>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</si>
  <si>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</si>
  <si>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</si>
  <si>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</si>
  <si>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</si>
  <si>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</si>
  <si>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</si>
  <si>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</si>
  <si>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</si>
  <si>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</si>
  <si>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</si>
  <si>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</si>
  <si>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</si>
  <si>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</si>
  <si>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</si>
  <si>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</si>
  <si>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</si>
  <si>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</si>
  <si>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</si>
  <si>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</si>
  <si>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</si>
  <si>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</si>
  <si>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</si>
  <si>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</si>
  <si>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</si>
  <si>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</si>
  <si>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</si>
  <si>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</si>
  <si>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</si>
  <si>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</si>
  <si>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</si>
  <si>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Bond/Fixed Income Funds</t>
  </si>
  <si>
    <t>Commodity Funds</t>
  </si>
  <si>
    <t>Currency Funds</t>
  </si>
  <si>
    <t>Index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</si>
  <si>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</si>
  <si>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</si>
  <si>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</si>
  <si>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</si>
  <si>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</si>
  <si>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</si>
  <si>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</si>
  <si>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</si>
  <si>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</si>
  <si>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</si>
  <si>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</si>
  <si>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</si>
  <si>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</si>
  <si>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</si>
  <si>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</si>
  <si>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</si>
  <si>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</si>
  <si>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</si>
  <si>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</si>
  <si>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</si>
  <si>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</si>
  <si>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</si>
  <si>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</si>
  <si>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</si>
  <si>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</si>
  <si>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</si>
  <si>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</si>
  <si>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</si>
  <si>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שלילי</t>
  </si>
  <si>
    <t>תזרים עמלות</t>
  </si>
  <si>
    <t>תזרים מזומנים</t>
  </si>
  <si>
    <t>תזרים מפרויקטים</t>
  </si>
  <si>
    <t>בולט (Bullet)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</si>
  <si>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</si>
  <si>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</si>
  <si>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</si>
  <si>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</si>
  <si>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</si>
  <si>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</si>
  <si>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</si>
  <si>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</si>
  <si>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</si>
  <si>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</si>
  <si>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</si>
  <si>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</si>
  <si>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</si>
  <si>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</si>
  <si>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</si>
  <si>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</si>
  <si>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</si>
  <si>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</si>
  <si>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</si>
  <si>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</si>
  <si>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</si>
  <si>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</si>
  <si>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</si>
  <si>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</si>
  <si>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</si>
  <si>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</si>
  <si>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</si>
  <si>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</si>
  <si>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</si>
  <si>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</si>
  <si>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</si>
  <si>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</si>
  <si>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</si>
  <si>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</si>
  <si>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</si>
  <si>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</si>
  <si>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</si>
  <si>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</si>
  <si>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</si>
  <si>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</si>
  <si>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</si>
  <si>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</si>
  <si>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</si>
  <si>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Core</t>
  </si>
  <si>
    <t>Core-Plus</t>
  </si>
  <si>
    <t>Debt Infrastructure</t>
  </si>
  <si>
    <t>Direct Real Estate</t>
  </si>
  <si>
    <t>Opportunistic Real Estate</t>
  </si>
  <si>
    <t>Distressed Real Estate</t>
  </si>
  <si>
    <t>Mezzanine Debt</t>
  </si>
  <si>
    <t>Venture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</si>
  <si>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</si>
  <si>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</si>
  <si>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</si>
  <si>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</si>
  <si>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</si>
  <si>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</si>
  <si>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</si>
  <si>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</si>
  <si>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</si>
  <si>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</si>
  <si>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</si>
  <si>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</si>
  <si>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</si>
  <si>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</si>
  <si>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</si>
  <si>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</si>
  <si>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</si>
  <si>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</si>
  <si>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</si>
  <si>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</si>
  <si>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</si>
  <si>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</si>
  <si>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</si>
  <si>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</si>
  <si>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</si>
  <si>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</si>
  <si>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</si>
  <si>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</si>
  <si>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</si>
  <si>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</si>
  <si>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</si>
  <si>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</si>
  <si>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</si>
  <si>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</si>
  <si>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</si>
  <si>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</si>
  <si>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</si>
  <si>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</si>
  <si>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</si>
  <si>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</si>
  <si>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</si>
  <si>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</si>
  <si>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יומי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</si>
  <si>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</si>
  <si>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</si>
  <si>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</si>
  <si>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</si>
  <si>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</si>
  <si>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</si>
  <si>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</si>
  <si>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</si>
  <si>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</si>
  <si>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</si>
  <si>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</si>
  <si>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</si>
  <si>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</si>
  <si>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</si>
  <si>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</si>
  <si>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</si>
  <si>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</si>
  <si>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</si>
  <si>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</si>
  <si>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</si>
  <si>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</si>
  <si>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</si>
  <si>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</si>
  <si>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</si>
  <si>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</si>
  <si>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</si>
  <si>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</si>
  <si>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</si>
  <si>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</si>
  <si>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</si>
  <si>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</si>
  <si>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</si>
  <si>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</si>
  <si>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</si>
  <si>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</si>
  <si>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</si>
  <si>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</si>
  <si>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</si>
  <si>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</si>
  <si>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</si>
  <si>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</si>
  <si>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</si>
  <si>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</si>
  <si>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</si>
  <si>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</si>
  <si>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</si>
  <si>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</si>
  <si>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</si>
  <si>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</si>
  <si>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</si>
  <si>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</si>
  <si>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</si>
  <si>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</si>
  <si>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</si>
  <si>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</si>
  <si>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</si>
  <si>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</si>
  <si>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</si>
  <si>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</si>
  <si>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</si>
  <si>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</si>
  <si>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</si>
  <si>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</si>
  <si>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</si>
  <si>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</si>
  <si>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</si>
  <si>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</si>
  <si>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</si>
  <si>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</si>
  <si>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</si>
  <si>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</si>
  <si>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</si>
  <si>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</si>
  <si>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</si>
  <si>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</si>
  <si>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</si>
  <si>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</si>
  <si>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</si>
  <si>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</si>
  <si>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</si>
  <si>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</si>
  <si>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</si>
  <si>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</si>
  <si>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</si>
  <si>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</si>
  <si>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</si>
  <si>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</si>
  <si>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</si>
  <si>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</si>
  <si>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</si>
  <si>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</si>
  <si>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</si>
  <si>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</si>
  <si>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</si>
  <si>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</si>
  <si>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</si>
  <si>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</si>
  <si>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</si>
  <si>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</si>
  <si>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</si>
  <si>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</si>
  <si>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</si>
  <si>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</si>
  <si>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</si>
  <si>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</si>
  <si>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</si>
  <si>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</si>
  <si>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</si>
  <si>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</si>
  <si>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</si>
  <si>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</si>
  <si>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</si>
  <si>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</si>
  <si>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</si>
  <si>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</si>
  <si>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</si>
  <si>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</si>
  <si>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</si>
  <si>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</si>
  <si>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</si>
  <si>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</si>
  <si>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</si>
  <si>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</si>
  <si>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</si>
  <si>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</si>
  <si>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</si>
  <si>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</si>
  <si>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</si>
  <si>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</si>
  <si>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</si>
  <si>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</si>
  <si>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</si>
  <si>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</si>
  <si>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</si>
  <si>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</si>
  <si>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</si>
  <si>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</si>
  <si>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</si>
  <si>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</si>
  <si>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</si>
  <si>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</si>
  <si>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</si>
  <si>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</si>
  <si>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</si>
  <si>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</si>
  <si>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</si>
  <si>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</si>
  <si>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</si>
  <si>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</si>
  <si>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</si>
  <si>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</si>
  <si>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</si>
  <si>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</si>
  <si>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</si>
  <si>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</si>
  <si>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</si>
  <si>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</si>
  <si>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</si>
  <si>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</si>
  <si>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</si>
  <si>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</si>
  <si>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</si>
  <si>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</si>
  <si>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</si>
  <si>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</si>
  <si>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</si>
  <si>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</si>
  <si>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</si>
  <si>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</si>
  <si>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</si>
  <si>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</si>
  <si>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</si>
  <si>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</si>
  <si>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</si>
  <si>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</si>
  <si>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</si>
  <si>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</si>
  <si>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</si>
  <si>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</si>
  <si>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</si>
  <si>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</si>
  <si>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</si>
  <si>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</si>
  <si>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</si>
  <si>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</si>
  <si>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</si>
  <si>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</si>
  <si>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</si>
  <si>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</si>
  <si>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</si>
  <si>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</si>
  <si>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</si>
  <si>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</si>
  <si>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</si>
  <si>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</si>
  <si>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</si>
  <si>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</si>
  <si>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</si>
  <si>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</si>
  <si>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</si>
  <si>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</si>
  <si>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</si>
  <si>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</si>
  <si>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</si>
  <si>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</si>
  <si>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</si>
  <si>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</si>
  <si>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</si>
  <si>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</si>
  <si>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</si>
  <si>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</si>
  <si>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</si>
  <si>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</si>
  <si>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</si>
  <si>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</si>
  <si>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</si>
  <si>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</si>
  <si>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</si>
  <si>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</si>
  <si>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</si>
  <si>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</si>
  <si>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</si>
  <si>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</si>
  <si>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</si>
  <si>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</si>
  <si>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</si>
  <si>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</si>
  <si>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</si>
  <si>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</si>
  <si>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</si>
  <si>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</si>
  <si>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</si>
  <si>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</si>
  <si>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</si>
  <si>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</si>
  <si>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</si>
  <si>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</si>
  <si>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</si>
  <si>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</si>
  <si>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</si>
  <si>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</si>
  <si>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</si>
  <si>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</si>
  <si>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</si>
  <si>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</si>
  <si>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</si>
  <si>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</si>
  <si>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</si>
  <si>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</si>
  <si>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</si>
  <si>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</si>
  <si>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</si>
  <si>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</si>
  <si>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</si>
  <si>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</si>
  <si>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</si>
  <si>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</si>
  <si>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</si>
  <si>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</si>
  <si>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</si>
  <si>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</si>
  <si>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</si>
  <si>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</si>
  <si>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</si>
  <si>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</si>
  <si>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</si>
  <si>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</si>
  <si>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</si>
  <si>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</si>
  <si>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</si>
  <si>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</si>
  <si>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</si>
  <si>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</si>
  <si>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</si>
  <si>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</si>
  <si>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</si>
  <si>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</si>
  <si>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</si>
  <si>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</si>
  <si>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</si>
  <si>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</si>
  <si>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</si>
  <si>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</si>
  <si>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</si>
  <si>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</si>
  <si>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</si>
  <si>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</si>
  <si>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</si>
  <si>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</si>
  <si>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</si>
  <si>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</si>
  <si>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</si>
  <si>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</si>
  <si>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</si>
  <si>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</si>
  <si>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</si>
  <si>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</si>
  <si>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</si>
  <si>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</si>
  <si>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</si>
  <si>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</si>
  <si>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</si>
  <si>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</si>
  <si>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</si>
  <si>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</si>
  <si>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</si>
  <si>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</si>
  <si>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</si>
  <si>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</si>
  <si>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</si>
  <si>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</si>
  <si>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</si>
  <si>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</si>
  <si>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</si>
  <si>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</si>
  <si>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</si>
  <si>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</si>
  <si>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</si>
  <si>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</si>
  <si>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</si>
  <si>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</si>
  <si>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</si>
  <si>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</si>
  <si>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</si>
  <si>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</si>
  <si>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</si>
  <si>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</si>
  <si>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</si>
  <si>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</si>
  <si>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</si>
  <si>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</si>
  <si>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</si>
  <si>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</si>
  <si>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</si>
  <si>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</si>
  <si>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</si>
  <si>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</si>
  <si>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10-800</t>
  </si>
  <si>
    <t>CAD</t>
  </si>
  <si>
    <t>JPY</t>
  </si>
  <si>
    <t>DKK</t>
  </si>
  <si>
    <t>CHF</t>
  </si>
  <si>
    <t>HKD</t>
  </si>
  <si>
    <t>מסחר ושרותים</t>
  </si>
  <si>
    <t>510930654_gm_0325.xlxs</t>
  </si>
  <si>
    <t>איתי שוורץ</t>
  </si>
  <si>
    <t>03-6929936</t>
  </si>
  <si>
    <t>itay@ag-cpa.co.il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</si>
</sst>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dd/mm/yyyy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9" fillId="0" borderId="0"/>
    <xf numFmtId="0" fontId="9" fillId="0" borderId="0"/>
    <xf numFmtId="0" fontId="24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5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5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4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7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8" fontId="7" fillId="3" borderId="2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Fill="1" applyBorder="1" applyProtection="1">
      <protection locked="0"/>
    </xf>
    <xf numFmtId="168" fontId="4" fillId="0" borderId="0" xfId="0" applyNumberFormat="1" applyFont="1" applyFill="1" applyBorder="1"/>
    <xf numFmtId="168" fontId="7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165" fontId="2" fillId="0" borderId="0" xfId="0" applyNumberFormat="1" applyFont="1" applyFill="1" applyBorder="1" applyAlignment="1">
      <alignment horizontal="center"/>
    </xf>
    <xf numFmtId="167" fontId="2" fillId="0" borderId="0" xfId="0" applyNumberFormat="1" applyFont="1" applyFill="1" applyBorder="1"/>
    <xf numFmtId="167" fontId="0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/>
    <xf numFmtId="168" fontId="2" fillId="0" borderId="0" xfId="0" applyNumberFormat="1" applyFont="1" applyFill="1" applyBorder="1"/>
    <xf numFmtId="14" fontId="4" fillId="0" borderId="0" xfId="0" applyNumberFormat="1" applyFont="1" applyFill="1" applyBorder="1" applyProtection="1">
      <protection locked="0"/>
    </xf>
    <xf numFmtId="0" fontId="2" fillId="0" borderId="0" xfId="0" applyFont="1" applyFill="1" applyProtection="1">
      <protection locked="0"/>
    </xf>
    <xf numFmtId="9" fontId="24" fillId="0" borderId="20" xfId="5" applyFont="1" applyFill="1" applyBorder="1" applyAlignment="1">
      <alignment horizontal="center" vertical="center" wrapText="1"/>
    </xf>
    <xf numFmtId="10" fontId="4" fillId="0" borderId="0" xfId="5" applyNumberFormat="1" applyFont="1" applyFill="1" applyBorder="1" applyProtection="1">
      <protection locked="0"/>
    </xf>
    <xf numFmtId="43" fontId="8" fillId="0" borderId="10" xfId="4" applyFont="1" applyFill="1" applyBorder="1" applyAlignment="1">
      <alignment horizontal="center" vertical="center" wrapText="1"/>
    </xf>
    <xf numFmtId="43" fontId="8" fillId="0" borderId="21" xfId="4" applyFont="1" applyFill="1" applyBorder="1" applyAlignment="1">
      <alignment horizontal="center" vertical="center" wrapText="1"/>
    </xf>
    <xf numFmtId="43" fontId="24" fillId="0" borderId="20" xfId="4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34" t="s">
        <v>2719</v>
      </c>
      <c r="B1" s="35"/>
      <c r="C1" s="35"/>
      <c r="D1" s="35"/>
    </row>
    <row r="3" spans="1:4">
      <c r="A3" t="s">
        <v>2720</v>
      </c>
      <c r="D3" s="112" t="s">
        <v>2736</v>
      </c>
    </row>
    <row r="5" spans="1:4">
      <c r="A5" t="s">
        <v>2721</v>
      </c>
      <c r="D5" s="112" t="s">
        <v>2748</v>
      </c>
    </row>
    <row r="7" spans="1:4">
      <c r="A7" t="s">
        <v>2722</v>
      </c>
      <c r="D7" s="112" t="s">
        <v>2753</v>
      </c>
    </row>
    <row r="8" spans="1:4">
      <c r="D8" s="33"/>
    </row>
    <row r="9" spans="1:4">
      <c r="A9" t="s">
        <v>2723</v>
      </c>
      <c r="D9" s="112">
        <v>2025</v>
      </c>
    </row>
    <row r="11" spans="1:4">
      <c r="A11" t="s">
        <v>2724</v>
      </c>
      <c r="D11" s="112" t="s">
        <v>2801</v>
      </c>
    </row>
    <row r="13" spans="1:4">
      <c r="A13" t="s">
        <v>2725</v>
      </c>
      <c r="D13" s="113">
        <f>IFERROR(VLOOKUP(D11,'File Name Info'!A35:B130,2,0),"תא מחושב")</f>
        <v>510930654</v>
      </c>
    </row>
    <row r="15" spans="1:4" ht="15">
      <c r="A15" s="20" t="s">
        <v>2726</v>
      </c>
      <c r="D15" s="113" t="s">
        <v>2883</v>
      </c>
    </row>
    <row r="16" spans="1:4" ht="15">
      <c r="A16" s="20"/>
      <c r="D16" s="33"/>
    </row>
    <row r="17" spans="1:4" ht="15">
      <c r="A17" s="20" t="s">
        <v>2727</v>
      </c>
      <c r="B17" s="17" t="s">
        <v>2728</v>
      </c>
      <c r="C17" s="17"/>
      <c r="D17" s="114" t="s">
        <v>2884</v>
      </c>
    </row>
    <row r="18" spans="1:4">
      <c r="A18" s="15"/>
      <c r="B18" s="18"/>
      <c r="C18" s="18"/>
      <c r="D18" s="19"/>
    </row>
    <row r="19" spans="1:4">
      <c r="A19" s="15"/>
      <c r="B19" s="17" t="s">
        <v>2729</v>
      </c>
      <c r="C19" s="17"/>
      <c r="D19" s="114" t="s">
        <v>2885</v>
      </c>
    </row>
    <row r="20" spans="1:4">
      <c r="A20" s="15"/>
      <c r="B20" s="18"/>
      <c r="C20" s="18"/>
      <c r="D20" s="19"/>
    </row>
    <row r="21" spans="1:4">
      <c r="A21" s="15"/>
      <c r="B21" s="17" t="s">
        <v>2730</v>
      </c>
      <c r="C21" s="17"/>
      <c r="D21" s="115" t="s">
        <v>2886</v>
      </c>
    </row>
    <row r="22" spans="1:4">
      <c r="A22" s="15"/>
      <c r="B22" s="16"/>
      <c r="C22" s="16"/>
    </row>
    <row r="23" spans="1:4" ht="28.5">
      <c r="A23" s="155" t="s">
        <v>2731</v>
      </c>
      <c r="D23" s="154" t="s">
        <v>2732</v>
      </c>
    </row>
  </sheetData>
  <conditionalFormatting sqref="D21">
    <cfRule type="containsText" dxfId="11" priority="19" operator="containsText" text="Please fill in data">
      <formula>NOT(ISERROR(SEARCH("Please fill in data",D21)))</formula>
    </cfRule>
  </conditionalFormatting>
  <conditionalFormatting sqref="D17">
    <cfRule type="containsText" dxfId="10" priority="21" operator="containsText" text="Please fill in data">
      <formula>NOT(ISERROR(SEARCH("Please fill in data",D17)))</formula>
    </cfRule>
  </conditionalFormatting>
  <conditionalFormatting sqref="D19">
    <cfRule type="containsText" dxfId="9" priority="20" operator="containsText" text="Please fill in data">
      <formula>NOT(ISERROR(SEARCH("Please fill in data",D19)))</formula>
    </cfRule>
  </conditionalFormatting>
  <conditionalFormatting sqref="D16">
    <cfRule type="containsText" dxfId="8" priority="18" operator="containsText" text="Please fill in data">
      <formula>NOT(ISERROR(SEARCH("Please fill in data",D16)))</formula>
    </cfRule>
  </conditionalFormatting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7">
    <cfRule type="containsText" dxfId="6" priority="6" operator="containsText" text="Please fill in data">
      <formula>NOT(ISERROR(SEARCH("Please fill in data",D7)))</formula>
    </cfRule>
  </conditionalFormatting>
  <conditionalFormatting sqref="D8">
    <cfRule type="containsText" dxfId="5" priority="11" operator="containsText" text="Please fill in data">
      <formula>NOT(ISERROR(SEARCH("Please fill in data",D8)))</formula>
    </cfRule>
  </conditionalFormatting>
  <conditionalFormatting sqref="D5">
    <cfRule type="containsText" dxfId="4" priority="7" operator="containsText" text="Please fill in data">
      <formula>NOT(ISERROR(SEARCH("Please fill in data",D5)))</formula>
    </cfRule>
  </conditionalFormatting>
  <conditionalFormatting sqref="D9">
    <cfRule type="containsText" dxfId="3" priority="5" operator="containsText" text="Please fill in data">
      <formula>NOT(ISERROR(SEARCH("Please fill in data",D9)))</formula>
    </cfRule>
  </conditionalFormatting>
  <conditionalFormatting sqref="D11">
    <cfRule type="containsText" dxfId="2" priority="4" operator="containsText" text="Please fill in data">
      <formula>NOT(ISERROR(SEARCH("Please fill in data",D11)))</formula>
    </cfRule>
  </conditionalFormatting>
  <conditionalFormatting sqref="D13">
    <cfRule type="containsText" dxfId="1" priority="3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B10" sqref="B10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8" customWidth="1"/>
    <col min="6" max="6" width="2.375" style="7" hidden="1" customWidth="1"/>
    <col min="7" max="16384" width="2.375" style="7" hidden="1"/>
  </cols>
  <sheetData>
    <row r="1" spans="1:5" ht="18.75" customHeight="1">
      <c r="A1" s="53"/>
      <c r="B1" s="54"/>
      <c r="C1" s="117" t="s">
        <v>2872</v>
      </c>
      <c r="D1" s="116"/>
      <c r="E1" s="54"/>
    </row>
    <row r="2" spans="1:5" ht="25.5">
      <c r="A2" s="53"/>
      <c r="B2" s="54" t="s">
        <v>36</v>
      </c>
      <c r="C2" s="54" t="s">
        <v>2537</v>
      </c>
      <c r="D2" s="54" t="s">
        <v>22</v>
      </c>
      <c r="E2" s="54" t="s">
        <v>2873</v>
      </c>
    </row>
    <row r="3" spans="1:5">
      <c r="A3" s="56" t="s">
        <v>2576</v>
      </c>
      <c r="B3" s="200">
        <f>SUM('מזומנים ושווי מזומנים'!O:O)</f>
        <v>9097.4409999999989</v>
      </c>
      <c r="C3" s="57"/>
      <c r="D3" s="57"/>
      <c r="E3" s="203">
        <v>7.4011348288421678E-3</v>
      </c>
    </row>
    <row r="4" spans="1:5">
      <c r="A4" s="56" t="s">
        <v>2586</v>
      </c>
      <c r="B4" s="200">
        <f>SUM('איגרות חוב ממשלתיות'!U:U)</f>
        <v>197859.16899999999</v>
      </c>
      <c r="C4" s="57"/>
      <c r="D4" s="57"/>
      <c r="E4" s="203">
        <v>0.16096640658528796</v>
      </c>
    </row>
    <row r="5" spans="1:5">
      <c r="A5" s="56" t="s">
        <v>2591</v>
      </c>
      <c r="B5" s="200">
        <f>SUM('ניירות ערך מסחריים'!AD:AD)</f>
        <v>0</v>
      </c>
      <c r="C5" s="57"/>
      <c r="D5" s="57"/>
      <c r="E5" s="203">
        <v>0</v>
      </c>
    </row>
    <row r="6" spans="1:5">
      <c r="A6" s="56" t="s">
        <v>2592</v>
      </c>
      <c r="B6" s="200">
        <f>SUM('איגרות חוב'!AD:AD)</f>
        <v>220837.44399999984</v>
      </c>
      <c r="C6" s="57"/>
      <c r="D6" s="57"/>
      <c r="E6" s="203">
        <v>0.17966015919211575</v>
      </c>
    </row>
    <row r="7" spans="1:5">
      <c r="A7" s="56" t="s">
        <v>2598</v>
      </c>
      <c r="B7" s="200">
        <f>SUM('מניות מבכ ויהש'!U:U)</f>
        <v>264224.82899999997</v>
      </c>
      <c r="C7" s="57"/>
      <c r="D7" s="57"/>
      <c r="E7" s="203">
        <v>0.21495754515547461</v>
      </c>
    </row>
    <row r="8" spans="1:5">
      <c r="A8" s="56" t="s">
        <v>2191</v>
      </c>
      <c r="B8" s="200">
        <f>SUM('קרנות סל'!T:T)</f>
        <v>301476.69900000002</v>
      </c>
      <c r="C8" s="57"/>
      <c r="D8" s="57"/>
      <c r="E8" s="203">
        <v>0.24526344243983195</v>
      </c>
    </row>
    <row r="9" spans="1:5">
      <c r="A9" s="56" t="s">
        <v>2607</v>
      </c>
      <c r="B9" s="200">
        <f>SUM('קרנות נאמנות'!T:T)</f>
        <v>38018.567999999992</v>
      </c>
      <c r="C9" s="57"/>
      <c r="D9" s="57"/>
      <c r="E9" s="203">
        <v>3.0929637000943925E-2</v>
      </c>
    </row>
    <row r="10" spans="1:5">
      <c r="A10" s="56" t="s">
        <v>2860</v>
      </c>
      <c r="B10" s="200">
        <f>SUM('כתבי אופציה'!W:W)</f>
        <v>340.57799999999997</v>
      </c>
      <c r="C10" s="57"/>
      <c r="D10" s="57"/>
      <c r="E10" s="203">
        <v>2.7707392636428289E-4</v>
      </c>
    </row>
    <row r="11" spans="1:5">
      <c r="A11" s="56" t="s">
        <v>2609</v>
      </c>
      <c r="B11" s="200">
        <f>SUM(אופציות!V:V)</f>
        <v>1550.7180000000001</v>
      </c>
      <c r="C11" s="57"/>
      <c r="D11" s="57"/>
      <c r="E11" s="203">
        <v>1.2615715781517539E-3</v>
      </c>
    </row>
    <row r="12" spans="1:5">
      <c r="A12" s="56" t="s">
        <v>2861</v>
      </c>
      <c r="B12" s="200">
        <f>SUM('חוזים עתידיים'!R:R)</f>
        <v>155.256</v>
      </c>
      <c r="C12" s="57"/>
      <c r="D12" s="57"/>
      <c r="E12" s="203">
        <v>1.2630701193739203E-4</v>
      </c>
    </row>
    <row r="13" spans="1:5">
      <c r="A13" s="56" t="s">
        <v>2614</v>
      </c>
      <c r="B13" s="200">
        <f>SUM('מוצרים מובנים'!Z:Z)</f>
        <v>3502.991</v>
      </c>
      <c r="C13" s="57"/>
      <c r="D13" s="57"/>
      <c r="E13" s="203">
        <v>2.849824329195502E-3</v>
      </c>
    </row>
    <row r="14" spans="1:5">
      <c r="A14" s="56" t="s">
        <v>2620</v>
      </c>
      <c r="B14" s="200">
        <f>SUM('לא סחיר איגרות חוב ממשלתיות'!U:U)</f>
        <v>0</v>
      </c>
      <c r="C14" s="57"/>
      <c r="D14" s="57"/>
      <c r="E14" s="203">
        <v>0</v>
      </c>
    </row>
    <row r="15" spans="1:5">
      <c r="A15" s="56" t="s">
        <v>2621</v>
      </c>
      <c r="B15" s="200">
        <f>SUM('לא סחיר איגרות חוב מיועדות'!N:N)</f>
        <v>0</v>
      </c>
      <c r="C15" s="57"/>
      <c r="D15" s="57"/>
      <c r="E15" s="203">
        <v>0</v>
      </c>
    </row>
    <row r="16" spans="1:5" s="120" customFormat="1">
      <c r="A16" s="58" t="s">
        <v>2627</v>
      </c>
      <c r="B16" s="200">
        <f>SUM('אפיק השקעה מובטח תשואה'!F:F)</f>
        <v>0</v>
      </c>
      <c r="C16" s="59"/>
      <c r="D16" s="59"/>
      <c r="E16" s="203">
        <v>0</v>
      </c>
    </row>
    <row r="17" spans="1:5">
      <c r="A17" s="58" t="s">
        <v>2631</v>
      </c>
      <c r="B17" s="200">
        <f>SUM('לא סחיר ניירות ערך מסחריים'!AI:AI)</f>
        <v>0</v>
      </c>
      <c r="C17" s="59"/>
      <c r="D17" s="59"/>
      <c r="E17" s="203">
        <v>0</v>
      </c>
    </row>
    <row r="18" spans="1:5">
      <c r="A18" s="56" t="s">
        <v>2633</v>
      </c>
      <c r="B18" s="200">
        <f>SUM('לא סחיר איגרות חוב'!AG:AG)</f>
        <v>4436.0349999999999</v>
      </c>
      <c r="C18" s="57"/>
      <c r="D18" s="57"/>
      <c r="E18" s="203">
        <v>3.6088932195837125E-3</v>
      </c>
    </row>
    <row r="19" spans="1:5">
      <c r="A19" s="56" t="s">
        <v>2636</v>
      </c>
      <c r="B19" s="200">
        <f>SUM('לא סחיר מניות מבכ ויהש'!X:X)</f>
        <v>594.23599999999999</v>
      </c>
      <c r="C19" s="57"/>
      <c r="D19" s="57"/>
      <c r="E19" s="203">
        <v>4.834349303449019E-4</v>
      </c>
    </row>
    <row r="20" spans="1:5">
      <c r="A20" s="56" t="s">
        <v>2439</v>
      </c>
      <c r="B20" s="200">
        <f>SUM('קרנות השקעה'!W:W)</f>
        <v>165545.28000000003</v>
      </c>
      <c r="C20" s="57"/>
      <c r="D20" s="57"/>
      <c r="E20" s="203">
        <v>0.13467775581709507</v>
      </c>
    </row>
    <row r="21" spans="1:5">
      <c r="A21" s="56" t="s">
        <v>2864</v>
      </c>
      <c r="B21" s="200">
        <f>SUM('לא סחיר כתבי אופציה'!Z:Z)</f>
        <v>0.72699999999999998</v>
      </c>
      <c r="C21" s="57"/>
      <c r="D21" s="57"/>
      <c r="E21" s="203">
        <v>5.9144379398209415E-7</v>
      </c>
    </row>
    <row r="22" spans="1:5">
      <c r="A22" s="56" t="s">
        <v>2647</v>
      </c>
      <c r="B22" s="200">
        <f>SUM('לא סחיר אופציות'!Z:Z)</f>
        <v>0</v>
      </c>
      <c r="C22" s="57"/>
      <c r="D22" s="57"/>
      <c r="E22" s="203">
        <v>0</v>
      </c>
    </row>
    <row r="23" spans="1:5">
      <c r="A23" s="56" t="s">
        <v>2654</v>
      </c>
      <c r="B23" s="200">
        <f>SUM('לא סחיר נגזרים אחרים'!R:R)</f>
        <v>7249.0622599999997</v>
      </c>
      <c r="C23" s="57"/>
      <c r="D23" s="57"/>
      <c r="E23" s="203">
        <v>5.8974042446586156E-3</v>
      </c>
    </row>
    <row r="24" spans="1:5">
      <c r="A24" s="56" t="s">
        <v>2649</v>
      </c>
      <c r="B24" s="200">
        <f>SUM(הלוואות!AT:AT)</f>
        <v>14356.822</v>
      </c>
      <c r="C24" s="57"/>
      <c r="D24" s="57"/>
      <c r="E24" s="203">
        <v>1.1679853195606047E-2</v>
      </c>
    </row>
    <row r="25" spans="1:5">
      <c r="A25" s="56" t="s">
        <v>2665</v>
      </c>
      <c r="B25" s="200">
        <f>SUM('לא סחיר מוצרים מובנים'!AB:AB)</f>
        <v>0</v>
      </c>
      <c r="C25" s="57"/>
      <c r="D25" s="57"/>
      <c r="E25" s="203">
        <v>0</v>
      </c>
    </row>
    <row r="26" spans="1:5">
      <c r="A26" s="56" t="s">
        <v>2670</v>
      </c>
      <c r="B26" s="200">
        <f>SUM('פיקדונות מעל 3 חודשים'!T:T)</f>
        <v>0</v>
      </c>
      <c r="C26" s="57"/>
      <c r="D26" s="57"/>
      <c r="E26" s="203">
        <v>0</v>
      </c>
    </row>
    <row r="27" spans="1:5">
      <c r="A27" s="56" t="s">
        <v>2673</v>
      </c>
      <c r="B27" s="200">
        <f>SUM('זכויות מקרקעין'!S:S)</f>
        <v>0</v>
      </c>
      <c r="C27" s="57"/>
      <c r="D27" s="57"/>
      <c r="E27" s="203">
        <v>0</v>
      </c>
    </row>
    <row r="28" spans="1:5">
      <c r="A28" s="56" t="s">
        <v>2708</v>
      </c>
      <c r="B28" s="200">
        <f>SUM('השקעה בחברות מוחזקות'!U:U)</f>
        <v>0</v>
      </c>
      <c r="C28" s="57"/>
      <c r="D28" s="57"/>
      <c r="E28" s="203">
        <v>0</v>
      </c>
    </row>
    <row r="29" spans="1:5">
      <c r="A29" s="56" t="s">
        <v>2676</v>
      </c>
      <c r="B29" s="201">
        <f>SUM('נכסים אחרים'!N:N)</f>
        <v>-50.446400000000004</v>
      </c>
      <c r="C29" s="152"/>
      <c r="D29" s="152"/>
      <c r="E29" s="204">
        <v>-4.1034899227669012E-5</v>
      </c>
    </row>
    <row r="30" spans="1:5" ht="15">
      <c r="A30" s="55" t="s">
        <v>2874</v>
      </c>
      <c r="B30" s="202">
        <f>IF(SUM(B3:B29)=0,0.0001,SUM(B3:B29))</f>
        <v>1229195.4088599999</v>
      </c>
      <c r="C30" s="153">
        <f t="shared" ref="C30:D30" si="0">SUM(C3:C29)</f>
        <v>0</v>
      </c>
      <c r="D30" s="153">
        <f t="shared" si="0"/>
        <v>0</v>
      </c>
      <c r="E30" s="198">
        <f>SUM(E3:E29)</f>
        <v>0.99999999999999978</v>
      </c>
    </row>
    <row r="31" spans="1:5" s="120" customFormat="1">
      <c r="A31" s="58" t="s">
        <v>2871</v>
      </c>
      <c r="B31" s="200"/>
      <c r="C31" s="59"/>
      <c r="D31" s="59"/>
      <c r="E31" s="59"/>
    </row>
    <row r="32" spans="1:5">
      <c r="A32" s="58" t="s">
        <v>2875</v>
      </c>
      <c r="B32" s="200">
        <f>SUM('יתרות התחייבות להשקעה'!O:O)</f>
        <v>29354.550000000003</v>
      </c>
      <c r="C32" s="59"/>
      <c r="D32" s="59"/>
      <c r="E32" s="200">
        <f>SUM('יתרות התחייבות להשקעה'!O:O)</f>
        <v>29354.550000000003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42"/>
  <sheetViews>
    <sheetView rightToLeft="1" topLeftCell="E1" workbookViewId="0">
      <selection activeCell="L29" sqref="L29"/>
    </sheetView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22" t="s">
        <v>0</v>
      </c>
      <c r="B1" s="22" t="s">
        <v>1</v>
      </c>
      <c r="C1" s="22" t="s">
        <v>1855</v>
      </c>
      <c r="D1" s="22" t="s">
        <v>1856</v>
      </c>
      <c r="E1" s="22" t="s">
        <v>1857</v>
      </c>
      <c r="F1" s="22" t="s">
        <v>5</v>
      </c>
      <c r="G1" s="22" t="s">
        <v>6</v>
      </c>
      <c r="H1" s="22" t="s">
        <v>123</v>
      </c>
      <c r="I1" s="22" t="s">
        <v>1859</v>
      </c>
      <c r="J1" s="22" t="s">
        <v>10</v>
      </c>
      <c r="K1" s="22" t="s">
        <v>11</v>
      </c>
      <c r="L1" s="22" t="s">
        <v>1860</v>
      </c>
      <c r="M1" s="165" t="s">
        <v>18</v>
      </c>
      <c r="N1" s="167" t="s">
        <v>14</v>
      </c>
      <c r="O1" s="22" t="s">
        <v>20</v>
      </c>
      <c r="P1" s="167" t="s">
        <v>24</v>
      </c>
      <c r="Q1" s="167" t="s">
        <v>25</v>
      </c>
    </row>
    <row r="2" spans="1:17">
      <c r="A2" s="3">
        <v>14947</v>
      </c>
      <c r="B2" s="3">
        <v>14948</v>
      </c>
      <c r="C2" s="3" t="s">
        <v>469</v>
      </c>
      <c r="D2" s="3" t="s">
        <v>2876</v>
      </c>
      <c r="E2" s="5" t="s">
        <v>2079</v>
      </c>
      <c r="F2" s="3" t="s">
        <v>2577</v>
      </c>
      <c r="G2" s="3" t="s">
        <v>30</v>
      </c>
      <c r="H2" s="3" t="s">
        <v>139</v>
      </c>
      <c r="I2" s="3" t="s">
        <v>310</v>
      </c>
      <c r="J2" s="3" t="s">
        <v>141</v>
      </c>
      <c r="K2" s="3" t="s">
        <v>34</v>
      </c>
      <c r="L2" s="157">
        <v>0</v>
      </c>
      <c r="M2" s="166">
        <v>1</v>
      </c>
      <c r="N2" s="168">
        <v>3.7999999999999999E-2</v>
      </c>
      <c r="O2" s="157">
        <v>0</v>
      </c>
      <c r="P2" s="168">
        <v>-2.5175878561753001E-6</v>
      </c>
      <c r="Q2" s="168">
        <v>-2.48613169121768E-8</v>
      </c>
    </row>
    <row r="3" spans="1:17">
      <c r="A3" s="3">
        <v>14947</v>
      </c>
      <c r="B3" s="3">
        <v>14948</v>
      </c>
      <c r="C3" s="3" t="s">
        <v>469</v>
      </c>
      <c r="D3" s="3" t="s">
        <v>2876</v>
      </c>
      <c r="E3" s="31" t="s">
        <v>2079</v>
      </c>
      <c r="F3" s="3" t="s">
        <v>2579</v>
      </c>
      <c r="G3" s="3" t="s">
        <v>30</v>
      </c>
      <c r="H3" s="3" t="s">
        <v>139</v>
      </c>
      <c r="I3" s="3" t="s">
        <v>310</v>
      </c>
      <c r="J3" s="3" t="s">
        <v>141</v>
      </c>
      <c r="K3" s="3" t="s">
        <v>427</v>
      </c>
      <c r="L3" s="157">
        <v>4.0000000000000001E-3</v>
      </c>
      <c r="M3" s="166">
        <v>3.306</v>
      </c>
      <c r="N3" s="168">
        <v>0</v>
      </c>
      <c r="O3" s="157">
        <v>1.4E-2</v>
      </c>
      <c r="P3" s="168">
        <v>3.4707516536989801E-3</v>
      </c>
      <c r="Q3" s="168">
        <v>3.4273861217760703E-5</v>
      </c>
    </row>
    <row r="4" spans="1:17">
      <c r="A4" s="3">
        <v>14947</v>
      </c>
      <c r="B4" s="3">
        <v>14948</v>
      </c>
      <c r="C4" s="3" t="s">
        <v>469</v>
      </c>
      <c r="D4" s="3" t="s">
        <v>2876</v>
      </c>
      <c r="E4" s="31" t="s">
        <v>2079</v>
      </c>
      <c r="F4" s="3" t="s">
        <v>2577</v>
      </c>
      <c r="G4" s="3" t="s">
        <v>30</v>
      </c>
      <c r="H4" s="3" t="s">
        <v>139</v>
      </c>
      <c r="I4" s="3" t="s">
        <v>310</v>
      </c>
      <c r="J4" s="3" t="s">
        <v>141</v>
      </c>
      <c r="K4" s="3" t="s">
        <v>34</v>
      </c>
      <c r="L4" s="157">
        <v>3.9580000000000002</v>
      </c>
      <c r="M4" s="166">
        <v>1</v>
      </c>
      <c r="N4" s="168">
        <v>3.7999999999999999E-2</v>
      </c>
      <c r="O4" s="157">
        <v>3.9580000000000002</v>
      </c>
      <c r="P4" s="168">
        <v>0.99652924834630097</v>
      </c>
      <c r="Q4" s="168">
        <v>9.8407804893961993E-3</v>
      </c>
    </row>
    <row r="5" spans="1:17">
      <c r="A5" s="3">
        <v>14947</v>
      </c>
      <c r="B5" s="3">
        <v>14948</v>
      </c>
      <c r="C5" s="3" t="s">
        <v>469</v>
      </c>
      <c r="D5" s="3" t="s">
        <v>2876</v>
      </c>
      <c r="E5" s="31" t="s">
        <v>2079</v>
      </c>
      <c r="F5" s="3" t="s">
        <v>2577</v>
      </c>
      <c r="G5" s="3" t="s">
        <v>30</v>
      </c>
      <c r="H5" s="3" t="s">
        <v>139</v>
      </c>
      <c r="I5" s="3" t="s">
        <v>310</v>
      </c>
      <c r="J5" s="3" t="s">
        <v>141</v>
      </c>
      <c r="K5" s="3" t="s">
        <v>34</v>
      </c>
      <c r="L5" s="157">
        <v>0</v>
      </c>
      <c r="M5" s="166">
        <v>1</v>
      </c>
      <c r="N5" s="168">
        <v>3.7999999999999999E-2</v>
      </c>
      <c r="O5" s="157">
        <v>0</v>
      </c>
      <c r="P5" s="168">
        <v>2.5175878561753001E-6</v>
      </c>
      <c r="Q5" s="168">
        <v>2.48613169121768E-8</v>
      </c>
    </row>
    <row r="6" spans="1:17">
      <c r="A6" s="3">
        <v>14947</v>
      </c>
      <c r="B6" s="3">
        <v>14949</v>
      </c>
      <c r="C6" s="3" t="s">
        <v>469</v>
      </c>
      <c r="D6" s="3" t="s">
        <v>2876</v>
      </c>
      <c r="E6" s="31" t="s">
        <v>2079</v>
      </c>
      <c r="F6" s="3" t="s">
        <v>2579</v>
      </c>
      <c r="G6" s="3" t="s">
        <v>30</v>
      </c>
      <c r="H6" s="3" t="s">
        <v>139</v>
      </c>
      <c r="I6" s="3" t="s">
        <v>310</v>
      </c>
      <c r="J6" s="3" t="s">
        <v>141</v>
      </c>
      <c r="K6" s="3" t="s">
        <v>427</v>
      </c>
      <c r="L6" s="157">
        <v>9.5000000000000001E-2</v>
      </c>
      <c r="M6" s="166">
        <v>3.306</v>
      </c>
      <c r="N6" s="168">
        <v>0</v>
      </c>
      <c r="O6" s="157">
        <v>0.313</v>
      </c>
      <c r="P6" s="168">
        <v>4.0415868462402599E-3</v>
      </c>
      <c r="Q6" s="168">
        <v>2.20951294591218E-4</v>
      </c>
    </row>
    <row r="7" spans="1:17">
      <c r="A7" s="3">
        <v>14947</v>
      </c>
      <c r="B7" s="3">
        <v>14949</v>
      </c>
      <c r="C7" s="3" t="s">
        <v>469</v>
      </c>
      <c r="D7" s="3" t="s">
        <v>2876</v>
      </c>
      <c r="E7" s="31" t="s">
        <v>2079</v>
      </c>
      <c r="F7" s="3" t="s">
        <v>2579</v>
      </c>
      <c r="G7" s="3" t="s">
        <v>30</v>
      </c>
      <c r="H7" s="3" t="s">
        <v>139</v>
      </c>
      <c r="I7" s="3" t="s">
        <v>310</v>
      </c>
      <c r="J7" s="3" t="s">
        <v>141</v>
      </c>
      <c r="K7" s="3" t="s">
        <v>745</v>
      </c>
      <c r="L7" s="157">
        <v>9.6000000000000002E-2</v>
      </c>
      <c r="M7" s="166">
        <v>3.8807</v>
      </c>
      <c r="N7" s="168">
        <v>0</v>
      </c>
      <c r="O7" s="157">
        <v>0.373</v>
      </c>
      <c r="P7" s="168">
        <v>4.8204257123606598E-3</v>
      </c>
      <c r="Q7" s="168">
        <v>2.6352998021499498E-4</v>
      </c>
    </row>
    <row r="8" spans="1:17">
      <c r="A8" s="3">
        <v>14947</v>
      </c>
      <c r="B8" s="3">
        <v>14949</v>
      </c>
      <c r="C8" s="3" t="s">
        <v>469</v>
      </c>
      <c r="D8" s="3" t="s">
        <v>2876</v>
      </c>
      <c r="E8" s="31" t="s">
        <v>2079</v>
      </c>
      <c r="F8" s="3" t="s">
        <v>2579</v>
      </c>
      <c r="G8" s="3" t="s">
        <v>30</v>
      </c>
      <c r="H8" s="3" t="s">
        <v>139</v>
      </c>
      <c r="I8" s="3" t="s">
        <v>310</v>
      </c>
      <c r="J8" s="3" t="s">
        <v>141</v>
      </c>
      <c r="K8" s="3" t="s">
        <v>1330</v>
      </c>
      <c r="L8" s="157">
        <v>9.6000000000000002E-2</v>
      </c>
      <c r="M8" s="166">
        <v>4.4409000000000001</v>
      </c>
      <c r="N8" s="168">
        <v>0</v>
      </c>
      <c r="O8" s="157">
        <v>0.42399999999999999</v>
      </c>
      <c r="P8" s="168">
        <v>5.4875705014135797E-3</v>
      </c>
      <c r="Q8" s="168">
        <v>3.0000241305610902E-4</v>
      </c>
    </row>
    <row r="9" spans="1:17">
      <c r="A9" s="3">
        <v>14947</v>
      </c>
      <c r="B9" s="3">
        <v>14949</v>
      </c>
      <c r="C9" s="3" t="s">
        <v>469</v>
      </c>
      <c r="D9" s="3" t="s">
        <v>2876</v>
      </c>
      <c r="E9" s="31" t="s">
        <v>2079</v>
      </c>
      <c r="F9" s="3" t="s">
        <v>2577</v>
      </c>
      <c r="G9" s="3" t="s">
        <v>30</v>
      </c>
      <c r="H9" s="3" t="s">
        <v>139</v>
      </c>
      <c r="I9" s="3" t="s">
        <v>310</v>
      </c>
      <c r="J9" s="3" t="s">
        <v>141</v>
      </c>
      <c r="K9" s="3" t="s">
        <v>34</v>
      </c>
      <c r="L9" s="157">
        <v>76.231999999999999</v>
      </c>
      <c r="M9" s="166">
        <v>1</v>
      </c>
      <c r="N9" s="168">
        <v>3.7999999999999999E-2</v>
      </c>
      <c r="O9" s="157">
        <v>76.231999999999999</v>
      </c>
      <c r="P9" s="168">
        <v>0.98565028764325802</v>
      </c>
      <c r="Q9" s="168">
        <v>5.3884950479680303E-2</v>
      </c>
    </row>
    <row r="10" spans="1:17">
      <c r="A10" s="3">
        <v>14947</v>
      </c>
      <c r="B10" s="3">
        <v>14949</v>
      </c>
      <c r="C10" s="3" t="s">
        <v>469</v>
      </c>
      <c r="D10" s="3" t="s">
        <v>2876</v>
      </c>
      <c r="E10" s="31" t="s">
        <v>2079</v>
      </c>
      <c r="F10" s="3" t="s">
        <v>2577</v>
      </c>
      <c r="G10" s="3" t="s">
        <v>30</v>
      </c>
      <c r="H10" s="3" t="s">
        <v>139</v>
      </c>
      <c r="I10" s="3" t="s">
        <v>310</v>
      </c>
      <c r="J10" s="3" t="s">
        <v>141</v>
      </c>
      <c r="K10" s="3" t="s">
        <v>34</v>
      </c>
      <c r="L10" s="157">
        <v>0</v>
      </c>
      <c r="M10" s="166">
        <v>1</v>
      </c>
      <c r="N10" s="168">
        <v>3.7999999999999999E-2</v>
      </c>
      <c r="O10" s="157">
        <v>0</v>
      </c>
      <c r="P10" s="168">
        <v>1.2929672749353599E-7</v>
      </c>
      <c r="Q10" s="168">
        <v>7.0685798457307905E-9</v>
      </c>
    </row>
    <row r="11" spans="1:17">
      <c r="A11" s="3">
        <v>14947</v>
      </c>
      <c r="B11" s="3">
        <v>15203</v>
      </c>
      <c r="C11" s="3" t="s">
        <v>469</v>
      </c>
      <c r="D11" s="3" t="s">
        <v>2876</v>
      </c>
      <c r="E11" s="31" t="s">
        <v>2079</v>
      </c>
      <c r="F11" s="3" t="s">
        <v>2577</v>
      </c>
      <c r="G11" s="3" t="s">
        <v>30</v>
      </c>
      <c r="H11" s="3" t="s">
        <v>139</v>
      </c>
      <c r="I11" s="3" t="s">
        <v>310</v>
      </c>
      <c r="J11" s="3" t="s">
        <v>141</v>
      </c>
      <c r="K11" s="3" t="s">
        <v>34</v>
      </c>
      <c r="L11" s="157">
        <v>0</v>
      </c>
      <c r="M11" s="166">
        <v>1</v>
      </c>
      <c r="N11" s="168">
        <v>0</v>
      </c>
      <c r="O11" s="157">
        <v>0</v>
      </c>
      <c r="P11" s="168">
        <v>2.6641325210786902E-7</v>
      </c>
      <c r="Q11" s="168">
        <v>9.3664289287890306E-9</v>
      </c>
    </row>
    <row r="12" spans="1:17">
      <c r="A12" s="3">
        <v>14947</v>
      </c>
      <c r="B12" s="3">
        <v>15203</v>
      </c>
      <c r="C12" s="3" t="s">
        <v>469</v>
      </c>
      <c r="D12" s="3" t="s">
        <v>2876</v>
      </c>
      <c r="E12" s="31" t="s">
        <v>2079</v>
      </c>
      <c r="F12" s="3" t="s">
        <v>2579</v>
      </c>
      <c r="G12" s="3" t="s">
        <v>30</v>
      </c>
      <c r="H12" s="3" t="s">
        <v>139</v>
      </c>
      <c r="I12" s="3" t="s">
        <v>310</v>
      </c>
      <c r="J12" s="3" t="s">
        <v>141</v>
      </c>
      <c r="K12" s="3" t="s">
        <v>427</v>
      </c>
      <c r="L12" s="157">
        <v>1.9259999999999999</v>
      </c>
      <c r="M12" s="166">
        <v>3.306</v>
      </c>
      <c r="N12" s="168">
        <v>0</v>
      </c>
      <c r="O12" s="157">
        <v>6.3689999999999998</v>
      </c>
      <c r="P12" s="168">
        <v>8.4836777733079793E-2</v>
      </c>
      <c r="Q12" s="168">
        <v>2.9826506110237701E-3</v>
      </c>
    </row>
    <row r="13" spans="1:17">
      <c r="A13" s="3">
        <v>14947</v>
      </c>
      <c r="B13" s="3">
        <v>15203</v>
      </c>
      <c r="C13" s="3" t="s">
        <v>469</v>
      </c>
      <c r="D13" s="3" t="s">
        <v>2876</v>
      </c>
      <c r="E13" s="31" t="s">
        <v>2079</v>
      </c>
      <c r="F13" s="3" t="s">
        <v>2577</v>
      </c>
      <c r="G13" s="3" t="s">
        <v>30</v>
      </c>
      <c r="H13" s="3" t="s">
        <v>139</v>
      </c>
      <c r="I13" s="3" t="s">
        <v>310</v>
      </c>
      <c r="J13" s="3" t="s">
        <v>141</v>
      </c>
      <c r="K13" s="3" t="s">
        <v>34</v>
      </c>
      <c r="L13" s="157">
        <v>68.703000000000003</v>
      </c>
      <c r="M13" s="166">
        <v>1</v>
      </c>
      <c r="N13" s="168">
        <v>3.7999999999999999E-2</v>
      </c>
      <c r="O13" s="157">
        <v>68.703000000000003</v>
      </c>
      <c r="P13" s="168">
        <v>0.91516282264704196</v>
      </c>
      <c r="Q13" s="168">
        <v>3.2174854174006402E-2</v>
      </c>
    </row>
    <row r="14" spans="1:17">
      <c r="A14" s="3">
        <v>14947</v>
      </c>
      <c r="B14" s="3">
        <v>15203</v>
      </c>
      <c r="C14" s="3" t="s">
        <v>469</v>
      </c>
      <c r="D14" s="3" t="s">
        <v>2876</v>
      </c>
      <c r="E14" s="31" t="s">
        <v>2079</v>
      </c>
      <c r="F14" s="3" t="s">
        <v>2577</v>
      </c>
      <c r="G14" s="3" t="s">
        <v>30</v>
      </c>
      <c r="H14" s="3" t="s">
        <v>139</v>
      </c>
      <c r="I14" s="3" t="s">
        <v>310</v>
      </c>
      <c r="J14" s="3" t="s">
        <v>141</v>
      </c>
      <c r="K14" s="3" t="s">
        <v>34</v>
      </c>
      <c r="L14" s="157">
        <v>0</v>
      </c>
      <c r="M14" s="166">
        <v>1</v>
      </c>
      <c r="N14" s="168">
        <v>3.7999999999999999E-2</v>
      </c>
      <c r="O14" s="157">
        <v>0</v>
      </c>
      <c r="P14" s="168">
        <v>1.3320662605393401E-7</v>
      </c>
      <c r="Q14" s="168">
        <v>4.6832144643945203E-9</v>
      </c>
    </row>
    <row r="15" spans="1:17">
      <c r="A15" s="3">
        <v>419</v>
      </c>
      <c r="B15" s="3">
        <v>419</v>
      </c>
      <c r="C15" s="3" t="s">
        <v>469</v>
      </c>
      <c r="D15" s="3" t="s">
        <v>2876</v>
      </c>
      <c r="E15" s="31" t="s">
        <v>2079</v>
      </c>
      <c r="F15" s="3" t="s">
        <v>2579</v>
      </c>
      <c r="G15" s="3" t="s">
        <v>30</v>
      </c>
      <c r="H15" s="3" t="s">
        <v>139</v>
      </c>
      <c r="I15" s="3" t="s">
        <v>310</v>
      </c>
      <c r="J15" s="3" t="s">
        <v>141</v>
      </c>
      <c r="K15" s="3" t="s">
        <v>427</v>
      </c>
      <c r="L15" s="157">
        <v>364.67500000000001</v>
      </c>
      <c r="M15" s="166">
        <v>3.306</v>
      </c>
      <c r="N15" s="168">
        <v>0</v>
      </c>
      <c r="O15" s="157">
        <v>1205.616</v>
      </c>
      <c r="P15" s="168">
        <v>0.16091823282367099</v>
      </c>
      <c r="Q15" s="168">
        <v>1.01969957755507E-3</v>
      </c>
    </row>
    <row r="16" spans="1:17">
      <c r="A16" s="3">
        <v>419</v>
      </c>
      <c r="B16" s="3">
        <v>419</v>
      </c>
      <c r="C16" s="3" t="s">
        <v>469</v>
      </c>
      <c r="D16" s="3" t="s">
        <v>2876</v>
      </c>
      <c r="E16" s="31" t="s">
        <v>2079</v>
      </c>
      <c r="F16" s="3" t="s">
        <v>2579</v>
      </c>
      <c r="G16" s="3" t="s">
        <v>30</v>
      </c>
      <c r="H16" s="3" t="s">
        <v>139</v>
      </c>
      <c r="I16" s="3" t="s">
        <v>310</v>
      </c>
      <c r="J16" s="3" t="s">
        <v>141</v>
      </c>
      <c r="K16" s="3" t="s">
        <v>2877</v>
      </c>
      <c r="L16" s="157">
        <v>0.10299999999999999</v>
      </c>
      <c r="M16" s="166">
        <v>2.3744999999999998</v>
      </c>
      <c r="N16" s="168">
        <v>0</v>
      </c>
      <c r="O16" s="157">
        <v>0.24399999999999999</v>
      </c>
      <c r="P16" s="168">
        <v>3.2520575884146102E-5</v>
      </c>
      <c r="Q16" s="168">
        <v>2.06074954397794E-7</v>
      </c>
    </row>
    <row r="17" spans="1:17">
      <c r="A17" s="3">
        <v>419</v>
      </c>
      <c r="B17" s="3">
        <v>419</v>
      </c>
      <c r="C17" s="3" t="s">
        <v>469</v>
      </c>
      <c r="D17" s="3" t="s">
        <v>2876</v>
      </c>
      <c r="E17" s="31" t="s">
        <v>2079</v>
      </c>
      <c r="F17" s="3" t="s">
        <v>2579</v>
      </c>
      <c r="G17" s="3" t="s">
        <v>30</v>
      </c>
      <c r="H17" s="3" t="s">
        <v>139</v>
      </c>
      <c r="I17" s="3" t="s">
        <v>310</v>
      </c>
      <c r="J17" s="3" t="s">
        <v>141</v>
      </c>
      <c r="K17" s="3" t="s">
        <v>745</v>
      </c>
      <c r="L17" s="157">
        <v>70.944999999999993</v>
      </c>
      <c r="M17" s="166">
        <v>3.8807</v>
      </c>
      <c r="N17" s="168">
        <v>0</v>
      </c>
      <c r="O17" s="157">
        <v>275.31799999999998</v>
      </c>
      <c r="P17" s="168">
        <v>3.67477229534902E-2</v>
      </c>
      <c r="Q17" s="168">
        <v>2.3286135395760301E-4</v>
      </c>
    </row>
    <row r="18" spans="1:17">
      <c r="A18" s="3">
        <v>419</v>
      </c>
      <c r="B18" s="3">
        <v>419</v>
      </c>
      <c r="C18" s="3" t="s">
        <v>469</v>
      </c>
      <c r="D18" s="3" t="s">
        <v>2876</v>
      </c>
      <c r="E18" s="31" t="s">
        <v>2079</v>
      </c>
      <c r="F18" s="3" t="s">
        <v>2579</v>
      </c>
      <c r="G18" s="3" t="s">
        <v>30</v>
      </c>
      <c r="H18" s="3" t="s">
        <v>139</v>
      </c>
      <c r="I18" s="3" t="s">
        <v>310</v>
      </c>
      <c r="J18" s="3" t="s">
        <v>141</v>
      </c>
      <c r="K18" s="3" t="s">
        <v>2878</v>
      </c>
      <c r="L18" s="157">
        <v>0</v>
      </c>
      <c r="M18" s="166">
        <v>2.2332000000000001E-2</v>
      </c>
      <c r="N18" s="168">
        <v>0</v>
      </c>
      <c r="O18" s="157">
        <v>0</v>
      </c>
      <c r="P18" s="168">
        <v>2.17593964702018E-9</v>
      </c>
      <c r="Q18" s="168">
        <v>1.37883986166012E-11</v>
      </c>
    </row>
    <row r="19" spans="1:17">
      <c r="A19" s="3">
        <v>419</v>
      </c>
      <c r="B19" s="3">
        <v>419</v>
      </c>
      <c r="C19" s="3" t="s">
        <v>469</v>
      </c>
      <c r="D19" s="3" t="s">
        <v>2876</v>
      </c>
      <c r="E19" s="31" t="s">
        <v>2079</v>
      </c>
      <c r="F19" s="3" t="s">
        <v>2579</v>
      </c>
      <c r="G19" s="3" t="s">
        <v>30</v>
      </c>
      <c r="H19" s="3" t="s">
        <v>139</v>
      </c>
      <c r="I19" s="3" t="s">
        <v>310</v>
      </c>
      <c r="J19" s="3" t="s">
        <v>141</v>
      </c>
      <c r="K19" s="3" t="s">
        <v>2879</v>
      </c>
      <c r="L19" s="157">
        <v>0</v>
      </c>
      <c r="M19" s="166">
        <v>0.51990000000000003</v>
      </c>
      <c r="N19" s="168">
        <v>0</v>
      </c>
      <c r="O19" s="157">
        <v>0</v>
      </c>
      <c r="P19" s="168">
        <v>2.0817924935146601E-9</v>
      </c>
      <c r="Q19" s="168">
        <v>1.3191811076625001E-11</v>
      </c>
    </row>
    <row r="20" spans="1:17">
      <c r="A20" s="3">
        <v>419</v>
      </c>
      <c r="B20" s="3">
        <v>419</v>
      </c>
      <c r="C20" s="3" t="s">
        <v>469</v>
      </c>
      <c r="D20" s="3" t="s">
        <v>2876</v>
      </c>
      <c r="E20" s="31" t="s">
        <v>2079</v>
      </c>
      <c r="F20" s="3" t="s">
        <v>2579</v>
      </c>
      <c r="G20" s="3" t="s">
        <v>30</v>
      </c>
      <c r="H20" s="3" t="s">
        <v>139</v>
      </c>
      <c r="I20" s="3" t="s">
        <v>310</v>
      </c>
      <c r="J20" s="3" t="s">
        <v>141</v>
      </c>
      <c r="K20" s="3" t="s">
        <v>1330</v>
      </c>
      <c r="L20" s="157">
        <v>69.350999999999999</v>
      </c>
      <c r="M20" s="166">
        <v>4.4409000000000001</v>
      </c>
      <c r="N20" s="168">
        <v>0</v>
      </c>
      <c r="O20" s="157">
        <v>307.98099999999999</v>
      </c>
      <c r="P20" s="168">
        <v>4.1107395592626501E-2</v>
      </c>
      <c r="Q20" s="168">
        <v>2.60487535717112E-4</v>
      </c>
    </row>
    <row r="21" spans="1:17" s="42" customFormat="1">
      <c r="A21" s="42">
        <v>419</v>
      </c>
      <c r="B21" s="42">
        <v>419</v>
      </c>
      <c r="C21" s="42" t="s">
        <v>469</v>
      </c>
      <c r="D21" s="41" t="s">
        <v>2876</v>
      </c>
      <c r="E21" s="45" t="s">
        <v>2079</v>
      </c>
      <c r="F21" s="42" t="s">
        <v>2577</v>
      </c>
      <c r="G21" s="42" t="s">
        <v>30</v>
      </c>
      <c r="H21" s="42" t="s">
        <v>139</v>
      </c>
      <c r="I21" s="42" t="s">
        <v>310</v>
      </c>
      <c r="J21" s="42" t="s">
        <v>141</v>
      </c>
      <c r="K21" s="42" t="s">
        <v>34</v>
      </c>
      <c r="L21" s="157">
        <v>5702.9459999999999</v>
      </c>
      <c r="M21" s="166">
        <v>1</v>
      </c>
      <c r="N21" s="168">
        <v>3.7999999999999999E-2</v>
      </c>
      <c r="O21" s="157">
        <v>5702.9459999999999</v>
      </c>
      <c r="P21" s="168">
        <v>0.761194432903741</v>
      </c>
      <c r="Q21" s="168">
        <v>4.8235033908167703E-3</v>
      </c>
    </row>
    <row r="22" spans="1:17">
      <c r="A22" s="3">
        <v>419</v>
      </c>
      <c r="B22" s="3">
        <v>419</v>
      </c>
      <c r="C22" s="3" t="s">
        <v>469</v>
      </c>
      <c r="D22" s="3" t="s">
        <v>2876</v>
      </c>
      <c r="E22" s="5" t="s">
        <v>2079</v>
      </c>
      <c r="F22" s="3" t="s">
        <v>2579</v>
      </c>
      <c r="G22" s="3" t="s">
        <v>30</v>
      </c>
      <c r="H22" s="3" t="s">
        <v>139</v>
      </c>
      <c r="I22" s="3" t="s">
        <v>310</v>
      </c>
      <c r="J22" s="3" t="s">
        <v>141</v>
      </c>
      <c r="K22" s="3" t="s">
        <v>2880</v>
      </c>
      <c r="L22" s="157">
        <v>1E-3</v>
      </c>
      <c r="M22" s="166">
        <v>4.1426999999999996</v>
      </c>
      <c r="N22" s="168">
        <v>0</v>
      </c>
      <c r="O22" s="157">
        <v>4.0000000000000001E-3</v>
      </c>
      <c r="P22" s="168">
        <v>5.19765804777213E-7</v>
      </c>
      <c r="Q22" s="168">
        <v>3.2936290826637403E-9</v>
      </c>
    </row>
    <row r="23" spans="1:17">
      <c r="A23" s="3">
        <v>419</v>
      </c>
      <c r="B23" s="3">
        <v>419</v>
      </c>
      <c r="C23" s="3" t="s">
        <v>469</v>
      </c>
      <c r="D23" s="3" t="s">
        <v>2876</v>
      </c>
      <c r="E23" s="5" t="s">
        <v>2079</v>
      </c>
      <c r="F23" s="3" t="s">
        <v>2577</v>
      </c>
      <c r="G23" s="3" t="s">
        <v>30</v>
      </c>
      <c r="H23" s="3" t="s">
        <v>139</v>
      </c>
      <c r="I23" s="3" t="s">
        <v>310</v>
      </c>
      <c r="J23" s="3" t="s">
        <v>141</v>
      </c>
      <c r="K23" s="3" t="s">
        <v>34</v>
      </c>
      <c r="L23" s="157">
        <v>-6.0000000000000001E-3</v>
      </c>
      <c r="M23" s="166">
        <v>1</v>
      </c>
      <c r="N23" s="168">
        <v>3.7999999999999999E-2</v>
      </c>
      <c r="O23" s="157">
        <v>-6.0000000000000001E-3</v>
      </c>
      <c r="P23" s="168">
        <v>-8.6491090324902295E-7</v>
      </c>
      <c r="Q23" s="168">
        <v>-5.4807293567051403E-9</v>
      </c>
    </row>
    <row r="24" spans="1:17">
      <c r="A24" s="3">
        <v>419</v>
      </c>
      <c r="B24" s="3">
        <v>419</v>
      </c>
      <c r="C24" s="3" t="s">
        <v>469</v>
      </c>
      <c r="D24" s="3" t="s">
        <v>2876</v>
      </c>
      <c r="E24" s="5" t="s">
        <v>2079</v>
      </c>
      <c r="F24" s="3" t="s">
        <v>2577</v>
      </c>
      <c r="G24" s="3" t="s">
        <v>30</v>
      </c>
      <c r="H24" s="3" t="s">
        <v>139</v>
      </c>
      <c r="I24" s="3" t="s">
        <v>310</v>
      </c>
      <c r="J24" s="3" t="s">
        <v>141</v>
      </c>
      <c r="K24" s="3" t="s">
        <v>34</v>
      </c>
      <c r="L24" s="157">
        <v>0</v>
      </c>
      <c r="M24" s="166">
        <v>1</v>
      </c>
      <c r="N24" s="168">
        <v>3.7999999999999999E-2</v>
      </c>
      <c r="O24" s="157">
        <v>0</v>
      </c>
      <c r="P24" s="168">
        <v>2.13558247715808E-8</v>
      </c>
      <c r="Q24" s="168">
        <v>1.3532665078284301E-10</v>
      </c>
    </row>
    <row r="25" spans="1:17">
      <c r="A25" s="3">
        <v>419</v>
      </c>
      <c r="B25" s="3">
        <v>419</v>
      </c>
      <c r="C25" s="3" t="s">
        <v>469</v>
      </c>
      <c r="D25" s="3" t="s">
        <v>2876</v>
      </c>
      <c r="E25" s="5" t="s">
        <v>2079</v>
      </c>
      <c r="F25" s="3" t="s">
        <v>2577</v>
      </c>
      <c r="G25" s="3" t="s">
        <v>30</v>
      </c>
      <c r="H25" s="3" t="s">
        <v>139</v>
      </c>
      <c r="I25" s="3" t="s">
        <v>310</v>
      </c>
      <c r="J25" s="3" t="s">
        <v>141</v>
      </c>
      <c r="K25" s="3" t="s">
        <v>34</v>
      </c>
      <c r="L25" s="157">
        <v>0</v>
      </c>
      <c r="M25" s="166">
        <v>1</v>
      </c>
      <c r="N25" s="168">
        <v>3.7999999999999999E-2</v>
      </c>
      <c r="O25" s="157">
        <v>0</v>
      </c>
      <c r="P25" s="168">
        <v>1.46821295304618E-8</v>
      </c>
      <c r="Q25" s="168">
        <v>9.3037072413204594E-11</v>
      </c>
    </row>
    <row r="26" spans="1:17">
      <c r="A26" s="3">
        <v>419</v>
      </c>
      <c r="B26" s="3">
        <v>1472</v>
      </c>
      <c r="C26" s="3" t="s">
        <v>469</v>
      </c>
      <c r="D26" s="3" t="s">
        <v>2876</v>
      </c>
      <c r="E26" s="5" t="s">
        <v>2079</v>
      </c>
      <c r="F26" s="3" t="s">
        <v>2579</v>
      </c>
      <c r="G26" s="3" t="s">
        <v>30</v>
      </c>
      <c r="H26" s="3" t="s">
        <v>139</v>
      </c>
      <c r="I26" s="3" t="s">
        <v>310</v>
      </c>
      <c r="J26" s="3" t="s">
        <v>141</v>
      </c>
      <c r="K26" s="3" t="s">
        <v>427</v>
      </c>
      <c r="L26" s="157">
        <v>1E-3</v>
      </c>
      <c r="M26" s="166">
        <v>3.306</v>
      </c>
      <c r="N26" s="168">
        <v>0</v>
      </c>
      <c r="O26" s="157">
        <v>2E-3</v>
      </c>
      <c r="P26" s="168">
        <v>3.1116516392560099E-5</v>
      </c>
      <c r="Q26" s="168">
        <v>2.83783350473022E-7</v>
      </c>
    </row>
    <row r="27" spans="1:17">
      <c r="A27" s="3">
        <v>419</v>
      </c>
      <c r="B27" s="3">
        <v>1472</v>
      </c>
      <c r="C27" s="3" t="s">
        <v>469</v>
      </c>
      <c r="D27" s="3" t="s">
        <v>2876</v>
      </c>
      <c r="E27" s="5" t="s">
        <v>2079</v>
      </c>
      <c r="F27" s="3" t="s">
        <v>2579</v>
      </c>
      <c r="G27" s="3" t="s">
        <v>30</v>
      </c>
      <c r="H27" s="3" t="s">
        <v>139</v>
      </c>
      <c r="I27" s="3" t="s">
        <v>310</v>
      </c>
      <c r="J27" s="3" t="s">
        <v>141</v>
      </c>
      <c r="K27" s="3" t="s">
        <v>745</v>
      </c>
      <c r="L27" s="157">
        <v>0.93899999999999995</v>
      </c>
      <c r="M27" s="166">
        <v>3.8807</v>
      </c>
      <c r="N27" s="168">
        <v>0</v>
      </c>
      <c r="O27" s="157">
        <v>3.6429999999999998</v>
      </c>
      <c r="P27" s="168">
        <v>4.8292594704452199E-2</v>
      </c>
      <c r="Q27" s="168">
        <v>4.4042958264897398E-4</v>
      </c>
    </row>
    <row r="28" spans="1:17">
      <c r="A28" s="3">
        <v>419</v>
      </c>
      <c r="B28" s="3">
        <v>1472</v>
      </c>
      <c r="C28" s="3" t="s">
        <v>469</v>
      </c>
      <c r="D28" s="3" t="s">
        <v>2876</v>
      </c>
      <c r="E28" s="5" t="s">
        <v>2079</v>
      </c>
      <c r="F28" s="3" t="s">
        <v>2577</v>
      </c>
      <c r="G28" s="3" t="s">
        <v>30</v>
      </c>
      <c r="H28" s="3" t="s">
        <v>139</v>
      </c>
      <c r="I28" s="3" t="s">
        <v>310</v>
      </c>
      <c r="J28" s="3" t="s">
        <v>141</v>
      </c>
      <c r="K28" s="3" t="s">
        <v>34</v>
      </c>
      <c r="L28" s="157">
        <v>71.790000000000006</v>
      </c>
      <c r="M28" s="166">
        <v>1</v>
      </c>
      <c r="N28" s="168">
        <v>3.7999999999999999E-2</v>
      </c>
      <c r="O28" s="157">
        <v>71.790000000000006</v>
      </c>
      <c r="P28" s="168">
        <v>0.95169232917725199</v>
      </c>
      <c r="Q28" s="168">
        <v>8.6794560929053504E-3</v>
      </c>
    </row>
    <row r="29" spans="1:17">
      <c r="A29" s="3">
        <v>419</v>
      </c>
      <c r="B29" s="3">
        <v>1472</v>
      </c>
      <c r="C29" s="3" t="s">
        <v>469</v>
      </c>
      <c r="D29" s="3" t="s">
        <v>2876</v>
      </c>
      <c r="E29" s="5" t="s">
        <v>2079</v>
      </c>
      <c r="F29" s="3" t="s">
        <v>2577</v>
      </c>
      <c r="G29" s="3" t="s">
        <v>30</v>
      </c>
      <c r="H29" s="3" t="s">
        <v>139</v>
      </c>
      <c r="I29" s="3" t="s">
        <v>310</v>
      </c>
      <c r="J29" s="3" t="s">
        <v>141</v>
      </c>
      <c r="K29" s="3" t="s">
        <v>34</v>
      </c>
      <c r="L29" s="157">
        <v>-1E-3</v>
      </c>
      <c r="M29" s="166">
        <v>1</v>
      </c>
      <c r="N29" s="168">
        <v>3.7999999999999999E-2</v>
      </c>
      <c r="O29" s="157">
        <v>-1E-3</v>
      </c>
      <c r="P29" s="168">
        <v>-1.6040398096077E-5</v>
      </c>
      <c r="Q29" s="168">
        <v>-1.4628880229389001E-7</v>
      </c>
    </row>
    <row r="30" spans="1:17">
      <c r="A30" s="3">
        <v>419</v>
      </c>
      <c r="B30" s="3">
        <v>12435</v>
      </c>
      <c r="C30" s="3" t="s">
        <v>469</v>
      </c>
      <c r="D30" s="3" t="s">
        <v>2876</v>
      </c>
      <c r="E30" s="5" t="s">
        <v>2079</v>
      </c>
      <c r="F30" s="3" t="s">
        <v>2579</v>
      </c>
      <c r="G30" s="3" t="s">
        <v>30</v>
      </c>
      <c r="H30" s="3" t="s">
        <v>139</v>
      </c>
      <c r="I30" s="3" t="s">
        <v>310</v>
      </c>
      <c r="J30" s="3" t="s">
        <v>141</v>
      </c>
      <c r="K30" s="3" t="s">
        <v>427</v>
      </c>
      <c r="L30" s="157">
        <v>3.4359999999999999</v>
      </c>
      <c r="M30" s="166">
        <v>3.306</v>
      </c>
      <c r="N30" s="168">
        <v>0</v>
      </c>
      <c r="O30" s="157">
        <v>11.359</v>
      </c>
      <c r="P30" s="168">
        <v>9.08076243713693E-3</v>
      </c>
      <c r="Q30" s="168">
        <v>6.4407250021577005E-4</v>
      </c>
    </row>
    <row r="31" spans="1:17">
      <c r="A31" s="3">
        <v>419</v>
      </c>
      <c r="B31" s="3">
        <v>12435</v>
      </c>
      <c r="C31" s="3" t="s">
        <v>469</v>
      </c>
      <c r="D31" s="3" t="s">
        <v>2876</v>
      </c>
      <c r="E31" s="5" t="s">
        <v>2079</v>
      </c>
      <c r="F31" s="3" t="s">
        <v>2579</v>
      </c>
      <c r="G31" s="3" t="s">
        <v>30</v>
      </c>
      <c r="H31" s="3" t="s">
        <v>139</v>
      </c>
      <c r="I31" s="3" t="s">
        <v>310</v>
      </c>
      <c r="J31" s="3" t="s">
        <v>141</v>
      </c>
      <c r="K31" s="3" t="s">
        <v>2881</v>
      </c>
      <c r="L31" s="157">
        <v>8.0000000000000002E-3</v>
      </c>
      <c r="M31" s="166">
        <v>0.42420000000000002</v>
      </c>
      <c r="N31" s="168">
        <v>0</v>
      </c>
      <c r="O31" s="157">
        <v>4.0000000000000001E-3</v>
      </c>
      <c r="P31" s="168">
        <v>2.8147369748671E-6</v>
      </c>
      <c r="Q31" s="168">
        <v>1.9964124085422201E-7</v>
      </c>
    </row>
    <row r="32" spans="1:17">
      <c r="A32" s="3">
        <v>419</v>
      </c>
      <c r="B32" s="3">
        <v>12435</v>
      </c>
      <c r="C32" s="3" t="s">
        <v>469</v>
      </c>
      <c r="D32" s="3" t="s">
        <v>2876</v>
      </c>
      <c r="E32" s="5" t="s">
        <v>2079</v>
      </c>
      <c r="F32" s="3" t="s">
        <v>2579</v>
      </c>
      <c r="G32" s="3" t="s">
        <v>30</v>
      </c>
      <c r="H32" s="3" t="s">
        <v>139</v>
      </c>
      <c r="I32" s="3" t="s">
        <v>310</v>
      </c>
      <c r="J32" s="3" t="s">
        <v>141</v>
      </c>
      <c r="K32" s="3" t="s">
        <v>2877</v>
      </c>
      <c r="L32" s="157">
        <v>3.0000000000000001E-3</v>
      </c>
      <c r="M32" s="166">
        <v>2.3744999999999998</v>
      </c>
      <c r="N32" s="168">
        <v>0</v>
      </c>
      <c r="O32" s="157">
        <v>6.0000000000000001E-3</v>
      </c>
      <c r="P32" s="168">
        <v>5.0304531589095E-6</v>
      </c>
      <c r="Q32" s="168">
        <v>3.5679565077342702E-7</v>
      </c>
    </row>
    <row r="33" spans="1:17">
      <c r="A33" s="3">
        <v>419</v>
      </c>
      <c r="B33" s="3">
        <v>12435</v>
      </c>
      <c r="C33" s="3" t="s">
        <v>469</v>
      </c>
      <c r="D33" s="3" t="s">
        <v>2876</v>
      </c>
      <c r="E33" s="5" t="s">
        <v>2079</v>
      </c>
      <c r="F33" s="3" t="s">
        <v>2579</v>
      </c>
      <c r="G33" s="3" t="s">
        <v>30</v>
      </c>
      <c r="H33" s="3" t="s">
        <v>139</v>
      </c>
      <c r="I33" s="3" t="s">
        <v>310</v>
      </c>
      <c r="J33" s="3" t="s">
        <v>141</v>
      </c>
      <c r="K33" s="3" t="s">
        <v>745</v>
      </c>
      <c r="L33" s="157">
        <v>1E-3</v>
      </c>
      <c r="M33" s="166">
        <v>3.8807</v>
      </c>
      <c r="N33" s="168">
        <v>0</v>
      </c>
      <c r="O33" s="157">
        <v>3.0000000000000001E-3</v>
      </c>
      <c r="P33" s="168">
        <v>2.0475903198997E-6</v>
      </c>
      <c r="Q33" s="168">
        <v>1.4522972337234799E-7</v>
      </c>
    </row>
    <row r="34" spans="1:17">
      <c r="A34" s="3">
        <v>419</v>
      </c>
      <c r="B34" s="3">
        <v>12435</v>
      </c>
      <c r="C34" s="3" t="s">
        <v>469</v>
      </c>
      <c r="D34" s="3" t="s">
        <v>2876</v>
      </c>
      <c r="E34" s="5" t="s">
        <v>2079</v>
      </c>
      <c r="F34" s="3" t="s">
        <v>2579</v>
      </c>
      <c r="G34" s="3" t="s">
        <v>30</v>
      </c>
      <c r="H34" s="3" t="s">
        <v>139</v>
      </c>
      <c r="I34" s="3" t="s">
        <v>310</v>
      </c>
      <c r="J34" s="3" t="s">
        <v>141</v>
      </c>
      <c r="K34" s="3" t="s">
        <v>2878</v>
      </c>
      <c r="L34" s="157">
        <v>0</v>
      </c>
      <c r="M34" s="166">
        <v>2.2332000000000001E-2</v>
      </c>
      <c r="N34" s="168">
        <v>0</v>
      </c>
      <c r="O34" s="157">
        <v>0</v>
      </c>
      <c r="P34" s="168">
        <v>1.74961605972056E-8</v>
      </c>
      <c r="Q34" s="168">
        <v>1.2409526158215201E-9</v>
      </c>
    </row>
    <row r="35" spans="1:17">
      <c r="A35" s="3">
        <v>419</v>
      </c>
      <c r="B35" s="3">
        <v>12435</v>
      </c>
      <c r="C35" s="3" t="s">
        <v>469</v>
      </c>
      <c r="D35" s="3" t="s">
        <v>2876</v>
      </c>
      <c r="E35" s="5" t="s">
        <v>2079</v>
      </c>
      <c r="F35" s="3" t="s">
        <v>2579</v>
      </c>
      <c r="G35" s="3" t="s">
        <v>30</v>
      </c>
      <c r="H35" s="3" t="s">
        <v>139</v>
      </c>
      <c r="I35" s="3" t="s">
        <v>310</v>
      </c>
      <c r="J35" s="3" t="s">
        <v>141</v>
      </c>
      <c r="K35" s="3" t="s">
        <v>2879</v>
      </c>
      <c r="L35" s="157">
        <v>2.3E-2</v>
      </c>
      <c r="M35" s="166">
        <v>0.51990000000000003</v>
      </c>
      <c r="N35" s="168">
        <v>0</v>
      </c>
      <c r="O35" s="157">
        <v>1.2E-2</v>
      </c>
      <c r="P35" s="168">
        <v>9.5013453755376897E-6</v>
      </c>
      <c r="Q35" s="168">
        <v>6.7390324477704699E-7</v>
      </c>
    </row>
    <row r="36" spans="1:17">
      <c r="A36" s="3">
        <v>419</v>
      </c>
      <c r="B36" s="3">
        <v>12435</v>
      </c>
      <c r="C36" s="3" t="s">
        <v>469</v>
      </c>
      <c r="D36" s="3" t="s">
        <v>2876</v>
      </c>
      <c r="E36" s="5" t="s">
        <v>2079</v>
      </c>
      <c r="F36" s="3" t="s">
        <v>2579</v>
      </c>
      <c r="G36" s="3" t="s">
        <v>30</v>
      </c>
      <c r="H36" s="3" t="s">
        <v>139</v>
      </c>
      <c r="I36" s="3" t="s">
        <v>310</v>
      </c>
      <c r="J36" s="3" t="s">
        <v>141</v>
      </c>
      <c r="K36" s="3" t="s">
        <v>1330</v>
      </c>
      <c r="L36" s="157">
        <v>1.913</v>
      </c>
      <c r="M36" s="166">
        <v>4.4409000000000001</v>
      </c>
      <c r="N36" s="168">
        <v>0</v>
      </c>
      <c r="O36" s="157">
        <v>8.4969999999999999</v>
      </c>
      <c r="P36" s="168">
        <v>6.7930658580547002E-3</v>
      </c>
      <c r="Q36" s="168">
        <v>4.8181272680745702E-4</v>
      </c>
    </row>
    <row r="37" spans="1:17">
      <c r="A37" s="3">
        <v>419</v>
      </c>
      <c r="B37" s="3">
        <v>12435</v>
      </c>
      <c r="C37" s="3" t="s">
        <v>469</v>
      </c>
      <c r="D37" s="3" t="s">
        <v>2876</v>
      </c>
      <c r="E37" s="5" t="s">
        <v>2079</v>
      </c>
      <c r="F37" s="3" t="s">
        <v>2577</v>
      </c>
      <c r="G37" s="3" t="s">
        <v>30</v>
      </c>
      <c r="H37" s="3" t="s">
        <v>139</v>
      </c>
      <c r="I37" s="3" t="s">
        <v>310</v>
      </c>
      <c r="J37" s="3" t="s">
        <v>141</v>
      </c>
      <c r="K37" s="3" t="s">
        <v>34</v>
      </c>
      <c r="L37" s="157">
        <v>1230.9880000000001</v>
      </c>
      <c r="M37" s="166">
        <v>1</v>
      </c>
      <c r="N37" s="168">
        <v>3.7999999999999999E-2</v>
      </c>
      <c r="O37" s="157">
        <v>1230.9880000000001</v>
      </c>
      <c r="P37" s="168">
        <v>0.98410794100746402</v>
      </c>
      <c r="Q37" s="168">
        <v>6.97999607890539E-2</v>
      </c>
    </row>
    <row r="38" spans="1:17">
      <c r="A38" s="3">
        <v>419</v>
      </c>
      <c r="B38" s="3">
        <v>12435</v>
      </c>
      <c r="C38" s="3" t="s">
        <v>469</v>
      </c>
      <c r="D38" s="3" t="s">
        <v>2876</v>
      </c>
      <c r="E38" s="5" t="s">
        <v>2079</v>
      </c>
      <c r="F38" s="3" t="s">
        <v>2579</v>
      </c>
      <c r="G38" s="3" t="s">
        <v>30</v>
      </c>
      <c r="H38" s="3" t="s">
        <v>139</v>
      </c>
      <c r="I38" s="3" t="s">
        <v>310</v>
      </c>
      <c r="J38" s="3" t="s">
        <v>141</v>
      </c>
      <c r="K38" s="3" t="s">
        <v>2880</v>
      </c>
      <c r="L38" s="157">
        <v>0</v>
      </c>
      <c r="M38" s="166">
        <v>4.1426999999999996</v>
      </c>
      <c r="N38" s="168">
        <v>0</v>
      </c>
      <c r="O38" s="157">
        <v>1E-3</v>
      </c>
      <c r="P38" s="168">
        <v>7.61728810327546E-7</v>
      </c>
      <c r="Q38" s="168">
        <v>5.4027245261657801E-8</v>
      </c>
    </row>
    <row r="39" spans="1:17">
      <c r="A39" s="3">
        <v>419</v>
      </c>
      <c r="B39" s="3">
        <v>12435</v>
      </c>
      <c r="C39" s="3" t="s">
        <v>469</v>
      </c>
      <c r="D39" s="3" t="s">
        <v>2876</v>
      </c>
      <c r="E39" s="5" t="s">
        <v>2079</v>
      </c>
      <c r="F39" s="3" t="s">
        <v>2577</v>
      </c>
      <c r="G39" s="3" t="s">
        <v>30</v>
      </c>
      <c r="H39" s="3" t="s">
        <v>139</v>
      </c>
      <c r="I39" s="3" t="s">
        <v>310</v>
      </c>
      <c r="J39" s="3" t="s">
        <v>141</v>
      </c>
      <c r="K39" s="3" t="s">
        <v>34</v>
      </c>
      <c r="L39" s="157">
        <v>-2E-3</v>
      </c>
      <c r="M39" s="166">
        <v>1</v>
      </c>
      <c r="N39" s="168">
        <v>3.7999999999999999E-2</v>
      </c>
      <c r="O39" s="157">
        <v>-2E-3</v>
      </c>
      <c r="P39" s="168">
        <v>-1.9426534565211499E-6</v>
      </c>
      <c r="Q39" s="168">
        <v>-1.3778685187021299E-7</v>
      </c>
    </row>
    <row r="40" spans="1:17">
      <c r="A40" s="3">
        <v>419</v>
      </c>
      <c r="B40" s="3">
        <v>15204</v>
      </c>
      <c r="C40" s="3" t="s">
        <v>469</v>
      </c>
      <c r="D40" s="3" t="s">
        <v>2876</v>
      </c>
      <c r="E40" s="5" t="s">
        <v>2079</v>
      </c>
      <c r="F40" s="3" t="s">
        <v>2577</v>
      </c>
      <c r="G40" s="3" t="s">
        <v>30</v>
      </c>
      <c r="H40" s="3" t="s">
        <v>139</v>
      </c>
      <c r="I40" s="3" t="s">
        <v>310</v>
      </c>
      <c r="J40" s="3" t="s">
        <v>141</v>
      </c>
      <c r="K40" s="3" t="s">
        <v>34</v>
      </c>
      <c r="L40" s="157">
        <v>0</v>
      </c>
      <c r="M40" s="166">
        <v>1</v>
      </c>
      <c r="N40" s="168">
        <v>3.7999999999999999E-2</v>
      </c>
      <c r="O40" s="157">
        <v>0</v>
      </c>
      <c r="P40" s="168">
        <v>-4.8919445334767898E-7</v>
      </c>
      <c r="Q40" s="168">
        <v>-6.1457149437084703E-9</v>
      </c>
    </row>
    <row r="41" spans="1:17">
      <c r="A41" s="3">
        <v>419</v>
      </c>
      <c r="B41" s="3">
        <v>15204</v>
      </c>
      <c r="C41" s="3" t="s">
        <v>469</v>
      </c>
      <c r="D41" s="3" t="s">
        <v>2876</v>
      </c>
      <c r="E41" s="5" t="s">
        <v>2079</v>
      </c>
      <c r="F41" s="3" t="s">
        <v>2579</v>
      </c>
      <c r="G41" s="3" t="s">
        <v>30</v>
      </c>
      <c r="H41" s="3" t="s">
        <v>139</v>
      </c>
      <c r="I41" s="3" t="s">
        <v>310</v>
      </c>
      <c r="J41" s="3" t="s">
        <v>141</v>
      </c>
      <c r="K41" s="3" t="s">
        <v>427</v>
      </c>
      <c r="L41" s="157">
        <v>5.0519999999999996</v>
      </c>
      <c r="M41" s="166">
        <v>3.306</v>
      </c>
      <c r="N41" s="168">
        <v>0</v>
      </c>
      <c r="O41" s="157">
        <v>16.701000000000001</v>
      </c>
      <c r="P41" s="168">
        <v>0.136169590468285</v>
      </c>
      <c r="Q41" s="168">
        <v>1.7106888299586499E-3</v>
      </c>
    </row>
    <row r="42" spans="1:17">
      <c r="A42" s="3">
        <v>419</v>
      </c>
      <c r="B42" s="3">
        <v>15204</v>
      </c>
      <c r="C42" s="3" t="s">
        <v>469</v>
      </c>
      <c r="D42" s="3" t="s">
        <v>2876</v>
      </c>
      <c r="E42" s="5" t="s">
        <v>2079</v>
      </c>
      <c r="F42" s="3" t="s">
        <v>2577</v>
      </c>
      <c r="G42" s="3" t="s">
        <v>30</v>
      </c>
      <c r="H42" s="3" t="s">
        <v>139</v>
      </c>
      <c r="I42" s="3" t="s">
        <v>310</v>
      </c>
      <c r="J42" s="3" t="s">
        <v>141</v>
      </c>
      <c r="K42" s="3" t="s">
        <v>34</v>
      </c>
      <c r="L42" s="157">
        <v>105.949</v>
      </c>
      <c r="M42" s="166">
        <v>1</v>
      </c>
      <c r="N42" s="168">
        <v>3.7999999999999999E-2</v>
      </c>
      <c r="O42" s="157">
        <v>105.949</v>
      </c>
      <c r="P42" s="168">
        <v>0.86383089872616803</v>
      </c>
      <c r="Q42" s="168">
        <v>1.0852245823329901E-2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38"/>
  <sheetViews>
    <sheetView rightToLeft="1" workbookViewId="0">
      <selection activeCell="A2" sqref="A2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7" t="s">
        <v>14</v>
      </c>
      <c r="P1" s="167" t="s">
        <v>15</v>
      </c>
      <c r="Q1" s="22" t="s">
        <v>16</v>
      </c>
      <c r="R1" s="22" t="s">
        <v>17</v>
      </c>
      <c r="S1" s="165" t="s">
        <v>18</v>
      </c>
      <c r="T1" s="171" t="s">
        <v>19</v>
      </c>
      <c r="U1" s="22" t="s">
        <v>20</v>
      </c>
      <c r="V1" s="22" t="s">
        <v>21</v>
      </c>
      <c r="W1" s="22" t="s">
        <v>22</v>
      </c>
      <c r="X1" s="167" t="s">
        <v>23</v>
      </c>
      <c r="Y1" s="167" t="s">
        <v>24</v>
      </c>
      <c r="Z1" s="167" t="s">
        <v>25</v>
      </c>
    </row>
    <row r="2" spans="1:26">
      <c r="A2" s="21">
        <v>14947</v>
      </c>
      <c r="B2" s="21">
        <v>14948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5" t="s">
        <v>34</v>
      </c>
      <c r="M2" s="158">
        <v>5.282</v>
      </c>
      <c r="N2" s="5" t="s">
        <v>35</v>
      </c>
      <c r="O2" s="169">
        <v>0.02</v>
      </c>
      <c r="P2" s="169">
        <v>1.9970000000000002E-2</v>
      </c>
      <c r="R2" s="158">
        <v>32368</v>
      </c>
      <c r="S2" s="170">
        <v>1</v>
      </c>
      <c r="T2" s="172">
        <v>103.02</v>
      </c>
      <c r="U2" s="158">
        <v>33.345999999999997</v>
      </c>
      <c r="W2" s="21" t="s">
        <v>36</v>
      </c>
      <c r="X2" s="169">
        <v>5.0000000000000004E-6</v>
      </c>
      <c r="Y2" s="169">
        <v>0.29415498514598898</v>
      </c>
      <c r="Z2" s="169">
        <v>8.2901338120890095E-2</v>
      </c>
    </row>
    <row r="3" spans="1:26">
      <c r="A3" s="21">
        <v>14947</v>
      </c>
      <c r="B3" s="21">
        <v>14948</v>
      </c>
      <c r="C3" s="21" t="s">
        <v>26</v>
      </c>
      <c r="D3" s="21" t="s">
        <v>37</v>
      </c>
      <c r="E3" s="21" t="s">
        <v>38</v>
      </c>
      <c r="F3" s="21" t="s">
        <v>29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5" t="s">
        <v>34</v>
      </c>
      <c r="M3" s="158">
        <v>3.0049999999999999</v>
      </c>
      <c r="N3" s="5" t="s">
        <v>39</v>
      </c>
      <c r="O3" s="169">
        <v>1.0999999999999999E-2</v>
      </c>
      <c r="P3" s="169">
        <v>1.9990000000000001E-2</v>
      </c>
      <c r="R3" s="158">
        <v>31128</v>
      </c>
      <c r="S3" s="170">
        <v>1</v>
      </c>
      <c r="T3" s="172">
        <v>105.65</v>
      </c>
      <c r="U3" s="158">
        <v>32.887</v>
      </c>
      <c r="W3" s="21" t="s">
        <v>36</v>
      </c>
      <c r="X3" s="169">
        <v>9.9999999999999995E-7</v>
      </c>
      <c r="Y3" s="169">
        <v>0.29010787714962999</v>
      </c>
      <c r="Z3" s="169">
        <v>8.1760746645782506E-2</v>
      </c>
    </row>
    <row r="4" spans="1:26">
      <c r="A4" s="21">
        <v>14947</v>
      </c>
      <c r="B4" s="21">
        <v>14948</v>
      </c>
      <c r="C4" s="21" t="s">
        <v>40</v>
      </c>
      <c r="D4" s="21" t="s">
        <v>41</v>
      </c>
      <c r="E4" s="21" t="s">
        <v>42</v>
      </c>
      <c r="F4" s="21" t="s">
        <v>43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5" t="s">
        <v>34</v>
      </c>
      <c r="M4" s="158">
        <v>4.3780000000000001</v>
      </c>
      <c r="N4" s="5" t="s">
        <v>44</v>
      </c>
      <c r="O4" s="169">
        <v>0.01</v>
      </c>
      <c r="P4" s="169">
        <v>3.934E-2</v>
      </c>
      <c r="R4" s="158">
        <v>53156</v>
      </c>
      <c r="S4" s="170">
        <v>1</v>
      </c>
      <c r="T4" s="172">
        <v>88.66</v>
      </c>
      <c r="U4" s="158">
        <v>47.128</v>
      </c>
      <c r="W4" s="21" t="s">
        <v>36</v>
      </c>
      <c r="X4" s="169">
        <v>9.9999999999999995E-7</v>
      </c>
      <c r="Y4" s="169">
        <v>0.41573713770438198</v>
      </c>
      <c r="Z4" s="169">
        <v>0.11716668682374</v>
      </c>
    </row>
    <row r="5" spans="1:26">
      <c r="A5" s="21">
        <v>419</v>
      </c>
      <c r="B5" s="21">
        <v>419</v>
      </c>
      <c r="C5" s="21" t="s">
        <v>45</v>
      </c>
      <c r="D5" s="21" t="s">
        <v>46</v>
      </c>
      <c r="E5" s="21" t="s">
        <v>47</v>
      </c>
      <c r="F5" s="21" t="s">
        <v>48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5" t="s">
        <v>34</v>
      </c>
      <c r="M5" s="158">
        <v>8.2000000000000003E-2</v>
      </c>
      <c r="N5" s="5" t="s">
        <v>49</v>
      </c>
      <c r="O5" s="169">
        <v>0</v>
      </c>
      <c r="P5" s="169">
        <v>4.7410000000000001E-2</v>
      </c>
      <c r="R5" s="158">
        <v>5729160</v>
      </c>
      <c r="S5" s="170">
        <v>1</v>
      </c>
      <c r="T5" s="172">
        <v>99.62</v>
      </c>
      <c r="U5" s="158">
        <v>5707.3890000000001</v>
      </c>
      <c r="W5" s="21" t="s">
        <v>36</v>
      </c>
      <c r="X5" s="169">
        <v>2.05E-4</v>
      </c>
      <c r="Y5" s="169">
        <v>2.9858980029200299E-2</v>
      </c>
      <c r="Z5" s="169">
        <v>4.8272616504222302E-3</v>
      </c>
    </row>
    <row r="6" spans="1:26">
      <c r="A6" s="21">
        <v>419</v>
      </c>
      <c r="B6" s="21">
        <v>419</v>
      </c>
      <c r="C6" s="21" t="s">
        <v>45</v>
      </c>
      <c r="D6" s="21" t="s">
        <v>50</v>
      </c>
      <c r="E6" s="21" t="s">
        <v>51</v>
      </c>
      <c r="F6" s="21" t="s">
        <v>48</v>
      </c>
      <c r="G6" s="21" t="s">
        <v>30</v>
      </c>
      <c r="H6" s="21" t="s">
        <v>30</v>
      </c>
      <c r="I6" s="21" t="s">
        <v>31</v>
      </c>
      <c r="J6" s="21" t="s">
        <v>32</v>
      </c>
      <c r="K6" s="21" t="s">
        <v>33</v>
      </c>
      <c r="L6" s="5" t="s">
        <v>34</v>
      </c>
      <c r="M6" s="158">
        <v>0.255</v>
      </c>
      <c r="N6" s="5" t="s">
        <v>52</v>
      </c>
      <c r="O6" s="169">
        <v>0</v>
      </c>
      <c r="P6" s="169">
        <v>4.3950000000000003E-2</v>
      </c>
      <c r="R6" s="158">
        <v>6450000</v>
      </c>
      <c r="S6" s="170">
        <v>1</v>
      </c>
      <c r="T6" s="172">
        <v>98.91</v>
      </c>
      <c r="U6" s="158">
        <v>6379.6949999999997</v>
      </c>
      <c r="W6" s="21" t="s">
        <v>36</v>
      </c>
      <c r="X6" s="169">
        <v>4.0299999999999998E-4</v>
      </c>
      <c r="Y6" s="169">
        <v>3.3376238975326697E-2</v>
      </c>
      <c r="Z6" s="169">
        <v>5.39589223353781E-3</v>
      </c>
    </row>
    <row r="7" spans="1:26">
      <c r="A7" s="21">
        <v>419</v>
      </c>
      <c r="B7" s="21">
        <v>419</v>
      </c>
      <c r="C7" s="21" t="s">
        <v>26</v>
      </c>
      <c r="D7" s="21" t="s">
        <v>53</v>
      </c>
      <c r="E7" s="21" t="s">
        <v>54</v>
      </c>
      <c r="F7" s="21" t="s">
        <v>29</v>
      </c>
      <c r="G7" s="21" t="s">
        <v>30</v>
      </c>
      <c r="H7" s="21" t="s">
        <v>30</v>
      </c>
      <c r="I7" s="21" t="s">
        <v>31</v>
      </c>
      <c r="J7" s="21" t="s">
        <v>32</v>
      </c>
      <c r="K7" s="21" t="s">
        <v>33</v>
      </c>
      <c r="L7" s="5" t="s">
        <v>34</v>
      </c>
      <c r="M7" s="158">
        <v>1.6419999999999999</v>
      </c>
      <c r="N7" s="5" t="s">
        <v>55</v>
      </c>
      <c r="O7" s="169">
        <v>7.4999999999999997E-3</v>
      </c>
      <c r="P7" s="169">
        <v>2.0979999999999999E-2</v>
      </c>
      <c r="R7" s="158">
        <v>9720572</v>
      </c>
      <c r="S7" s="170">
        <v>1</v>
      </c>
      <c r="T7" s="172">
        <v>117.66</v>
      </c>
      <c r="U7" s="158">
        <v>11437.225</v>
      </c>
      <c r="W7" s="21" t="s">
        <v>36</v>
      </c>
      <c r="X7" s="169">
        <v>3.9899999999999999E-4</v>
      </c>
      <c r="Y7" s="169">
        <v>5.98353926515139E-2</v>
      </c>
      <c r="Z7" s="169">
        <v>9.6735084722297995E-3</v>
      </c>
    </row>
    <row r="8" spans="1:26">
      <c r="A8" s="21">
        <v>419</v>
      </c>
      <c r="B8" s="21">
        <v>419</v>
      </c>
      <c r="C8" s="21" t="s">
        <v>26</v>
      </c>
      <c r="D8" s="21" t="s">
        <v>56</v>
      </c>
      <c r="E8" s="21" t="s">
        <v>57</v>
      </c>
      <c r="F8" s="21" t="s">
        <v>29</v>
      </c>
      <c r="G8" s="21" t="s">
        <v>30</v>
      </c>
      <c r="H8" s="21" t="s">
        <v>30</v>
      </c>
      <c r="I8" s="21" t="s">
        <v>31</v>
      </c>
      <c r="J8" s="21" t="s">
        <v>32</v>
      </c>
      <c r="K8" s="21" t="s">
        <v>33</v>
      </c>
      <c r="L8" s="5" t="s">
        <v>34</v>
      </c>
      <c r="M8" s="158">
        <v>17.658000000000001</v>
      </c>
      <c r="N8" s="5" t="s">
        <v>58</v>
      </c>
      <c r="O8" s="169">
        <v>0.01</v>
      </c>
      <c r="P8" s="169">
        <v>2.0719999999999999E-2</v>
      </c>
      <c r="R8" s="158">
        <v>3863345</v>
      </c>
      <c r="S8" s="170">
        <v>1</v>
      </c>
      <c r="T8" s="172">
        <v>99.57</v>
      </c>
      <c r="U8" s="158">
        <v>3846.7330000000002</v>
      </c>
      <c r="W8" s="21" t="s">
        <v>36</v>
      </c>
      <c r="X8" s="169">
        <v>1.6899999999999999E-4</v>
      </c>
      <c r="Y8" s="169">
        <v>2.0124702996379602E-2</v>
      </c>
      <c r="Z8" s="169">
        <v>3.2535340090504199E-3</v>
      </c>
    </row>
    <row r="9" spans="1:26">
      <c r="A9" s="21">
        <v>419</v>
      </c>
      <c r="B9" s="21">
        <v>419</v>
      </c>
      <c r="C9" s="21" t="s">
        <v>26</v>
      </c>
      <c r="D9" s="21" t="s">
        <v>59</v>
      </c>
      <c r="E9" s="21" t="s">
        <v>60</v>
      </c>
      <c r="F9" s="21" t="s">
        <v>29</v>
      </c>
      <c r="G9" s="21" t="s">
        <v>30</v>
      </c>
      <c r="H9" s="21" t="s">
        <v>30</v>
      </c>
      <c r="I9" s="21" t="s">
        <v>31</v>
      </c>
      <c r="J9" s="21" t="s">
        <v>32</v>
      </c>
      <c r="K9" s="21" t="s">
        <v>33</v>
      </c>
      <c r="L9" s="5" t="s">
        <v>34</v>
      </c>
      <c r="M9" s="158">
        <v>6.8000000000000005E-2</v>
      </c>
      <c r="N9" s="5" t="s">
        <v>61</v>
      </c>
      <c r="O9" s="169">
        <v>7.4999999999999997E-3</v>
      </c>
      <c r="P9" s="169">
        <v>0.10764</v>
      </c>
      <c r="R9" s="158">
        <v>7349596</v>
      </c>
      <c r="S9" s="170">
        <v>1</v>
      </c>
      <c r="T9" s="172">
        <v>119.27</v>
      </c>
      <c r="U9" s="158">
        <v>8765.8629999999994</v>
      </c>
      <c r="W9" s="21" t="s">
        <v>36</v>
      </c>
      <c r="X9" s="169">
        <v>6.6500000000000001E-4</v>
      </c>
      <c r="Y9" s="169">
        <v>4.5859801023827799E-2</v>
      </c>
      <c r="Z9" s="169">
        <v>7.4140931325123796E-3</v>
      </c>
    </row>
    <row r="10" spans="1:26">
      <c r="A10" s="21">
        <v>419</v>
      </c>
      <c r="B10" s="21">
        <v>419</v>
      </c>
      <c r="C10" s="21" t="s">
        <v>26</v>
      </c>
      <c r="D10" s="21" t="s">
        <v>62</v>
      </c>
      <c r="E10" s="21" t="s">
        <v>63</v>
      </c>
      <c r="F10" s="21" t="s">
        <v>29</v>
      </c>
      <c r="G10" s="21" t="s">
        <v>30</v>
      </c>
      <c r="H10" s="21" t="s">
        <v>30</v>
      </c>
      <c r="I10" s="21" t="s">
        <v>31</v>
      </c>
      <c r="J10" s="21" t="s">
        <v>32</v>
      </c>
      <c r="K10" s="21" t="s">
        <v>33</v>
      </c>
      <c r="L10" s="5" t="s">
        <v>34</v>
      </c>
      <c r="M10" s="158">
        <v>6.1310000000000002</v>
      </c>
      <c r="N10" s="5" t="s">
        <v>64</v>
      </c>
      <c r="O10" s="169">
        <v>1E-3</v>
      </c>
      <c r="P10" s="169">
        <v>1.9009999999999999E-2</v>
      </c>
      <c r="R10" s="158">
        <v>15772682</v>
      </c>
      <c r="S10" s="170">
        <v>1</v>
      </c>
      <c r="T10" s="172">
        <v>106.54</v>
      </c>
      <c r="U10" s="158">
        <v>16804.215</v>
      </c>
      <c r="W10" s="21" t="s">
        <v>36</v>
      </c>
      <c r="X10" s="169">
        <v>4.6099999999999998E-4</v>
      </c>
      <c r="Y10" s="169">
        <v>8.7913530204299595E-2</v>
      </c>
      <c r="Z10" s="169">
        <v>1.42128636843399E-2</v>
      </c>
    </row>
    <row r="11" spans="1:26">
      <c r="A11" s="21">
        <v>419</v>
      </c>
      <c r="B11" s="21">
        <v>419</v>
      </c>
      <c r="C11" s="21" t="s">
        <v>26</v>
      </c>
      <c r="D11" s="21" t="s">
        <v>65</v>
      </c>
      <c r="E11" s="21" t="s">
        <v>66</v>
      </c>
      <c r="F11" s="21" t="s">
        <v>29</v>
      </c>
      <c r="G11" s="21" t="s">
        <v>30</v>
      </c>
      <c r="H11" s="21" t="s">
        <v>30</v>
      </c>
      <c r="I11" s="21" t="s">
        <v>31</v>
      </c>
      <c r="J11" s="21" t="s">
        <v>67</v>
      </c>
      <c r="K11" s="21" t="s">
        <v>67</v>
      </c>
      <c r="L11" s="5" t="s">
        <v>34</v>
      </c>
      <c r="M11" s="158">
        <v>23.983000000000001</v>
      </c>
      <c r="N11" s="5" t="s">
        <v>68</v>
      </c>
      <c r="O11" s="169">
        <v>5.0000000000000001E-3</v>
      </c>
      <c r="P11" s="169">
        <v>2.1409999999999998E-2</v>
      </c>
      <c r="R11" s="158">
        <v>943121</v>
      </c>
      <c r="S11" s="170">
        <v>1</v>
      </c>
      <c r="T11" s="172">
        <v>80.45</v>
      </c>
      <c r="U11" s="158">
        <v>758.74099999999999</v>
      </c>
      <c r="W11" s="21" t="s">
        <v>36</v>
      </c>
      <c r="X11" s="169">
        <v>3.0000000000000001E-5</v>
      </c>
      <c r="Y11" s="169">
        <v>3.9694555533412203E-3</v>
      </c>
      <c r="Z11" s="169">
        <v>6.4173660811456799E-4</v>
      </c>
    </row>
    <row r="12" spans="1:26">
      <c r="A12" s="21">
        <v>419</v>
      </c>
      <c r="B12" s="21">
        <v>419</v>
      </c>
      <c r="C12" s="21" t="s">
        <v>40</v>
      </c>
      <c r="D12" s="21" t="s">
        <v>69</v>
      </c>
      <c r="E12" s="21" t="s">
        <v>70</v>
      </c>
      <c r="F12" s="21" t="s">
        <v>43</v>
      </c>
      <c r="G12" s="21" t="s">
        <v>30</v>
      </c>
      <c r="H12" s="21" t="s">
        <v>30</v>
      </c>
      <c r="I12" s="21" t="s">
        <v>31</v>
      </c>
      <c r="J12" s="21" t="s">
        <v>32</v>
      </c>
      <c r="K12" s="21" t="s">
        <v>33</v>
      </c>
      <c r="L12" s="5" t="s">
        <v>34</v>
      </c>
      <c r="M12" s="158">
        <v>3.1869999999999998</v>
      </c>
      <c r="N12" s="5" t="s">
        <v>71</v>
      </c>
      <c r="O12" s="169">
        <v>3.7499999999999999E-2</v>
      </c>
      <c r="P12" s="169">
        <v>3.9239999999999997E-2</v>
      </c>
      <c r="R12" s="158">
        <v>11734036</v>
      </c>
      <c r="S12" s="170">
        <v>1</v>
      </c>
      <c r="T12" s="172">
        <v>101.7</v>
      </c>
      <c r="U12" s="158">
        <v>11933.514999999999</v>
      </c>
      <c r="W12" s="21" t="s">
        <v>36</v>
      </c>
      <c r="X12" s="169">
        <v>3.3500000000000001E-4</v>
      </c>
      <c r="Y12" s="169">
        <v>6.2431798934849597E-2</v>
      </c>
      <c r="Z12" s="169">
        <v>1.0093266028188001E-2</v>
      </c>
    </row>
    <row r="13" spans="1:26">
      <c r="A13" s="21">
        <v>419</v>
      </c>
      <c r="B13" s="21">
        <v>419</v>
      </c>
      <c r="C13" s="21" t="s">
        <v>40</v>
      </c>
      <c r="D13" s="21" t="s">
        <v>72</v>
      </c>
      <c r="E13" s="21" t="s">
        <v>73</v>
      </c>
      <c r="F13" s="21" t="s">
        <v>43</v>
      </c>
      <c r="G13" s="21" t="s">
        <v>30</v>
      </c>
      <c r="H13" s="21" t="s">
        <v>30</v>
      </c>
      <c r="I13" s="21" t="s">
        <v>31</v>
      </c>
      <c r="J13" s="21" t="s">
        <v>32</v>
      </c>
      <c r="K13" s="21" t="s">
        <v>33</v>
      </c>
      <c r="L13" s="5" t="s">
        <v>34</v>
      </c>
      <c r="M13" s="158">
        <v>1.462</v>
      </c>
      <c r="N13" s="5" t="s">
        <v>74</v>
      </c>
      <c r="O13" s="169">
        <v>0.02</v>
      </c>
      <c r="P13" s="169">
        <v>3.9870000000000003E-2</v>
      </c>
      <c r="R13" s="158">
        <v>2372518</v>
      </c>
      <c r="S13" s="170">
        <v>1</v>
      </c>
      <c r="T13" s="172">
        <v>98.22</v>
      </c>
      <c r="U13" s="158">
        <v>2330.2869999999998</v>
      </c>
      <c r="W13" s="21" t="s">
        <v>36</v>
      </c>
      <c r="X13" s="169">
        <v>8.3999999999999995E-5</v>
      </c>
      <c r="Y13" s="169">
        <v>1.2191213182992201E-2</v>
      </c>
      <c r="Z13" s="169">
        <v>1.9709372461091598E-3</v>
      </c>
    </row>
    <row r="14" spans="1:26">
      <c r="A14" s="21">
        <v>419</v>
      </c>
      <c r="B14" s="21">
        <v>419</v>
      </c>
      <c r="C14" s="21" t="s">
        <v>40</v>
      </c>
      <c r="D14" s="21" t="s">
        <v>75</v>
      </c>
      <c r="E14" s="21" t="s">
        <v>76</v>
      </c>
      <c r="F14" s="21" t="s">
        <v>43</v>
      </c>
      <c r="G14" s="21" t="s">
        <v>30</v>
      </c>
      <c r="H14" s="21" t="s">
        <v>30</v>
      </c>
      <c r="I14" s="21" t="s">
        <v>31</v>
      </c>
      <c r="J14" s="21" t="s">
        <v>32</v>
      </c>
      <c r="K14" s="21" t="s">
        <v>33</v>
      </c>
      <c r="L14" s="5" t="s">
        <v>34</v>
      </c>
      <c r="M14" s="158">
        <v>7.9119999999999999</v>
      </c>
      <c r="N14" s="5" t="s">
        <v>77</v>
      </c>
      <c r="O14" s="169">
        <v>0.04</v>
      </c>
      <c r="P14" s="169">
        <v>4.104E-2</v>
      </c>
      <c r="R14" s="158">
        <v>9369892</v>
      </c>
      <c r="S14" s="170">
        <v>1</v>
      </c>
      <c r="T14" s="172">
        <v>101.25</v>
      </c>
      <c r="U14" s="158">
        <v>9487.0159999999996</v>
      </c>
      <c r="W14" s="21" t="s">
        <v>36</v>
      </c>
      <c r="X14" s="169">
        <v>2.63E-4</v>
      </c>
      <c r="Y14" s="169">
        <v>4.9632608063091499E-2</v>
      </c>
      <c r="Z14" s="169">
        <v>8.0240378364932301E-3</v>
      </c>
    </row>
    <row r="15" spans="1:26">
      <c r="A15" s="21">
        <v>419</v>
      </c>
      <c r="B15" s="21">
        <v>419</v>
      </c>
      <c r="C15" s="21" t="s">
        <v>40</v>
      </c>
      <c r="D15" s="21" t="s">
        <v>78</v>
      </c>
      <c r="E15" s="21" t="s">
        <v>79</v>
      </c>
      <c r="F15" s="21" t="s">
        <v>43</v>
      </c>
      <c r="G15" s="21" t="s">
        <v>30</v>
      </c>
      <c r="H15" s="21" t="s">
        <v>30</v>
      </c>
      <c r="I15" s="21" t="s">
        <v>31</v>
      </c>
      <c r="J15" s="21" t="s">
        <v>32</v>
      </c>
      <c r="K15" s="21" t="s">
        <v>33</v>
      </c>
      <c r="L15" s="5" t="s">
        <v>34</v>
      </c>
      <c r="M15" s="158">
        <v>14.433999999999999</v>
      </c>
      <c r="N15" s="5" t="s">
        <v>80</v>
      </c>
      <c r="O15" s="169">
        <v>3.7499999999999999E-2</v>
      </c>
      <c r="P15" s="169">
        <v>4.4900000000000002E-2</v>
      </c>
      <c r="R15" s="158">
        <v>2001868</v>
      </c>
      <c r="S15" s="170">
        <v>1</v>
      </c>
      <c r="T15" s="172">
        <v>91.85</v>
      </c>
      <c r="U15" s="158">
        <v>1838.7159999999999</v>
      </c>
      <c r="W15" s="21" t="s">
        <v>36</v>
      </c>
      <c r="X15" s="169">
        <v>7.6000000000000004E-5</v>
      </c>
      <c r="Y15" s="169">
        <v>9.6194906726273007E-3</v>
      </c>
      <c r="Z15" s="169">
        <v>1.5551702829485999E-3</v>
      </c>
    </row>
    <row r="16" spans="1:26">
      <c r="A16" s="21">
        <v>419</v>
      </c>
      <c r="B16" s="21">
        <v>419</v>
      </c>
      <c r="C16" s="21" t="s">
        <v>26</v>
      </c>
      <c r="D16" s="21" t="s">
        <v>81</v>
      </c>
      <c r="E16" s="21" t="s">
        <v>82</v>
      </c>
      <c r="F16" s="21" t="s">
        <v>29</v>
      </c>
      <c r="G16" s="21" t="s">
        <v>30</v>
      </c>
      <c r="H16" s="21" t="s">
        <v>30</v>
      </c>
      <c r="I16" s="21" t="s">
        <v>31</v>
      </c>
      <c r="J16" s="21" t="s">
        <v>32</v>
      </c>
      <c r="K16" s="21" t="s">
        <v>33</v>
      </c>
      <c r="L16" s="5" t="s">
        <v>34</v>
      </c>
      <c r="M16" s="158">
        <v>13.218999999999999</v>
      </c>
      <c r="N16" s="5" t="s">
        <v>83</v>
      </c>
      <c r="O16" s="169">
        <v>2.75E-2</v>
      </c>
      <c r="P16" s="169">
        <v>2.019E-2</v>
      </c>
      <c r="R16" s="158">
        <v>3872408</v>
      </c>
      <c r="S16" s="170">
        <v>1</v>
      </c>
      <c r="T16" s="172">
        <v>139.93</v>
      </c>
      <c r="U16" s="158">
        <v>5418.6610000000001</v>
      </c>
      <c r="W16" s="21" t="s">
        <v>36</v>
      </c>
      <c r="X16" s="169">
        <v>1.92E-4</v>
      </c>
      <c r="Y16" s="169">
        <v>2.8348456823528601E-2</v>
      </c>
      <c r="Z16" s="169">
        <v>4.5830573696436904E-3</v>
      </c>
    </row>
    <row r="17" spans="1:26">
      <c r="A17" s="21">
        <v>419</v>
      </c>
      <c r="B17" s="21">
        <v>419</v>
      </c>
      <c r="C17" s="21" t="s">
        <v>40</v>
      </c>
      <c r="D17" s="21" t="s">
        <v>84</v>
      </c>
      <c r="E17" s="21" t="s">
        <v>85</v>
      </c>
      <c r="F17" s="21" t="s">
        <v>43</v>
      </c>
      <c r="G17" s="21" t="s">
        <v>30</v>
      </c>
      <c r="H17" s="21" t="s">
        <v>30</v>
      </c>
      <c r="I17" s="21" t="s">
        <v>31</v>
      </c>
      <c r="J17" s="21" t="s">
        <v>32</v>
      </c>
      <c r="K17" s="21" t="s">
        <v>33</v>
      </c>
      <c r="L17" s="5" t="s">
        <v>34</v>
      </c>
      <c r="M17" s="158">
        <v>11.16</v>
      </c>
      <c r="N17" s="5" t="s">
        <v>86</v>
      </c>
      <c r="O17" s="169">
        <v>5.5E-2</v>
      </c>
      <c r="P17" s="169">
        <v>4.3470000000000002E-2</v>
      </c>
      <c r="R17" s="158">
        <v>1681687</v>
      </c>
      <c r="S17" s="170">
        <v>1</v>
      </c>
      <c r="T17" s="172">
        <v>117</v>
      </c>
      <c r="U17" s="158">
        <v>1967.5740000000001</v>
      </c>
      <c r="W17" s="21" t="s">
        <v>36</v>
      </c>
      <c r="X17" s="169">
        <v>5.3999999999999998E-5</v>
      </c>
      <c r="Y17" s="169">
        <v>1.02936289300083E-2</v>
      </c>
      <c r="Z17" s="169">
        <v>1.66415731980503E-3</v>
      </c>
    </row>
    <row r="18" spans="1:26">
      <c r="A18" s="21">
        <v>419</v>
      </c>
      <c r="B18" s="21">
        <v>419</v>
      </c>
      <c r="C18" s="21" t="s">
        <v>87</v>
      </c>
      <c r="D18" s="21" t="s">
        <v>88</v>
      </c>
      <c r="E18" s="21" t="s">
        <v>89</v>
      </c>
      <c r="F18" s="21" t="s">
        <v>90</v>
      </c>
      <c r="G18" s="21" t="s">
        <v>30</v>
      </c>
      <c r="H18" s="21" t="s">
        <v>30</v>
      </c>
      <c r="I18" s="21" t="s">
        <v>31</v>
      </c>
      <c r="J18" s="21" t="s">
        <v>32</v>
      </c>
      <c r="K18" s="21" t="s">
        <v>33</v>
      </c>
      <c r="L18" s="5" t="s">
        <v>34</v>
      </c>
      <c r="M18" s="158">
        <v>0.64200000000000002</v>
      </c>
      <c r="N18" s="5" t="s">
        <v>91</v>
      </c>
      <c r="O18" s="169">
        <v>4.3200000000000002E-2</v>
      </c>
      <c r="P18" s="169">
        <v>4.4479999999999999E-2</v>
      </c>
      <c r="R18" s="158">
        <v>6500300</v>
      </c>
      <c r="S18" s="170">
        <v>1</v>
      </c>
      <c r="T18" s="172">
        <v>100.25</v>
      </c>
      <c r="U18" s="158">
        <v>6516.5510000000004</v>
      </c>
      <c r="W18" s="21" t="s">
        <v>36</v>
      </c>
      <c r="X18" s="169">
        <v>3.0600000000000001E-4</v>
      </c>
      <c r="Y18" s="169">
        <v>3.4092218378283697E-2</v>
      </c>
      <c r="Z18" s="169">
        <v>5.5116436728370301E-3</v>
      </c>
    </row>
    <row r="19" spans="1:26">
      <c r="A19" s="21">
        <v>419</v>
      </c>
      <c r="B19" s="21">
        <v>419</v>
      </c>
      <c r="C19" s="21" t="s">
        <v>26</v>
      </c>
      <c r="D19" s="21" t="s">
        <v>92</v>
      </c>
      <c r="E19" s="21" t="s">
        <v>93</v>
      </c>
      <c r="F19" s="21" t="s">
        <v>29</v>
      </c>
      <c r="G19" s="21" t="s">
        <v>30</v>
      </c>
      <c r="H19" s="21" t="s">
        <v>30</v>
      </c>
      <c r="I19" s="21" t="s">
        <v>31</v>
      </c>
      <c r="J19" s="21" t="s">
        <v>32</v>
      </c>
      <c r="K19" s="21" t="s">
        <v>33</v>
      </c>
      <c r="L19" s="5" t="s">
        <v>34</v>
      </c>
      <c r="M19" s="158">
        <v>3.621</v>
      </c>
      <c r="N19" s="5" t="s">
        <v>94</v>
      </c>
      <c r="O19" s="169">
        <v>5.0000000000000001E-3</v>
      </c>
      <c r="P19" s="169">
        <v>1.9359999999999999E-2</v>
      </c>
      <c r="R19" s="158">
        <v>21939318</v>
      </c>
      <c r="S19" s="170">
        <v>1</v>
      </c>
      <c r="T19" s="172">
        <v>113</v>
      </c>
      <c r="U19" s="158">
        <v>24791.429</v>
      </c>
      <c r="W19" s="21" t="s">
        <v>36</v>
      </c>
      <c r="X19" s="169">
        <v>7.45E-4</v>
      </c>
      <c r="Y19" s="169">
        <v>0.129699722352207</v>
      </c>
      <c r="Z19" s="169">
        <v>2.0968381879385701E-2</v>
      </c>
    </row>
    <row r="20" spans="1:26">
      <c r="A20" s="5">
        <v>419</v>
      </c>
      <c r="B20" s="5">
        <v>419</v>
      </c>
      <c r="C20" s="5" t="s">
        <v>26</v>
      </c>
      <c r="D20" s="5" t="s">
        <v>95</v>
      </c>
      <c r="E20" s="5" t="s">
        <v>96</v>
      </c>
      <c r="F20" s="21" t="s">
        <v>29</v>
      </c>
      <c r="G20" s="21" t="s">
        <v>30</v>
      </c>
      <c r="H20" s="21" t="s">
        <v>30</v>
      </c>
      <c r="I20" s="21" t="s">
        <v>31</v>
      </c>
      <c r="J20" s="5" t="s">
        <v>32</v>
      </c>
      <c r="K20" s="21" t="s">
        <v>33</v>
      </c>
      <c r="L20" s="5" t="s">
        <v>34</v>
      </c>
      <c r="M20" s="158">
        <v>0.81599999999999995</v>
      </c>
      <c r="N20" s="5" t="s">
        <v>97</v>
      </c>
      <c r="O20" s="169">
        <v>1E-3</v>
      </c>
      <c r="P20" s="169">
        <v>2.7019999999999999E-2</v>
      </c>
      <c r="R20" s="158">
        <v>5839415</v>
      </c>
      <c r="S20" s="170">
        <v>1</v>
      </c>
      <c r="T20" s="172">
        <v>116.31</v>
      </c>
      <c r="U20" s="158">
        <v>6791.8239999999996</v>
      </c>
      <c r="W20" s="21" t="s">
        <v>36</v>
      </c>
      <c r="X20" s="169">
        <v>2.8899999999999998E-4</v>
      </c>
      <c r="Y20" s="169">
        <v>3.55323455276913E-2</v>
      </c>
      <c r="Z20" s="169">
        <v>5.7444671166810204E-3</v>
      </c>
    </row>
    <row r="21" spans="1:26" s="45" customFormat="1">
      <c r="A21" s="45">
        <v>419</v>
      </c>
      <c r="B21" s="45">
        <v>419</v>
      </c>
      <c r="C21" s="45" t="s">
        <v>26</v>
      </c>
      <c r="D21" s="45" t="s">
        <v>37</v>
      </c>
      <c r="E21" s="45" t="s">
        <v>38</v>
      </c>
      <c r="F21" s="45" t="s">
        <v>29</v>
      </c>
      <c r="G21" s="45" t="s">
        <v>30</v>
      </c>
      <c r="H21" s="45" t="s">
        <v>30</v>
      </c>
      <c r="I21" s="45" t="s">
        <v>31</v>
      </c>
      <c r="J21" s="45" t="s">
        <v>32</v>
      </c>
      <c r="K21" s="45" t="s">
        <v>33</v>
      </c>
      <c r="L21" s="31" t="s">
        <v>34</v>
      </c>
      <c r="M21" s="158">
        <v>3.0049999999999999</v>
      </c>
      <c r="N21" s="45" t="s">
        <v>39</v>
      </c>
      <c r="O21" s="169">
        <v>1.0999999999999999E-2</v>
      </c>
      <c r="P21" s="169">
        <v>1.9990000000000001E-2</v>
      </c>
      <c r="R21" s="158">
        <v>18940600</v>
      </c>
      <c r="S21" s="170">
        <v>1</v>
      </c>
      <c r="T21" s="172">
        <v>105.65</v>
      </c>
      <c r="U21" s="158">
        <v>20010.743999999999</v>
      </c>
      <c r="W21" s="45" t="s">
        <v>36</v>
      </c>
      <c r="X21" s="169">
        <v>6.0400000000000004E-4</v>
      </c>
      <c r="Y21" s="169">
        <v>0.104688918589441</v>
      </c>
      <c r="Z21" s="169">
        <v>1.6924918447876299E-2</v>
      </c>
    </row>
    <row r="22" spans="1:26">
      <c r="A22" s="5">
        <v>419</v>
      </c>
      <c r="B22" s="5">
        <v>419</v>
      </c>
      <c r="C22" s="5" t="s">
        <v>26</v>
      </c>
      <c r="D22" s="5" t="s">
        <v>98</v>
      </c>
      <c r="E22" s="5" t="s">
        <v>99</v>
      </c>
      <c r="F22" s="5" t="s">
        <v>29</v>
      </c>
      <c r="G22" s="5" t="s">
        <v>30</v>
      </c>
      <c r="H22" s="5" t="s">
        <v>30</v>
      </c>
      <c r="I22" s="5" t="s">
        <v>31</v>
      </c>
      <c r="J22" s="5" t="s">
        <v>32</v>
      </c>
      <c r="K22" s="5" t="s">
        <v>33</v>
      </c>
      <c r="L22" s="21" t="s">
        <v>34</v>
      </c>
      <c r="M22" s="158">
        <v>7.5170000000000003</v>
      </c>
      <c r="N22" s="5" t="s">
        <v>100</v>
      </c>
      <c r="O22" s="169">
        <v>1.6E-2</v>
      </c>
      <c r="P22" s="169">
        <v>1.951E-2</v>
      </c>
      <c r="R22" s="158">
        <v>13329242</v>
      </c>
      <c r="S22" s="170">
        <v>1</v>
      </c>
      <c r="T22" s="172">
        <v>105.4</v>
      </c>
      <c r="U22" s="158">
        <v>14049.021000000001</v>
      </c>
      <c r="W22" s="5" t="s">
        <v>36</v>
      </c>
      <c r="X22" s="169">
        <v>5.04E-4</v>
      </c>
      <c r="Y22" s="169">
        <v>7.3499357655023898E-2</v>
      </c>
      <c r="Z22" s="169">
        <v>1.18825435494378E-2</v>
      </c>
    </row>
    <row r="23" spans="1:26">
      <c r="A23" s="5">
        <v>419</v>
      </c>
      <c r="B23" s="5">
        <v>419</v>
      </c>
      <c r="C23" s="5" t="s">
        <v>40</v>
      </c>
      <c r="D23" s="5" t="s">
        <v>101</v>
      </c>
      <c r="E23" s="5" t="s">
        <v>102</v>
      </c>
      <c r="F23" s="5" t="s">
        <v>43</v>
      </c>
      <c r="G23" s="5" t="s">
        <v>30</v>
      </c>
      <c r="H23" s="5" t="s">
        <v>30</v>
      </c>
      <c r="I23" s="5" t="s">
        <v>31</v>
      </c>
      <c r="J23" s="5" t="s">
        <v>32</v>
      </c>
      <c r="K23" s="5" t="s">
        <v>33</v>
      </c>
      <c r="L23" s="21" t="s">
        <v>34</v>
      </c>
      <c r="M23" s="158">
        <v>10.542999999999999</v>
      </c>
      <c r="N23" s="5" t="s">
        <v>103</v>
      </c>
      <c r="O23" s="169">
        <v>1.4999999999999999E-2</v>
      </c>
      <c r="P23" s="169">
        <v>4.2119999999999998E-2</v>
      </c>
      <c r="R23" s="158">
        <v>5400488</v>
      </c>
      <c r="S23" s="170">
        <v>1</v>
      </c>
      <c r="T23" s="172">
        <v>75.94</v>
      </c>
      <c r="U23" s="158">
        <v>4101.1310000000003</v>
      </c>
      <c r="W23" s="5" t="s">
        <v>36</v>
      </c>
      <c r="X23" s="169">
        <v>1.3799999999999999E-4</v>
      </c>
      <c r="Y23" s="169">
        <v>2.1455620456371199E-2</v>
      </c>
      <c r="Z23" s="169">
        <v>3.46870166743032E-3</v>
      </c>
    </row>
    <row r="24" spans="1:26">
      <c r="A24" s="5">
        <v>419</v>
      </c>
      <c r="B24" s="5">
        <v>419</v>
      </c>
      <c r="C24" s="5" t="s">
        <v>40</v>
      </c>
      <c r="D24" s="5" t="s">
        <v>41</v>
      </c>
      <c r="E24" s="5" t="s">
        <v>42</v>
      </c>
      <c r="F24" s="5" t="s">
        <v>43</v>
      </c>
      <c r="G24" s="5" t="s">
        <v>30</v>
      </c>
      <c r="H24" s="5" t="s">
        <v>30</v>
      </c>
      <c r="I24" s="5" t="s">
        <v>31</v>
      </c>
      <c r="J24" s="5" t="s">
        <v>32</v>
      </c>
      <c r="K24" s="5" t="s">
        <v>33</v>
      </c>
      <c r="L24" s="21" t="s">
        <v>34</v>
      </c>
      <c r="M24" s="158">
        <v>4.3780000000000001</v>
      </c>
      <c r="N24" s="5" t="s">
        <v>44</v>
      </c>
      <c r="O24" s="169">
        <v>0.01</v>
      </c>
      <c r="P24" s="169">
        <v>3.934E-2</v>
      </c>
      <c r="R24" s="158">
        <v>8068034</v>
      </c>
      <c r="S24" s="170">
        <v>1</v>
      </c>
      <c r="T24" s="172">
        <v>88.66</v>
      </c>
      <c r="U24" s="158">
        <v>7153.1189999999997</v>
      </c>
      <c r="W24" s="5" t="s">
        <v>36</v>
      </c>
      <c r="X24" s="169">
        <v>2.14E-4</v>
      </c>
      <c r="Y24" s="169">
        <v>3.7422511155663599E-2</v>
      </c>
      <c r="Z24" s="169">
        <v>6.0500476837309896E-3</v>
      </c>
    </row>
    <row r="25" spans="1:26">
      <c r="A25" s="5">
        <v>419</v>
      </c>
      <c r="B25" s="5">
        <v>419</v>
      </c>
      <c r="C25" s="5" t="s">
        <v>40</v>
      </c>
      <c r="D25" s="5" t="s">
        <v>104</v>
      </c>
      <c r="E25" s="5" t="s">
        <v>105</v>
      </c>
      <c r="F25" s="5" t="s">
        <v>43</v>
      </c>
      <c r="G25" s="5" t="s">
        <v>30</v>
      </c>
      <c r="H25" s="5" t="s">
        <v>30</v>
      </c>
      <c r="I25" s="5" t="s">
        <v>31</v>
      </c>
      <c r="J25" s="5" t="s">
        <v>32</v>
      </c>
      <c r="K25" s="5" t="s">
        <v>33</v>
      </c>
      <c r="L25" s="21" t="s">
        <v>34</v>
      </c>
      <c r="M25" s="158">
        <v>6.2750000000000004</v>
      </c>
      <c r="N25" s="5" t="s">
        <v>106</v>
      </c>
      <c r="O25" s="169">
        <v>1.2999999999999999E-2</v>
      </c>
      <c r="P25" s="169">
        <v>4.027E-2</v>
      </c>
      <c r="R25" s="158">
        <v>15531634</v>
      </c>
      <c r="S25" s="170">
        <v>1</v>
      </c>
      <c r="T25" s="172">
        <v>85.09</v>
      </c>
      <c r="U25" s="158">
        <v>13215.867</v>
      </c>
      <c r="W25" s="5" t="s">
        <v>36</v>
      </c>
      <c r="X25" s="169">
        <v>4.2499999999999998E-4</v>
      </c>
      <c r="Y25" s="169">
        <v>6.9140601177230004E-2</v>
      </c>
      <c r="Z25" s="169">
        <v>1.11778691778347E-2</v>
      </c>
    </row>
    <row r="26" spans="1:26">
      <c r="A26" s="5">
        <v>419</v>
      </c>
      <c r="B26" s="5">
        <v>419</v>
      </c>
      <c r="C26" s="5" t="s">
        <v>45</v>
      </c>
      <c r="D26" s="5" t="s">
        <v>107</v>
      </c>
      <c r="E26" s="5" t="s">
        <v>108</v>
      </c>
      <c r="F26" s="5" t="s">
        <v>48</v>
      </c>
      <c r="G26" s="5" t="s">
        <v>30</v>
      </c>
      <c r="H26" s="5" t="s">
        <v>30</v>
      </c>
      <c r="I26" s="5" t="s">
        <v>31</v>
      </c>
      <c r="J26" s="5" t="s">
        <v>32</v>
      </c>
      <c r="K26" s="5" t="s">
        <v>33</v>
      </c>
      <c r="L26" s="21" t="s">
        <v>34</v>
      </c>
      <c r="M26" s="158">
        <v>0.33200000000000002</v>
      </c>
      <c r="N26" s="5" t="s">
        <v>109</v>
      </c>
      <c r="O26" s="169">
        <v>0</v>
      </c>
      <c r="P26" s="169">
        <v>4.3450000000000003E-2</v>
      </c>
      <c r="R26" s="158">
        <v>3000000</v>
      </c>
      <c r="S26" s="170">
        <v>1</v>
      </c>
      <c r="T26" s="172">
        <v>98.6</v>
      </c>
      <c r="U26" s="158">
        <v>2958</v>
      </c>
      <c r="W26" s="5" t="s">
        <v>36</v>
      </c>
      <c r="X26" s="169">
        <v>1.6699999999999999E-4</v>
      </c>
      <c r="Y26" s="169">
        <v>1.54751778712018E-2</v>
      </c>
      <c r="Z26" s="169">
        <v>2.50185145634781E-3</v>
      </c>
    </row>
    <row r="27" spans="1:26">
      <c r="A27" s="5">
        <v>419</v>
      </c>
      <c r="B27" s="5">
        <v>419</v>
      </c>
      <c r="C27" s="5" t="s">
        <v>45</v>
      </c>
      <c r="D27" s="5" t="s">
        <v>110</v>
      </c>
      <c r="E27" s="5" t="s">
        <v>111</v>
      </c>
      <c r="F27" s="5" t="s">
        <v>48</v>
      </c>
      <c r="G27" s="5" t="s">
        <v>30</v>
      </c>
      <c r="H27" s="5" t="s">
        <v>30</v>
      </c>
      <c r="I27" s="5" t="s">
        <v>31</v>
      </c>
      <c r="J27" s="5" t="s">
        <v>32</v>
      </c>
      <c r="K27" s="5" t="s">
        <v>33</v>
      </c>
      <c r="L27" s="5" t="s">
        <v>34</v>
      </c>
      <c r="M27" s="158">
        <v>0.58099999999999996</v>
      </c>
      <c r="N27" s="5" t="s">
        <v>112</v>
      </c>
      <c r="O27" s="169">
        <v>0</v>
      </c>
      <c r="P27" s="169">
        <v>4.2160000000000003E-2</v>
      </c>
      <c r="R27" s="158">
        <v>5000000</v>
      </c>
      <c r="S27" s="170">
        <v>1</v>
      </c>
      <c r="T27" s="172">
        <v>97.63</v>
      </c>
      <c r="U27" s="158">
        <v>4881.5</v>
      </c>
      <c r="W27" s="5" t="s">
        <v>36</v>
      </c>
      <c r="X27" s="169">
        <v>2.7799999999999998E-4</v>
      </c>
      <c r="Y27" s="169">
        <v>2.55382287958997E-2</v>
      </c>
      <c r="Z27" s="169">
        <v>4.1287315362278001E-3</v>
      </c>
    </row>
    <row r="28" spans="1:26">
      <c r="A28" s="5">
        <v>419</v>
      </c>
      <c r="B28" s="5">
        <v>1472</v>
      </c>
      <c r="C28" s="5" t="s">
        <v>45</v>
      </c>
      <c r="D28" s="5" t="s">
        <v>50</v>
      </c>
      <c r="E28" s="5" t="s">
        <v>51</v>
      </c>
      <c r="F28" s="5" t="s">
        <v>48</v>
      </c>
      <c r="G28" s="5" t="s">
        <v>30</v>
      </c>
      <c r="H28" s="5" t="s">
        <v>30</v>
      </c>
      <c r="I28" s="5" t="s">
        <v>31</v>
      </c>
      <c r="J28" s="5" t="s">
        <v>32</v>
      </c>
      <c r="K28" s="5" t="s">
        <v>33</v>
      </c>
      <c r="L28" s="5" t="s">
        <v>34</v>
      </c>
      <c r="M28" s="158">
        <v>0.255</v>
      </c>
      <c r="N28" s="5" t="s">
        <v>52</v>
      </c>
      <c r="O28" s="169">
        <v>0</v>
      </c>
      <c r="P28" s="169">
        <v>4.3950000000000003E-2</v>
      </c>
      <c r="R28" s="158">
        <v>150000</v>
      </c>
      <c r="S28" s="170">
        <v>1</v>
      </c>
      <c r="T28" s="172">
        <v>98.91</v>
      </c>
      <c r="U28" s="158">
        <v>148.36500000000001</v>
      </c>
      <c r="W28" s="5" t="s">
        <v>36</v>
      </c>
      <c r="X28" s="169">
        <v>9.0000000000000002E-6</v>
      </c>
      <c r="Y28" s="169">
        <v>2.24761683724467E-2</v>
      </c>
      <c r="Z28" s="169">
        <v>1.79373042581265E-2</v>
      </c>
    </row>
    <row r="29" spans="1:26">
      <c r="A29" s="5">
        <v>419</v>
      </c>
      <c r="B29" s="5">
        <v>1472</v>
      </c>
      <c r="C29" s="5" t="s">
        <v>45</v>
      </c>
      <c r="D29" s="5" t="s">
        <v>113</v>
      </c>
      <c r="E29" s="5" t="s">
        <v>114</v>
      </c>
      <c r="F29" s="5" t="s">
        <v>48</v>
      </c>
      <c r="G29" s="5" t="s">
        <v>30</v>
      </c>
      <c r="H29" s="5" t="s">
        <v>30</v>
      </c>
      <c r="I29" s="5" t="s">
        <v>31</v>
      </c>
      <c r="J29" s="5" t="s">
        <v>32</v>
      </c>
      <c r="K29" s="5" t="s">
        <v>33</v>
      </c>
      <c r="L29" s="5" t="s">
        <v>34</v>
      </c>
      <c r="M29" s="158">
        <v>0.65800000000000003</v>
      </c>
      <c r="N29" s="5" t="s">
        <v>115</v>
      </c>
      <c r="O29" s="169">
        <v>0</v>
      </c>
      <c r="P29" s="169">
        <v>4.2509999999999999E-2</v>
      </c>
      <c r="R29" s="158">
        <v>620000</v>
      </c>
      <c r="S29" s="170">
        <v>1</v>
      </c>
      <c r="T29" s="172">
        <v>97.3</v>
      </c>
      <c r="U29" s="158">
        <v>603.26</v>
      </c>
      <c r="W29" s="5" t="s">
        <v>36</v>
      </c>
      <c r="X29" s="169">
        <v>3.4E-5</v>
      </c>
      <c r="Y29" s="169">
        <v>9.1389298907169306E-2</v>
      </c>
      <c r="Z29" s="169">
        <v>7.2934035431249905E-2</v>
      </c>
    </row>
    <row r="30" spans="1:26">
      <c r="A30" s="5">
        <v>419</v>
      </c>
      <c r="B30" s="5">
        <v>1472</v>
      </c>
      <c r="C30" s="5" t="s">
        <v>26</v>
      </c>
      <c r="D30" s="5" t="s">
        <v>53</v>
      </c>
      <c r="E30" s="5" t="s">
        <v>54</v>
      </c>
      <c r="F30" s="5" t="s">
        <v>29</v>
      </c>
      <c r="G30" s="5" t="s">
        <v>30</v>
      </c>
      <c r="H30" s="5" t="s">
        <v>30</v>
      </c>
      <c r="I30" s="5" t="s">
        <v>31</v>
      </c>
      <c r="J30" s="5" t="s">
        <v>32</v>
      </c>
      <c r="K30" s="5" t="s">
        <v>33</v>
      </c>
      <c r="L30" s="5" t="s">
        <v>34</v>
      </c>
      <c r="M30" s="158">
        <v>1.6419999999999999</v>
      </c>
      <c r="N30" s="5" t="s">
        <v>55</v>
      </c>
      <c r="O30" s="169">
        <v>7.4999999999999997E-3</v>
      </c>
      <c r="P30" s="169">
        <v>2.0979999999999999E-2</v>
      </c>
      <c r="R30" s="158">
        <v>588795</v>
      </c>
      <c r="S30" s="170">
        <v>1</v>
      </c>
      <c r="T30" s="172">
        <v>117.66</v>
      </c>
      <c r="U30" s="158">
        <v>692.77599999999995</v>
      </c>
      <c r="W30" s="5" t="s">
        <v>36</v>
      </c>
      <c r="X30" s="169">
        <v>2.4000000000000001E-5</v>
      </c>
      <c r="Y30" s="169">
        <v>0.104950321492234</v>
      </c>
      <c r="Z30" s="169">
        <v>8.3756529022186998E-2</v>
      </c>
    </row>
    <row r="31" spans="1:26">
      <c r="A31" s="5">
        <v>419</v>
      </c>
      <c r="B31" s="5">
        <v>1472</v>
      </c>
      <c r="C31" s="5" t="s">
        <v>26</v>
      </c>
      <c r="D31" s="5" t="s">
        <v>59</v>
      </c>
      <c r="E31" s="5" t="s">
        <v>60</v>
      </c>
      <c r="F31" s="5" t="s">
        <v>29</v>
      </c>
      <c r="G31" s="5" t="s">
        <v>30</v>
      </c>
      <c r="H31" s="5" t="s">
        <v>30</v>
      </c>
      <c r="I31" s="5" t="s">
        <v>31</v>
      </c>
      <c r="J31" s="5" t="s">
        <v>32</v>
      </c>
      <c r="K31" s="5" t="s">
        <v>33</v>
      </c>
      <c r="L31" s="5" t="s">
        <v>34</v>
      </c>
      <c r="M31" s="158">
        <v>6.8000000000000005E-2</v>
      </c>
      <c r="N31" s="5" t="s">
        <v>61</v>
      </c>
      <c r="O31" s="169">
        <v>7.4999999999999997E-3</v>
      </c>
      <c r="P31" s="169">
        <v>0.10764</v>
      </c>
      <c r="R31" s="158">
        <v>139826</v>
      </c>
      <c r="S31" s="170">
        <v>1</v>
      </c>
      <c r="T31" s="172">
        <v>119.27</v>
      </c>
      <c r="U31" s="158">
        <v>166.77</v>
      </c>
      <c r="W31" s="5" t="s">
        <v>36</v>
      </c>
      <c r="X31" s="169">
        <v>1.2999999999999999E-5</v>
      </c>
      <c r="Y31" s="169">
        <v>2.52644570334466E-2</v>
      </c>
      <c r="Z31" s="169">
        <v>2.0162522597972701E-2</v>
      </c>
    </row>
    <row r="32" spans="1:26">
      <c r="A32" s="5">
        <v>419</v>
      </c>
      <c r="B32" s="5">
        <v>1472</v>
      </c>
      <c r="C32" s="5" t="s">
        <v>40</v>
      </c>
      <c r="D32" s="5" t="s">
        <v>116</v>
      </c>
      <c r="E32" s="5" t="s">
        <v>117</v>
      </c>
      <c r="F32" s="5" t="s">
        <v>43</v>
      </c>
      <c r="G32" s="5" t="s">
        <v>30</v>
      </c>
      <c r="H32" s="5" t="s">
        <v>30</v>
      </c>
      <c r="I32" s="5" t="s">
        <v>31</v>
      </c>
      <c r="J32" s="5" t="s">
        <v>32</v>
      </c>
      <c r="K32" s="5" t="s">
        <v>33</v>
      </c>
      <c r="L32" s="5" t="s">
        <v>34</v>
      </c>
      <c r="M32" s="158">
        <v>2.9140000000000001</v>
      </c>
      <c r="N32" s="5" t="s">
        <v>118</v>
      </c>
      <c r="O32" s="169">
        <v>2.2499999999999999E-2</v>
      </c>
      <c r="P32" s="169">
        <v>3.9399999999999998E-2</v>
      </c>
      <c r="R32" s="158">
        <v>658097</v>
      </c>
      <c r="S32" s="170">
        <v>1</v>
      </c>
      <c r="T32" s="172">
        <v>95.37</v>
      </c>
      <c r="U32" s="158">
        <v>627.62699999999995</v>
      </c>
      <c r="W32" s="5" t="s">
        <v>36</v>
      </c>
      <c r="X32" s="169">
        <v>1.9000000000000001E-5</v>
      </c>
      <c r="Y32" s="169">
        <v>9.5080730460339796E-2</v>
      </c>
      <c r="Z32" s="169">
        <v>7.5880014915833197E-2</v>
      </c>
    </row>
    <row r="33" spans="1:26">
      <c r="A33" s="5">
        <v>419</v>
      </c>
      <c r="B33" s="5">
        <v>1472</v>
      </c>
      <c r="C33" s="5" t="s">
        <v>40</v>
      </c>
      <c r="D33" s="5" t="s">
        <v>69</v>
      </c>
      <c r="E33" s="5" t="s">
        <v>70</v>
      </c>
      <c r="F33" s="5" t="s">
        <v>43</v>
      </c>
      <c r="G33" s="5" t="s">
        <v>30</v>
      </c>
      <c r="H33" s="5" t="s">
        <v>30</v>
      </c>
      <c r="I33" s="5" t="s">
        <v>31</v>
      </c>
      <c r="J33" s="5" t="s">
        <v>32</v>
      </c>
      <c r="K33" s="5" t="s">
        <v>33</v>
      </c>
      <c r="L33" s="5" t="s">
        <v>34</v>
      </c>
      <c r="M33" s="158">
        <v>3.1869999999999998</v>
      </c>
      <c r="N33" s="5" t="s">
        <v>71</v>
      </c>
      <c r="O33" s="169">
        <v>3.7499999999999999E-2</v>
      </c>
      <c r="P33" s="169">
        <v>3.9239999999999997E-2</v>
      </c>
      <c r="R33" s="158">
        <v>445150</v>
      </c>
      <c r="S33" s="170">
        <v>1</v>
      </c>
      <c r="T33" s="172">
        <v>101.7</v>
      </c>
      <c r="U33" s="158">
        <v>452.71800000000002</v>
      </c>
      <c r="W33" s="5" t="s">
        <v>36</v>
      </c>
      <c r="X33" s="169">
        <v>1.2999999999999999E-5</v>
      </c>
      <c r="Y33" s="169">
        <v>6.8583263431143099E-2</v>
      </c>
      <c r="Z33" s="169">
        <v>5.4733477823904503E-2</v>
      </c>
    </row>
    <row r="34" spans="1:26">
      <c r="A34" s="5">
        <v>419</v>
      </c>
      <c r="B34" s="5">
        <v>1472</v>
      </c>
      <c r="C34" s="5" t="s">
        <v>87</v>
      </c>
      <c r="D34" s="5" t="s">
        <v>88</v>
      </c>
      <c r="E34" s="5" t="s">
        <v>89</v>
      </c>
      <c r="F34" s="5" t="s">
        <v>90</v>
      </c>
      <c r="G34" s="5" t="s">
        <v>30</v>
      </c>
      <c r="H34" s="5" t="s">
        <v>30</v>
      </c>
      <c r="I34" s="5" t="s">
        <v>31</v>
      </c>
      <c r="J34" s="5" t="s">
        <v>32</v>
      </c>
      <c r="K34" s="5" t="s">
        <v>33</v>
      </c>
      <c r="L34" s="5" t="s">
        <v>34</v>
      </c>
      <c r="M34" s="158">
        <v>0.64200000000000002</v>
      </c>
      <c r="N34" s="5" t="s">
        <v>91</v>
      </c>
      <c r="O34" s="169">
        <v>4.3200000000000002E-2</v>
      </c>
      <c r="P34" s="169">
        <v>4.4479999999999999E-2</v>
      </c>
      <c r="R34" s="158">
        <v>610412</v>
      </c>
      <c r="S34" s="170">
        <v>1</v>
      </c>
      <c r="T34" s="172">
        <v>100.25</v>
      </c>
      <c r="U34" s="158">
        <v>611.93799999999999</v>
      </c>
      <c r="W34" s="5" t="s">
        <v>36</v>
      </c>
      <c r="X34" s="169">
        <v>2.9E-5</v>
      </c>
      <c r="Y34" s="169">
        <v>9.2703954408272296E-2</v>
      </c>
      <c r="Z34" s="169">
        <v>7.3983207840316395E-2</v>
      </c>
    </row>
    <row r="35" spans="1:26">
      <c r="A35" s="5">
        <v>419</v>
      </c>
      <c r="B35" s="5">
        <v>1472</v>
      </c>
      <c r="C35" s="5" t="s">
        <v>26</v>
      </c>
      <c r="D35" s="5" t="s">
        <v>92</v>
      </c>
      <c r="E35" s="5" t="s">
        <v>93</v>
      </c>
      <c r="F35" s="5" t="s">
        <v>29</v>
      </c>
      <c r="G35" s="5" t="s">
        <v>30</v>
      </c>
      <c r="H35" s="5" t="s">
        <v>30</v>
      </c>
      <c r="I35" s="5" t="s">
        <v>31</v>
      </c>
      <c r="J35" s="5" t="s">
        <v>32</v>
      </c>
      <c r="K35" s="5" t="s">
        <v>33</v>
      </c>
      <c r="L35" s="5" t="s">
        <v>34</v>
      </c>
      <c r="M35" s="158">
        <v>3.621</v>
      </c>
      <c r="N35" s="5" t="s">
        <v>94</v>
      </c>
      <c r="O35" s="169">
        <v>5.0000000000000001E-3</v>
      </c>
      <c r="P35" s="169">
        <v>1.9359999999999999E-2</v>
      </c>
      <c r="R35" s="158">
        <v>1254351</v>
      </c>
      <c r="S35" s="170">
        <v>1</v>
      </c>
      <c r="T35" s="172">
        <v>113</v>
      </c>
      <c r="U35" s="158">
        <v>1417.4169999999999</v>
      </c>
      <c r="W35" s="5" t="s">
        <v>36</v>
      </c>
      <c r="X35" s="169">
        <v>4.3000000000000002E-5</v>
      </c>
      <c r="Y35" s="169">
        <v>0.21472783223661901</v>
      </c>
      <c r="Z35" s="169">
        <v>0.17136543897036599</v>
      </c>
    </row>
    <row r="36" spans="1:26">
      <c r="A36" s="5">
        <v>419</v>
      </c>
      <c r="B36" s="5">
        <v>1472</v>
      </c>
      <c r="C36" s="5" t="s">
        <v>26</v>
      </c>
      <c r="D36" s="5" t="s">
        <v>95</v>
      </c>
      <c r="E36" s="5" t="s">
        <v>96</v>
      </c>
      <c r="F36" s="5" t="s">
        <v>29</v>
      </c>
      <c r="G36" s="5" t="s">
        <v>30</v>
      </c>
      <c r="H36" s="5" t="s">
        <v>30</v>
      </c>
      <c r="I36" s="5" t="s">
        <v>31</v>
      </c>
      <c r="J36" s="5" t="s">
        <v>32</v>
      </c>
      <c r="K36" s="5" t="s">
        <v>33</v>
      </c>
      <c r="L36" s="5" t="s">
        <v>34</v>
      </c>
      <c r="M36" s="158">
        <v>0.81599999999999995</v>
      </c>
      <c r="N36" s="5" t="s">
        <v>97</v>
      </c>
      <c r="O36" s="169">
        <v>1E-3</v>
      </c>
      <c r="P36" s="169">
        <v>2.7019999999999999E-2</v>
      </c>
      <c r="R36" s="158">
        <v>860810</v>
      </c>
      <c r="S36" s="170">
        <v>1</v>
      </c>
      <c r="T36" s="172">
        <v>116.31</v>
      </c>
      <c r="U36" s="158">
        <v>1001.208</v>
      </c>
      <c r="W36" s="5" t="s">
        <v>36</v>
      </c>
      <c r="X36" s="169">
        <v>4.3000000000000002E-5</v>
      </c>
      <c r="Y36" s="169">
        <v>0.15167540915104799</v>
      </c>
      <c r="Z36" s="169">
        <v>0.121045897029024</v>
      </c>
    </row>
    <row r="37" spans="1:26">
      <c r="A37" s="5">
        <v>419</v>
      </c>
      <c r="B37" s="5">
        <v>1472</v>
      </c>
      <c r="C37" s="5" t="s">
        <v>26</v>
      </c>
      <c r="D37" s="5" t="s">
        <v>37</v>
      </c>
      <c r="E37" s="5" t="s">
        <v>38</v>
      </c>
      <c r="F37" s="5" t="s">
        <v>29</v>
      </c>
      <c r="G37" s="5" t="s">
        <v>30</v>
      </c>
      <c r="H37" s="5" t="s">
        <v>30</v>
      </c>
      <c r="I37" s="5" t="s">
        <v>31</v>
      </c>
      <c r="J37" s="5" t="s">
        <v>32</v>
      </c>
      <c r="K37" s="5" t="s">
        <v>33</v>
      </c>
      <c r="L37" s="5" t="s">
        <v>34</v>
      </c>
      <c r="M37" s="158">
        <v>3.0049999999999999</v>
      </c>
      <c r="N37" s="5" t="s">
        <v>39</v>
      </c>
      <c r="O37" s="169">
        <v>1.0999999999999999E-2</v>
      </c>
      <c r="P37" s="169">
        <v>1.9990000000000001E-2</v>
      </c>
      <c r="R37" s="158">
        <v>677464</v>
      </c>
      <c r="S37" s="170">
        <v>1</v>
      </c>
      <c r="T37" s="172">
        <v>105.65</v>
      </c>
      <c r="U37" s="158">
        <v>715.74099999999999</v>
      </c>
      <c r="W37" s="5" t="s">
        <v>36</v>
      </c>
      <c r="X37" s="169">
        <v>2.1999999999999999E-5</v>
      </c>
      <c r="Y37" s="169">
        <v>0.108429271349924</v>
      </c>
      <c r="Z37" s="169">
        <v>8.6532935617034401E-2</v>
      </c>
    </row>
    <row r="38" spans="1:26">
      <c r="A38" s="5">
        <v>419</v>
      </c>
      <c r="B38" s="5">
        <v>1472</v>
      </c>
      <c r="C38" s="5" t="s">
        <v>26</v>
      </c>
      <c r="D38" s="5" t="s">
        <v>98</v>
      </c>
      <c r="E38" s="5" t="s">
        <v>99</v>
      </c>
      <c r="F38" s="5" t="s">
        <v>29</v>
      </c>
      <c r="G38" s="5" t="s">
        <v>30</v>
      </c>
      <c r="H38" s="5" t="s">
        <v>30</v>
      </c>
      <c r="I38" s="5" t="s">
        <v>31</v>
      </c>
      <c r="J38" s="5" t="s">
        <v>32</v>
      </c>
      <c r="K38" s="5" t="s">
        <v>33</v>
      </c>
      <c r="L38" s="5" t="s">
        <v>34</v>
      </c>
      <c r="M38" s="158">
        <v>7.5170000000000003</v>
      </c>
      <c r="N38" s="5" t="s">
        <v>100</v>
      </c>
      <c r="O38" s="169">
        <v>1.6E-2</v>
      </c>
      <c r="P38" s="169">
        <v>1.951E-2</v>
      </c>
      <c r="R38" s="158">
        <v>154812</v>
      </c>
      <c r="S38" s="170">
        <v>1</v>
      </c>
      <c r="T38" s="172">
        <v>105.4</v>
      </c>
      <c r="U38" s="158">
        <v>163.172</v>
      </c>
      <c r="W38" s="5" t="s">
        <v>36</v>
      </c>
      <c r="X38" s="169">
        <v>6.0000000000000002E-6</v>
      </c>
      <c r="Y38" s="169">
        <v>2.4719293157356999E-2</v>
      </c>
      <c r="Z38" s="169">
        <v>1.9727449761984098E-2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122</v>
      </c>
      <c r="N1" s="22" t="s">
        <v>123</v>
      </c>
      <c r="O1" s="22" t="s">
        <v>9</v>
      </c>
      <c r="P1" s="22" t="s">
        <v>10</v>
      </c>
      <c r="Q1" s="22" t="s">
        <v>124</v>
      </c>
      <c r="R1" s="22" t="s">
        <v>11</v>
      </c>
      <c r="S1" s="22" t="s">
        <v>12</v>
      </c>
      <c r="T1" s="22" t="s">
        <v>125</v>
      </c>
      <c r="U1" s="22" t="s">
        <v>13</v>
      </c>
      <c r="V1" s="22" t="s">
        <v>14</v>
      </c>
      <c r="W1" s="22" t="s">
        <v>15</v>
      </c>
      <c r="X1" s="22" t="s">
        <v>126</v>
      </c>
      <c r="Y1" s="22" t="s">
        <v>127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128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21"/>
      <c r="X2" s="21"/>
      <c r="Y2" s="3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21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21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43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129</v>
      </c>
      <c r="M1" s="22" t="s">
        <v>8</v>
      </c>
      <c r="N1" s="22" t="s">
        <v>122</v>
      </c>
      <c r="O1" s="22" t="s">
        <v>123</v>
      </c>
      <c r="P1" s="22" t="s">
        <v>9</v>
      </c>
      <c r="Q1" s="22" t="s">
        <v>10</v>
      </c>
      <c r="R1" s="22" t="s">
        <v>124</v>
      </c>
      <c r="S1" s="22" t="s">
        <v>11</v>
      </c>
      <c r="T1" s="22" t="s">
        <v>12</v>
      </c>
      <c r="U1" s="22" t="s">
        <v>13</v>
      </c>
      <c r="V1" s="167" t="s">
        <v>14</v>
      </c>
      <c r="W1" s="167" t="s">
        <v>15</v>
      </c>
      <c r="X1" s="22" t="s">
        <v>126</v>
      </c>
      <c r="Y1" s="22" t="s">
        <v>127</v>
      </c>
      <c r="Z1" s="22" t="s">
        <v>17</v>
      </c>
      <c r="AA1" s="165" t="s">
        <v>18</v>
      </c>
      <c r="AB1" s="171" t="s">
        <v>19</v>
      </c>
      <c r="AC1" s="22" t="s">
        <v>16</v>
      </c>
      <c r="AD1" s="22" t="s">
        <v>20</v>
      </c>
      <c r="AE1" s="22" t="s">
        <v>21</v>
      </c>
      <c r="AF1" s="22" t="s">
        <v>128</v>
      </c>
      <c r="AG1" s="22" t="s">
        <v>22</v>
      </c>
      <c r="AH1" s="167" t="s">
        <v>23</v>
      </c>
      <c r="AI1" s="167" t="s">
        <v>24</v>
      </c>
      <c r="AJ1" s="167" t="s">
        <v>25</v>
      </c>
    </row>
    <row r="2" spans="1:36">
      <c r="A2" s="3">
        <v>419</v>
      </c>
      <c r="B2" s="23">
        <v>419</v>
      </c>
      <c r="C2" s="23" t="s">
        <v>130</v>
      </c>
      <c r="D2" s="23" t="s">
        <v>131</v>
      </c>
      <c r="E2" s="21" t="s">
        <v>132</v>
      </c>
      <c r="F2" s="23" t="s">
        <v>133</v>
      </c>
      <c r="G2" s="23" t="s">
        <v>134</v>
      </c>
      <c r="H2" s="21" t="s">
        <v>135</v>
      </c>
      <c r="I2" s="40" t="s">
        <v>136</v>
      </c>
      <c r="J2" s="21" t="s">
        <v>30</v>
      </c>
      <c r="K2" s="21" t="s">
        <v>30</v>
      </c>
      <c r="L2" s="23" t="s">
        <v>137</v>
      </c>
      <c r="M2" s="21" t="s">
        <v>31</v>
      </c>
      <c r="N2" s="23" t="s">
        <v>138</v>
      </c>
      <c r="O2" s="23" t="s">
        <v>139</v>
      </c>
      <c r="P2" s="23" t="s">
        <v>140</v>
      </c>
      <c r="Q2" s="23" t="s">
        <v>141</v>
      </c>
      <c r="R2" s="23" t="s">
        <v>142</v>
      </c>
      <c r="S2" s="21" t="s">
        <v>34</v>
      </c>
      <c r="T2" s="159">
        <v>0.23599999999999999</v>
      </c>
      <c r="U2" s="23" t="s">
        <v>143</v>
      </c>
      <c r="V2" s="173">
        <v>3.9E-2</v>
      </c>
      <c r="W2" s="173">
        <v>3.9309999999999998E-2</v>
      </c>
      <c r="X2" s="21" t="s">
        <v>144</v>
      </c>
      <c r="Y2" s="31" t="s">
        <v>139</v>
      </c>
      <c r="Z2" s="159">
        <v>273404.34000000003</v>
      </c>
      <c r="AA2" s="174">
        <v>1</v>
      </c>
      <c r="AB2" s="175">
        <v>91.08</v>
      </c>
      <c r="AC2" s="23"/>
      <c r="AD2" s="159">
        <v>249.017</v>
      </c>
      <c r="AE2" s="23"/>
      <c r="AF2" s="40"/>
      <c r="AG2" s="21" t="s">
        <v>36</v>
      </c>
      <c r="AH2" s="168">
        <v>6.9360000000000003E-3</v>
      </c>
      <c r="AI2" s="168">
        <v>1.1348457814507301E-3</v>
      </c>
      <c r="AJ2" s="168">
        <v>2.10616202055341E-4</v>
      </c>
    </row>
    <row r="3" spans="1:36">
      <c r="A3" s="23">
        <v>419</v>
      </c>
      <c r="B3" s="23">
        <v>419</v>
      </c>
      <c r="C3" s="23" t="s">
        <v>145</v>
      </c>
      <c r="D3" s="23" t="s">
        <v>146</v>
      </c>
      <c r="E3" s="21" t="s">
        <v>132</v>
      </c>
      <c r="F3" s="23" t="s">
        <v>147</v>
      </c>
      <c r="G3" s="23" t="s">
        <v>148</v>
      </c>
      <c r="H3" s="21" t="s">
        <v>135</v>
      </c>
      <c r="I3" s="24" t="s">
        <v>149</v>
      </c>
      <c r="J3" s="21" t="s">
        <v>30</v>
      </c>
      <c r="K3" s="21" t="s">
        <v>30</v>
      </c>
      <c r="L3" s="23" t="s">
        <v>137</v>
      </c>
      <c r="M3" s="21" t="s">
        <v>31</v>
      </c>
      <c r="N3" s="23" t="s">
        <v>150</v>
      </c>
      <c r="O3" s="23" t="s">
        <v>139</v>
      </c>
      <c r="P3" s="23" t="s">
        <v>151</v>
      </c>
      <c r="Q3" s="23" t="s">
        <v>141</v>
      </c>
      <c r="R3" s="23" t="s">
        <v>142</v>
      </c>
      <c r="S3" s="21" t="s">
        <v>34</v>
      </c>
      <c r="T3" s="159">
        <v>4.7809999999999997</v>
      </c>
      <c r="U3" s="23" t="s">
        <v>152</v>
      </c>
      <c r="V3" s="173">
        <v>5.1499999999999997E-2</v>
      </c>
      <c r="W3" s="173">
        <v>4.1050000000000003E-2</v>
      </c>
      <c r="X3" s="21" t="s">
        <v>144</v>
      </c>
      <c r="Y3" s="21" t="s">
        <v>139</v>
      </c>
      <c r="Z3" s="159">
        <v>0.22</v>
      </c>
      <c r="AA3" s="174">
        <v>1</v>
      </c>
      <c r="AB3" s="175">
        <v>153.07</v>
      </c>
      <c r="AC3" s="23"/>
      <c r="AD3" s="159">
        <v>0</v>
      </c>
      <c r="AE3" s="23"/>
      <c r="AG3" s="21" t="s">
        <v>36</v>
      </c>
      <c r="AH3" s="168">
        <v>0</v>
      </c>
      <c r="AI3" s="168">
        <v>1.53469184163062E-9</v>
      </c>
      <c r="AJ3" s="168">
        <v>2.8482369348578501E-10</v>
      </c>
    </row>
    <row r="4" spans="1:36">
      <c r="A4" s="23">
        <v>419</v>
      </c>
      <c r="B4" s="23">
        <v>419</v>
      </c>
      <c r="C4" s="23" t="s">
        <v>153</v>
      </c>
      <c r="D4" s="23" t="s">
        <v>154</v>
      </c>
      <c r="E4" s="21" t="s">
        <v>132</v>
      </c>
      <c r="F4" s="23" t="s">
        <v>155</v>
      </c>
      <c r="G4" s="23" t="s">
        <v>156</v>
      </c>
      <c r="H4" s="21" t="s">
        <v>135</v>
      </c>
      <c r="I4" s="24" t="s">
        <v>149</v>
      </c>
      <c r="J4" s="21" t="s">
        <v>30</v>
      </c>
      <c r="K4" s="21" t="s">
        <v>30</v>
      </c>
      <c r="L4" s="23" t="s">
        <v>137</v>
      </c>
      <c r="M4" s="21" t="s">
        <v>31</v>
      </c>
      <c r="N4" s="23" t="s">
        <v>157</v>
      </c>
      <c r="O4" s="23" t="s">
        <v>139</v>
      </c>
      <c r="P4" s="23" t="s">
        <v>140</v>
      </c>
      <c r="Q4" s="23" t="s">
        <v>141</v>
      </c>
      <c r="R4" s="23" t="s">
        <v>142</v>
      </c>
      <c r="S4" s="21" t="s">
        <v>34</v>
      </c>
      <c r="T4" s="159">
        <v>2.3959999999999999</v>
      </c>
      <c r="U4" s="23" t="s">
        <v>158</v>
      </c>
      <c r="V4" s="173">
        <v>2.75E-2</v>
      </c>
      <c r="W4" s="173">
        <v>3.0259999999999999E-2</v>
      </c>
      <c r="X4" s="21" t="s">
        <v>144</v>
      </c>
      <c r="Y4" s="21" t="s">
        <v>139</v>
      </c>
      <c r="Z4" s="159">
        <v>350250.52</v>
      </c>
      <c r="AA4" s="174">
        <v>1</v>
      </c>
      <c r="AB4" s="175">
        <v>117.38</v>
      </c>
      <c r="AC4" s="23"/>
      <c r="AD4" s="159">
        <v>411.12400000000002</v>
      </c>
      <c r="AE4" s="23"/>
      <c r="AG4" s="21" t="s">
        <v>36</v>
      </c>
      <c r="AH4" s="168">
        <v>4.6999999999999999E-4</v>
      </c>
      <c r="AI4" s="168">
        <v>1.87361914441136E-3</v>
      </c>
      <c r="AJ4" s="168">
        <v>3.47725263418297E-4</v>
      </c>
    </row>
    <row r="5" spans="1:36">
      <c r="A5" s="23">
        <v>419</v>
      </c>
      <c r="B5" s="23">
        <v>419</v>
      </c>
      <c r="C5" s="23" t="s">
        <v>153</v>
      </c>
      <c r="D5" s="23" t="s">
        <v>154</v>
      </c>
      <c r="E5" s="21" t="s">
        <v>132</v>
      </c>
      <c r="F5" s="23" t="s">
        <v>159</v>
      </c>
      <c r="G5" s="23" t="s">
        <v>160</v>
      </c>
      <c r="H5" s="21" t="s">
        <v>135</v>
      </c>
      <c r="I5" s="24" t="s">
        <v>161</v>
      </c>
      <c r="J5" s="21" t="s">
        <v>30</v>
      </c>
      <c r="K5" s="21" t="s">
        <v>30</v>
      </c>
      <c r="L5" s="23" t="s">
        <v>137</v>
      </c>
      <c r="M5" s="21" t="s">
        <v>31</v>
      </c>
      <c r="N5" s="23" t="s">
        <v>157</v>
      </c>
      <c r="O5" s="23" t="s">
        <v>139</v>
      </c>
      <c r="P5" s="23" t="s">
        <v>140</v>
      </c>
      <c r="Q5" s="23" t="s">
        <v>141</v>
      </c>
      <c r="R5" s="23" t="s">
        <v>142</v>
      </c>
      <c r="S5" s="21" t="s">
        <v>34</v>
      </c>
      <c r="T5" s="159">
        <v>2.7879999999999998</v>
      </c>
      <c r="U5" s="23" t="s">
        <v>162</v>
      </c>
      <c r="V5" s="173">
        <v>2.5000000000000001E-2</v>
      </c>
      <c r="W5" s="173">
        <v>4.9959999999999997E-2</v>
      </c>
      <c r="X5" s="21" t="s">
        <v>144</v>
      </c>
      <c r="Y5" s="21" t="s">
        <v>139</v>
      </c>
      <c r="Z5" s="159">
        <v>1010704.4</v>
      </c>
      <c r="AA5" s="174">
        <v>1</v>
      </c>
      <c r="AB5" s="175">
        <v>93.71</v>
      </c>
      <c r="AC5" s="23"/>
      <c r="AD5" s="159">
        <v>947.13099999999997</v>
      </c>
      <c r="AE5" s="23"/>
      <c r="AG5" s="21" t="s">
        <v>36</v>
      </c>
      <c r="AH5" s="168">
        <v>1.523E-3</v>
      </c>
      <c r="AI5" s="168">
        <v>4.3163685115844902E-3</v>
      </c>
      <c r="AJ5" s="168">
        <v>8.01075491877887E-4</v>
      </c>
    </row>
    <row r="6" spans="1:36">
      <c r="A6" s="23">
        <v>419</v>
      </c>
      <c r="B6" s="23">
        <v>419</v>
      </c>
      <c r="C6" s="23" t="s">
        <v>163</v>
      </c>
      <c r="D6" s="23" t="s">
        <v>164</v>
      </c>
      <c r="E6" s="21" t="s">
        <v>165</v>
      </c>
      <c r="F6" s="23" t="s">
        <v>166</v>
      </c>
      <c r="G6" s="23" t="s">
        <v>167</v>
      </c>
      <c r="H6" s="21" t="s">
        <v>135</v>
      </c>
      <c r="I6" s="24" t="s">
        <v>161</v>
      </c>
      <c r="J6" s="21" t="s">
        <v>30</v>
      </c>
      <c r="K6" s="21" t="s">
        <v>168</v>
      </c>
      <c r="L6" s="23" t="s">
        <v>169</v>
      </c>
      <c r="M6" s="21" t="s">
        <v>31</v>
      </c>
      <c r="N6" s="23" t="s">
        <v>170</v>
      </c>
      <c r="O6" s="23" t="s">
        <v>139</v>
      </c>
      <c r="P6" s="23" t="s">
        <v>171</v>
      </c>
      <c r="Q6" s="23" t="s">
        <v>172</v>
      </c>
      <c r="R6" s="23" t="s">
        <v>142</v>
      </c>
      <c r="S6" s="21" t="s">
        <v>34</v>
      </c>
      <c r="T6" s="159">
        <v>0</v>
      </c>
      <c r="U6" s="23" t="s">
        <v>173</v>
      </c>
      <c r="V6" s="173">
        <v>0.03</v>
      </c>
      <c r="W6" s="173">
        <v>0</v>
      </c>
      <c r="X6" s="21" t="s">
        <v>144</v>
      </c>
      <c r="Y6" s="21" t="s">
        <v>139</v>
      </c>
      <c r="Z6" s="157">
        <v>200000</v>
      </c>
      <c r="AA6" s="166">
        <v>1</v>
      </c>
      <c r="AB6" s="176">
        <v>0.01</v>
      </c>
      <c r="AC6" s="23"/>
      <c r="AD6" s="157">
        <v>0.02</v>
      </c>
      <c r="AG6" s="3" t="s">
        <v>36</v>
      </c>
      <c r="AH6" s="168">
        <v>0</v>
      </c>
      <c r="AI6" s="168">
        <v>9.1146168516520997E-8</v>
      </c>
      <c r="AJ6" s="168">
        <v>1.6915831347855401E-8</v>
      </c>
    </row>
    <row r="7" spans="1:36">
      <c r="A7" s="23">
        <v>419</v>
      </c>
      <c r="B7" s="23">
        <v>419</v>
      </c>
      <c r="C7" s="23" t="s">
        <v>174</v>
      </c>
      <c r="D7" s="23" t="s">
        <v>175</v>
      </c>
      <c r="E7" s="21" t="s">
        <v>132</v>
      </c>
      <c r="F7" s="23" t="s">
        <v>176</v>
      </c>
      <c r="G7" s="23" t="s">
        <v>177</v>
      </c>
      <c r="H7" s="21" t="s">
        <v>135</v>
      </c>
      <c r="I7" s="24" t="s">
        <v>161</v>
      </c>
      <c r="J7" s="21" t="s">
        <v>30</v>
      </c>
      <c r="K7" s="21" t="s">
        <v>30</v>
      </c>
      <c r="L7" s="23" t="s">
        <v>137</v>
      </c>
      <c r="M7" s="21" t="s">
        <v>31</v>
      </c>
      <c r="N7" s="23" t="s">
        <v>178</v>
      </c>
      <c r="O7" s="23" t="s">
        <v>139</v>
      </c>
      <c r="P7" s="23" t="s">
        <v>179</v>
      </c>
      <c r="Q7" s="23" t="s">
        <v>172</v>
      </c>
      <c r="R7" s="23" t="s">
        <v>142</v>
      </c>
      <c r="S7" s="21" t="s">
        <v>34</v>
      </c>
      <c r="T7" s="159">
        <v>1.6819999999999999</v>
      </c>
      <c r="U7" s="23" t="s">
        <v>180</v>
      </c>
      <c r="V7" s="173">
        <v>2.5499999999999998E-2</v>
      </c>
      <c r="W7" s="173">
        <v>5.1679999999999997E-2</v>
      </c>
      <c r="X7" s="21" t="s">
        <v>144</v>
      </c>
      <c r="Y7" s="21" t="s">
        <v>139</v>
      </c>
      <c r="Z7" s="157">
        <v>1115485.6000000001</v>
      </c>
      <c r="AA7" s="166">
        <v>1</v>
      </c>
      <c r="AB7" s="176">
        <v>96.49</v>
      </c>
      <c r="AC7" s="23"/>
      <c r="AD7" s="157">
        <v>1076.3320000000001</v>
      </c>
      <c r="AG7" s="3" t="s">
        <v>36</v>
      </c>
      <c r="AH7" s="168">
        <v>1.707E-3</v>
      </c>
      <c r="AI7" s="168">
        <v>4.90517714524338E-3</v>
      </c>
      <c r="AJ7" s="168">
        <v>9.10352576205679E-4</v>
      </c>
    </row>
    <row r="8" spans="1:36">
      <c r="A8" s="23">
        <v>419</v>
      </c>
      <c r="B8" s="23">
        <v>419</v>
      </c>
      <c r="C8" s="23" t="s">
        <v>181</v>
      </c>
      <c r="D8" s="23" t="s">
        <v>182</v>
      </c>
      <c r="E8" s="21" t="s">
        <v>132</v>
      </c>
      <c r="F8" s="23" t="s">
        <v>183</v>
      </c>
      <c r="G8" s="23" t="s">
        <v>184</v>
      </c>
      <c r="H8" s="21" t="s">
        <v>135</v>
      </c>
      <c r="I8" s="24" t="s">
        <v>161</v>
      </c>
      <c r="J8" s="21" t="s">
        <v>30</v>
      </c>
      <c r="K8" s="21" t="s">
        <v>30</v>
      </c>
      <c r="L8" s="23" t="s">
        <v>137</v>
      </c>
      <c r="M8" s="21" t="s">
        <v>31</v>
      </c>
      <c r="N8" s="23" t="s">
        <v>185</v>
      </c>
      <c r="O8" s="23" t="s">
        <v>139</v>
      </c>
      <c r="P8" s="23" t="s">
        <v>186</v>
      </c>
      <c r="Q8" s="23" t="s">
        <v>172</v>
      </c>
      <c r="R8" s="23" t="s">
        <v>142</v>
      </c>
      <c r="S8" s="21" t="s">
        <v>34</v>
      </c>
      <c r="T8" s="159">
        <v>5.9370000000000003</v>
      </c>
      <c r="U8" s="23" t="s">
        <v>187</v>
      </c>
      <c r="V8" s="173">
        <v>5.1299999999999998E-2</v>
      </c>
      <c r="W8" s="173">
        <v>5.1470000000000002E-2</v>
      </c>
      <c r="X8" s="21" t="s">
        <v>144</v>
      </c>
      <c r="Y8" s="21" t="s">
        <v>139</v>
      </c>
      <c r="Z8" s="159">
        <v>1700000</v>
      </c>
      <c r="AA8" s="174">
        <v>1</v>
      </c>
      <c r="AB8" s="175">
        <v>100.43</v>
      </c>
      <c r="AC8" s="23"/>
      <c r="AD8" s="159">
        <v>1707.31</v>
      </c>
      <c r="AE8" s="23"/>
      <c r="AG8" s="21" t="s">
        <v>36</v>
      </c>
      <c r="AH8" s="168">
        <v>4.9909999999999998E-3</v>
      </c>
      <c r="AI8" s="168">
        <v>7.7807382484970699E-3</v>
      </c>
      <c r="AJ8" s="168">
        <v>1.44402840092535E-3</v>
      </c>
    </row>
    <row r="9" spans="1:36">
      <c r="A9" s="23">
        <v>419</v>
      </c>
      <c r="B9" s="23">
        <v>419</v>
      </c>
      <c r="C9" s="23" t="s">
        <v>181</v>
      </c>
      <c r="D9" s="23" t="s">
        <v>182</v>
      </c>
      <c r="E9" s="21" t="s">
        <v>132</v>
      </c>
      <c r="F9" s="23" t="s">
        <v>188</v>
      </c>
      <c r="G9" s="23" t="s">
        <v>189</v>
      </c>
      <c r="H9" s="21" t="s">
        <v>135</v>
      </c>
      <c r="I9" s="24" t="s">
        <v>161</v>
      </c>
      <c r="J9" s="21" t="s">
        <v>30</v>
      </c>
      <c r="K9" s="21" t="s">
        <v>30</v>
      </c>
      <c r="L9" s="23" t="s">
        <v>137</v>
      </c>
      <c r="M9" s="21" t="s">
        <v>31</v>
      </c>
      <c r="N9" s="23" t="s">
        <v>185</v>
      </c>
      <c r="O9" s="23" t="s">
        <v>139</v>
      </c>
      <c r="P9" s="23" t="s">
        <v>186</v>
      </c>
      <c r="Q9" s="23" t="s">
        <v>172</v>
      </c>
      <c r="R9" s="23" t="s">
        <v>142</v>
      </c>
      <c r="S9" s="21" t="s">
        <v>34</v>
      </c>
      <c r="T9" s="159">
        <v>3.0779999999999998</v>
      </c>
      <c r="U9" s="23" t="s">
        <v>190</v>
      </c>
      <c r="V9" s="173">
        <v>2.18E-2</v>
      </c>
      <c r="W9" s="173">
        <v>4.58E-2</v>
      </c>
      <c r="X9" s="21" t="s">
        <v>144</v>
      </c>
      <c r="Y9" s="21" t="s">
        <v>139</v>
      </c>
      <c r="Z9" s="159">
        <v>2451569</v>
      </c>
      <c r="AA9" s="174">
        <v>1</v>
      </c>
      <c r="AB9" s="175">
        <v>93.75</v>
      </c>
      <c r="AC9" s="23"/>
      <c r="AD9" s="159">
        <v>2298.346</v>
      </c>
      <c r="AE9" s="23"/>
      <c r="AG9" s="21" t="s">
        <v>36</v>
      </c>
      <c r="AH9" s="168">
        <v>1.4912E-2</v>
      </c>
      <c r="AI9" s="168">
        <v>1.04742713064318E-2</v>
      </c>
      <c r="AJ9" s="168">
        <v>1.9439216128889301E-3</v>
      </c>
    </row>
    <row r="10" spans="1:36">
      <c r="A10" s="23">
        <v>419</v>
      </c>
      <c r="B10" s="23">
        <v>419</v>
      </c>
      <c r="C10" s="23" t="s">
        <v>181</v>
      </c>
      <c r="D10" s="23" t="s">
        <v>182</v>
      </c>
      <c r="E10" s="21" t="s">
        <v>132</v>
      </c>
      <c r="F10" s="23" t="s">
        <v>191</v>
      </c>
      <c r="G10" s="23" t="s">
        <v>192</v>
      </c>
      <c r="H10" s="21" t="s">
        <v>135</v>
      </c>
      <c r="I10" s="24" t="s">
        <v>161</v>
      </c>
      <c r="J10" s="21" t="s">
        <v>30</v>
      </c>
      <c r="K10" s="21" t="s">
        <v>30</v>
      </c>
      <c r="L10" s="23" t="s">
        <v>137</v>
      </c>
      <c r="M10" s="21" t="s">
        <v>31</v>
      </c>
      <c r="N10" s="23" t="s">
        <v>185</v>
      </c>
      <c r="O10" s="23" t="s">
        <v>139</v>
      </c>
      <c r="P10" s="23" t="s">
        <v>186</v>
      </c>
      <c r="Q10" s="23" t="s">
        <v>172</v>
      </c>
      <c r="R10" s="23" t="s">
        <v>142</v>
      </c>
      <c r="S10" s="21" t="s">
        <v>34</v>
      </c>
      <c r="T10" s="159">
        <v>0.112</v>
      </c>
      <c r="U10" s="23" t="s">
        <v>193</v>
      </c>
      <c r="V10" s="173">
        <v>3.27E-2</v>
      </c>
      <c r="W10" s="173">
        <v>5.738E-2</v>
      </c>
      <c r="X10" s="21" t="s">
        <v>144</v>
      </c>
      <c r="Y10" s="21" t="s">
        <v>139</v>
      </c>
      <c r="Z10" s="159">
        <v>142000</v>
      </c>
      <c r="AA10" s="174">
        <v>1</v>
      </c>
      <c r="AB10" s="175">
        <v>101</v>
      </c>
      <c r="AC10" s="23"/>
      <c r="AD10" s="159">
        <v>143.41999999999999</v>
      </c>
      <c r="AE10" s="23"/>
      <c r="AG10" s="21" t="s">
        <v>36</v>
      </c>
      <c r="AH10" s="168">
        <v>4.4999999999999999E-4</v>
      </c>
      <c r="AI10" s="168">
        <v>6.53609174431972E-4</v>
      </c>
      <c r="AJ10" s="168">
        <v>1.21303426595471E-4</v>
      </c>
    </row>
    <row r="11" spans="1:36">
      <c r="A11" s="23">
        <v>419</v>
      </c>
      <c r="B11" s="23">
        <v>419</v>
      </c>
      <c r="C11" s="23" t="s">
        <v>194</v>
      </c>
      <c r="D11" s="23" t="s">
        <v>195</v>
      </c>
      <c r="E11" s="21" t="s">
        <v>132</v>
      </c>
      <c r="F11" s="23" t="s">
        <v>196</v>
      </c>
      <c r="G11" s="23" t="s">
        <v>197</v>
      </c>
      <c r="H11" s="21" t="s">
        <v>135</v>
      </c>
      <c r="I11" s="24" t="s">
        <v>161</v>
      </c>
      <c r="J11" s="21" t="s">
        <v>30</v>
      </c>
      <c r="K11" s="21" t="s">
        <v>30</v>
      </c>
      <c r="L11" s="23" t="s">
        <v>137</v>
      </c>
      <c r="M11" s="21" t="s">
        <v>31</v>
      </c>
      <c r="N11" s="23" t="s">
        <v>150</v>
      </c>
      <c r="O11" s="23" t="s">
        <v>139</v>
      </c>
      <c r="P11" s="23" t="s">
        <v>198</v>
      </c>
      <c r="Q11" s="23" t="s">
        <v>141</v>
      </c>
      <c r="R11" s="23" t="s">
        <v>142</v>
      </c>
      <c r="S11" s="21" t="s">
        <v>34</v>
      </c>
      <c r="T11" s="159">
        <v>7.07</v>
      </c>
      <c r="U11" s="23" t="s">
        <v>199</v>
      </c>
      <c r="V11" s="173">
        <v>2.4E-2</v>
      </c>
      <c r="W11" s="173">
        <v>4.6629999999999998E-2</v>
      </c>
      <c r="X11" s="21" t="s">
        <v>144</v>
      </c>
      <c r="Y11" s="21" t="s">
        <v>139</v>
      </c>
      <c r="Z11" s="159">
        <v>1700000</v>
      </c>
      <c r="AA11" s="174">
        <v>1</v>
      </c>
      <c r="AB11" s="175">
        <v>86.13</v>
      </c>
      <c r="AC11" s="23"/>
      <c r="AD11" s="159">
        <v>1464.21</v>
      </c>
      <c r="AE11" s="23"/>
      <c r="AG11" s="21" t="s">
        <v>36</v>
      </c>
      <c r="AH11" s="168">
        <v>1.083E-3</v>
      </c>
      <c r="AI11" s="168">
        <v>6.6728565701787597E-3</v>
      </c>
      <c r="AJ11" s="168">
        <v>1.2384164708921701E-3</v>
      </c>
    </row>
    <row r="12" spans="1:36">
      <c r="A12" s="23">
        <v>419</v>
      </c>
      <c r="B12" s="23">
        <v>419</v>
      </c>
      <c r="C12" s="23" t="s">
        <v>200</v>
      </c>
      <c r="D12" s="23" t="s">
        <v>201</v>
      </c>
      <c r="E12" s="21" t="s">
        <v>132</v>
      </c>
      <c r="F12" s="23" t="s">
        <v>202</v>
      </c>
      <c r="G12" s="23" t="s">
        <v>203</v>
      </c>
      <c r="H12" s="21" t="s">
        <v>135</v>
      </c>
      <c r="I12" s="24" t="s">
        <v>149</v>
      </c>
      <c r="J12" s="21" t="s">
        <v>30</v>
      </c>
      <c r="K12" s="21" t="s">
        <v>30</v>
      </c>
      <c r="L12" s="23" t="s">
        <v>137</v>
      </c>
      <c r="M12" s="21" t="s">
        <v>31</v>
      </c>
      <c r="N12" s="23" t="s">
        <v>204</v>
      </c>
      <c r="O12" s="23" t="s">
        <v>139</v>
      </c>
      <c r="P12" s="23" t="s">
        <v>198</v>
      </c>
      <c r="Q12" s="23" t="s">
        <v>141</v>
      </c>
      <c r="R12" s="23" t="s">
        <v>142</v>
      </c>
      <c r="S12" s="21" t="s">
        <v>34</v>
      </c>
      <c r="T12" s="159">
        <v>1.7490000000000001</v>
      </c>
      <c r="U12" s="23" t="s">
        <v>71</v>
      </c>
      <c r="V12" s="173">
        <v>2.3400000000000001E-2</v>
      </c>
      <c r="W12" s="173">
        <v>2.9860000000000001E-2</v>
      </c>
      <c r="X12" s="21" t="s">
        <v>144</v>
      </c>
      <c r="Y12" s="21" t="s">
        <v>139</v>
      </c>
      <c r="Z12" s="159">
        <v>403200.01</v>
      </c>
      <c r="AA12" s="174">
        <v>1</v>
      </c>
      <c r="AB12" s="175">
        <v>118.73</v>
      </c>
      <c r="AC12" s="23"/>
      <c r="AD12" s="159">
        <v>478.71899999999999</v>
      </c>
      <c r="AE12" s="23"/>
      <c r="AG12" s="21" t="s">
        <v>36</v>
      </c>
      <c r="AH12" s="168">
        <v>2.4699999999999999E-4</v>
      </c>
      <c r="AI12" s="168">
        <v>2.1816718270429802E-3</v>
      </c>
      <c r="AJ12" s="168">
        <v>4.0489680787774698E-4</v>
      </c>
    </row>
    <row r="13" spans="1:36">
      <c r="A13" s="23">
        <v>419</v>
      </c>
      <c r="B13" s="23">
        <v>419</v>
      </c>
      <c r="C13" s="23" t="s">
        <v>205</v>
      </c>
      <c r="D13" s="23" t="s">
        <v>206</v>
      </c>
      <c r="E13" s="21" t="s">
        <v>132</v>
      </c>
      <c r="F13" s="23" t="s">
        <v>207</v>
      </c>
      <c r="G13" s="23" t="s">
        <v>208</v>
      </c>
      <c r="H13" s="21" t="s">
        <v>135</v>
      </c>
      <c r="I13" s="24" t="s">
        <v>161</v>
      </c>
      <c r="J13" s="21" t="s">
        <v>30</v>
      </c>
      <c r="K13" s="21" t="s">
        <v>30</v>
      </c>
      <c r="L13" s="23" t="s">
        <v>137</v>
      </c>
      <c r="M13" s="21" t="s">
        <v>31</v>
      </c>
      <c r="N13" s="23" t="s">
        <v>204</v>
      </c>
      <c r="O13" s="23" t="s">
        <v>139</v>
      </c>
      <c r="P13" s="23" t="s">
        <v>151</v>
      </c>
      <c r="Q13" s="23" t="s">
        <v>141</v>
      </c>
      <c r="R13" s="23" t="s">
        <v>142</v>
      </c>
      <c r="S13" s="21" t="s">
        <v>34</v>
      </c>
      <c r="T13" s="159">
        <v>3.4430000000000001</v>
      </c>
      <c r="U13" s="23" t="s">
        <v>209</v>
      </c>
      <c r="V13" s="173">
        <v>2.41E-2</v>
      </c>
      <c r="W13" s="173">
        <v>4.8230000000000002E-2</v>
      </c>
      <c r="X13" s="21" t="s">
        <v>144</v>
      </c>
      <c r="Y13" s="21" t="s">
        <v>139</v>
      </c>
      <c r="Z13" s="159">
        <v>1022222.23</v>
      </c>
      <c r="AA13" s="174">
        <v>1</v>
      </c>
      <c r="AB13" s="175">
        <v>93.59</v>
      </c>
      <c r="AC13" s="23"/>
      <c r="AD13" s="159">
        <v>956.69799999999998</v>
      </c>
      <c r="AE13" s="23"/>
      <c r="AG13" s="21" t="s">
        <v>36</v>
      </c>
      <c r="AH13" s="168">
        <v>4.9700000000000005E-4</v>
      </c>
      <c r="AI13" s="168">
        <v>4.3599668768093802E-3</v>
      </c>
      <c r="AJ13" s="168">
        <v>8.09166919144551E-4</v>
      </c>
    </row>
    <row r="14" spans="1:36">
      <c r="A14" s="23">
        <v>419</v>
      </c>
      <c r="B14" s="23">
        <v>419</v>
      </c>
      <c r="C14" s="23" t="s">
        <v>205</v>
      </c>
      <c r="D14" s="23" t="s">
        <v>206</v>
      </c>
      <c r="E14" s="21" t="s">
        <v>132</v>
      </c>
      <c r="F14" s="23" t="s">
        <v>210</v>
      </c>
      <c r="G14" s="23" t="s">
        <v>211</v>
      </c>
      <c r="H14" s="21" t="s">
        <v>135</v>
      </c>
      <c r="I14" s="24" t="s">
        <v>161</v>
      </c>
      <c r="J14" s="21" t="s">
        <v>30</v>
      </c>
      <c r="K14" s="21" t="s">
        <v>30</v>
      </c>
      <c r="L14" s="23" t="s">
        <v>137</v>
      </c>
      <c r="M14" s="21" t="s">
        <v>31</v>
      </c>
      <c r="N14" s="23" t="s">
        <v>204</v>
      </c>
      <c r="O14" s="23" t="s">
        <v>139</v>
      </c>
      <c r="P14" s="23" t="s">
        <v>151</v>
      </c>
      <c r="Q14" s="23" t="s">
        <v>141</v>
      </c>
      <c r="R14" s="23" t="s">
        <v>142</v>
      </c>
      <c r="S14" s="21" t="s">
        <v>34</v>
      </c>
      <c r="T14" s="159">
        <v>5.6870000000000003</v>
      </c>
      <c r="U14" s="23" t="s">
        <v>212</v>
      </c>
      <c r="V14" s="173">
        <v>4.9399999999999999E-2</v>
      </c>
      <c r="W14" s="173">
        <v>5.142E-2</v>
      </c>
      <c r="X14" s="21" t="s">
        <v>144</v>
      </c>
      <c r="Y14" s="21" t="s">
        <v>139</v>
      </c>
      <c r="Z14" s="159">
        <v>1409710</v>
      </c>
      <c r="AA14" s="174">
        <v>1</v>
      </c>
      <c r="AB14" s="175">
        <v>101.81</v>
      </c>
      <c r="AC14" s="23"/>
      <c r="AD14" s="159">
        <v>1435.2260000000001</v>
      </c>
      <c r="AE14" s="23"/>
      <c r="AG14" s="21" t="s">
        <v>36</v>
      </c>
      <c r="AH14" s="168">
        <v>7.5699999999999997E-4</v>
      </c>
      <c r="AI14" s="168">
        <v>6.5407664079948202E-3</v>
      </c>
      <c r="AJ14" s="168">
        <v>1.21390183750075E-3</v>
      </c>
    </row>
    <row r="15" spans="1:36">
      <c r="A15" s="23">
        <v>419</v>
      </c>
      <c r="B15" s="23">
        <v>419</v>
      </c>
      <c r="C15" s="23" t="s">
        <v>213</v>
      </c>
      <c r="D15" s="23" t="s">
        <v>214</v>
      </c>
      <c r="E15" s="21" t="s">
        <v>132</v>
      </c>
      <c r="F15" s="23" t="s">
        <v>215</v>
      </c>
      <c r="G15" s="23" t="s">
        <v>216</v>
      </c>
      <c r="H15" s="21" t="s">
        <v>135</v>
      </c>
      <c r="I15" s="24" t="s">
        <v>161</v>
      </c>
      <c r="J15" s="21" t="s">
        <v>30</v>
      </c>
      <c r="K15" s="21" t="s">
        <v>30</v>
      </c>
      <c r="L15" s="23" t="s">
        <v>137</v>
      </c>
      <c r="M15" s="21" t="s">
        <v>31</v>
      </c>
      <c r="N15" s="23" t="s">
        <v>217</v>
      </c>
      <c r="O15" s="23" t="s">
        <v>139</v>
      </c>
      <c r="P15" s="23" t="s">
        <v>140</v>
      </c>
      <c r="Q15" s="23" t="s">
        <v>141</v>
      </c>
      <c r="R15" s="23" t="s">
        <v>142</v>
      </c>
      <c r="S15" s="21" t="s">
        <v>34</v>
      </c>
      <c r="T15" s="159">
        <v>0.72199999999999998</v>
      </c>
      <c r="U15" s="23" t="s">
        <v>218</v>
      </c>
      <c r="V15" s="173">
        <v>0.04</v>
      </c>
      <c r="W15" s="173">
        <v>5.2479999999999999E-2</v>
      </c>
      <c r="X15" s="21" t="s">
        <v>144</v>
      </c>
      <c r="Y15" s="21" t="s">
        <v>139</v>
      </c>
      <c r="Z15" s="159">
        <v>230621.84</v>
      </c>
      <c r="AA15" s="174">
        <v>1</v>
      </c>
      <c r="AB15" s="175">
        <v>100.23</v>
      </c>
      <c r="AC15" s="23"/>
      <c r="AD15" s="159">
        <v>231.15199999999999</v>
      </c>
      <c r="AE15" s="23"/>
      <c r="AG15" s="21" t="s">
        <v>36</v>
      </c>
      <c r="AH15" s="168">
        <v>3.5010000000000002E-3</v>
      </c>
      <c r="AI15" s="168">
        <v>1.05343218877711E-3</v>
      </c>
      <c r="AJ15" s="168">
        <v>1.9550664094592E-4</v>
      </c>
    </row>
    <row r="16" spans="1:36">
      <c r="A16" s="23">
        <v>419</v>
      </c>
      <c r="B16" s="23">
        <v>419</v>
      </c>
      <c r="C16" s="23" t="s">
        <v>213</v>
      </c>
      <c r="D16" s="23" t="s">
        <v>214</v>
      </c>
      <c r="E16" s="21" t="s">
        <v>132</v>
      </c>
      <c r="F16" s="23" t="s">
        <v>219</v>
      </c>
      <c r="G16" s="23" t="s">
        <v>220</v>
      </c>
      <c r="H16" s="21" t="s">
        <v>135</v>
      </c>
      <c r="I16" s="24" t="s">
        <v>161</v>
      </c>
      <c r="J16" s="21" t="s">
        <v>30</v>
      </c>
      <c r="K16" s="21" t="s">
        <v>30</v>
      </c>
      <c r="L16" s="23" t="s">
        <v>137</v>
      </c>
      <c r="M16" s="21" t="s">
        <v>31</v>
      </c>
      <c r="N16" s="23" t="s">
        <v>217</v>
      </c>
      <c r="O16" s="23" t="s">
        <v>139</v>
      </c>
      <c r="P16" s="23" t="s">
        <v>140</v>
      </c>
      <c r="Q16" s="23" t="s">
        <v>141</v>
      </c>
      <c r="R16" s="23" t="s">
        <v>142</v>
      </c>
      <c r="S16" s="21" t="s">
        <v>34</v>
      </c>
      <c r="T16" s="159">
        <v>2.5489999999999999</v>
      </c>
      <c r="U16" s="23" t="s">
        <v>221</v>
      </c>
      <c r="V16" s="173">
        <v>0.04</v>
      </c>
      <c r="W16" s="173">
        <v>4.802E-2</v>
      </c>
      <c r="X16" s="21" t="s">
        <v>144</v>
      </c>
      <c r="Y16" s="21" t="s">
        <v>139</v>
      </c>
      <c r="Z16" s="159">
        <v>1275000.3600000001</v>
      </c>
      <c r="AA16" s="174">
        <v>1</v>
      </c>
      <c r="AB16" s="175">
        <v>99.07</v>
      </c>
      <c r="AC16" s="23"/>
      <c r="AD16" s="159">
        <v>1263.143</v>
      </c>
      <c r="AE16" s="23"/>
      <c r="AG16" s="21" t="s">
        <v>36</v>
      </c>
      <c r="AH16" s="168">
        <v>2.196E-3</v>
      </c>
      <c r="AI16" s="168">
        <v>5.7565315836421403E-3</v>
      </c>
      <c r="AJ16" s="168">
        <v>1.06835557656868E-3</v>
      </c>
    </row>
    <row r="17" spans="1:36">
      <c r="A17" s="23">
        <v>419</v>
      </c>
      <c r="B17" s="23">
        <v>419</v>
      </c>
      <c r="C17" s="23" t="s">
        <v>213</v>
      </c>
      <c r="D17" s="23" t="s">
        <v>214</v>
      </c>
      <c r="E17" s="21" t="s">
        <v>132</v>
      </c>
      <c r="F17" s="23" t="s">
        <v>222</v>
      </c>
      <c r="G17" s="23" t="s">
        <v>223</v>
      </c>
      <c r="H17" s="21" t="s">
        <v>135</v>
      </c>
      <c r="I17" s="24" t="s">
        <v>161</v>
      </c>
      <c r="J17" s="21" t="s">
        <v>30</v>
      </c>
      <c r="K17" s="21" t="s">
        <v>30</v>
      </c>
      <c r="L17" s="23" t="s">
        <v>137</v>
      </c>
      <c r="M17" s="21" t="s">
        <v>31</v>
      </c>
      <c r="N17" s="23" t="s">
        <v>217</v>
      </c>
      <c r="O17" s="23" t="s">
        <v>139</v>
      </c>
      <c r="P17" s="23" t="s">
        <v>140</v>
      </c>
      <c r="Q17" s="23" t="s">
        <v>141</v>
      </c>
      <c r="R17" s="23" t="s">
        <v>142</v>
      </c>
      <c r="S17" s="21" t="s">
        <v>34</v>
      </c>
      <c r="T17" s="159">
        <v>4.508</v>
      </c>
      <c r="U17" s="23" t="s">
        <v>224</v>
      </c>
      <c r="V17" s="173">
        <v>2.07E-2</v>
      </c>
      <c r="W17" s="173">
        <v>4.9689999999999998E-2</v>
      </c>
      <c r="X17" s="21" t="s">
        <v>144</v>
      </c>
      <c r="Y17" s="21" t="s">
        <v>139</v>
      </c>
      <c r="Z17" s="159">
        <v>3073446.33</v>
      </c>
      <c r="AA17" s="174">
        <v>1</v>
      </c>
      <c r="AB17" s="175">
        <v>88.43</v>
      </c>
      <c r="AC17" s="23"/>
      <c r="AD17" s="159">
        <v>2717.8490000000002</v>
      </c>
      <c r="AE17" s="23"/>
      <c r="AG17" s="21" t="s">
        <v>36</v>
      </c>
      <c r="AH17" s="168">
        <v>4.2319999999999997E-3</v>
      </c>
      <c r="AI17" s="168">
        <v>1.2386074277590101E-2</v>
      </c>
      <c r="AJ17" s="168">
        <v>2.2987334185500799E-3</v>
      </c>
    </row>
    <row r="18" spans="1:36">
      <c r="A18" s="23">
        <v>419</v>
      </c>
      <c r="B18" s="23">
        <v>419</v>
      </c>
      <c r="C18" s="23" t="s">
        <v>225</v>
      </c>
      <c r="D18" s="23" t="s">
        <v>226</v>
      </c>
      <c r="E18" s="21" t="s">
        <v>132</v>
      </c>
      <c r="F18" s="23" t="s">
        <v>227</v>
      </c>
      <c r="G18" s="23" t="s">
        <v>228</v>
      </c>
      <c r="H18" s="21" t="s">
        <v>135</v>
      </c>
      <c r="I18" s="24" t="s">
        <v>161</v>
      </c>
      <c r="J18" s="21" t="s">
        <v>30</v>
      </c>
      <c r="K18" s="21" t="s">
        <v>30</v>
      </c>
      <c r="L18" s="23" t="s">
        <v>137</v>
      </c>
      <c r="M18" s="21" t="s">
        <v>31</v>
      </c>
      <c r="N18" s="23" t="s">
        <v>170</v>
      </c>
      <c r="O18" s="23" t="s">
        <v>139</v>
      </c>
      <c r="P18" s="23" t="s">
        <v>229</v>
      </c>
      <c r="Q18" s="23" t="s">
        <v>172</v>
      </c>
      <c r="R18" s="23" t="s">
        <v>142</v>
      </c>
      <c r="S18" s="21" t="s">
        <v>34</v>
      </c>
      <c r="T18" s="159">
        <v>3.7789999999999999</v>
      </c>
      <c r="U18" s="23" t="s">
        <v>230</v>
      </c>
      <c r="V18" s="173">
        <v>6.0699999999999997E-2</v>
      </c>
      <c r="W18" s="173">
        <v>5.4559999999999997E-2</v>
      </c>
      <c r="X18" s="21" t="s">
        <v>144</v>
      </c>
      <c r="Y18" s="21" t="s">
        <v>139</v>
      </c>
      <c r="Z18" s="159">
        <v>1400000</v>
      </c>
      <c r="AA18" s="174">
        <v>1</v>
      </c>
      <c r="AB18" s="175">
        <v>104.65</v>
      </c>
      <c r="AC18" s="23"/>
      <c r="AD18" s="159">
        <v>1465.1</v>
      </c>
      <c r="AE18" s="23"/>
      <c r="AG18" s="21" t="s">
        <v>36</v>
      </c>
      <c r="AH18" s="168">
        <v>3.3570000000000002E-3</v>
      </c>
      <c r="AI18" s="168">
        <v>6.6769125746777404E-3</v>
      </c>
      <c r="AJ18" s="168">
        <v>1.23916922538715E-3</v>
      </c>
    </row>
    <row r="19" spans="1:36">
      <c r="A19" s="23">
        <v>419</v>
      </c>
      <c r="B19" s="23">
        <v>419</v>
      </c>
      <c r="C19" s="23" t="s">
        <v>231</v>
      </c>
      <c r="D19" s="23" t="s">
        <v>232</v>
      </c>
      <c r="E19" s="21" t="s">
        <v>132</v>
      </c>
      <c r="F19" s="23" t="s">
        <v>233</v>
      </c>
      <c r="G19" s="23" t="s">
        <v>234</v>
      </c>
      <c r="H19" s="21" t="s">
        <v>135</v>
      </c>
      <c r="I19" s="24" t="s">
        <v>149</v>
      </c>
      <c r="J19" s="21" t="s">
        <v>30</v>
      </c>
      <c r="K19" s="21" t="s">
        <v>30</v>
      </c>
      <c r="L19" s="23" t="s">
        <v>137</v>
      </c>
      <c r="M19" s="21" t="s">
        <v>31</v>
      </c>
      <c r="N19" s="23" t="s">
        <v>204</v>
      </c>
      <c r="O19" s="23" t="s">
        <v>139</v>
      </c>
      <c r="P19" s="23" t="s">
        <v>198</v>
      </c>
      <c r="Q19" s="23" t="s">
        <v>141</v>
      </c>
      <c r="R19" s="23" t="s">
        <v>142</v>
      </c>
      <c r="S19" s="21" t="s">
        <v>34</v>
      </c>
      <c r="T19" s="159">
        <v>4.6059999999999999</v>
      </c>
      <c r="U19" s="23" t="s">
        <v>235</v>
      </c>
      <c r="V19" s="173">
        <v>9.1999999999999998E-3</v>
      </c>
      <c r="W19" s="173">
        <v>2.8729999999999999E-2</v>
      </c>
      <c r="X19" s="21" t="s">
        <v>144</v>
      </c>
      <c r="Y19" s="21" t="s">
        <v>139</v>
      </c>
      <c r="Z19" s="159">
        <v>4953</v>
      </c>
      <c r="AA19" s="174">
        <v>1</v>
      </c>
      <c r="AB19" s="175">
        <v>109.54</v>
      </c>
      <c r="AC19" s="23"/>
      <c r="AD19" s="159">
        <v>5.4260000000000002</v>
      </c>
      <c r="AE19" s="23"/>
      <c r="AG19" s="21" t="s">
        <v>36</v>
      </c>
      <c r="AH19" s="168">
        <v>1.9999999999999999E-6</v>
      </c>
      <c r="AI19" s="168">
        <v>2.47257506927157E-5</v>
      </c>
      <c r="AJ19" s="168">
        <v>4.5888558507128603E-6</v>
      </c>
    </row>
    <row r="20" spans="1:36">
      <c r="A20" s="3">
        <v>419</v>
      </c>
      <c r="B20" s="3">
        <v>419</v>
      </c>
      <c r="C20" s="3" t="s">
        <v>236</v>
      </c>
      <c r="D20" s="3" t="s">
        <v>237</v>
      </c>
      <c r="E20" s="21" t="s">
        <v>132</v>
      </c>
      <c r="F20" s="3" t="s">
        <v>238</v>
      </c>
      <c r="G20" s="3" t="s">
        <v>239</v>
      </c>
      <c r="H20" s="21" t="s">
        <v>135</v>
      </c>
      <c r="I20" s="24" t="s">
        <v>161</v>
      </c>
      <c r="J20" s="21" t="s">
        <v>30</v>
      </c>
      <c r="K20" s="21" t="s">
        <v>30</v>
      </c>
      <c r="L20" s="23" t="s">
        <v>137</v>
      </c>
      <c r="M20" s="21" t="s">
        <v>240</v>
      </c>
      <c r="N20" s="23" t="s">
        <v>241</v>
      </c>
      <c r="O20" s="23" t="s">
        <v>139</v>
      </c>
      <c r="P20" s="3" t="s">
        <v>186</v>
      </c>
      <c r="Q20" s="23" t="s">
        <v>172</v>
      </c>
      <c r="R20" s="23" t="s">
        <v>142</v>
      </c>
      <c r="S20" s="3" t="s">
        <v>34</v>
      </c>
      <c r="T20" s="157">
        <v>5.5110000000000001</v>
      </c>
      <c r="U20" s="3" t="s">
        <v>242</v>
      </c>
      <c r="V20" s="168">
        <v>0.05</v>
      </c>
      <c r="W20" s="168">
        <v>5.1290000000000002E-2</v>
      </c>
      <c r="X20" s="21" t="s">
        <v>144</v>
      </c>
      <c r="Y20" s="21" t="s">
        <v>139</v>
      </c>
      <c r="Z20" s="157">
        <v>2200000</v>
      </c>
      <c r="AA20" s="166">
        <v>1</v>
      </c>
      <c r="AB20" s="176">
        <v>100.11</v>
      </c>
      <c r="AD20" s="157">
        <v>2202.42</v>
      </c>
      <c r="AG20" s="3" t="s">
        <v>36</v>
      </c>
      <c r="AH20" s="168">
        <v>4.6930000000000001E-3</v>
      </c>
      <c r="AI20" s="168">
        <v>1.0037107223207799E-2</v>
      </c>
      <c r="AJ20" s="168">
        <v>1.86278826385718E-3</v>
      </c>
    </row>
    <row r="21" spans="1:36" s="42" customFormat="1">
      <c r="A21" s="42">
        <v>419</v>
      </c>
      <c r="B21" s="42">
        <v>419</v>
      </c>
      <c r="C21" s="42" t="s">
        <v>236</v>
      </c>
      <c r="D21" s="42" t="s">
        <v>237</v>
      </c>
      <c r="E21" s="45" t="s">
        <v>132</v>
      </c>
      <c r="F21" s="42" t="s">
        <v>243</v>
      </c>
      <c r="G21" s="42" t="s">
        <v>244</v>
      </c>
      <c r="H21" s="45" t="s">
        <v>135</v>
      </c>
      <c r="I21" s="42" t="s">
        <v>161</v>
      </c>
      <c r="J21" s="42" t="s">
        <v>30</v>
      </c>
      <c r="K21" s="42" t="s">
        <v>168</v>
      </c>
      <c r="L21" s="42" t="s">
        <v>137</v>
      </c>
      <c r="M21" s="45" t="s">
        <v>31</v>
      </c>
      <c r="N21" s="42" t="s">
        <v>241</v>
      </c>
      <c r="O21" s="42" t="s">
        <v>139</v>
      </c>
      <c r="P21" s="42" t="s">
        <v>186</v>
      </c>
      <c r="Q21" s="42" t="s">
        <v>172</v>
      </c>
      <c r="R21" s="42" t="s">
        <v>142</v>
      </c>
      <c r="S21" s="42" t="s">
        <v>34</v>
      </c>
      <c r="T21" s="157">
        <v>2.8079999999999998</v>
      </c>
      <c r="U21" s="42" t="s">
        <v>245</v>
      </c>
      <c r="V21" s="168">
        <v>1.4999999999999999E-2</v>
      </c>
      <c r="W21" s="168">
        <v>5.0139999999999997E-2</v>
      </c>
      <c r="X21" s="45" t="s">
        <v>144</v>
      </c>
      <c r="Y21" s="45" t="s">
        <v>139</v>
      </c>
      <c r="Z21" s="157">
        <v>2036492</v>
      </c>
      <c r="AA21" s="166">
        <v>1</v>
      </c>
      <c r="AB21" s="176">
        <v>90.97</v>
      </c>
      <c r="AD21" s="157">
        <v>1852.597</v>
      </c>
      <c r="AG21" s="42" t="s">
        <v>36</v>
      </c>
      <c r="AH21" s="168">
        <v>1.73E-3</v>
      </c>
      <c r="AI21" s="168">
        <v>8.4428548805166592E-3</v>
      </c>
      <c r="AJ21" s="168">
        <v>1.56691072787498E-3</v>
      </c>
    </row>
    <row r="22" spans="1:36">
      <c r="A22" s="3">
        <v>419</v>
      </c>
      <c r="B22" s="3">
        <v>419</v>
      </c>
      <c r="C22" s="3" t="s">
        <v>246</v>
      </c>
      <c r="D22" s="3" t="s">
        <v>247</v>
      </c>
      <c r="E22" s="5" t="s">
        <v>132</v>
      </c>
      <c r="F22" s="3" t="s">
        <v>248</v>
      </c>
      <c r="G22" s="3" t="s">
        <v>249</v>
      </c>
      <c r="H22" s="5" t="s">
        <v>135</v>
      </c>
      <c r="I22" s="3" t="s">
        <v>161</v>
      </c>
      <c r="J22" s="3" t="s">
        <v>30</v>
      </c>
      <c r="K22" s="3" t="s">
        <v>30</v>
      </c>
      <c r="L22" s="3" t="s">
        <v>137</v>
      </c>
      <c r="M22" s="5" t="s">
        <v>31</v>
      </c>
      <c r="N22" s="3" t="s">
        <v>241</v>
      </c>
      <c r="O22" s="3" t="s">
        <v>139</v>
      </c>
      <c r="P22" s="3" t="s">
        <v>250</v>
      </c>
      <c r="Q22" s="3" t="s">
        <v>141</v>
      </c>
      <c r="R22" s="3" t="s">
        <v>142</v>
      </c>
      <c r="S22" s="3" t="s">
        <v>34</v>
      </c>
      <c r="T22" s="157">
        <v>2.4319999999999999</v>
      </c>
      <c r="U22" s="3" t="s">
        <v>251</v>
      </c>
      <c r="V22" s="168">
        <v>2.0500000000000001E-2</v>
      </c>
      <c r="W22" s="168">
        <v>5.0529999999999999E-2</v>
      </c>
      <c r="X22" s="5" t="s">
        <v>144</v>
      </c>
      <c r="Y22" s="5" t="s">
        <v>139</v>
      </c>
      <c r="Z22" s="157">
        <v>1545454.87</v>
      </c>
      <c r="AA22" s="166">
        <v>1</v>
      </c>
      <c r="AB22" s="176">
        <v>93.47</v>
      </c>
      <c r="AD22" s="157">
        <v>1444.537</v>
      </c>
      <c r="AG22" s="3" t="s">
        <v>36</v>
      </c>
      <c r="AH22" s="168">
        <v>1.7730000000000001E-3</v>
      </c>
      <c r="AI22" s="168">
        <v>6.58319912388364E-3</v>
      </c>
      <c r="AJ22" s="168">
        <v>1.22177693172895E-3</v>
      </c>
    </row>
    <row r="23" spans="1:36">
      <c r="A23" s="3">
        <v>419</v>
      </c>
      <c r="B23" s="3">
        <v>419</v>
      </c>
      <c r="C23" s="3" t="s">
        <v>252</v>
      </c>
      <c r="D23" s="3" t="s">
        <v>253</v>
      </c>
      <c r="E23" s="5" t="s">
        <v>132</v>
      </c>
      <c r="F23" s="3" t="s">
        <v>254</v>
      </c>
      <c r="G23" s="3" t="s">
        <v>255</v>
      </c>
      <c r="H23" s="5" t="s">
        <v>135</v>
      </c>
      <c r="I23" s="3" t="s">
        <v>149</v>
      </c>
      <c r="J23" s="3" t="s">
        <v>30</v>
      </c>
      <c r="K23" s="3" t="s">
        <v>30</v>
      </c>
      <c r="L23" s="3" t="s">
        <v>137</v>
      </c>
      <c r="M23" s="3" t="s">
        <v>31</v>
      </c>
      <c r="N23" s="3" t="s">
        <v>170</v>
      </c>
      <c r="O23" s="3" t="s">
        <v>139</v>
      </c>
      <c r="P23" s="3" t="s">
        <v>140</v>
      </c>
      <c r="Q23" s="3" t="s">
        <v>141</v>
      </c>
      <c r="R23" s="3" t="s">
        <v>142</v>
      </c>
      <c r="S23" s="3" t="s">
        <v>34</v>
      </c>
      <c r="T23" s="157">
        <v>0.79300000000000004</v>
      </c>
      <c r="U23" s="3" t="s">
        <v>256</v>
      </c>
      <c r="V23" s="168">
        <v>2.5700000000000001E-2</v>
      </c>
      <c r="W23" s="168">
        <v>4.0009999999999997E-2</v>
      </c>
      <c r="X23" s="5" t="s">
        <v>144</v>
      </c>
      <c r="Y23" s="5" t="s">
        <v>139</v>
      </c>
      <c r="Z23" s="157">
        <v>969716.57</v>
      </c>
      <c r="AA23" s="166">
        <v>1</v>
      </c>
      <c r="AB23" s="176">
        <v>119.85</v>
      </c>
      <c r="AD23" s="157">
        <v>1162.2049999999999</v>
      </c>
      <c r="AG23" s="3" t="s">
        <v>36</v>
      </c>
      <c r="AH23" s="168">
        <v>9.1799999999999998E-4</v>
      </c>
      <c r="AI23" s="168">
        <v>5.2965280479062701E-3</v>
      </c>
      <c r="AJ23" s="168">
        <v>9.8298345005394809E-4</v>
      </c>
    </row>
    <row r="24" spans="1:36">
      <c r="A24" s="3">
        <v>419</v>
      </c>
      <c r="B24" s="3">
        <v>419</v>
      </c>
      <c r="C24" s="3" t="s">
        <v>252</v>
      </c>
      <c r="D24" s="3" t="s">
        <v>253</v>
      </c>
      <c r="E24" s="5" t="s">
        <v>132</v>
      </c>
      <c r="F24" s="3" t="s">
        <v>257</v>
      </c>
      <c r="G24" s="3" t="s">
        <v>258</v>
      </c>
      <c r="H24" s="3" t="s">
        <v>135</v>
      </c>
      <c r="I24" s="3" t="s">
        <v>149</v>
      </c>
      <c r="J24" s="3" t="s">
        <v>30</v>
      </c>
      <c r="K24" s="3" t="s">
        <v>30</v>
      </c>
      <c r="L24" s="3" t="s">
        <v>137</v>
      </c>
      <c r="M24" s="3" t="s">
        <v>31</v>
      </c>
      <c r="N24" s="3" t="s">
        <v>170</v>
      </c>
      <c r="O24" s="3" t="s">
        <v>139</v>
      </c>
      <c r="P24" s="3" t="s">
        <v>140</v>
      </c>
      <c r="Q24" s="3" t="s">
        <v>141</v>
      </c>
      <c r="R24" s="3" t="s">
        <v>142</v>
      </c>
      <c r="S24" s="3" t="s">
        <v>34</v>
      </c>
      <c r="T24" s="157">
        <v>4.226</v>
      </c>
      <c r="U24" s="3" t="s">
        <v>259</v>
      </c>
      <c r="V24" s="168">
        <v>1.54E-2</v>
      </c>
      <c r="W24" s="168">
        <v>3.075E-2</v>
      </c>
      <c r="X24" s="5" t="s">
        <v>144</v>
      </c>
      <c r="Y24" s="5" t="s">
        <v>139</v>
      </c>
      <c r="Z24" s="157">
        <v>1934000</v>
      </c>
      <c r="AA24" s="166">
        <v>1</v>
      </c>
      <c r="AB24" s="176">
        <v>108.24</v>
      </c>
      <c r="AD24" s="157">
        <v>2093.3620000000001</v>
      </c>
      <c r="AG24" s="3" t="s">
        <v>36</v>
      </c>
      <c r="AH24" s="168">
        <v>3.2429999999999998E-3</v>
      </c>
      <c r="AI24" s="168">
        <v>9.5400944579806992E-3</v>
      </c>
      <c r="AJ24" s="168">
        <v>1.77054758878384E-3</v>
      </c>
    </row>
    <row r="25" spans="1:36">
      <c r="A25" s="3">
        <v>419</v>
      </c>
      <c r="B25" s="3">
        <v>419</v>
      </c>
      <c r="C25" s="3" t="s">
        <v>252</v>
      </c>
      <c r="D25" s="3" t="s">
        <v>253</v>
      </c>
      <c r="E25" s="5" t="s">
        <v>132</v>
      </c>
      <c r="F25" s="3" t="s">
        <v>260</v>
      </c>
      <c r="G25" s="3" t="s">
        <v>261</v>
      </c>
      <c r="H25" s="3" t="s">
        <v>135</v>
      </c>
      <c r="I25" s="3" t="s">
        <v>149</v>
      </c>
      <c r="J25" s="3" t="s">
        <v>30</v>
      </c>
      <c r="K25" s="3" t="s">
        <v>30</v>
      </c>
      <c r="L25" s="3" t="s">
        <v>137</v>
      </c>
      <c r="M25" s="3" t="s">
        <v>31</v>
      </c>
      <c r="N25" s="3" t="s">
        <v>170</v>
      </c>
      <c r="O25" s="3" t="s">
        <v>139</v>
      </c>
      <c r="P25" s="3" t="s">
        <v>140</v>
      </c>
      <c r="Q25" s="3" t="s">
        <v>141</v>
      </c>
      <c r="R25" s="3" t="s">
        <v>142</v>
      </c>
      <c r="S25" s="3" t="s">
        <v>34</v>
      </c>
      <c r="T25" s="157">
        <v>6.452</v>
      </c>
      <c r="U25" s="3" t="s">
        <v>262</v>
      </c>
      <c r="V25" s="168">
        <v>4.02E-2</v>
      </c>
      <c r="W25" s="168">
        <v>3.3029999999999997E-2</v>
      </c>
      <c r="X25" s="5" t="s">
        <v>144</v>
      </c>
      <c r="Y25" s="5" t="s">
        <v>139</v>
      </c>
      <c r="Z25" s="157">
        <v>1145000</v>
      </c>
      <c r="AA25" s="166">
        <v>1</v>
      </c>
      <c r="AB25" s="176">
        <v>108.86</v>
      </c>
      <c r="AD25" s="157">
        <v>1246.4469999999999</v>
      </c>
      <c r="AG25" s="3" t="s">
        <v>36</v>
      </c>
      <c r="AH25" s="168">
        <v>1.4189999999999999E-3</v>
      </c>
      <c r="AI25" s="168">
        <v>5.6804434154456001E-3</v>
      </c>
      <c r="AJ25" s="168">
        <v>1.05423436180202E-3</v>
      </c>
    </row>
    <row r="26" spans="1:36">
      <c r="A26" s="3">
        <v>419</v>
      </c>
      <c r="B26" s="3">
        <v>419</v>
      </c>
      <c r="C26" s="3" t="s">
        <v>263</v>
      </c>
      <c r="D26" s="3" t="s">
        <v>264</v>
      </c>
      <c r="E26" s="5" t="s">
        <v>132</v>
      </c>
      <c r="F26" s="3" t="s">
        <v>265</v>
      </c>
      <c r="G26" s="3" t="s">
        <v>266</v>
      </c>
      <c r="H26" s="3" t="s">
        <v>135</v>
      </c>
      <c r="I26" s="3" t="s">
        <v>161</v>
      </c>
      <c r="J26" s="3" t="s">
        <v>30</v>
      </c>
      <c r="K26" s="3" t="s">
        <v>30</v>
      </c>
      <c r="L26" s="3" t="s">
        <v>137</v>
      </c>
      <c r="M26" s="3" t="s">
        <v>240</v>
      </c>
      <c r="N26" s="3" t="s">
        <v>178</v>
      </c>
      <c r="O26" s="3" t="s">
        <v>139</v>
      </c>
      <c r="P26" s="3" t="s">
        <v>229</v>
      </c>
      <c r="Q26" s="3" t="s">
        <v>172</v>
      </c>
      <c r="R26" s="3" t="s">
        <v>142</v>
      </c>
      <c r="S26" s="3" t="s">
        <v>34</v>
      </c>
      <c r="T26" s="157">
        <v>4.8499999999999996</v>
      </c>
      <c r="U26" s="3" t="s">
        <v>267</v>
      </c>
      <c r="V26" s="168">
        <v>5.3800000000000001E-2</v>
      </c>
      <c r="W26" s="168">
        <v>5.5210000000000002E-2</v>
      </c>
      <c r="X26" s="5" t="s">
        <v>144</v>
      </c>
      <c r="Y26" s="5" t="s">
        <v>139</v>
      </c>
      <c r="Z26" s="157">
        <v>1395582</v>
      </c>
      <c r="AA26" s="166">
        <v>1</v>
      </c>
      <c r="AB26" s="176">
        <v>100.68</v>
      </c>
      <c r="AD26" s="157">
        <v>1405.0719999999999</v>
      </c>
      <c r="AG26" s="3" t="s">
        <v>36</v>
      </c>
      <c r="AH26" s="168">
        <v>5.5820000000000002E-3</v>
      </c>
      <c r="AI26" s="168">
        <v>6.4033462712623796E-3</v>
      </c>
      <c r="AJ26" s="168">
        <v>1.18839801331813E-3</v>
      </c>
    </row>
    <row r="27" spans="1:36">
      <c r="A27" s="3">
        <v>419</v>
      </c>
      <c r="B27" s="3">
        <v>419</v>
      </c>
      <c r="C27" s="3" t="s">
        <v>200</v>
      </c>
      <c r="D27" s="3" t="s">
        <v>201</v>
      </c>
      <c r="E27" s="5" t="s">
        <v>132</v>
      </c>
      <c r="F27" s="3" t="s">
        <v>268</v>
      </c>
      <c r="G27" s="3" t="s">
        <v>269</v>
      </c>
      <c r="H27" s="3" t="s">
        <v>135</v>
      </c>
      <c r="I27" s="3" t="s">
        <v>149</v>
      </c>
      <c r="J27" s="3" t="s">
        <v>30</v>
      </c>
      <c r="K27" s="3" t="s">
        <v>30</v>
      </c>
      <c r="L27" s="3" t="s">
        <v>137</v>
      </c>
      <c r="M27" s="3" t="s">
        <v>31</v>
      </c>
      <c r="N27" s="3" t="s">
        <v>204</v>
      </c>
      <c r="O27" s="3" t="s">
        <v>139</v>
      </c>
      <c r="P27" s="3" t="s">
        <v>198</v>
      </c>
      <c r="Q27" s="3" t="s">
        <v>141</v>
      </c>
      <c r="R27" s="3" t="s">
        <v>142</v>
      </c>
      <c r="S27" s="3" t="s">
        <v>34</v>
      </c>
      <c r="T27" s="157">
        <v>4.8460000000000001</v>
      </c>
      <c r="U27" s="3" t="s">
        <v>270</v>
      </c>
      <c r="V27" s="168">
        <v>6.4999999999999997E-3</v>
      </c>
      <c r="W27" s="168">
        <v>2.8850000000000001E-2</v>
      </c>
      <c r="X27" s="5" t="s">
        <v>144</v>
      </c>
      <c r="Y27" s="5" t="s">
        <v>139</v>
      </c>
      <c r="Z27" s="157">
        <v>925325.77</v>
      </c>
      <c r="AA27" s="166">
        <v>1</v>
      </c>
      <c r="AB27" s="176">
        <v>105.89</v>
      </c>
      <c r="AD27" s="157">
        <v>979.827</v>
      </c>
      <c r="AG27" s="3" t="s">
        <v>36</v>
      </c>
      <c r="AH27" s="168">
        <v>4.44E-4</v>
      </c>
      <c r="AI27" s="168">
        <v>4.4653759295291903E-3</v>
      </c>
      <c r="AJ27" s="168">
        <v>8.2872980135196195E-4</v>
      </c>
    </row>
    <row r="28" spans="1:36">
      <c r="A28" s="3">
        <v>419</v>
      </c>
      <c r="B28" s="3">
        <v>419</v>
      </c>
      <c r="C28" s="3" t="s">
        <v>200</v>
      </c>
      <c r="D28" s="3" t="s">
        <v>201</v>
      </c>
      <c r="E28" s="5" t="s">
        <v>132</v>
      </c>
      <c r="F28" s="3" t="s">
        <v>271</v>
      </c>
      <c r="G28" s="3" t="s">
        <v>272</v>
      </c>
      <c r="H28" s="3" t="s">
        <v>135</v>
      </c>
      <c r="I28" s="3" t="s">
        <v>149</v>
      </c>
      <c r="J28" s="3" t="s">
        <v>30</v>
      </c>
      <c r="K28" s="3" t="s">
        <v>30</v>
      </c>
      <c r="L28" s="3" t="s">
        <v>137</v>
      </c>
      <c r="M28" s="3" t="s">
        <v>31</v>
      </c>
      <c r="N28" s="3" t="s">
        <v>204</v>
      </c>
      <c r="O28" s="3" t="s">
        <v>139</v>
      </c>
      <c r="P28" s="3" t="s">
        <v>198</v>
      </c>
      <c r="Q28" s="3" t="s">
        <v>141</v>
      </c>
      <c r="R28" s="3" t="s">
        <v>142</v>
      </c>
      <c r="S28" s="3" t="s">
        <v>34</v>
      </c>
      <c r="T28" s="157">
        <v>6.952</v>
      </c>
      <c r="U28" s="3" t="s">
        <v>273</v>
      </c>
      <c r="V28" s="168">
        <v>3.5999999999999997E-2</v>
      </c>
      <c r="W28" s="168">
        <v>2.989E-2</v>
      </c>
      <c r="X28" s="5" t="s">
        <v>144</v>
      </c>
      <c r="Y28" s="5" t="s">
        <v>139</v>
      </c>
      <c r="Z28" s="157">
        <v>1150000</v>
      </c>
      <c r="AA28" s="166">
        <v>1</v>
      </c>
      <c r="AB28" s="176">
        <v>109.05</v>
      </c>
      <c r="AD28" s="157">
        <v>1254.075</v>
      </c>
      <c r="AG28" s="3" t="s">
        <v>36</v>
      </c>
      <c r="AH28" s="168">
        <v>1.3140000000000001E-3</v>
      </c>
      <c r="AI28" s="168">
        <v>5.7152065641177998E-3</v>
      </c>
      <c r="AJ28" s="168">
        <v>1.06068605987809E-3</v>
      </c>
    </row>
    <row r="29" spans="1:36">
      <c r="A29" s="3">
        <v>419</v>
      </c>
      <c r="B29" s="3">
        <v>419</v>
      </c>
      <c r="C29" s="3" t="s">
        <v>274</v>
      </c>
      <c r="D29" s="3" t="s">
        <v>275</v>
      </c>
      <c r="E29" s="5" t="s">
        <v>132</v>
      </c>
      <c r="F29" s="3" t="s">
        <v>276</v>
      </c>
      <c r="G29" s="3" t="s">
        <v>277</v>
      </c>
      <c r="H29" s="3" t="s">
        <v>135</v>
      </c>
      <c r="I29" s="3" t="s">
        <v>149</v>
      </c>
      <c r="J29" s="3" t="s">
        <v>30</v>
      </c>
      <c r="K29" s="3" t="s">
        <v>30</v>
      </c>
      <c r="L29" s="3" t="s">
        <v>137</v>
      </c>
      <c r="M29" s="3" t="s">
        <v>31</v>
      </c>
      <c r="N29" s="3" t="s">
        <v>204</v>
      </c>
      <c r="O29" s="3" t="s">
        <v>139</v>
      </c>
      <c r="P29" s="3" t="s">
        <v>250</v>
      </c>
      <c r="Q29" s="3" t="s">
        <v>141</v>
      </c>
      <c r="R29" s="3" t="s">
        <v>142</v>
      </c>
      <c r="S29" s="3" t="s">
        <v>34</v>
      </c>
      <c r="T29" s="157">
        <v>5.3049999999999997</v>
      </c>
      <c r="U29" s="3" t="s">
        <v>278</v>
      </c>
      <c r="V29" s="168">
        <v>3.6799999999999999E-2</v>
      </c>
      <c r="W29" s="168">
        <v>3.2320000000000002E-2</v>
      </c>
      <c r="X29" s="5" t="s">
        <v>144</v>
      </c>
      <c r="Y29" s="5" t="s">
        <v>139</v>
      </c>
      <c r="Z29" s="157">
        <v>1508000</v>
      </c>
      <c r="AA29" s="166">
        <v>1</v>
      </c>
      <c r="AB29" s="176">
        <v>110.18</v>
      </c>
      <c r="AD29" s="157">
        <v>1661.5139999999999</v>
      </c>
      <c r="AG29" s="3" t="s">
        <v>36</v>
      </c>
      <c r="AH29" s="168">
        <v>3.3990000000000001E-3</v>
      </c>
      <c r="AI29" s="168">
        <v>7.5720335747513096E-3</v>
      </c>
      <c r="AJ29" s="168">
        <v>1.4052948686216599E-3</v>
      </c>
    </row>
    <row r="30" spans="1:36">
      <c r="A30" s="3">
        <v>419</v>
      </c>
      <c r="B30" s="3">
        <v>419</v>
      </c>
      <c r="C30" s="3" t="s">
        <v>274</v>
      </c>
      <c r="D30" s="3" t="s">
        <v>275</v>
      </c>
      <c r="E30" s="5" t="s">
        <v>132</v>
      </c>
      <c r="F30" s="3" t="s">
        <v>279</v>
      </c>
      <c r="G30" s="3" t="s">
        <v>280</v>
      </c>
      <c r="H30" s="3" t="s">
        <v>135</v>
      </c>
      <c r="I30" s="3" t="s">
        <v>149</v>
      </c>
      <c r="J30" s="3" t="s">
        <v>30</v>
      </c>
      <c r="K30" s="3" t="s">
        <v>30</v>
      </c>
      <c r="L30" s="3" t="s">
        <v>137</v>
      </c>
      <c r="M30" s="3" t="s">
        <v>31</v>
      </c>
      <c r="N30" s="3" t="s">
        <v>204</v>
      </c>
      <c r="O30" s="3" t="s">
        <v>139</v>
      </c>
      <c r="P30" s="3" t="s">
        <v>250</v>
      </c>
      <c r="Q30" s="3" t="s">
        <v>141</v>
      </c>
      <c r="R30" s="3" t="s">
        <v>142</v>
      </c>
      <c r="S30" s="3" t="s">
        <v>34</v>
      </c>
      <c r="T30" s="157">
        <v>0.96499999999999997</v>
      </c>
      <c r="U30" s="3" t="s">
        <v>281</v>
      </c>
      <c r="V30" s="168">
        <v>3.4599999999999999E-2</v>
      </c>
      <c r="W30" s="168">
        <v>3.4209999999999997E-2</v>
      </c>
      <c r="X30" s="5" t="s">
        <v>144</v>
      </c>
      <c r="Y30" s="5" t="s">
        <v>139</v>
      </c>
      <c r="Z30" s="157">
        <v>754023</v>
      </c>
      <c r="AA30" s="166">
        <v>1</v>
      </c>
      <c r="AB30" s="176">
        <v>120.85</v>
      </c>
      <c r="AD30" s="157">
        <v>911.23699999999997</v>
      </c>
      <c r="AG30" s="3" t="s">
        <v>36</v>
      </c>
      <c r="AH30" s="168">
        <v>3.0590000000000001E-3</v>
      </c>
      <c r="AI30" s="168">
        <v>4.1527871260548799E-3</v>
      </c>
      <c r="AJ30" s="168">
        <v>7.7071639753190904E-4</v>
      </c>
    </row>
    <row r="31" spans="1:36">
      <c r="A31" s="3">
        <v>419</v>
      </c>
      <c r="B31" s="3">
        <v>419</v>
      </c>
      <c r="C31" s="3" t="s">
        <v>282</v>
      </c>
      <c r="D31" s="3" t="s">
        <v>283</v>
      </c>
      <c r="E31" s="5" t="s">
        <v>132</v>
      </c>
      <c r="F31" s="3" t="s">
        <v>284</v>
      </c>
      <c r="G31" s="3" t="s">
        <v>285</v>
      </c>
      <c r="H31" s="3" t="s">
        <v>135</v>
      </c>
      <c r="I31" s="3" t="s">
        <v>161</v>
      </c>
      <c r="J31" s="3" t="s">
        <v>30</v>
      </c>
      <c r="K31" s="3" t="s">
        <v>30</v>
      </c>
      <c r="L31" s="3" t="s">
        <v>137</v>
      </c>
      <c r="M31" s="3" t="s">
        <v>31</v>
      </c>
      <c r="N31" s="3" t="s">
        <v>178</v>
      </c>
      <c r="O31" s="3" t="s">
        <v>139</v>
      </c>
      <c r="P31" s="3" t="s">
        <v>250</v>
      </c>
      <c r="Q31" s="3" t="s">
        <v>141</v>
      </c>
      <c r="R31" s="3" t="s">
        <v>142</v>
      </c>
      <c r="S31" s="3" t="s">
        <v>34</v>
      </c>
      <c r="T31" s="157">
        <v>1.6870000000000001</v>
      </c>
      <c r="U31" s="3" t="s">
        <v>286</v>
      </c>
      <c r="V31" s="168">
        <v>4.2999999999999997E-2</v>
      </c>
      <c r="W31" s="168">
        <v>5.1029999999999999E-2</v>
      </c>
      <c r="X31" s="5" t="s">
        <v>144</v>
      </c>
      <c r="Y31" s="5" t="s">
        <v>139</v>
      </c>
      <c r="Z31" s="157">
        <v>671198.37</v>
      </c>
      <c r="AA31" s="166">
        <v>1</v>
      </c>
      <c r="AB31" s="176">
        <v>99.73</v>
      </c>
      <c r="AD31" s="157">
        <v>669.38599999999997</v>
      </c>
      <c r="AG31" s="3" t="s">
        <v>36</v>
      </c>
      <c r="AH31" s="168">
        <v>9.5E-4</v>
      </c>
      <c r="AI31" s="168">
        <v>3.0505990704367998E-3</v>
      </c>
      <c r="AJ31" s="168">
        <v>5.66161147806009E-4</v>
      </c>
    </row>
    <row r="32" spans="1:36">
      <c r="A32" s="3">
        <v>419</v>
      </c>
      <c r="B32" s="3">
        <v>419</v>
      </c>
      <c r="C32" s="3" t="s">
        <v>282</v>
      </c>
      <c r="D32" s="3" t="s">
        <v>283</v>
      </c>
      <c r="E32" s="5" t="s">
        <v>132</v>
      </c>
      <c r="F32" s="3" t="s">
        <v>287</v>
      </c>
      <c r="G32" s="3" t="s">
        <v>288</v>
      </c>
      <c r="H32" s="3" t="s">
        <v>135</v>
      </c>
      <c r="I32" s="3" t="s">
        <v>149</v>
      </c>
      <c r="J32" s="3" t="s">
        <v>30</v>
      </c>
      <c r="K32" s="3" t="s">
        <v>30</v>
      </c>
      <c r="L32" s="3" t="s">
        <v>137</v>
      </c>
      <c r="M32" s="3" t="s">
        <v>31</v>
      </c>
      <c r="N32" s="3" t="s">
        <v>178</v>
      </c>
      <c r="O32" s="3" t="s">
        <v>139</v>
      </c>
      <c r="P32" s="3" t="s">
        <v>250</v>
      </c>
      <c r="Q32" s="3" t="s">
        <v>141</v>
      </c>
      <c r="R32" s="3" t="s">
        <v>142</v>
      </c>
      <c r="S32" s="3" t="s">
        <v>34</v>
      </c>
      <c r="T32" s="157">
        <v>4.6859999999999999</v>
      </c>
      <c r="U32" s="3" t="s">
        <v>267</v>
      </c>
      <c r="V32" s="168">
        <v>4.0800000000000003E-2</v>
      </c>
      <c r="W32" s="168">
        <v>3.4189999999999998E-2</v>
      </c>
      <c r="X32" s="5" t="s">
        <v>144</v>
      </c>
      <c r="Y32" s="5" t="s">
        <v>139</v>
      </c>
      <c r="Z32" s="157">
        <v>2200000</v>
      </c>
      <c r="AA32" s="166">
        <v>1</v>
      </c>
      <c r="AB32" s="176">
        <v>111.71</v>
      </c>
      <c r="AD32" s="157">
        <v>2457.62</v>
      </c>
      <c r="AG32" s="3" t="s">
        <v>36</v>
      </c>
      <c r="AH32" s="168">
        <v>2.5330000000000001E-3</v>
      </c>
      <c r="AI32" s="168">
        <v>1.12001323334786E-2</v>
      </c>
      <c r="AJ32" s="168">
        <v>2.0786342718558202E-3</v>
      </c>
    </row>
    <row r="33" spans="1:36">
      <c r="A33" s="3">
        <v>419</v>
      </c>
      <c r="B33" s="3">
        <v>419</v>
      </c>
      <c r="C33" s="3" t="s">
        <v>289</v>
      </c>
      <c r="D33" s="3" t="s">
        <v>290</v>
      </c>
      <c r="E33" s="5" t="s">
        <v>132</v>
      </c>
      <c r="F33" s="3" t="s">
        <v>291</v>
      </c>
      <c r="G33" s="3" t="s">
        <v>292</v>
      </c>
      <c r="H33" s="3" t="s">
        <v>135</v>
      </c>
      <c r="I33" s="3" t="s">
        <v>161</v>
      </c>
      <c r="J33" s="3" t="s">
        <v>30</v>
      </c>
      <c r="K33" s="3" t="s">
        <v>30</v>
      </c>
      <c r="L33" s="3" t="s">
        <v>137</v>
      </c>
      <c r="M33" s="3" t="s">
        <v>31</v>
      </c>
      <c r="N33" s="3" t="s">
        <v>157</v>
      </c>
      <c r="O33" s="3" t="s">
        <v>139</v>
      </c>
      <c r="P33" s="3" t="s">
        <v>140</v>
      </c>
      <c r="Q33" s="3" t="s">
        <v>141</v>
      </c>
      <c r="R33" s="3" t="s">
        <v>142</v>
      </c>
      <c r="S33" s="3" t="s">
        <v>34</v>
      </c>
      <c r="T33" s="157">
        <v>5.7279999999999998</v>
      </c>
      <c r="U33" s="3" t="s">
        <v>293</v>
      </c>
      <c r="V33" s="168">
        <v>5.2499999999999998E-2</v>
      </c>
      <c r="W33" s="168">
        <v>5.339E-2</v>
      </c>
      <c r="X33" s="5" t="s">
        <v>144</v>
      </c>
      <c r="Y33" s="5" t="s">
        <v>139</v>
      </c>
      <c r="Z33" s="157">
        <v>1200000</v>
      </c>
      <c r="AA33" s="166">
        <v>1</v>
      </c>
      <c r="AB33" s="176">
        <v>101.34</v>
      </c>
      <c r="AD33" s="157">
        <v>1216.08</v>
      </c>
      <c r="AG33" s="3" t="s">
        <v>36</v>
      </c>
      <c r="AH33" s="168">
        <v>1.8259999999999999E-3</v>
      </c>
      <c r="AI33" s="168">
        <v>5.5420516304785401E-3</v>
      </c>
      <c r="AJ33" s="168">
        <v>1.0285502092749999E-3</v>
      </c>
    </row>
    <row r="34" spans="1:36">
      <c r="A34" s="3">
        <v>419</v>
      </c>
      <c r="B34" s="3">
        <v>419</v>
      </c>
      <c r="C34" s="3" t="s">
        <v>294</v>
      </c>
      <c r="D34" s="3" t="s">
        <v>295</v>
      </c>
      <c r="E34" s="5" t="s">
        <v>132</v>
      </c>
      <c r="F34" s="3" t="s">
        <v>296</v>
      </c>
      <c r="G34" s="3" t="s">
        <v>297</v>
      </c>
      <c r="H34" s="3" t="s">
        <v>135</v>
      </c>
      <c r="I34" s="3" t="s">
        <v>149</v>
      </c>
      <c r="J34" s="3" t="s">
        <v>30</v>
      </c>
      <c r="K34" s="3" t="s">
        <v>30</v>
      </c>
      <c r="L34" s="3" t="s">
        <v>137</v>
      </c>
      <c r="M34" s="3" t="s">
        <v>31</v>
      </c>
      <c r="N34" s="3" t="s">
        <v>204</v>
      </c>
      <c r="O34" s="3" t="s">
        <v>139</v>
      </c>
      <c r="P34" s="3" t="s">
        <v>298</v>
      </c>
      <c r="Q34" s="3" t="s">
        <v>172</v>
      </c>
      <c r="R34" s="3" t="s">
        <v>142</v>
      </c>
      <c r="S34" s="3" t="s">
        <v>34</v>
      </c>
      <c r="T34" s="157">
        <v>3.524</v>
      </c>
      <c r="U34" s="3" t="s">
        <v>259</v>
      </c>
      <c r="V34" s="168">
        <v>1.3299999999999999E-2</v>
      </c>
      <c r="W34" s="168">
        <v>2.887E-2</v>
      </c>
      <c r="X34" s="5" t="s">
        <v>144</v>
      </c>
      <c r="Y34" s="5" t="s">
        <v>139</v>
      </c>
      <c r="Z34" s="157">
        <v>1979999.96</v>
      </c>
      <c r="AA34" s="166">
        <v>1</v>
      </c>
      <c r="AB34" s="176">
        <v>112.31</v>
      </c>
      <c r="AD34" s="157">
        <v>2223.7379999999998</v>
      </c>
      <c r="AG34" s="3" t="s">
        <v>36</v>
      </c>
      <c r="AH34" s="168">
        <v>1.7600000000000001E-3</v>
      </c>
      <c r="AI34" s="168">
        <v>1.0134259719497E-2</v>
      </c>
      <c r="AJ34" s="168">
        <v>1.8808188104945201E-3</v>
      </c>
    </row>
    <row r="35" spans="1:36">
      <c r="A35" s="3">
        <v>419</v>
      </c>
      <c r="B35" s="3">
        <v>419</v>
      </c>
      <c r="C35" s="3" t="s">
        <v>294</v>
      </c>
      <c r="D35" s="3" t="s">
        <v>295</v>
      </c>
      <c r="E35" s="5" t="s">
        <v>132</v>
      </c>
      <c r="F35" s="3" t="s">
        <v>299</v>
      </c>
      <c r="G35" s="3" t="s">
        <v>300</v>
      </c>
      <c r="H35" s="3" t="s">
        <v>135</v>
      </c>
      <c r="I35" s="3" t="s">
        <v>149</v>
      </c>
      <c r="J35" s="3" t="s">
        <v>30</v>
      </c>
      <c r="K35" s="3" t="s">
        <v>30</v>
      </c>
      <c r="L35" s="3" t="s">
        <v>137</v>
      </c>
      <c r="M35" s="3" t="s">
        <v>31</v>
      </c>
      <c r="N35" s="3" t="s">
        <v>204</v>
      </c>
      <c r="O35" s="3" t="s">
        <v>139</v>
      </c>
      <c r="P35" s="3" t="s">
        <v>151</v>
      </c>
      <c r="Q35" s="3" t="s">
        <v>141</v>
      </c>
      <c r="R35" s="3" t="s">
        <v>142</v>
      </c>
      <c r="S35" s="3" t="s">
        <v>34</v>
      </c>
      <c r="T35" s="157">
        <v>4.6689999999999996</v>
      </c>
      <c r="U35" s="3" t="s">
        <v>301</v>
      </c>
      <c r="V35" s="168">
        <v>1.8700000000000001E-2</v>
      </c>
      <c r="W35" s="168">
        <v>2.946E-2</v>
      </c>
      <c r="X35" s="5" t="s">
        <v>144</v>
      </c>
      <c r="Y35" s="5" t="s">
        <v>139</v>
      </c>
      <c r="Z35" s="157">
        <v>2609727.38</v>
      </c>
      <c r="AA35" s="166">
        <v>1</v>
      </c>
      <c r="AB35" s="176">
        <v>109.28</v>
      </c>
      <c r="AD35" s="157">
        <v>2851.91</v>
      </c>
      <c r="AG35" s="3" t="s">
        <v>36</v>
      </c>
      <c r="AH35" s="168">
        <v>2.6710000000000002E-3</v>
      </c>
      <c r="AI35" s="168">
        <v>1.29970338412198E-2</v>
      </c>
      <c r="AJ35" s="168">
        <v>2.4121214973571998E-3</v>
      </c>
    </row>
    <row r="36" spans="1:36">
      <c r="A36" s="3">
        <v>419</v>
      </c>
      <c r="B36" s="3">
        <v>419</v>
      </c>
      <c r="C36" s="3" t="s">
        <v>294</v>
      </c>
      <c r="D36" s="3" t="s">
        <v>295</v>
      </c>
      <c r="E36" s="5" t="s">
        <v>132</v>
      </c>
      <c r="F36" s="3" t="s">
        <v>302</v>
      </c>
      <c r="G36" s="3" t="s">
        <v>303</v>
      </c>
      <c r="H36" s="3" t="s">
        <v>135</v>
      </c>
      <c r="I36" s="3" t="s">
        <v>149</v>
      </c>
      <c r="J36" s="3" t="s">
        <v>30</v>
      </c>
      <c r="K36" s="3" t="s">
        <v>30</v>
      </c>
      <c r="L36" s="3" t="s">
        <v>137</v>
      </c>
      <c r="M36" s="3" t="s">
        <v>31</v>
      </c>
      <c r="N36" s="3" t="s">
        <v>204</v>
      </c>
      <c r="O36" s="3" t="s">
        <v>139</v>
      </c>
      <c r="P36" s="3" t="s">
        <v>298</v>
      </c>
      <c r="Q36" s="3" t="s">
        <v>172</v>
      </c>
      <c r="R36" s="3" t="s">
        <v>142</v>
      </c>
      <c r="S36" s="3" t="s">
        <v>34</v>
      </c>
      <c r="T36" s="157">
        <v>6.9960000000000004</v>
      </c>
      <c r="U36" s="3" t="s">
        <v>304</v>
      </c>
      <c r="V36" s="168">
        <v>3.0599999999999999E-2</v>
      </c>
      <c r="W36" s="168">
        <v>3.1600000000000003E-2</v>
      </c>
      <c r="X36" s="5" t="s">
        <v>144</v>
      </c>
      <c r="Y36" s="5" t="s">
        <v>139</v>
      </c>
      <c r="Z36" s="157">
        <v>1700000</v>
      </c>
      <c r="AA36" s="166">
        <v>1</v>
      </c>
      <c r="AB36" s="176">
        <v>101.01</v>
      </c>
      <c r="AD36" s="157">
        <v>1717.17</v>
      </c>
      <c r="AG36" s="3" t="s">
        <v>36</v>
      </c>
      <c r="AH36" s="168">
        <v>1.572E-3</v>
      </c>
      <c r="AI36" s="168">
        <v>7.8256733095757106E-3</v>
      </c>
      <c r="AJ36" s="168">
        <v>1.45236790577984E-3</v>
      </c>
    </row>
    <row r="37" spans="1:36">
      <c r="A37" s="3">
        <v>419</v>
      </c>
      <c r="B37" s="3">
        <v>419</v>
      </c>
      <c r="C37" s="3" t="s">
        <v>305</v>
      </c>
      <c r="D37" s="3" t="s">
        <v>306</v>
      </c>
      <c r="E37" s="5" t="s">
        <v>132</v>
      </c>
      <c r="F37" s="3" t="s">
        <v>307</v>
      </c>
      <c r="G37" s="3" t="s">
        <v>308</v>
      </c>
      <c r="H37" s="3" t="s">
        <v>135</v>
      </c>
      <c r="I37" s="3" t="s">
        <v>149</v>
      </c>
      <c r="J37" s="3" t="s">
        <v>30</v>
      </c>
      <c r="K37" s="3" t="s">
        <v>30</v>
      </c>
      <c r="L37" s="3" t="s">
        <v>137</v>
      </c>
      <c r="M37" s="3" t="s">
        <v>240</v>
      </c>
      <c r="N37" s="3" t="s">
        <v>309</v>
      </c>
      <c r="O37" s="3" t="s">
        <v>139</v>
      </c>
      <c r="P37" s="3" t="s">
        <v>310</v>
      </c>
      <c r="Q37" s="3" t="s">
        <v>141</v>
      </c>
      <c r="R37" s="3" t="s">
        <v>142</v>
      </c>
      <c r="S37" s="3" t="s">
        <v>34</v>
      </c>
      <c r="T37" s="157">
        <v>2.8420000000000001</v>
      </c>
      <c r="U37" s="3" t="s">
        <v>311</v>
      </c>
      <c r="V37" s="168">
        <v>2.52E-2</v>
      </c>
      <c r="W37" s="168">
        <v>2.5590000000000002E-2</v>
      </c>
      <c r="X37" s="5" t="s">
        <v>144</v>
      </c>
      <c r="Y37" s="5" t="s">
        <v>139</v>
      </c>
      <c r="Z37" s="157">
        <v>2322978</v>
      </c>
      <c r="AA37" s="166">
        <v>1</v>
      </c>
      <c r="AB37" s="176">
        <v>100.78</v>
      </c>
      <c r="AD37" s="157">
        <v>2341.0970000000002</v>
      </c>
      <c r="AG37" s="3" t="s">
        <v>36</v>
      </c>
      <c r="AH37" s="168">
        <v>1.366E-3</v>
      </c>
      <c r="AI37" s="168">
        <v>1.06691021246653E-2</v>
      </c>
      <c r="AJ37" s="168">
        <v>1.9800802942273E-3</v>
      </c>
    </row>
    <row r="38" spans="1:36">
      <c r="A38" s="3">
        <v>419</v>
      </c>
      <c r="B38" s="3">
        <v>419</v>
      </c>
      <c r="C38" s="3" t="s">
        <v>289</v>
      </c>
      <c r="D38" s="3" t="s">
        <v>290</v>
      </c>
      <c r="E38" s="5" t="s">
        <v>132</v>
      </c>
      <c r="F38" s="3" t="s">
        <v>312</v>
      </c>
      <c r="G38" s="3" t="s">
        <v>313</v>
      </c>
      <c r="H38" s="3" t="s">
        <v>135</v>
      </c>
      <c r="I38" s="3" t="s">
        <v>161</v>
      </c>
      <c r="J38" s="3" t="s">
        <v>30</v>
      </c>
      <c r="K38" s="3" t="s">
        <v>30</v>
      </c>
      <c r="L38" s="3" t="s">
        <v>137</v>
      </c>
      <c r="M38" s="3" t="s">
        <v>31</v>
      </c>
      <c r="N38" s="3" t="s">
        <v>157</v>
      </c>
      <c r="O38" s="3" t="s">
        <v>139</v>
      </c>
      <c r="P38" s="3" t="s">
        <v>140</v>
      </c>
      <c r="Q38" s="3" t="s">
        <v>141</v>
      </c>
      <c r="R38" s="3" t="s">
        <v>142</v>
      </c>
      <c r="S38" s="3" t="s">
        <v>34</v>
      </c>
      <c r="T38" s="157">
        <v>3.8719999999999999</v>
      </c>
      <c r="U38" s="3" t="s">
        <v>314</v>
      </c>
      <c r="V38" s="168">
        <v>5.7500000000000002E-2</v>
      </c>
      <c r="W38" s="168">
        <v>5.033E-2</v>
      </c>
      <c r="X38" s="5" t="s">
        <v>144</v>
      </c>
      <c r="Y38" s="5" t="s">
        <v>139</v>
      </c>
      <c r="Z38" s="157">
        <v>959230</v>
      </c>
      <c r="AA38" s="166">
        <v>1</v>
      </c>
      <c r="AB38" s="176">
        <v>103.14</v>
      </c>
      <c r="AD38" s="157">
        <v>989.35</v>
      </c>
      <c r="AG38" s="3" t="s">
        <v>36</v>
      </c>
      <c r="AH38" s="168">
        <v>1.8270000000000001E-3</v>
      </c>
      <c r="AI38" s="168">
        <v>4.5087722798901001E-3</v>
      </c>
      <c r="AJ38" s="168">
        <v>8.36783736649137E-4</v>
      </c>
    </row>
    <row r="39" spans="1:36">
      <c r="A39" s="3">
        <v>419</v>
      </c>
      <c r="B39" s="3">
        <v>419</v>
      </c>
      <c r="C39" s="3" t="s">
        <v>315</v>
      </c>
      <c r="D39" s="3" t="s">
        <v>316</v>
      </c>
      <c r="E39" s="5" t="s">
        <v>132</v>
      </c>
      <c r="F39" s="3" t="s">
        <v>317</v>
      </c>
      <c r="G39" s="3" t="s">
        <v>318</v>
      </c>
      <c r="H39" s="3" t="s">
        <v>135</v>
      </c>
      <c r="I39" s="3" t="s">
        <v>161</v>
      </c>
      <c r="J39" s="3" t="s">
        <v>30</v>
      </c>
      <c r="K39" s="3" t="s">
        <v>30</v>
      </c>
      <c r="L39" s="3" t="s">
        <v>137</v>
      </c>
      <c r="M39" s="3" t="s">
        <v>31</v>
      </c>
      <c r="N39" s="3" t="s">
        <v>204</v>
      </c>
      <c r="O39" s="3" t="s">
        <v>139</v>
      </c>
      <c r="P39" s="3" t="s">
        <v>198</v>
      </c>
      <c r="Q39" s="3" t="s">
        <v>141</v>
      </c>
      <c r="R39" s="3" t="s">
        <v>142</v>
      </c>
      <c r="S39" s="3" t="s">
        <v>34</v>
      </c>
      <c r="T39" s="157">
        <v>4.5410000000000004</v>
      </c>
      <c r="U39" s="3" t="s">
        <v>319</v>
      </c>
      <c r="V39" s="168">
        <v>2.5499999999999998E-2</v>
      </c>
      <c r="W39" s="168">
        <v>4.9320000000000003E-2</v>
      </c>
      <c r="X39" s="5" t="s">
        <v>144</v>
      </c>
      <c r="Y39" s="5" t="s">
        <v>139</v>
      </c>
      <c r="Z39" s="157">
        <v>797413.83</v>
      </c>
      <c r="AA39" s="166">
        <v>1</v>
      </c>
      <c r="AB39" s="176">
        <v>90.63</v>
      </c>
      <c r="AD39" s="157">
        <v>722.69600000000003</v>
      </c>
      <c r="AG39" s="3" t="s">
        <v>36</v>
      </c>
      <c r="AH39" s="168">
        <v>2.8600000000000001E-4</v>
      </c>
      <c r="AI39" s="168">
        <v>3.2935492725241701E-3</v>
      </c>
      <c r="AJ39" s="168">
        <v>6.1125031294949296E-4</v>
      </c>
    </row>
    <row r="40" spans="1:36">
      <c r="A40" s="3">
        <v>419</v>
      </c>
      <c r="B40" s="3">
        <v>419</v>
      </c>
      <c r="C40" s="3" t="s">
        <v>315</v>
      </c>
      <c r="D40" s="3" t="s">
        <v>316</v>
      </c>
      <c r="E40" s="5" t="s">
        <v>132</v>
      </c>
      <c r="F40" s="3" t="s">
        <v>320</v>
      </c>
      <c r="G40" s="3" t="s">
        <v>321</v>
      </c>
      <c r="H40" s="3" t="s">
        <v>135</v>
      </c>
      <c r="I40" s="3" t="s">
        <v>149</v>
      </c>
      <c r="J40" s="3" t="s">
        <v>30</v>
      </c>
      <c r="K40" s="3" t="s">
        <v>30</v>
      </c>
      <c r="L40" s="3" t="s">
        <v>137</v>
      </c>
      <c r="M40" s="3" t="s">
        <v>31</v>
      </c>
      <c r="N40" s="3" t="s">
        <v>204</v>
      </c>
      <c r="O40" s="3" t="s">
        <v>139</v>
      </c>
      <c r="P40" s="3" t="s">
        <v>198</v>
      </c>
      <c r="Q40" s="3" t="s">
        <v>141</v>
      </c>
      <c r="R40" s="3" t="s">
        <v>142</v>
      </c>
      <c r="S40" s="3" t="s">
        <v>34</v>
      </c>
      <c r="T40" s="157">
        <v>3.726</v>
      </c>
      <c r="U40" s="3" t="s">
        <v>322</v>
      </c>
      <c r="V40" s="168">
        <v>5.0000000000000001E-3</v>
      </c>
      <c r="W40" s="168">
        <v>2.9350000000000001E-2</v>
      </c>
      <c r="X40" s="5" t="s">
        <v>144</v>
      </c>
      <c r="Y40" s="5" t="s">
        <v>139</v>
      </c>
      <c r="Z40" s="157">
        <v>263285.43</v>
      </c>
      <c r="AA40" s="166">
        <v>1</v>
      </c>
      <c r="AB40" s="176">
        <v>108.26</v>
      </c>
      <c r="AD40" s="157">
        <v>285.03300000000002</v>
      </c>
      <c r="AG40" s="3" t="s">
        <v>36</v>
      </c>
      <c r="AH40" s="168">
        <v>1.9699999999999999E-4</v>
      </c>
      <c r="AI40" s="168">
        <v>1.2989824107813299E-3</v>
      </c>
      <c r="AJ40" s="168">
        <v>2.4107834418321899E-4</v>
      </c>
    </row>
    <row r="41" spans="1:36">
      <c r="A41" s="3">
        <v>419</v>
      </c>
      <c r="B41" s="3">
        <v>419</v>
      </c>
      <c r="C41" s="3" t="s">
        <v>315</v>
      </c>
      <c r="D41" s="3" t="s">
        <v>316</v>
      </c>
      <c r="E41" s="5" t="s">
        <v>132</v>
      </c>
      <c r="F41" s="3" t="s">
        <v>323</v>
      </c>
      <c r="G41" s="3" t="s">
        <v>324</v>
      </c>
      <c r="H41" s="3" t="s">
        <v>135</v>
      </c>
      <c r="I41" s="3" t="s">
        <v>149</v>
      </c>
      <c r="J41" s="3" t="s">
        <v>30</v>
      </c>
      <c r="K41" s="3" t="s">
        <v>30</v>
      </c>
      <c r="L41" s="3" t="s">
        <v>137</v>
      </c>
      <c r="M41" s="3" t="s">
        <v>31</v>
      </c>
      <c r="N41" s="3" t="s">
        <v>204</v>
      </c>
      <c r="O41" s="3" t="s">
        <v>139</v>
      </c>
      <c r="P41" s="3" t="s">
        <v>198</v>
      </c>
      <c r="Q41" s="3" t="s">
        <v>141</v>
      </c>
      <c r="R41" s="3" t="s">
        <v>142</v>
      </c>
      <c r="S41" s="3" t="s">
        <v>34</v>
      </c>
      <c r="T41" s="157">
        <v>4.1829999999999998</v>
      </c>
      <c r="U41" s="3" t="s">
        <v>325</v>
      </c>
      <c r="V41" s="168">
        <v>5.8999999999999999E-3</v>
      </c>
      <c r="W41" s="168">
        <v>2.921E-2</v>
      </c>
      <c r="X41" s="5" t="s">
        <v>144</v>
      </c>
      <c r="Y41" s="5" t="s">
        <v>139</v>
      </c>
      <c r="Z41" s="157">
        <v>1285472</v>
      </c>
      <c r="AA41" s="166">
        <v>1</v>
      </c>
      <c r="AB41" s="176">
        <v>104.71</v>
      </c>
      <c r="AD41" s="157">
        <v>1346.018</v>
      </c>
      <c r="AG41" s="3" t="s">
        <v>36</v>
      </c>
      <c r="AH41" s="168">
        <v>9.1799999999999998E-4</v>
      </c>
      <c r="AI41" s="168">
        <v>6.1342179477090197E-3</v>
      </c>
      <c r="AJ41" s="168">
        <v>1.1384504466101101E-3</v>
      </c>
    </row>
    <row r="42" spans="1:36">
      <c r="A42" s="3">
        <v>419</v>
      </c>
      <c r="B42" s="3">
        <v>419</v>
      </c>
      <c r="C42" s="3" t="s">
        <v>315</v>
      </c>
      <c r="D42" s="3" t="s">
        <v>316</v>
      </c>
      <c r="E42" s="5" t="s">
        <v>132</v>
      </c>
      <c r="F42" s="3" t="s">
        <v>326</v>
      </c>
      <c r="G42" s="3" t="s">
        <v>327</v>
      </c>
      <c r="H42" s="3" t="s">
        <v>135</v>
      </c>
      <c r="I42" s="3" t="s">
        <v>149</v>
      </c>
      <c r="J42" s="3" t="s">
        <v>30</v>
      </c>
      <c r="K42" s="3" t="s">
        <v>30</v>
      </c>
      <c r="L42" s="3" t="s">
        <v>137</v>
      </c>
      <c r="M42" s="3" t="s">
        <v>31</v>
      </c>
      <c r="N42" s="3" t="s">
        <v>204</v>
      </c>
      <c r="O42" s="3" t="s">
        <v>139</v>
      </c>
      <c r="P42" s="3" t="s">
        <v>198</v>
      </c>
      <c r="Q42" s="3" t="s">
        <v>141</v>
      </c>
      <c r="R42" s="3" t="s">
        <v>142</v>
      </c>
      <c r="S42" s="3" t="s">
        <v>34</v>
      </c>
      <c r="T42" s="157">
        <v>2.8519999999999999</v>
      </c>
      <c r="U42" s="3" t="s">
        <v>44</v>
      </c>
      <c r="V42" s="168">
        <v>3.3399999999999999E-2</v>
      </c>
      <c r="W42" s="168">
        <v>2.8539999999999999E-2</v>
      </c>
      <c r="X42" s="5" t="s">
        <v>144</v>
      </c>
      <c r="Y42" s="5" t="s">
        <v>139</v>
      </c>
      <c r="Z42" s="157">
        <v>1898000</v>
      </c>
      <c r="AA42" s="166">
        <v>1</v>
      </c>
      <c r="AB42" s="176">
        <v>106.04</v>
      </c>
      <c r="AD42" s="157">
        <v>2012.6389999999999</v>
      </c>
      <c r="AG42" s="3" t="s">
        <v>36</v>
      </c>
      <c r="AH42" s="168">
        <v>1.7639999999999999E-3</v>
      </c>
      <c r="AI42" s="168">
        <v>9.1722175843077999E-3</v>
      </c>
      <c r="AJ42" s="168">
        <v>1.70227326356413E-3</v>
      </c>
    </row>
    <row r="43" spans="1:36">
      <c r="A43" s="3">
        <v>419</v>
      </c>
      <c r="B43" s="3">
        <v>419</v>
      </c>
      <c r="C43" s="3" t="s">
        <v>315</v>
      </c>
      <c r="D43" s="3" t="s">
        <v>316</v>
      </c>
      <c r="E43" s="5" t="s">
        <v>132</v>
      </c>
      <c r="F43" s="3" t="s">
        <v>328</v>
      </c>
      <c r="G43" s="3" t="s">
        <v>329</v>
      </c>
      <c r="H43" s="3" t="s">
        <v>135</v>
      </c>
      <c r="I43" s="3" t="s">
        <v>149</v>
      </c>
      <c r="J43" s="3" t="s">
        <v>30</v>
      </c>
      <c r="K43" s="3" t="s">
        <v>30</v>
      </c>
      <c r="L43" s="3" t="s">
        <v>137</v>
      </c>
      <c r="M43" s="3" t="s">
        <v>31</v>
      </c>
      <c r="N43" s="3" t="s">
        <v>204</v>
      </c>
      <c r="O43" s="3" t="s">
        <v>139</v>
      </c>
      <c r="P43" s="3" t="s">
        <v>198</v>
      </c>
      <c r="Q43" s="3" t="s">
        <v>141</v>
      </c>
      <c r="R43" s="3" t="s">
        <v>142</v>
      </c>
      <c r="S43" s="3" t="s">
        <v>34</v>
      </c>
      <c r="T43" s="157">
        <v>0.48199999999999998</v>
      </c>
      <c r="U43" s="3" t="s">
        <v>330</v>
      </c>
      <c r="V43" s="168">
        <v>4.7500000000000001E-2</v>
      </c>
      <c r="W43" s="168">
        <v>5.2159999999999998E-2</v>
      </c>
      <c r="X43" s="5" t="s">
        <v>144</v>
      </c>
      <c r="Y43" s="5" t="s">
        <v>139</v>
      </c>
      <c r="Z43" s="157">
        <v>175000.3</v>
      </c>
      <c r="AA43" s="166">
        <v>1</v>
      </c>
      <c r="AB43" s="176">
        <v>143.80000000000001</v>
      </c>
      <c r="AD43" s="157">
        <v>251.65</v>
      </c>
      <c r="AG43" s="3" t="s">
        <v>36</v>
      </c>
      <c r="AH43" s="168">
        <v>3.6600000000000001E-4</v>
      </c>
      <c r="AI43" s="168">
        <v>1.1468486313819799E-3</v>
      </c>
      <c r="AJ43" s="168">
        <v>2.1284381280887299E-4</v>
      </c>
    </row>
    <row r="44" spans="1:36">
      <c r="A44" s="3">
        <v>419</v>
      </c>
      <c r="B44" s="3">
        <v>419</v>
      </c>
      <c r="C44" s="3" t="s">
        <v>331</v>
      </c>
      <c r="D44" s="3" t="s">
        <v>332</v>
      </c>
      <c r="E44" s="5" t="s">
        <v>132</v>
      </c>
      <c r="F44" s="3" t="s">
        <v>333</v>
      </c>
      <c r="G44" s="3" t="s">
        <v>334</v>
      </c>
      <c r="H44" s="3" t="s">
        <v>135</v>
      </c>
      <c r="I44" s="3" t="s">
        <v>149</v>
      </c>
      <c r="J44" s="3" t="s">
        <v>30</v>
      </c>
      <c r="K44" s="3" t="s">
        <v>30</v>
      </c>
      <c r="L44" s="3" t="s">
        <v>137</v>
      </c>
      <c r="M44" s="3" t="s">
        <v>31</v>
      </c>
      <c r="N44" s="3" t="s">
        <v>309</v>
      </c>
      <c r="O44" s="3" t="s">
        <v>139</v>
      </c>
      <c r="P44" s="3" t="s">
        <v>310</v>
      </c>
      <c r="Q44" s="3" t="s">
        <v>141</v>
      </c>
      <c r="R44" s="3" t="s">
        <v>142</v>
      </c>
      <c r="S44" s="3" t="s">
        <v>34</v>
      </c>
      <c r="T44" s="157">
        <v>4.633</v>
      </c>
      <c r="U44" s="3" t="s">
        <v>335</v>
      </c>
      <c r="V44" s="168">
        <v>2.47E-2</v>
      </c>
      <c r="W44" s="168">
        <v>2.5909999999999999E-2</v>
      </c>
      <c r="X44" s="5" t="s">
        <v>144</v>
      </c>
      <c r="Y44" s="5" t="s">
        <v>139</v>
      </c>
      <c r="Z44" s="157">
        <v>2798734.12</v>
      </c>
      <c r="AA44" s="166">
        <v>1</v>
      </c>
      <c r="AB44" s="176">
        <v>105.47</v>
      </c>
      <c r="AD44" s="157">
        <v>2951.8249999999998</v>
      </c>
      <c r="AG44" s="3" t="s">
        <v>36</v>
      </c>
      <c r="AH44" s="168">
        <v>1.0759999999999999E-3</v>
      </c>
      <c r="AI44" s="168">
        <v>1.3452376380616599E-2</v>
      </c>
      <c r="AJ44" s="168">
        <v>2.4966285888488801E-3</v>
      </c>
    </row>
    <row r="45" spans="1:36">
      <c r="A45" s="3">
        <v>419</v>
      </c>
      <c r="B45" s="3">
        <v>419</v>
      </c>
      <c r="C45" s="3" t="s">
        <v>331</v>
      </c>
      <c r="D45" s="3" t="s">
        <v>332</v>
      </c>
      <c r="E45" s="5" t="s">
        <v>132</v>
      </c>
      <c r="F45" s="3" t="s">
        <v>336</v>
      </c>
      <c r="G45" s="3" t="s">
        <v>337</v>
      </c>
      <c r="H45" s="3" t="s">
        <v>135</v>
      </c>
      <c r="I45" s="3" t="s">
        <v>149</v>
      </c>
      <c r="J45" s="3" t="s">
        <v>30</v>
      </c>
      <c r="K45" s="3" t="s">
        <v>30</v>
      </c>
      <c r="L45" s="3" t="s">
        <v>137</v>
      </c>
      <c r="M45" s="3" t="s">
        <v>31</v>
      </c>
      <c r="N45" s="3" t="s">
        <v>309</v>
      </c>
      <c r="O45" s="3" t="s">
        <v>139</v>
      </c>
      <c r="P45" s="3" t="s">
        <v>310</v>
      </c>
      <c r="Q45" s="3" t="s">
        <v>141</v>
      </c>
      <c r="R45" s="3" t="s">
        <v>142</v>
      </c>
      <c r="S45" s="3" t="s">
        <v>34</v>
      </c>
      <c r="T45" s="157">
        <v>4.5570000000000004</v>
      </c>
      <c r="U45" s="3" t="s">
        <v>335</v>
      </c>
      <c r="V45" s="168">
        <v>2.4E-2</v>
      </c>
      <c r="W45" s="168">
        <v>2.545E-2</v>
      </c>
      <c r="X45" s="5" t="s">
        <v>144</v>
      </c>
      <c r="Y45" s="5" t="s">
        <v>139</v>
      </c>
      <c r="Z45" s="157">
        <v>1700000</v>
      </c>
      <c r="AA45" s="166">
        <v>1</v>
      </c>
      <c r="AB45" s="176">
        <v>104.06</v>
      </c>
      <c r="AD45" s="157">
        <v>1769.02</v>
      </c>
      <c r="AG45" s="3" t="s">
        <v>36</v>
      </c>
      <c r="AH45" s="168">
        <v>7.7200000000000001E-4</v>
      </c>
      <c r="AI45" s="168">
        <v>8.0619697514547999E-3</v>
      </c>
      <c r="AJ45" s="168">
        <v>1.4962221985491599E-3</v>
      </c>
    </row>
    <row r="46" spans="1:36">
      <c r="A46" s="3">
        <v>419</v>
      </c>
      <c r="B46" s="3">
        <v>419</v>
      </c>
      <c r="C46" s="3" t="s">
        <v>331</v>
      </c>
      <c r="D46" s="3" t="s">
        <v>332</v>
      </c>
      <c r="E46" s="5" t="s">
        <v>132</v>
      </c>
      <c r="F46" s="3" t="s">
        <v>338</v>
      </c>
      <c r="G46" s="3" t="s">
        <v>339</v>
      </c>
      <c r="H46" s="3" t="s">
        <v>135</v>
      </c>
      <c r="I46" s="3" t="s">
        <v>161</v>
      </c>
      <c r="J46" s="3" t="s">
        <v>30</v>
      </c>
      <c r="K46" s="3" t="s">
        <v>30</v>
      </c>
      <c r="L46" s="3" t="s">
        <v>137</v>
      </c>
      <c r="M46" s="3" t="s">
        <v>31</v>
      </c>
      <c r="N46" s="3" t="s">
        <v>309</v>
      </c>
      <c r="O46" s="3" t="s">
        <v>139</v>
      </c>
      <c r="P46" s="3" t="s">
        <v>310</v>
      </c>
      <c r="Q46" s="3" t="s">
        <v>141</v>
      </c>
      <c r="R46" s="3" t="s">
        <v>142</v>
      </c>
      <c r="S46" s="3" t="s">
        <v>34</v>
      </c>
      <c r="T46" s="157">
        <v>2.4689999999999999</v>
      </c>
      <c r="U46" s="3" t="s">
        <v>340</v>
      </c>
      <c r="V46" s="168">
        <v>2.6800000000000001E-2</v>
      </c>
      <c r="W46" s="168">
        <v>4.4679999999999997E-2</v>
      </c>
      <c r="X46" s="5" t="s">
        <v>144</v>
      </c>
      <c r="Y46" s="5" t="s">
        <v>139</v>
      </c>
      <c r="Z46" s="157">
        <v>1157332.52</v>
      </c>
      <c r="AA46" s="166">
        <v>1</v>
      </c>
      <c r="AB46" s="176">
        <v>97.92</v>
      </c>
      <c r="AD46" s="157">
        <v>1133.26</v>
      </c>
      <c r="AG46" s="3" t="s">
        <v>36</v>
      </c>
      <c r="AH46" s="168">
        <v>5.9100000000000005E-4</v>
      </c>
      <c r="AI46" s="168">
        <v>5.1646153629850197E-3</v>
      </c>
      <c r="AJ46" s="168">
        <v>9.5850175469484704E-4</v>
      </c>
    </row>
    <row r="47" spans="1:36">
      <c r="A47" s="3">
        <v>419</v>
      </c>
      <c r="B47" s="3">
        <v>419</v>
      </c>
      <c r="C47" s="3" t="s">
        <v>331</v>
      </c>
      <c r="D47" s="3" t="s">
        <v>332</v>
      </c>
      <c r="E47" s="5" t="s">
        <v>132</v>
      </c>
      <c r="F47" s="3" t="s">
        <v>341</v>
      </c>
      <c r="G47" s="3" t="s">
        <v>342</v>
      </c>
      <c r="H47" s="3" t="s">
        <v>135</v>
      </c>
      <c r="I47" s="3" t="s">
        <v>149</v>
      </c>
      <c r="J47" s="3" t="s">
        <v>30</v>
      </c>
      <c r="K47" s="3" t="s">
        <v>30</v>
      </c>
      <c r="L47" s="3" t="s">
        <v>137</v>
      </c>
      <c r="M47" s="3" t="s">
        <v>31</v>
      </c>
      <c r="N47" s="3" t="s">
        <v>309</v>
      </c>
      <c r="O47" s="3" t="s">
        <v>139</v>
      </c>
      <c r="P47" s="3" t="s">
        <v>151</v>
      </c>
      <c r="Q47" s="3" t="s">
        <v>141</v>
      </c>
      <c r="R47" s="3" t="s">
        <v>142</v>
      </c>
      <c r="S47" s="3" t="s">
        <v>34</v>
      </c>
      <c r="T47" s="157">
        <v>2.9740000000000002</v>
      </c>
      <c r="U47" s="3" t="s">
        <v>343</v>
      </c>
      <c r="V47" s="168">
        <v>3.1699999999999999E-2</v>
      </c>
      <c r="W47" s="168">
        <v>2.8660000000000001E-2</v>
      </c>
      <c r="X47" s="5" t="s">
        <v>144</v>
      </c>
      <c r="Y47" s="5" t="s">
        <v>139</v>
      </c>
      <c r="Z47" s="157">
        <v>1700000</v>
      </c>
      <c r="AA47" s="166">
        <v>1</v>
      </c>
      <c r="AB47" s="176">
        <v>114.09</v>
      </c>
      <c r="AD47" s="157">
        <v>1939.53</v>
      </c>
      <c r="AG47" s="3" t="s">
        <v>36</v>
      </c>
      <c r="AH47" s="168">
        <v>2.013E-3</v>
      </c>
      <c r="AI47" s="168">
        <v>8.8390364111423907E-3</v>
      </c>
      <c r="AJ47" s="168">
        <v>1.6404381187053001E-3</v>
      </c>
    </row>
    <row r="48" spans="1:36">
      <c r="A48" s="3">
        <v>419</v>
      </c>
      <c r="B48" s="3">
        <v>419</v>
      </c>
      <c r="C48" s="3" t="s">
        <v>344</v>
      </c>
      <c r="D48" s="3" t="s">
        <v>345</v>
      </c>
      <c r="E48" s="5" t="s">
        <v>132</v>
      </c>
      <c r="F48" s="3" t="s">
        <v>346</v>
      </c>
      <c r="G48" s="3" t="s">
        <v>347</v>
      </c>
      <c r="H48" s="3" t="s">
        <v>135</v>
      </c>
      <c r="I48" s="3" t="s">
        <v>149</v>
      </c>
      <c r="J48" s="3" t="s">
        <v>30</v>
      </c>
      <c r="K48" s="3" t="s">
        <v>30</v>
      </c>
      <c r="L48" s="3" t="s">
        <v>137</v>
      </c>
      <c r="M48" s="3" t="s">
        <v>31</v>
      </c>
      <c r="N48" s="3" t="s">
        <v>157</v>
      </c>
      <c r="O48" s="3" t="s">
        <v>139</v>
      </c>
      <c r="P48" s="3" t="s">
        <v>229</v>
      </c>
      <c r="Q48" s="3" t="s">
        <v>172</v>
      </c>
      <c r="R48" s="3" t="s">
        <v>142</v>
      </c>
      <c r="S48" s="3" t="s">
        <v>34</v>
      </c>
      <c r="T48" s="157">
        <v>3.2109999999999999</v>
      </c>
      <c r="U48" s="3" t="s">
        <v>348</v>
      </c>
      <c r="V48" s="168">
        <v>1.7999999999999999E-2</v>
      </c>
      <c r="W48" s="168">
        <v>3.2000000000000001E-2</v>
      </c>
      <c r="X48" s="5" t="s">
        <v>144</v>
      </c>
      <c r="Y48" s="5" t="s">
        <v>139</v>
      </c>
      <c r="Z48" s="157">
        <v>838709.62</v>
      </c>
      <c r="AA48" s="166">
        <v>1</v>
      </c>
      <c r="AB48" s="176">
        <v>113.57</v>
      </c>
      <c r="AD48" s="157">
        <v>952.52300000000002</v>
      </c>
      <c r="AG48" s="3" t="s">
        <v>36</v>
      </c>
      <c r="AH48" s="168">
        <v>9.5100000000000002E-4</v>
      </c>
      <c r="AI48" s="168">
        <v>4.3409388853763902E-3</v>
      </c>
      <c r="AJ48" s="168">
        <v>8.0563551130582599E-4</v>
      </c>
    </row>
    <row r="49" spans="1:36">
      <c r="A49" s="3">
        <v>419</v>
      </c>
      <c r="B49" s="3">
        <v>419</v>
      </c>
      <c r="C49" s="3" t="s">
        <v>344</v>
      </c>
      <c r="D49" s="3" t="s">
        <v>345</v>
      </c>
      <c r="E49" s="5" t="s">
        <v>132</v>
      </c>
      <c r="F49" s="3" t="s">
        <v>349</v>
      </c>
      <c r="G49" s="3" t="s">
        <v>350</v>
      </c>
      <c r="H49" s="3" t="s">
        <v>135</v>
      </c>
      <c r="I49" s="3" t="s">
        <v>149</v>
      </c>
      <c r="J49" s="3" t="s">
        <v>30</v>
      </c>
      <c r="K49" s="3" t="s">
        <v>30</v>
      </c>
      <c r="L49" s="3" t="s">
        <v>137</v>
      </c>
      <c r="M49" s="3" t="s">
        <v>31</v>
      </c>
      <c r="N49" s="3" t="s">
        <v>157</v>
      </c>
      <c r="O49" s="3" t="s">
        <v>139</v>
      </c>
      <c r="P49" s="3" t="s">
        <v>351</v>
      </c>
      <c r="Q49" s="3" t="s">
        <v>141</v>
      </c>
      <c r="R49" s="3" t="s">
        <v>142</v>
      </c>
      <c r="S49" s="3" t="s">
        <v>34</v>
      </c>
      <c r="T49" s="157">
        <v>5.5270000000000001</v>
      </c>
      <c r="U49" s="3" t="s">
        <v>352</v>
      </c>
      <c r="V49" s="168">
        <v>3.3000000000000002E-2</v>
      </c>
      <c r="W49" s="168">
        <v>3.5090000000000003E-2</v>
      </c>
      <c r="X49" s="5" t="s">
        <v>144</v>
      </c>
      <c r="Y49" s="5" t="s">
        <v>139</v>
      </c>
      <c r="Z49" s="157">
        <v>2099685.9300000002</v>
      </c>
      <c r="AA49" s="166">
        <v>1</v>
      </c>
      <c r="AB49" s="176">
        <v>108.72</v>
      </c>
      <c r="AD49" s="157">
        <v>2282.779</v>
      </c>
      <c r="AG49" s="3" t="s">
        <v>36</v>
      </c>
      <c r="AH49" s="168">
        <v>1.7700000000000001E-3</v>
      </c>
      <c r="AI49" s="168">
        <v>1.04033258887463E-2</v>
      </c>
      <c r="AJ49" s="168">
        <v>1.93075484197575E-3</v>
      </c>
    </row>
    <row r="50" spans="1:36">
      <c r="A50" s="3">
        <v>419</v>
      </c>
      <c r="B50" s="3">
        <v>419</v>
      </c>
      <c r="C50" s="3" t="s">
        <v>353</v>
      </c>
      <c r="D50" s="3" t="s">
        <v>354</v>
      </c>
      <c r="E50" s="5" t="s">
        <v>132</v>
      </c>
      <c r="F50" s="3" t="s">
        <v>355</v>
      </c>
      <c r="G50" s="3" t="s">
        <v>356</v>
      </c>
      <c r="H50" s="3" t="s">
        <v>135</v>
      </c>
      <c r="I50" s="3" t="s">
        <v>161</v>
      </c>
      <c r="J50" s="3" t="s">
        <v>30</v>
      </c>
      <c r="K50" s="3" t="s">
        <v>30</v>
      </c>
      <c r="L50" s="3" t="s">
        <v>137</v>
      </c>
      <c r="M50" s="3" t="s">
        <v>31</v>
      </c>
      <c r="N50" s="3" t="s">
        <v>357</v>
      </c>
      <c r="O50" s="3" t="s">
        <v>139</v>
      </c>
      <c r="P50" s="3" t="s">
        <v>186</v>
      </c>
      <c r="Q50" s="3" t="s">
        <v>172</v>
      </c>
      <c r="R50" s="3" t="s">
        <v>142</v>
      </c>
      <c r="S50" s="3" t="s">
        <v>34</v>
      </c>
      <c r="T50" s="157">
        <v>6.27</v>
      </c>
      <c r="U50" s="3" t="s">
        <v>358</v>
      </c>
      <c r="V50" s="168">
        <v>5.6800000000000003E-2</v>
      </c>
      <c r="W50" s="168">
        <v>5.7020000000000001E-2</v>
      </c>
      <c r="X50" s="5" t="s">
        <v>144</v>
      </c>
      <c r="Y50" s="5" t="s">
        <v>139</v>
      </c>
      <c r="Z50" s="157">
        <v>1750000</v>
      </c>
      <c r="AA50" s="166">
        <v>1</v>
      </c>
      <c r="AB50" s="176">
        <v>100.76</v>
      </c>
      <c r="AD50" s="157">
        <v>1763.3</v>
      </c>
      <c r="AG50" s="3" t="s">
        <v>36</v>
      </c>
      <c r="AH50" s="168">
        <v>1.7229999999999999E-3</v>
      </c>
      <c r="AI50" s="168">
        <v>8.0359019472590696E-3</v>
      </c>
      <c r="AJ50" s="168">
        <v>1.4913842707836699E-3</v>
      </c>
    </row>
    <row r="51" spans="1:36">
      <c r="A51" s="3">
        <v>419</v>
      </c>
      <c r="B51" s="3">
        <v>419</v>
      </c>
      <c r="C51" s="3" t="s">
        <v>359</v>
      </c>
      <c r="D51" s="3" t="s">
        <v>360</v>
      </c>
      <c r="E51" s="5" t="s">
        <v>132</v>
      </c>
      <c r="F51" s="3" t="s">
        <v>361</v>
      </c>
      <c r="G51" s="3" t="s">
        <v>362</v>
      </c>
      <c r="H51" s="3" t="s">
        <v>135</v>
      </c>
      <c r="I51" s="3" t="s">
        <v>161</v>
      </c>
      <c r="J51" s="3" t="s">
        <v>30</v>
      </c>
      <c r="K51" s="3" t="s">
        <v>30</v>
      </c>
      <c r="L51" s="3" t="s">
        <v>137</v>
      </c>
      <c r="M51" s="3" t="s">
        <v>31</v>
      </c>
      <c r="N51" s="3" t="s">
        <v>185</v>
      </c>
      <c r="O51" s="3" t="s">
        <v>139</v>
      </c>
      <c r="P51" s="3" t="s">
        <v>363</v>
      </c>
      <c r="Q51" s="3" t="s">
        <v>172</v>
      </c>
      <c r="R51" s="3" t="s">
        <v>142</v>
      </c>
      <c r="S51" s="3" t="s">
        <v>34</v>
      </c>
      <c r="T51" s="157">
        <v>2.077</v>
      </c>
      <c r="U51" s="3" t="s">
        <v>281</v>
      </c>
      <c r="V51" s="168">
        <v>5.45E-2</v>
      </c>
      <c r="W51" s="168">
        <v>5.7579999999999999E-2</v>
      </c>
      <c r="X51" s="5" t="s">
        <v>144</v>
      </c>
      <c r="Y51" s="5" t="s">
        <v>139</v>
      </c>
      <c r="Z51" s="157">
        <v>95666.28</v>
      </c>
      <c r="AA51" s="166">
        <v>1</v>
      </c>
      <c r="AB51" s="176">
        <v>104.83</v>
      </c>
      <c r="AD51" s="157">
        <v>100.28700000000001</v>
      </c>
      <c r="AG51" s="3" t="s">
        <v>36</v>
      </c>
      <c r="AH51" s="168">
        <v>7.9089999999999994E-3</v>
      </c>
      <c r="AI51" s="168">
        <v>4.5703861384235601E-4</v>
      </c>
      <c r="AJ51" s="168">
        <v>8.4821866207283994E-5</v>
      </c>
    </row>
    <row r="52" spans="1:36">
      <c r="A52" s="3">
        <v>419</v>
      </c>
      <c r="B52" s="3">
        <v>419</v>
      </c>
      <c r="C52" s="3" t="s">
        <v>364</v>
      </c>
      <c r="D52" s="3" t="s">
        <v>365</v>
      </c>
      <c r="E52" s="5" t="s">
        <v>132</v>
      </c>
      <c r="F52" s="3" t="s">
        <v>366</v>
      </c>
      <c r="G52" s="3" t="s">
        <v>367</v>
      </c>
      <c r="H52" s="3" t="s">
        <v>135</v>
      </c>
      <c r="I52" s="3" t="s">
        <v>149</v>
      </c>
      <c r="J52" s="3" t="s">
        <v>30</v>
      </c>
      <c r="K52" s="3" t="s">
        <v>30</v>
      </c>
      <c r="L52" s="3" t="s">
        <v>137</v>
      </c>
      <c r="M52" s="3" t="s">
        <v>31</v>
      </c>
      <c r="N52" s="3" t="s">
        <v>204</v>
      </c>
      <c r="O52" s="3" t="s">
        <v>139</v>
      </c>
      <c r="P52" s="3" t="s">
        <v>351</v>
      </c>
      <c r="Q52" s="3" t="s">
        <v>141</v>
      </c>
      <c r="R52" s="3" t="s">
        <v>142</v>
      </c>
      <c r="S52" s="3" t="s">
        <v>34</v>
      </c>
      <c r="T52" s="157">
        <v>1.6659999999999999</v>
      </c>
      <c r="U52" s="3" t="s">
        <v>180</v>
      </c>
      <c r="V52" s="168">
        <v>3.6499999999999998E-2</v>
      </c>
      <c r="W52" s="168">
        <v>3.1359999999999999E-2</v>
      </c>
      <c r="X52" s="5" t="s">
        <v>144</v>
      </c>
      <c r="Y52" s="5" t="s">
        <v>139</v>
      </c>
      <c r="Z52" s="157">
        <v>1075200</v>
      </c>
      <c r="AA52" s="166">
        <v>1</v>
      </c>
      <c r="AB52" s="176">
        <v>112.18</v>
      </c>
      <c r="AD52" s="157">
        <v>1206.1590000000001</v>
      </c>
      <c r="AG52" s="3" t="s">
        <v>36</v>
      </c>
      <c r="AH52" s="168">
        <v>4.1219999999999998E-3</v>
      </c>
      <c r="AI52" s="168">
        <v>5.49684021421695E-3</v>
      </c>
      <c r="AJ52" s="168">
        <v>1.02015941561986E-3</v>
      </c>
    </row>
    <row r="53" spans="1:36">
      <c r="A53" s="3">
        <v>419</v>
      </c>
      <c r="B53" s="3">
        <v>419</v>
      </c>
      <c r="C53" s="3" t="s">
        <v>364</v>
      </c>
      <c r="D53" s="3" t="s">
        <v>365</v>
      </c>
      <c r="E53" s="5" t="s">
        <v>132</v>
      </c>
      <c r="F53" s="3" t="s">
        <v>368</v>
      </c>
      <c r="G53" s="3" t="s">
        <v>369</v>
      </c>
      <c r="H53" s="3" t="s">
        <v>135</v>
      </c>
      <c r="I53" s="3" t="s">
        <v>149</v>
      </c>
      <c r="J53" s="3" t="s">
        <v>30</v>
      </c>
      <c r="K53" s="3" t="s">
        <v>30</v>
      </c>
      <c r="L53" s="3" t="s">
        <v>137</v>
      </c>
      <c r="M53" s="3" t="s">
        <v>31</v>
      </c>
      <c r="N53" s="3" t="s">
        <v>204</v>
      </c>
      <c r="O53" s="3" t="s">
        <v>139</v>
      </c>
      <c r="P53" s="3" t="s">
        <v>250</v>
      </c>
      <c r="Q53" s="3" t="s">
        <v>141</v>
      </c>
      <c r="R53" s="3" t="s">
        <v>142</v>
      </c>
      <c r="S53" s="3" t="s">
        <v>34</v>
      </c>
      <c r="T53" s="157">
        <v>1.996</v>
      </c>
      <c r="U53" s="3" t="s">
        <v>370</v>
      </c>
      <c r="V53" s="168">
        <v>1.7999999999999999E-2</v>
      </c>
      <c r="W53" s="168">
        <v>3.0210000000000001E-2</v>
      </c>
      <c r="X53" s="5" t="s">
        <v>144</v>
      </c>
      <c r="Y53" s="5" t="s">
        <v>139</v>
      </c>
      <c r="Z53" s="157">
        <v>1326356.19</v>
      </c>
      <c r="AA53" s="166">
        <v>1</v>
      </c>
      <c r="AB53" s="176">
        <v>116.94</v>
      </c>
      <c r="AD53" s="157">
        <v>1551.0409999999999</v>
      </c>
      <c r="AG53" s="3" t="s">
        <v>36</v>
      </c>
      <c r="AH53" s="168">
        <v>1.794E-3</v>
      </c>
      <c r="AI53" s="168">
        <v>7.0685718926460396E-3</v>
      </c>
      <c r="AJ53" s="168">
        <v>1.3118573380790899E-3</v>
      </c>
    </row>
    <row r="54" spans="1:36">
      <c r="A54" s="3">
        <v>419</v>
      </c>
      <c r="B54" s="3">
        <v>419</v>
      </c>
      <c r="C54" s="3" t="s">
        <v>364</v>
      </c>
      <c r="D54" s="3" t="s">
        <v>365</v>
      </c>
      <c r="E54" s="5" t="s">
        <v>132</v>
      </c>
      <c r="F54" s="3" t="s">
        <v>371</v>
      </c>
      <c r="G54" s="3" t="s">
        <v>372</v>
      </c>
      <c r="H54" s="3" t="s">
        <v>135</v>
      </c>
      <c r="I54" s="3" t="s">
        <v>149</v>
      </c>
      <c r="J54" s="3" t="s">
        <v>30</v>
      </c>
      <c r="K54" s="3" t="s">
        <v>30</v>
      </c>
      <c r="L54" s="3" t="s">
        <v>137</v>
      </c>
      <c r="M54" s="3" t="s">
        <v>31</v>
      </c>
      <c r="N54" s="3" t="s">
        <v>204</v>
      </c>
      <c r="O54" s="3" t="s">
        <v>139</v>
      </c>
      <c r="P54" s="3" t="s">
        <v>351</v>
      </c>
      <c r="Q54" s="3" t="s">
        <v>141</v>
      </c>
      <c r="R54" s="3" t="s">
        <v>142</v>
      </c>
      <c r="S54" s="3" t="s">
        <v>34</v>
      </c>
      <c r="T54" s="157">
        <v>1.212</v>
      </c>
      <c r="U54" s="3" t="s">
        <v>373</v>
      </c>
      <c r="V54" s="168">
        <v>2.2499999999999999E-2</v>
      </c>
      <c r="W54" s="168">
        <v>3.3989999999999999E-2</v>
      </c>
      <c r="X54" s="5" t="s">
        <v>144</v>
      </c>
      <c r="Y54" s="5" t="s">
        <v>139</v>
      </c>
      <c r="Z54" s="157">
        <v>460555.19</v>
      </c>
      <c r="AA54" s="166">
        <v>1</v>
      </c>
      <c r="AB54" s="176">
        <v>117.81</v>
      </c>
      <c r="AD54" s="157">
        <v>542.58000000000004</v>
      </c>
      <c r="AG54" s="3" t="s">
        <v>36</v>
      </c>
      <c r="AH54" s="168">
        <v>1.8450000000000001E-3</v>
      </c>
      <c r="AI54" s="168">
        <v>2.4727047216839102E-3</v>
      </c>
      <c r="AJ54" s="168">
        <v>4.5890964728231002E-4</v>
      </c>
    </row>
    <row r="55" spans="1:36">
      <c r="A55" s="3">
        <v>419</v>
      </c>
      <c r="B55" s="3">
        <v>419</v>
      </c>
      <c r="C55" s="3" t="s">
        <v>374</v>
      </c>
      <c r="D55" s="3" t="s">
        <v>375</v>
      </c>
      <c r="E55" s="5" t="s">
        <v>132</v>
      </c>
      <c r="F55" s="3" t="s">
        <v>376</v>
      </c>
      <c r="G55" s="3" t="s">
        <v>377</v>
      </c>
      <c r="H55" s="3" t="s">
        <v>135</v>
      </c>
      <c r="I55" s="3" t="s">
        <v>149</v>
      </c>
      <c r="J55" s="3" t="s">
        <v>30</v>
      </c>
      <c r="K55" s="3" t="s">
        <v>30</v>
      </c>
      <c r="L55" s="3" t="s">
        <v>137</v>
      </c>
      <c r="M55" s="3" t="s">
        <v>31</v>
      </c>
      <c r="N55" s="3" t="s">
        <v>185</v>
      </c>
      <c r="O55" s="3" t="s">
        <v>139</v>
      </c>
      <c r="P55" s="3" t="s">
        <v>198</v>
      </c>
      <c r="Q55" s="3" t="s">
        <v>141</v>
      </c>
      <c r="R55" s="3" t="s">
        <v>142</v>
      </c>
      <c r="S55" s="3" t="s">
        <v>34</v>
      </c>
      <c r="T55" s="157">
        <v>3.544</v>
      </c>
      <c r="U55" s="3" t="s">
        <v>378</v>
      </c>
      <c r="V55" s="168">
        <v>4.4000000000000003E-3</v>
      </c>
      <c r="W55" s="168">
        <v>2.6939999999999999E-2</v>
      </c>
      <c r="X55" s="5" t="s">
        <v>144</v>
      </c>
      <c r="Y55" s="5" t="s">
        <v>139</v>
      </c>
      <c r="Z55" s="157">
        <v>368719.97</v>
      </c>
      <c r="AA55" s="166">
        <v>1</v>
      </c>
      <c r="AB55" s="176">
        <v>109.63</v>
      </c>
      <c r="AD55" s="157">
        <v>404.22800000000001</v>
      </c>
      <c r="AG55" s="3" t="s">
        <v>36</v>
      </c>
      <c r="AH55" s="168">
        <v>3.2400000000000001E-4</v>
      </c>
      <c r="AI55" s="168">
        <v>1.8421903173400701E-3</v>
      </c>
      <c r="AJ55" s="168">
        <v>3.41892382597832E-4</v>
      </c>
    </row>
    <row r="56" spans="1:36">
      <c r="A56" s="3">
        <v>419</v>
      </c>
      <c r="B56" s="3">
        <v>419</v>
      </c>
      <c r="C56" s="3" t="s">
        <v>379</v>
      </c>
      <c r="D56" s="3" t="s">
        <v>380</v>
      </c>
      <c r="E56" s="5" t="s">
        <v>132</v>
      </c>
      <c r="F56" s="3" t="s">
        <v>381</v>
      </c>
      <c r="G56" s="3" t="s">
        <v>382</v>
      </c>
      <c r="H56" s="3" t="s">
        <v>135</v>
      </c>
      <c r="I56" s="3" t="s">
        <v>161</v>
      </c>
      <c r="J56" s="3" t="s">
        <v>30</v>
      </c>
      <c r="K56" s="3" t="s">
        <v>30</v>
      </c>
      <c r="L56" s="3" t="s">
        <v>137</v>
      </c>
      <c r="M56" s="3" t="s">
        <v>31</v>
      </c>
      <c r="N56" s="3" t="s">
        <v>185</v>
      </c>
      <c r="O56" s="3" t="s">
        <v>139</v>
      </c>
      <c r="P56" s="3" t="s">
        <v>151</v>
      </c>
      <c r="Q56" s="3" t="s">
        <v>141</v>
      </c>
      <c r="R56" s="3" t="s">
        <v>142</v>
      </c>
      <c r="S56" s="3" t="s">
        <v>34</v>
      </c>
      <c r="T56" s="157">
        <v>5.6509999999999998</v>
      </c>
      <c r="U56" s="3" t="s">
        <v>383</v>
      </c>
      <c r="V56" s="168">
        <v>3.0499999999999999E-2</v>
      </c>
      <c r="W56" s="168">
        <v>4.6489999999999997E-2</v>
      </c>
      <c r="X56" s="5" t="s">
        <v>144</v>
      </c>
      <c r="Y56" s="5" t="s">
        <v>139</v>
      </c>
      <c r="Z56" s="157">
        <v>1034151</v>
      </c>
      <c r="AA56" s="166">
        <v>1</v>
      </c>
      <c r="AB56" s="176">
        <v>92.49</v>
      </c>
      <c r="AD56" s="157">
        <v>956.48599999999999</v>
      </c>
      <c r="AG56" s="3" t="s">
        <v>36</v>
      </c>
      <c r="AH56" s="168">
        <v>1.5150000000000001E-3</v>
      </c>
      <c r="AI56" s="168">
        <v>4.3590028914291101E-3</v>
      </c>
      <c r="AJ56" s="168">
        <v>8.08988012950469E-4</v>
      </c>
    </row>
    <row r="57" spans="1:36">
      <c r="A57" s="3">
        <v>419</v>
      </c>
      <c r="B57" s="3">
        <v>419</v>
      </c>
      <c r="C57" s="3" t="s">
        <v>379</v>
      </c>
      <c r="D57" s="3" t="s">
        <v>380</v>
      </c>
      <c r="E57" s="5" t="s">
        <v>132</v>
      </c>
      <c r="F57" s="3" t="s">
        <v>384</v>
      </c>
      <c r="G57" s="3" t="s">
        <v>385</v>
      </c>
      <c r="H57" s="3" t="s">
        <v>135</v>
      </c>
      <c r="I57" s="3" t="s">
        <v>161</v>
      </c>
      <c r="J57" s="3" t="s">
        <v>30</v>
      </c>
      <c r="K57" s="3" t="s">
        <v>30</v>
      </c>
      <c r="L57" s="3" t="s">
        <v>137</v>
      </c>
      <c r="M57" s="3" t="s">
        <v>31</v>
      </c>
      <c r="N57" s="3" t="s">
        <v>185</v>
      </c>
      <c r="O57" s="3" t="s">
        <v>139</v>
      </c>
      <c r="P57" s="3" t="s">
        <v>151</v>
      </c>
      <c r="Q57" s="3" t="s">
        <v>141</v>
      </c>
      <c r="R57" s="3" t="s">
        <v>142</v>
      </c>
      <c r="S57" s="3" t="s">
        <v>34</v>
      </c>
      <c r="T57" s="157">
        <v>6.5369999999999999</v>
      </c>
      <c r="U57" s="3" t="s">
        <v>267</v>
      </c>
      <c r="V57" s="168">
        <v>2.63E-2</v>
      </c>
      <c r="W57" s="168">
        <v>4.7480000000000001E-2</v>
      </c>
      <c r="X57" s="5" t="s">
        <v>144</v>
      </c>
      <c r="Y57" s="5" t="s">
        <v>139</v>
      </c>
      <c r="Z57" s="157">
        <v>940000</v>
      </c>
      <c r="AA57" s="166">
        <v>1</v>
      </c>
      <c r="AB57" s="176">
        <v>88.14</v>
      </c>
      <c r="AD57" s="157">
        <v>828.51599999999996</v>
      </c>
      <c r="AG57" s="3" t="s">
        <v>36</v>
      </c>
      <c r="AH57" s="168">
        <v>1.3550000000000001E-3</v>
      </c>
      <c r="AI57" s="168">
        <v>3.77580294773169E-3</v>
      </c>
      <c r="AJ57" s="168">
        <v>7.0075184624998805E-4</v>
      </c>
    </row>
    <row r="58" spans="1:36">
      <c r="A58" s="3">
        <v>419</v>
      </c>
      <c r="B58" s="3">
        <v>419</v>
      </c>
      <c r="C58" s="3" t="s">
        <v>379</v>
      </c>
      <c r="D58" s="3" t="s">
        <v>380</v>
      </c>
      <c r="E58" s="5" t="s">
        <v>132</v>
      </c>
      <c r="F58" s="3" t="s">
        <v>386</v>
      </c>
      <c r="G58" s="3" t="s">
        <v>387</v>
      </c>
      <c r="H58" s="3" t="s">
        <v>135</v>
      </c>
      <c r="I58" s="3" t="s">
        <v>161</v>
      </c>
      <c r="J58" s="3" t="s">
        <v>30</v>
      </c>
      <c r="K58" s="3" t="s">
        <v>30</v>
      </c>
      <c r="L58" s="3" t="s">
        <v>137</v>
      </c>
      <c r="M58" s="3" t="s">
        <v>31</v>
      </c>
      <c r="N58" s="3" t="s">
        <v>185</v>
      </c>
      <c r="O58" s="3" t="s">
        <v>139</v>
      </c>
      <c r="P58" s="3" t="s">
        <v>151</v>
      </c>
      <c r="Q58" s="3" t="s">
        <v>141</v>
      </c>
      <c r="R58" s="3" t="s">
        <v>142</v>
      </c>
      <c r="S58" s="3" t="s">
        <v>34</v>
      </c>
      <c r="T58" s="157">
        <v>6.6020000000000003</v>
      </c>
      <c r="U58" s="3" t="s">
        <v>278</v>
      </c>
      <c r="V58" s="168">
        <v>6.0199999999999997E-2</v>
      </c>
      <c r="W58" s="168">
        <v>4.7719999999999999E-2</v>
      </c>
      <c r="X58" s="5" t="s">
        <v>144</v>
      </c>
      <c r="Y58" s="5" t="s">
        <v>139</v>
      </c>
      <c r="Z58" s="157">
        <v>954129</v>
      </c>
      <c r="AA58" s="166">
        <v>1</v>
      </c>
      <c r="AB58" s="176">
        <v>110.37</v>
      </c>
      <c r="AD58" s="157">
        <v>1053.0719999999999</v>
      </c>
      <c r="AG58" s="3" t="s">
        <v>36</v>
      </c>
      <c r="AH58" s="168">
        <v>1.908E-3</v>
      </c>
      <c r="AI58" s="168">
        <v>4.7991747066122702E-3</v>
      </c>
      <c r="AJ58" s="168">
        <v>8.9067956741628303E-4</v>
      </c>
    </row>
    <row r="59" spans="1:36">
      <c r="A59" s="3">
        <v>419</v>
      </c>
      <c r="B59" s="3">
        <v>419</v>
      </c>
      <c r="C59" s="3" t="s">
        <v>379</v>
      </c>
      <c r="D59" s="3" t="s">
        <v>380</v>
      </c>
      <c r="E59" s="5" t="s">
        <v>132</v>
      </c>
      <c r="F59" s="3" t="s">
        <v>388</v>
      </c>
      <c r="G59" s="3" t="s">
        <v>389</v>
      </c>
      <c r="H59" s="3" t="s">
        <v>135</v>
      </c>
      <c r="I59" s="3" t="s">
        <v>161</v>
      </c>
      <c r="J59" s="3" t="s">
        <v>30</v>
      </c>
      <c r="K59" s="3" t="s">
        <v>30</v>
      </c>
      <c r="L59" s="3" t="s">
        <v>137</v>
      </c>
      <c r="M59" s="3" t="s">
        <v>31</v>
      </c>
      <c r="N59" s="3" t="s">
        <v>185</v>
      </c>
      <c r="O59" s="3" t="s">
        <v>139</v>
      </c>
      <c r="P59" s="3" t="s">
        <v>140</v>
      </c>
      <c r="Q59" s="3" t="s">
        <v>141</v>
      </c>
      <c r="R59" s="3" t="s">
        <v>142</v>
      </c>
      <c r="S59" s="3" t="s">
        <v>34</v>
      </c>
      <c r="T59" s="157">
        <v>7.4459999999999997</v>
      </c>
      <c r="U59" s="3" t="s">
        <v>390</v>
      </c>
      <c r="V59" s="168">
        <v>5.8500000000000003E-2</v>
      </c>
      <c r="W59" s="168">
        <v>5.2249999999999998E-2</v>
      </c>
      <c r="X59" s="5" t="s">
        <v>144</v>
      </c>
      <c r="Y59" s="5" t="s">
        <v>139</v>
      </c>
      <c r="Z59" s="157">
        <v>1297000</v>
      </c>
      <c r="AA59" s="166">
        <v>1</v>
      </c>
      <c r="AB59" s="176">
        <v>107.8</v>
      </c>
      <c r="AD59" s="157">
        <v>1398.1659999999999</v>
      </c>
      <c r="AG59" s="3" t="s">
        <v>36</v>
      </c>
      <c r="AH59" s="168">
        <v>1.297E-3</v>
      </c>
      <c r="AI59" s="168">
        <v>6.3718736925035E-3</v>
      </c>
      <c r="AJ59" s="168">
        <v>1.18255701261528E-3</v>
      </c>
    </row>
    <row r="60" spans="1:36">
      <c r="A60" s="3">
        <v>419</v>
      </c>
      <c r="B60" s="3">
        <v>419</v>
      </c>
      <c r="C60" s="3" t="s">
        <v>379</v>
      </c>
      <c r="D60" s="3" t="s">
        <v>380</v>
      </c>
      <c r="E60" s="5" t="s">
        <v>132</v>
      </c>
      <c r="F60" s="3" t="s">
        <v>391</v>
      </c>
      <c r="G60" s="3" t="s">
        <v>392</v>
      </c>
      <c r="H60" s="3" t="s">
        <v>135</v>
      </c>
      <c r="I60" s="3" t="s">
        <v>161</v>
      </c>
      <c r="J60" s="3" t="s">
        <v>30</v>
      </c>
      <c r="K60" s="3" t="s">
        <v>30</v>
      </c>
      <c r="L60" s="3" t="s">
        <v>137</v>
      </c>
      <c r="M60" s="3" t="s">
        <v>31</v>
      </c>
      <c r="N60" s="3" t="s">
        <v>185</v>
      </c>
      <c r="O60" s="3" t="s">
        <v>139</v>
      </c>
      <c r="P60" s="3" t="s">
        <v>151</v>
      </c>
      <c r="Q60" s="3" t="s">
        <v>141</v>
      </c>
      <c r="R60" s="3" t="s">
        <v>142</v>
      </c>
      <c r="S60" s="3" t="s">
        <v>34</v>
      </c>
      <c r="T60" s="157">
        <v>3.8690000000000002</v>
      </c>
      <c r="U60" s="3" t="s">
        <v>393</v>
      </c>
      <c r="V60" s="168">
        <v>4.3799999999999999E-2</v>
      </c>
      <c r="W60" s="168">
        <v>4.5839999999999999E-2</v>
      </c>
      <c r="X60" s="5" t="s">
        <v>144</v>
      </c>
      <c r="Y60" s="5" t="s">
        <v>139</v>
      </c>
      <c r="Z60" s="157">
        <v>544000</v>
      </c>
      <c r="AA60" s="166">
        <v>1</v>
      </c>
      <c r="AB60" s="176">
        <v>100.56</v>
      </c>
      <c r="AD60" s="157">
        <v>547.04600000000005</v>
      </c>
      <c r="AG60" s="3" t="s">
        <v>36</v>
      </c>
      <c r="AH60" s="168">
        <v>1.088E-3</v>
      </c>
      <c r="AI60" s="168">
        <v>2.49305916803781E-3</v>
      </c>
      <c r="AJ60" s="168">
        <v>4.6268723209257198E-4</v>
      </c>
    </row>
    <row r="61" spans="1:36">
      <c r="A61" s="3">
        <v>419</v>
      </c>
      <c r="B61" s="3">
        <v>419</v>
      </c>
      <c r="C61" s="3" t="s">
        <v>379</v>
      </c>
      <c r="D61" s="3" t="s">
        <v>380</v>
      </c>
      <c r="E61" s="5" t="s">
        <v>132</v>
      </c>
      <c r="F61" s="3" t="s">
        <v>394</v>
      </c>
      <c r="G61" s="3" t="s">
        <v>395</v>
      </c>
      <c r="H61" s="3" t="s">
        <v>135</v>
      </c>
      <c r="I61" s="3" t="s">
        <v>161</v>
      </c>
      <c r="J61" s="3" t="s">
        <v>30</v>
      </c>
      <c r="K61" s="3" t="s">
        <v>30</v>
      </c>
      <c r="L61" s="3" t="s">
        <v>137</v>
      </c>
      <c r="M61" s="3" t="s">
        <v>31</v>
      </c>
      <c r="N61" s="3" t="s">
        <v>185</v>
      </c>
      <c r="O61" s="3" t="s">
        <v>139</v>
      </c>
      <c r="P61" s="3" t="s">
        <v>151</v>
      </c>
      <c r="Q61" s="3" t="s">
        <v>141</v>
      </c>
      <c r="R61" s="3" t="s">
        <v>142</v>
      </c>
      <c r="S61" s="3" t="s">
        <v>34</v>
      </c>
      <c r="T61" s="157">
        <v>2.1309999999999998</v>
      </c>
      <c r="U61" s="3" t="s">
        <v>370</v>
      </c>
      <c r="V61" s="168">
        <v>4.36E-2</v>
      </c>
      <c r="W61" s="168">
        <v>4.4350000000000001E-2</v>
      </c>
      <c r="X61" s="5" t="s">
        <v>144</v>
      </c>
      <c r="Y61" s="5" t="s">
        <v>139</v>
      </c>
      <c r="Z61" s="157">
        <v>1545000</v>
      </c>
      <c r="AA61" s="166">
        <v>1</v>
      </c>
      <c r="AB61" s="176">
        <v>101.09</v>
      </c>
      <c r="AD61" s="157">
        <v>1561.8409999999999</v>
      </c>
      <c r="AG61" s="3" t="s">
        <v>36</v>
      </c>
      <c r="AH61" s="168">
        <v>5.1500000000000001E-3</v>
      </c>
      <c r="AI61" s="168">
        <v>7.1177888704463703E-3</v>
      </c>
      <c r="AJ61" s="168">
        <v>1.3209915245125099E-3</v>
      </c>
    </row>
    <row r="62" spans="1:36">
      <c r="A62" s="3">
        <v>419</v>
      </c>
      <c r="B62" s="3">
        <v>419</v>
      </c>
      <c r="C62" s="3" t="s">
        <v>396</v>
      </c>
      <c r="D62" s="3" t="s">
        <v>397</v>
      </c>
      <c r="E62" s="5" t="s">
        <v>132</v>
      </c>
      <c r="F62" s="3" t="s">
        <v>398</v>
      </c>
      <c r="G62" s="3" t="s">
        <v>399</v>
      </c>
      <c r="H62" s="3" t="s">
        <v>135</v>
      </c>
      <c r="I62" s="3" t="s">
        <v>149</v>
      </c>
      <c r="J62" s="3" t="s">
        <v>30</v>
      </c>
      <c r="K62" s="3" t="s">
        <v>30</v>
      </c>
      <c r="L62" s="3" t="s">
        <v>137</v>
      </c>
      <c r="M62" s="3" t="s">
        <v>31</v>
      </c>
      <c r="N62" s="3" t="s">
        <v>204</v>
      </c>
      <c r="O62" s="3" t="s">
        <v>139</v>
      </c>
      <c r="P62" s="3" t="s">
        <v>186</v>
      </c>
      <c r="Q62" s="3" t="s">
        <v>172</v>
      </c>
      <c r="R62" s="3" t="s">
        <v>142</v>
      </c>
      <c r="S62" s="3" t="s">
        <v>34</v>
      </c>
      <c r="T62" s="157">
        <v>4.843</v>
      </c>
      <c r="U62" s="3" t="s">
        <v>400</v>
      </c>
      <c r="V62" s="168">
        <v>3.1800000000000002E-2</v>
      </c>
      <c r="W62" s="168">
        <v>3.2800000000000003E-2</v>
      </c>
      <c r="X62" s="5" t="s">
        <v>144</v>
      </c>
      <c r="Y62" s="5" t="s">
        <v>139</v>
      </c>
      <c r="Z62" s="157">
        <v>1700000</v>
      </c>
      <c r="AA62" s="166">
        <v>1</v>
      </c>
      <c r="AB62" s="176">
        <v>103.74</v>
      </c>
      <c r="AD62" s="157">
        <v>1763.58</v>
      </c>
      <c r="AG62" s="3" t="s">
        <v>36</v>
      </c>
      <c r="AH62" s="168">
        <v>7.6179999999999998E-3</v>
      </c>
      <c r="AI62" s="168">
        <v>8.0371779936183E-3</v>
      </c>
      <c r="AJ62" s="168">
        <v>1.4916210924225399E-3</v>
      </c>
    </row>
    <row r="63" spans="1:36">
      <c r="A63" s="3">
        <v>419</v>
      </c>
      <c r="B63" s="3">
        <v>419</v>
      </c>
      <c r="C63" s="3" t="s">
        <v>401</v>
      </c>
      <c r="D63" s="3" t="s">
        <v>402</v>
      </c>
      <c r="E63" s="5" t="s">
        <v>132</v>
      </c>
      <c r="F63" s="3" t="s">
        <v>403</v>
      </c>
      <c r="G63" s="3" t="s">
        <v>404</v>
      </c>
      <c r="H63" s="3" t="s">
        <v>135</v>
      </c>
      <c r="I63" s="3" t="s">
        <v>161</v>
      </c>
      <c r="J63" s="3" t="s">
        <v>30</v>
      </c>
      <c r="K63" s="3" t="s">
        <v>30</v>
      </c>
      <c r="L63" s="3" t="s">
        <v>137</v>
      </c>
      <c r="M63" s="3" t="s">
        <v>31</v>
      </c>
      <c r="N63" s="3" t="s">
        <v>217</v>
      </c>
      <c r="O63" s="3" t="s">
        <v>139</v>
      </c>
      <c r="P63" s="3" t="s">
        <v>140</v>
      </c>
      <c r="Q63" s="3" t="s">
        <v>141</v>
      </c>
      <c r="R63" s="3" t="s">
        <v>142</v>
      </c>
      <c r="S63" s="3" t="s">
        <v>34</v>
      </c>
      <c r="T63" s="157">
        <v>1.798</v>
      </c>
      <c r="U63" s="3" t="s">
        <v>405</v>
      </c>
      <c r="V63" s="168">
        <v>2.1999999999999999E-2</v>
      </c>
      <c r="W63" s="168">
        <v>4.87E-2</v>
      </c>
      <c r="X63" s="5" t="s">
        <v>144</v>
      </c>
      <c r="Y63" s="5" t="s">
        <v>139</v>
      </c>
      <c r="Z63" s="157">
        <v>1579381.82</v>
      </c>
      <c r="AA63" s="166">
        <v>1</v>
      </c>
      <c r="AB63" s="176">
        <v>96.03</v>
      </c>
      <c r="AD63" s="157">
        <v>1516.68</v>
      </c>
      <c r="AG63" s="3" t="s">
        <v>36</v>
      </c>
      <c r="AH63" s="168">
        <v>1.8220000000000001E-3</v>
      </c>
      <c r="AI63" s="168">
        <v>6.9119801918699399E-3</v>
      </c>
      <c r="AJ63" s="168">
        <v>1.2827954603949799E-3</v>
      </c>
    </row>
    <row r="64" spans="1:36">
      <c r="A64" s="3">
        <v>419</v>
      </c>
      <c r="B64" s="3">
        <v>419</v>
      </c>
      <c r="C64" s="3" t="s">
        <v>406</v>
      </c>
      <c r="D64" s="3" t="s">
        <v>407</v>
      </c>
      <c r="E64" s="5" t="s">
        <v>132</v>
      </c>
      <c r="F64" s="3" t="s">
        <v>408</v>
      </c>
      <c r="G64" s="3" t="s">
        <v>409</v>
      </c>
      <c r="H64" s="3" t="s">
        <v>135</v>
      </c>
      <c r="I64" s="3" t="s">
        <v>149</v>
      </c>
      <c r="J64" s="3" t="s">
        <v>30</v>
      </c>
      <c r="K64" s="3" t="s">
        <v>30</v>
      </c>
      <c r="L64" s="3" t="s">
        <v>137</v>
      </c>
      <c r="M64" s="3" t="s">
        <v>31</v>
      </c>
      <c r="N64" s="3" t="s">
        <v>157</v>
      </c>
      <c r="O64" s="3" t="s">
        <v>139</v>
      </c>
      <c r="P64" s="3" t="s">
        <v>310</v>
      </c>
      <c r="Q64" s="3" t="s">
        <v>141</v>
      </c>
      <c r="R64" s="3" t="s">
        <v>142</v>
      </c>
      <c r="S64" s="3" t="s">
        <v>34</v>
      </c>
      <c r="T64" s="157">
        <v>0.4</v>
      </c>
      <c r="U64" s="3" t="s">
        <v>410</v>
      </c>
      <c r="V64" s="168">
        <v>4.4999999999999998E-2</v>
      </c>
      <c r="W64" s="168">
        <v>5.4760000000000003E-2</v>
      </c>
      <c r="X64" s="5" t="s">
        <v>144</v>
      </c>
      <c r="Y64" s="5" t="s">
        <v>139</v>
      </c>
      <c r="Z64" s="157">
        <v>5038000</v>
      </c>
      <c r="AA64" s="166">
        <v>1</v>
      </c>
      <c r="AB64" s="176">
        <v>120.41</v>
      </c>
      <c r="AD64" s="157">
        <v>6066.2560000000003</v>
      </c>
      <c r="AG64" s="3" t="s">
        <v>36</v>
      </c>
      <c r="AH64" s="168">
        <v>3.4090000000000001E-3</v>
      </c>
      <c r="AI64" s="168">
        <v>2.7645798670556099E-2</v>
      </c>
      <c r="AJ64" s="168">
        <v>5.1307880012874804E-3</v>
      </c>
    </row>
    <row r="65" spans="1:36">
      <c r="A65" s="3">
        <v>419</v>
      </c>
      <c r="B65" s="3">
        <v>419</v>
      </c>
      <c r="C65" s="3" t="s">
        <v>406</v>
      </c>
      <c r="D65" s="3" t="s">
        <v>407</v>
      </c>
      <c r="E65" s="5" t="s">
        <v>132</v>
      </c>
      <c r="F65" s="3" t="s">
        <v>411</v>
      </c>
      <c r="G65" s="3" t="s">
        <v>412</v>
      </c>
      <c r="H65" s="3" t="s">
        <v>135</v>
      </c>
      <c r="I65" s="3" t="s">
        <v>149</v>
      </c>
      <c r="J65" s="3" t="s">
        <v>30</v>
      </c>
      <c r="K65" s="3" t="s">
        <v>30</v>
      </c>
      <c r="L65" s="3" t="s">
        <v>137</v>
      </c>
      <c r="M65" s="3" t="s">
        <v>31</v>
      </c>
      <c r="N65" s="3" t="s">
        <v>157</v>
      </c>
      <c r="O65" s="3" t="s">
        <v>139</v>
      </c>
      <c r="P65" s="3" t="s">
        <v>310</v>
      </c>
      <c r="Q65" s="3" t="s">
        <v>141</v>
      </c>
      <c r="R65" s="3" t="s">
        <v>142</v>
      </c>
      <c r="S65" s="3" t="s">
        <v>34</v>
      </c>
      <c r="T65" s="157">
        <v>9.9329999999999998</v>
      </c>
      <c r="U65" s="3" t="s">
        <v>413</v>
      </c>
      <c r="V65" s="168">
        <v>1.2500000000000001E-2</v>
      </c>
      <c r="W65" s="168">
        <v>2.7859999999999999E-2</v>
      </c>
      <c r="X65" s="5" t="s">
        <v>144</v>
      </c>
      <c r="Y65" s="5" t="s">
        <v>139</v>
      </c>
      <c r="Z65" s="157">
        <v>2080000</v>
      </c>
      <c r="AA65" s="166">
        <v>1</v>
      </c>
      <c r="AB65" s="176">
        <v>101.02</v>
      </c>
      <c r="AD65" s="157">
        <v>2101.2159999999999</v>
      </c>
      <c r="AG65" s="3" t="s">
        <v>36</v>
      </c>
      <c r="AH65" s="168">
        <v>4.8500000000000003E-4</v>
      </c>
      <c r="AI65" s="168">
        <v>9.5758893812805009E-3</v>
      </c>
      <c r="AJ65" s="168">
        <v>1.7771907740707601E-3</v>
      </c>
    </row>
    <row r="66" spans="1:36">
      <c r="A66" s="3">
        <v>419</v>
      </c>
      <c r="B66" s="3">
        <v>419</v>
      </c>
      <c r="C66" s="3" t="s">
        <v>406</v>
      </c>
      <c r="D66" s="3" t="s">
        <v>407</v>
      </c>
      <c r="E66" s="5" t="s">
        <v>132</v>
      </c>
      <c r="F66" s="3" t="s">
        <v>414</v>
      </c>
      <c r="G66" s="3" t="s">
        <v>415</v>
      </c>
      <c r="H66" s="3" t="s">
        <v>135</v>
      </c>
      <c r="I66" s="3" t="s">
        <v>149</v>
      </c>
      <c r="J66" s="3" t="s">
        <v>30</v>
      </c>
      <c r="K66" s="3" t="s">
        <v>30</v>
      </c>
      <c r="L66" s="3" t="s">
        <v>137</v>
      </c>
      <c r="M66" s="3" t="s">
        <v>31</v>
      </c>
      <c r="N66" s="3" t="s">
        <v>157</v>
      </c>
      <c r="O66" s="3" t="s">
        <v>139</v>
      </c>
      <c r="P66" s="3" t="s">
        <v>310</v>
      </c>
      <c r="Q66" s="3" t="s">
        <v>141</v>
      </c>
      <c r="R66" s="3" t="s">
        <v>142</v>
      </c>
      <c r="S66" s="3" t="s">
        <v>34</v>
      </c>
      <c r="T66" s="157">
        <v>6.8730000000000002</v>
      </c>
      <c r="U66" s="3" t="s">
        <v>416</v>
      </c>
      <c r="V66" s="168">
        <v>0.03</v>
      </c>
      <c r="W66" s="168">
        <v>2.632E-2</v>
      </c>
      <c r="X66" s="5" t="s">
        <v>144</v>
      </c>
      <c r="Y66" s="5" t="s">
        <v>139</v>
      </c>
      <c r="Z66" s="157">
        <v>4149000</v>
      </c>
      <c r="AA66" s="166">
        <v>1</v>
      </c>
      <c r="AB66" s="176">
        <v>111.48</v>
      </c>
      <c r="AD66" s="157">
        <v>4625.3050000000003</v>
      </c>
      <c r="AG66" s="3" t="s">
        <v>36</v>
      </c>
      <c r="AH66" s="168">
        <v>1.0169999999999999E-3</v>
      </c>
      <c r="AI66" s="168">
        <v>2.1078942359976999E-2</v>
      </c>
      <c r="AJ66" s="168">
        <v>3.9120441347779301E-3</v>
      </c>
    </row>
    <row r="67" spans="1:36">
      <c r="A67" s="3">
        <v>419</v>
      </c>
      <c r="B67" s="3">
        <v>419</v>
      </c>
      <c r="C67" s="3" t="s">
        <v>406</v>
      </c>
      <c r="D67" s="3" t="s">
        <v>407</v>
      </c>
      <c r="E67" s="5" t="s">
        <v>132</v>
      </c>
      <c r="F67" s="3" t="s">
        <v>417</v>
      </c>
      <c r="G67" s="3" t="s">
        <v>418</v>
      </c>
      <c r="H67" s="3" t="s">
        <v>135</v>
      </c>
      <c r="I67" s="3" t="s">
        <v>149</v>
      </c>
      <c r="J67" s="3" t="s">
        <v>30</v>
      </c>
      <c r="K67" s="3" t="s">
        <v>30</v>
      </c>
      <c r="L67" s="3" t="s">
        <v>137</v>
      </c>
      <c r="M67" s="3" t="s">
        <v>31</v>
      </c>
      <c r="N67" s="3" t="s">
        <v>157</v>
      </c>
      <c r="O67" s="3" t="s">
        <v>139</v>
      </c>
      <c r="P67" s="3" t="s">
        <v>310</v>
      </c>
      <c r="Q67" s="3" t="s">
        <v>141</v>
      </c>
      <c r="R67" s="3" t="s">
        <v>142</v>
      </c>
      <c r="S67" s="3" t="s">
        <v>34</v>
      </c>
      <c r="T67" s="157">
        <v>9.7940000000000005</v>
      </c>
      <c r="U67" s="3" t="s">
        <v>419</v>
      </c>
      <c r="V67" s="168">
        <v>3.2000000000000001E-2</v>
      </c>
      <c r="W67" s="168">
        <v>2.8170000000000001E-2</v>
      </c>
      <c r="X67" s="5" t="s">
        <v>144</v>
      </c>
      <c r="Y67" s="5" t="s">
        <v>139</v>
      </c>
      <c r="Z67" s="157">
        <v>2800000</v>
      </c>
      <c r="AA67" s="166">
        <v>1</v>
      </c>
      <c r="AB67" s="176">
        <v>112.97</v>
      </c>
      <c r="AD67" s="157">
        <v>3163.16</v>
      </c>
      <c r="AG67" s="3" t="s">
        <v>36</v>
      </c>
      <c r="AH67" s="168">
        <v>5.6899999999999995E-4</v>
      </c>
      <c r="AI67" s="168">
        <v>1.4415495720235901E-2</v>
      </c>
      <c r="AJ67" s="168">
        <v>2.67537405431411E-3</v>
      </c>
    </row>
    <row r="68" spans="1:36">
      <c r="A68" s="3">
        <v>419</v>
      </c>
      <c r="B68" s="3">
        <v>419</v>
      </c>
      <c r="C68" s="3" t="s">
        <v>406</v>
      </c>
      <c r="D68" s="3" t="s">
        <v>407</v>
      </c>
      <c r="E68" s="5" t="s">
        <v>132</v>
      </c>
      <c r="F68" s="3" t="s">
        <v>420</v>
      </c>
      <c r="G68" s="3" t="s">
        <v>421</v>
      </c>
      <c r="H68" s="3" t="s">
        <v>135</v>
      </c>
      <c r="I68" s="3" t="s">
        <v>149</v>
      </c>
      <c r="J68" s="3" t="s">
        <v>30</v>
      </c>
      <c r="K68" s="3" t="s">
        <v>30</v>
      </c>
      <c r="L68" s="3" t="s">
        <v>137</v>
      </c>
      <c r="M68" s="3" t="s">
        <v>31</v>
      </c>
      <c r="N68" s="3" t="s">
        <v>157</v>
      </c>
      <c r="O68" s="3" t="s">
        <v>139</v>
      </c>
      <c r="P68" s="3" t="s">
        <v>310</v>
      </c>
      <c r="Q68" s="3" t="s">
        <v>141</v>
      </c>
      <c r="R68" s="3" t="s">
        <v>142</v>
      </c>
      <c r="S68" s="3" t="s">
        <v>34</v>
      </c>
      <c r="T68" s="157">
        <v>7.569</v>
      </c>
      <c r="U68" s="3" t="s">
        <v>422</v>
      </c>
      <c r="V68" s="168">
        <v>2.9899999999999999E-2</v>
      </c>
      <c r="W68" s="168">
        <v>2.7519999999999999E-2</v>
      </c>
      <c r="X68" s="5" t="s">
        <v>144</v>
      </c>
      <c r="Y68" s="5" t="s">
        <v>139</v>
      </c>
      <c r="Z68" s="157">
        <v>1592000</v>
      </c>
      <c r="AA68" s="166">
        <v>1</v>
      </c>
      <c r="AB68" s="176">
        <v>105.38</v>
      </c>
      <c r="AD68" s="157">
        <v>1677.65</v>
      </c>
      <c r="AG68" s="3" t="s">
        <v>36</v>
      </c>
      <c r="AH68" s="168">
        <v>4.1139999999999996E-3</v>
      </c>
      <c r="AI68" s="168">
        <v>7.6455666576636999E-3</v>
      </c>
      <c r="AJ68" s="168">
        <v>1.4189418847198501E-3</v>
      </c>
    </row>
    <row r="69" spans="1:36">
      <c r="A69" s="3">
        <v>419</v>
      </c>
      <c r="B69" s="3">
        <v>419</v>
      </c>
      <c r="C69" s="3" t="s">
        <v>423</v>
      </c>
      <c r="D69" s="3" t="s">
        <v>424</v>
      </c>
      <c r="E69" s="5" t="s">
        <v>165</v>
      </c>
      <c r="F69" s="3" t="s">
        <v>425</v>
      </c>
      <c r="G69" s="3" t="s">
        <v>426</v>
      </c>
      <c r="H69" s="3" t="s">
        <v>135</v>
      </c>
      <c r="I69" s="3" t="s">
        <v>136</v>
      </c>
      <c r="J69" s="3" t="s">
        <v>30</v>
      </c>
      <c r="K69" s="3" t="s">
        <v>168</v>
      </c>
      <c r="L69" s="3" t="s">
        <v>137</v>
      </c>
      <c r="M69" s="3" t="s">
        <v>31</v>
      </c>
      <c r="N69" s="3" t="s">
        <v>170</v>
      </c>
      <c r="O69" s="3" t="s">
        <v>139</v>
      </c>
      <c r="P69" s="3" t="s">
        <v>151</v>
      </c>
      <c r="Q69" s="3" t="s">
        <v>141</v>
      </c>
      <c r="R69" s="3" t="s">
        <v>142</v>
      </c>
      <c r="S69" s="3" t="s">
        <v>427</v>
      </c>
      <c r="T69" s="157">
        <v>1.363</v>
      </c>
      <c r="U69" s="3" t="s">
        <v>428</v>
      </c>
      <c r="V69" s="168">
        <v>4.7199999999999999E-2</v>
      </c>
      <c r="W69" s="168">
        <v>5.0979999999999998E-2</v>
      </c>
      <c r="X69" s="5" t="s">
        <v>144</v>
      </c>
      <c r="Y69" s="5" t="s">
        <v>139</v>
      </c>
      <c r="Z69" s="157">
        <v>2700000</v>
      </c>
      <c r="AA69" s="166">
        <v>3.306</v>
      </c>
      <c r="AB69" s="176">
        <v>31.134</v>
      </c>
      <c r="AD69" s="157">
        <v>2779.11</v>
      </c>
      <c r="AG69" s="3" t="s">
        <v>36</v>
      </c>
      <c r="AH69" s="168">
        <v>8.208E-3</v>
      </c>
      <c r="AI69" s="168">
        <v>1.2665261419297399E-2</v>
      </c>
      <c r="AJ69" s="168">
        <v>2.35054780285692E-3</v>
      </c>
    </row>
    <row r="70" spans="1:36">
      <c r="A70" s="3">
        <v>419</v>
      </c>
      <c r="B70" s="3">
        <v>419</v>
      </c>
      <c r="C70" s="3" t="s">
        <v>429</v>
      </c>
      <c r="D70" s="3" t="s">
        <v>430</v>
      </c>
      <c r="E70" s="5" t="s">
        <v>132</v>
      </c>
      <c r="F70" s="3" t="s">
        <v>431</v>
      </c>
      <c r="G70" s="3" t="s">
        <v>432</v>
      </c>
      <c r="H70" s="3" t="s">
        <v>135</v>
      </c>
      <c r="I70" s="3" t="s">
        <v>149</v>
      </c>
      <c r="J70" s="3" t="s">
        <v>30</v>
      </c>
      <c r="K70" s="3" t="s">
        <v>30</v>
      </c>
      <c r="L70" s="3" t="s">
        <v>137</v>
      </c>
      <c r="M70" s="3" t="s">
        <v>31</v>
      </c>
      <c r="N70" s="3" t="s">
        <v>309</v>
      </c>
      <c r="O70" s="3" t="s">
        <v>139</v>
      </c>
      <c r="P70" s="3" t="s">
        <v>151</v>
      </c>
      <c r="Q70" s="3" t="s">
        <v>141</v>
      </c>
      <c r="R70" s="3" t="s">
        <v>142</v>
      </c>
      <c r="S70" s="3" t="s">
        <v>34</v>
      </c>
      <c r="T70" s="157">
        <v>0.72499999999999998</v>
      </c>
      <c r="U70" s="3" t="s">
        <v>433</v>
      </c>
      <c r="V70" s="168">
        <v>2E-3</v>
      </c>
      <c r="W70" s="168">
        <v>3.9820000000000001E-2</v>
      </c>
      <c r="X70" s="5" t="s">
        <v>144</v>
      </c>
      <c r="Y70" s="5" t="s">
        <v>139</v>
      </c>
      <c r="Z70" s="157">
        <v>671500.03</v>
      </c>
      <c r="AA70" s="166">
        <v>1</v>
      </c>
      <c r="AB70" s="176">
        <v>114.5</v>
      </c>
      <c r="AD70" s="157">
        <v>768.86800000000005</v>
      </c>
      <c r="AG70" s="3" t="s">
        <v>36</v>
      </c>
      <c r="AH70" s="168">
        <v>2.408E-3</v>
      </c>
      <c r="AI70" s="168">
        <v>3.50396649263735E-3</v>
      </c>
      <c r="AJ70" s="168">
        <v>6.5030167699530004E-4</v>
      </c>
    </row>
    <row r="71" spans="1:36">
      <c r="A71" s="3">
        <v>419</v>
      </c>
      <c r="B71" s="3">
        <v>419</v>
      </c>
      <c r="C71" s="3" t="s">
        <v>429</v>
      </c>
      <c r="D71" s="3" t="s">
        <v>430</v>
      </c>
      <c r="E71" s="5" t="s">
        <v>132</v>
      </c>
      <c r="F71" s="3" t="s">
        <v>434</v>
      </c>
      <c r="G71" s="3" t="s">
        <v>435</v>
      </c>
      <c r="H71" s="3" t="s">
        <v>135</v>
      </c>
      <c r="I71" s="3" t="s">
        <v>149</v>
      </c>
      <c r="J71" s="3" t="s">
        <v>30</v>
      </c>
      <c r="K71" s="3" t="s">
        <v>30</v>
      </c>
      <c r="L71" s="3" t="s">
        <v>137</v>
      </c>
      <c r="M71" s="3" t="s">
        <v>31</v>
      </c>
      <c r="N71" s="3" t="s">
        <v>309</v>
      </c>
      <c r="O71" s="3" t="s">
        <v>139</v>
      </c>
      <c r="P71" s="3" t="s">
        <v>151</v>
      </c>
      <c r="Q71" s="3" t="s">
        <v>141</v>
      </c>
      <c r="R71" s="3" t="s">
        <v>142</v>
      </c>
      <c r="S71" s="3" t="s">
        <v>34</v>
      </c>
      <c r="T71" s="157">
        <v>1.7130000000000001</v>
      </c>
      <c r="U71" s="3" t="s">
        <v>405</v>
      </c>
      <c r="V71" s="168">
        <v>2E-3</v>
      </c>
      <c r="W71" s="168">
        <v>2.7310000000000001E-2</v>
      </c>
      <c r="X71" s="5" t="s">
        <v>144</v>
      </c>
      <c r="Y71" s="5" t="s">
        <v>139</v>
      </c>
      <c r="Z71" s="157">
        <v>1982250</v>
      </c>
      <c r="AA71" s="166">
        <v>1</v>
      </c>
      <c r="AB71" s="176">
        <v>113.82</v>
      </c>
      <c r="AD71" s="157">
        <v>2256.1970000000001</v>
      </c>
      <c r="AG71" s="3" t="s">
        <v>36</v>
      </c>
      <c r="AH71" s="168">
        <v>3.137E-3</v>
      </c>
      <c r="AI71" s="168">
        <v>1.0282185370558E-2</v>
      </c>
      <c r="AJ71" s="168">
        <v>1.9082723546872799E-3</v>
      </c>
    </row>
    <row r="72" spans="1:36">
      <c r="A72" s="3">
        <v>419</v>
      </c>
      <c r="B72" s="3">
        <v>419</v>
      </c>
      <c r="C72" s="3" t="s">
        <v>429</v>
      </c>
      <c r="D72" s="3" t="s">
        <v>430</v>
      </c>
      <c r="E72" s="5" t="s">
        <v>132</v>
      </c>
      <c r="F72" s="3" t="s">
        <v>436</v>
      </c>
      <c r="G72" s="3" t="s">
        <v>437</v>
      </c>
      <c r="H72" s="3" t="s">
        <v>135</v>
      </c>
      <c r="I72" s="3" t="s">
        <v>149</v>
      </c>
      <c r="J72" s="3" t="s">
        <v>30</v>
      </c>
      <c r="K72" s="3" t="s">
        <v>30</v>
      </c>
      <c r="L72" s="3" t="s">
        <v>137</v>
      </c>
      <c r="M72" s="3" t="s">
        <v>31</v>
      </c>
      <c r="N72" s="3" t="s">
        <v>309</v>
      </c>
      <c r="O72" s="3" t="s">
        <v>139</v>
      </c>
      <c r="P72" s="3" t="s">
        <v>151</v>
      </c>
      <c r="Q72" s="3" t="s">
        <v>141</v>
      </c>
      <c r="R72" s="3" t="s">
        <v>142</v>
      </c>
      <c r="S72" s="3" t="s">
        <v>34</v>
      </c>
      <c r="T72" s="157">
        <v>3.6120000000000001</v>
      </c>
      <c r="U72" s="3" t="s">
        <v>438</v>
      </c>
      <c r="V72" s="168">
        <v>2.5899999999999999E-2</v>
      </c>
      <c r="W72" s="168">
        <v>2.6800000000000001E-2</v>
      </c>
      <c r="X72" s="5" t="s">
        <v>144</v>
      </c>
      <c r="Y72" s="5" t="s">
        <v>139</v>
      </c>
      <c r="Z72" s="157">
        <v>1589000</v>
      </c>
      <c r="AA72" s="166">
        <v>1</v>
      </c>
      <c r="AB72" s="176">
        <v>107.69</v>
      </c>
      <c r="AD72" s="157">
        <v>1711.194</v>
      </c>
      <c r="AG72" s="3" t="s">
        <v>36</v>
      </c>
      <c r="AH72" s="168">
        <v>2.3270000000000001E-3</v>
      </c>
      <c r="AI72" s="168">
        <v>7.7984392901538201E-3</v>
      </c>
      <c r="AJ72" s="168">
        <v>1.44731353995226E-3</v>
      </c>
    </row>
    <row r="73" spans="1:36">
      <c r="A73" s="3">
        <v>419</v>
      </c>
      <c r="B73" s="3">
        <v>419</v>
      </c>
      <c r="C73" s="3" t="s">
        <v>439</v>
      </c>
      <c r="D73" s="3" t="s">
        <v>440</v>
      </c>
      <c r="E73" s="5" t="s">
        <v>441</v>
      </c>
      <c r="F73" s="3" t="s">
        <v>442</v>
      </c>
      <c r="G73" s="3" t="s">
        <v>443</v>
      </c>
      <c r="H73" s="3" t="s">
        <v>135</v>
      </c>
      <c r="I73" s="3" t="s">
        <v>161</v>
      </c>
      <c r="J73" s="3" t="s">
        <v>30</v>
      </c>
      <c r="K73" s="3" t="s">
        <v>30</v>
      </c>
      <c r="L73" s="3" t="s">
        <v>137</v>
      </c>
      <c r="M73" s="3" t="s">
        <v>31</v>
      </c>
      <c r="N73" s="3" t="s">
        <v>357</v>
      </c>
      <c r="O73" s="3" t="s">
        <v>139</v>
      </c>
      <c r="P73" s="3" t="s">
        <v>198</v>
      </c>
      <c r="Q73" s="3" t="s">
        <v>141</v>
      </c>
      <c r="R73" s="3" t="s">
        <v>142</v>
      </c>
      <c r="S73" s="3" t="s">
        <v>34</v>
      </c>
      <c r="T73" s="157">
        <v>2.8519999999999999</v>
      </c>
      <c r="U73" s="3" t="s">
        <v>444</v>
      </c>
      <c r="V73" s="168">
        <v>2.24E-2</v>
      </c>
      <c r="W73" s="168">
        <v>4.6460000000000001E-2</v>
      </c>
      <c r="X73" s="5" t="s">
        <v>144</v>
      </c>
      <c r="Y73" s="5" t="s">
        <v>139</v>
      </c>
      <c r="Z73" s="157">
        <v>1257909.18</v>
      </c>
      <c r="AA73" s="166">
        <v>1</v>
      </c>
      <c r="AB73" s="176">
        <v>94.99</v>
      </c>
      <c r="AD73" s="157">
        <v>1194.8879999999999</v>
      </c>
      <c r="AG73" s="3" t="s">
        <v>36</v>
      </c>
      <c r="AH73" s="168">
        <v>2.3600000000000001E-3</v>
      </c>
      <c r="AI73" s="168">
        <v>5.4454728316805402E-3</v>
      </c>
      <c r="AJ73" s="168">
        <v>1.0106261352427601E-3</v>
      </c>
    </row>
    <row r="74" spans="1:36">
      <c r="A74" s="3">
        <v>419</v>
      </c>
      <c r="B74" s="3">
        <v>419</v>
      </c>
      <c r="C74" s="3" t="s">
        <v>445</v>
      </c>
      <c r="D74" s="3" t="s">
        <v>446</v>
      </c>
      <c r="E74" s="5" t="s">
        <v>132</v>
      </c>
      <c r="F74" s="3" t="s">
        <v>447</v>
      </c>
      <c r="G74" s="3" t="s">
        <v>448</v>
      </c>
      <c r="H74" s="3" t="s">
        <v>135</v>
      </c>
      <c r="I74" s="3" t="s">
        <v>149</v>
      </c>
      <c r="J74" s="3" t="s">
        <v>30</v>
      </c>
      <c r="K74" s="3" t="s">
        <v>30</v>
      </c>
      <c r="L74" s="3" t="s">
        <v>137</v>
      </c>
      <c r="M74" s="3" t="s">
        <v>31</v>
      </c>
      <c r="N74" s="3" t="s">
        <v>204</v>
      </c>
      <c r="O74" s="3" t="s">
        <v>139</v>
      </c>
      <c r="P74" s="3" t="s">
        <v>151</v>
      </c>
      <c r="Q74" s="3" t="s">
        <v>141</v>
      </c>
      <c r="R74" s="3" t="s">
        <v>142</v>
      </c>
      <c r="S74" s="3" t="s">
        <v>34</v>
      </c>
      <c r="T74" s="157">
        <v>5.3479999999999999</v>
      </c>
      <c r="U74" s="3" t="s">
        <v>449</v>
      </c>
      <c r="V74" s="168">
        <v>1.4999999999999999E-2</v>
      </c>
      <c r="W74" s="168">
        <v>3.0550000000000001E-2</v>
      </c>
      <c r="X74" s="5" t="s">
        <v>144</v>
      </c>
      <c r="Y74" s="5" t="s">
        <v>139</v>
      </c>
      <c r="Z74" s="157">
        <v>1032574.34</v>
      </c>
      <c r="AA74" s="166">
        <v>1</v>
      </c>
      <c r="AB74" s="176">
        <v>105.5</v>
      </c>
      <c r="AD74" s="157">
        <v>1089.366</v>
      </c>
      <c r="AG74" s="3" t="s">
        <v>36</v>
      </c>
      <c r="AH74" s="168">
        <v>9.859999999999999E-4</v>
      </c>
      <c r="AI74" s="168">
        <v>4.9645765256723304E-3</v>
      </c>
      <c r="AJ74" s="168">
        <v>9.2137651629945296E-4</v>
      </c>
    </row>
    <row r="75" spans="1:36">
      <c r="A75" s="3">
        <v>419</v>
      </c>
      <c r="B75" s="3">
        <v>419</v>
      </c>
      <c r="C75" s="3" t="s">
        <v>450</v>
      </c>
      <c r="D75" s="3" t="s">
        <v>451</v>
      </c>
      <c r="E75" s="5" t="s">
        <v>132</v>
      </c>
      <c r="F75" s="3" t="s">
        <v>452</v>
      </c>
      <c r="G75" s="3" t="s">
        <v>453</v>
      </c>
      <c r="H75" s="3" t="s">
        <v>135</v>
      </c>
      <c r="I75" s="3" t="s">
        <v>161</v>
      </c>
      <c r="J75" s="3" t="s">
        <v>30</v>
      </c>
      <c r="K75" s="3" t="s">
        <v>30</v>
      </c>
      <c r="L75" s="3" t="s">
        <v>137</v>
      </c>
      <c r="M75" s="3" t="s">
        <v>31</v>
      </c>
      <c r="N75" s="3" t="s">
        <v>185</v>
      </c>
      <c r="O75" s="3" t="s">
        <v>139</v>
      </c>
      <c r="P75" s="3" t="s">
        <v>151</v>
      </c>
      <c r="Q75" s="3" t="s">
        <v>141</v>
      </c>
      <c r="R75" s="3" t="s">
        <v>142</v>
      </c>
      <c r="S75" s="3" t="s">
        <v>34</v>
      </c>
      <c r="T75" s="157">
        <v>4.2460000000000004</v>
      </c>
      <c r="U75" s="3" t="s">
        <v>44</v>
      </c>
      <c r="V75" s="168">
        <v>2.64E-2</v>
      </c>
      <c r="W75" s="168">
        <v>4.6199999999999998E-2</v>
      </c>
      <c r="X75" s="5" t="s">
        <v>144</v>
      </c>
      <c r="Y75" s="5" t="s">
        <v>139</v>
      </c>
      <c r="Z75" s="157">
        <v>300000.73</v>
      </c>
      <c r="AA75" s="166">
        <v>1</v>
      </c>
      <c r="AB75" s="176">
        <v>92.3</v>
      </c>
      <c r="AD75" s="157">
        <v>276.90100000000001</v>
      </c>
      <c r="AG75" s="3" t="s">
        <v>36</v>
      </c>
      <c r="AH75" s="168">
        <v>1.83E-4</v>
      </c>
      <c r="AI75" s="168">
        <v>1.26192177378008E-3</v>
      </c>
      <c r="AJ75" s="168">
        <v>2.3420025489695801E-4</v>
      </c>
    </row>
    <row r="76" spans="1:36">
      <c r="A76" s="3">
        <v>419</v>
      </c>
      <c r="B76" s="3">
        <v>419</v>
      </c>
      <c r="C76" s="3" t="s">
        <v>454</v>
      </c>
      <c r="D76" s="3" t="s">
        <v>455</v>
      </c>
      <c r="E76" s="5" t="s">
        <v>132</v>
      </c>
      <c r="F76" s="3" t="s">
        <v>456</v>
      </c>
      <c r="G76" s="3" t="s">
        <v>457</v>
      </c>
      <c r="H76" s="3" t="s">
        <v>135</v>
      </c>
      <c r="I76" s="3" t="s">
        <v>161</v>
      </c>
      <c r="J76" s="3" t="s">
        <v>30</v>
      </c>
      <c r="K76" s="3" t="s">
        <v>30</v>
      </c>
      <c r="L76" s="3" t="s">
        <v>137</v>
      </c>
      <c r="M76" s="3" t="s">
        <v>31</v>
      </c>
      <c r="N76" s="3" t="s">
        <v>185</v>
      </c>
      <c r="O76" s="3" t="s">
        <v>139</v>
      </c>
      <c r="P76" s="3" t="s">
        <v>151</v>
      </c>
      <c r="Q76" s="3" t="s">
        <v>141</v>
      </c>
      <c r="R76" s="3" t="s">
        <v>142</v>
      </c>
      <c r="S76" s="3" t="s">
        <v>34</v>
      </c>
      <c r="T76" s="157">
        <v>2.2650000000000001</v>
      </c>
      <c r="U76" s="3" t="s">
        <v>458</v>
      </c>
      <c r="V76" s="168">
        <v>4.7E-2</v>
      </c>
      <c r="W76" s="168">
        <v>4.6940000000000003E-2</v>
      </c>
      <c r="X76" s="5" t="s">
        <v>144</v>
      </c>
      <c r="Y76" s="5" t="s">
        <v>139</v>
      </c>
      <c r="Z76" s="157">
        <v>309159.64</v>
      </c>
      <c r="AA76" s="166">
        <v>1</v>
      </c>
      <c r="AB76" s="176">
        <v>102.82</v>
      </c>
      <c r="AD76" s="157">
        <v>317.87799999999999</v>
      </c>
      <c r="AG76" s="3" t="s">
        <v>36</v>
      </c>
      <c r="AH76" s="168">
        <v>5.6300000000000002E-4</v>
      </c>
      <c r="AI76" s="168">
        <v>1.4486678227681299E-3</v>
      </c>
      <c r="AJ76" s="168">
        <v>2.6885848267520798E-4</v>
      </c>
    </row>
    <row r="77" spans="1:36">
      <c r="A77" s="3">
        <v>419</v>
      </c>
      <c r="B77" s="3">
        <v>419</v>
      </c>
      <c r="C77" s="3" t="s">
        <v>450</v>
      </c>
      <c r="D77" s="3" t="s">
        <v>451</v>
      </c>
      <c r="E77" s="5" t="s">
        <v>132</v>
      </c>
      <c r="F77" s="3" t="s">
        <v>459</v>
      </c>
      <c r="G77" s="3" t="s">
        <v>460</v>
      </c>
      <c r="H77" s="3" t="s">
        <v>135</v>
      </c>
      <c r="I77" s="3" t="s">
        <v>161</v>
      </c>
      <c r="J77" s="3" t="s">
        <v>30</v>
      </c>
      <c r="K77" s="3" t="s">
        <v>30</v>
      </c>
      <c r="L77" s="3" t="s">
        <v>137</v>
      </c>
      <c r="M77" s="3" t="s">
        <v>31</v>
      </c>
      <c r="N77" s="3" t="s">
        <v>185</v>
      </c>
      <c r="O77" s="3" t="s">
        <v>139</v>
      </c>
      <c r="P77" s="3" t="s">
        <v>151</v>
      </c>
      <c r="Q77" s="3" t="s">
        <v>141</v>
      </c>
      <c r="R77" s="3" t="s">
        <v>142</v>
      </c>
      <c r="S77" s="3" t="s">
        <v>34</v>
      </c>
      <c r="T77" s="157">
        <v>8.4480000000000004</v>
      </c>
      <c r="U77" s="3" t="s">
        <v>461</v>
      </c>
      <c r="V77" s="168">
        <v>5.5100000000000003E-2</v>
      </c>
      <c r="W77" s="168">
        <v>5.0360000000000002E-2</v>
      </c>
      <c r="X77" s="5" t="s">
        <v>144</v>
      </c>
      <c r="Y77" s="5" t="s">
        <v>139</v>
      </c>
      <c r="Z77" s="157">
        <v>1396000</v>
      </c>
      <c r="AA77" s="166">
        <v>1</v>
      </c>
      <c r="AB77" s="176">
        <v>104.55</v>
      </c>
      <c r="AD77" s="157">
        <v>1459.518</v>
      </c>
      <c r="AG77" s="3" t="s">
        <v>36</v>
      </c>
      <c r="AH77" s="168">
        <v>2.7920000000000002E-3</v>
      </c>
      <c r="AI77" s="168">
        <v>6.6514736790447802E-3</v>
      </c>
      <c r="AJ77" s="168">
        <v>1.2344480168579601E-3</v>
      </c>
    </row>
    <row r="78" spans="1:36">
      <c r="A78" s="3">
        <v>419</v>
      </c>
      <c r="B78" s="3">
        <v>419</v>
      </c>
      <c r="C78" s="3" t="s">
        <v>450</v>
      </c>
      <c r="D78" s="3" t="s">
        <v>451</v>
      </c>
      <c r="E78" s="5" t="s">
        <v>132</v>
      </c>
      <c r="F78" s="3" t="s">
        <v>462</v>
      </c>
      <c r="G78" s="3" t="s">
        <v>463</v>
      </c>
      <c r="H78" s="3" t="s">
        <v>135</v>
      </c>
      <c r="I78" s="3" t="s">
        <v>161</v>
      </c>
      <c r="J78" s="3" t="s">
        <v>30</v>
      </c>
      <c r="K78" s="3" t="s">
        <v>30</v>
      </c>
      <c r="L78" s="3" t="s">
        <v>137</v>
      </c>
      <c r="M78" s="3" t="s">
        <v>31</v>
      </c>
      <c r="N78" s="3" t="s">
        <v>185</v>
      </c>
      <c r="O78" s="3" t="s">
        <v>139</v>
      </c>
      <c r="P78" s="3" t="s">
        <v>151</v>
      </c>
      <c r="Q78" s="3" t="s">
        <v>141</v>
      </c>
      <c r="R78" s="3" t="s">
        <v>142</v>
      </c>
      <c r="S78" s="3" t="s">
        <v>34</v>
      </c>
      <c r="T78" s="157">
        <v>5.9889999999999999</v>
      </c>
      <c r="U78" s="3" t="s">
        <v>464</v>
      </c>
      <c r="V78" s="168">
        <v>2.5000000000000001E-2</v>
      </c>
      <c r="W78" s="168">
        <v>4.7199999999999999E-2</v>
      </c>
      <c r="X78" s="5" t="s">
        <v>144</v>
      </c>
      <c r="Y78" s="5" t="s">
        <v>139</v>
      </c>
      <c r="Z78" s="157">
        <v>5266930</v>
      </c>
      <c r="AA78" s="166">
        <v>1</v>
      </c>
      <c r="AB78" s="176">
        <v>88.03</v>
      </c>
      <c r="AD78" s="157">
        <v>4636.4780000000001</v>
      </c>
      <c r="AG78" s="3" t="s">
        <v>36</v>
      </c>
      <c r="AH78" s="168">
        <v>3.9490000000000003E-3</v>
      </c>
      <c r="AI78" s="168">
        <v>2.1129862438507799E-2</v>
      </c>
      <c r="AJ78" s="168">
        <v>3.9214943999362501E-3</v>
      </c>
    </row>
    <row r="79" spans="1:36">
      <c r="A79" s="3">
        <v>419</v>
      </c>
      <c r="B79" s="3">
        <v>419</v>
      </c>
      <c r="C79" s="3" t="s">
        <v>450</v>
      </c>
      <c r="D79" s="3" t="s">
        <v>451</v>
      </c>
      <c r="E79" s="5" t="s">
        <v>132</v>
      </c>
      <c r="F79" s="3" t="s">
        <v>465</v>
      </c>
      <c r="G79" s="3" t="s">
        <v>466</v>
      </c>
      <c r="H79" s="3" t="s">
        <v>135</v>
      </c>
      <c r="I79" s="3" t="s">
        <v>161</v>
      </c>
      <c r="J79" s="3" t="s">
        <v>30</v>
      </c>
      <c r="K79" s="3" t="s">
        <v>30</v>
      </c>
      <c r="L79" s="3" t="s">
        <v>137</v>
      </c>
      <c r="M79" s="3" t="s">
        <v>31</v>
      </c>
      <c r="N79" s="3" t="s">
        <v>467</v>
      </c>
      <c r="O79" s="3" t="s">
        <v>139</v>
      </c>
      <c r="P79" s="3" t="s">
        <v>151</v>
      </c>
      <c r="Q79" s="3" t="s">
        <v>141</v>
      </c>
      <c r="R79" s="3" t="s">
        <v>142</v>
      </c>
      <c r="S79" s="3" t="s">
        <v>34</v>
      </c>
      <c r="T79" s="157">
        <v>7.1269999999999998</v>
      </c>
      <c r="U79" s="3" t="s">
        <v>468</v>
      </c>
      <c r="V79" s="168">
        <v>5.3100000000000001E-2</v>
      </c>
      <c r="W79" s="168">
        <v>4.8730000000000002E-2</v>
      </c>
      <c r="X79" s="5" t="s">
        <v>144</v>
      </c>
      <c r="Y79" s="5" t="s">
        <v>139</v>
      </c>
      <c r="Z79" s="157">
        <v>1776519</v>
      </c>
      <c r="AA79" s="166">
        <v>1</v>
      </c>
      <c r="AB79" s="176">
        <v>104.46</v>
      </c>
      <c r="AD79" s="157">
        <v>1855.752</v>
      </c>
      <c r="AG79" s="3" t="s">
        <v>36</v>
      </c>
      <c r="AH79" s="168">
        <v>1.395E-3</v>
      </c>
      <c r="AI79" s="168">
        <v>8.45723307466743E-3</v>
      </c>
      <c r="AJ79" s="168">
        <v>1.56957917912532E-3</v>
      </c>
    </row>
    <row r="80" spans="1:36">
      <c r="A80" s="3">
        <v>419</v>
      </c>
      <c r="B80" s="3">
        <v>419</v>
      </c>
      <c r="C80" s="3" t="s">
        <v>469</v>
      </c>
      <c r="D80" s="3" t="s">
        <v>470</v>
      </c>
      <c r="E80" s="5" t="s">
        <v>132</v>
      </c>
      <c r="F80" s="3" t="s">
        <v>471</v>
      </c>
      <c r="G80" s="3" t="s">
        <v>472</v>
      </c>
      <c r="H80" s="3" t="s">
        <v>135</v>
      </c>
      <c r="I80" s="3" t="s">
        <v>149</v>
      </c>
      <c r="J80" s="3" t="s">
        <v>30</v>
      </c>
      <c r="K80" s="3" t="s">
        <v>30</v>
      </c>
      <c r="L80" s="3" t="s">
        <v>137</v>
      </c>
      <c r="M80" s="3" t="s">
        <v>31</v>
      </c>
      <c r="N80" s="3" t="s">
        <v>309</v>
      </c>
      <c r="O80" s="3" t="s">
        <v>139</v>
      </c>
      <c r="P80" s="3" t="s">
        <v>310</v>
      </c>
      <c r="Q80" s="3" t="s">
        <v>141</v>
      </c>
      <c r="R80" s="3" t="s">
        <v>142</v>
      </c>
      <c r="S80" s="3" t="s">
        <v>34</v>
      </c>
      <c r="T80" s="157">
        <v>0.73199999999999998</v>
      </c>
      <c r="U80" s="3" t="s">
        <v>218</v>
      </c>
      <c r="V80" s="168">
        <v>8.3000000000000001E-3</v>
      </c>
      <c r="W80" s="168">
        <v>3.2770000000000001E-2</v>
      </c>
      <c r="X80" s="5" t="s">
        <v>144</v>
      </c>
      <c r="Y80" s="5" t="s">
        <v>139</v>
      </c>
      <c r="Z80" s="157">
        <v>1626364</v>
      </c>
      <c r="AA80" s="166">
        <v>1</v>
      </c>
      <c r="AB80" s="176">
        <v>116.83</v>
      </c>
      <c r="AD80" s="157">
        <v>1900.0809999999999</v>
      </c>
      <c r="AG80" s="3" t="s">
        <v>36</v>
      </c>
      <c r="AH80" s="168">
        <v>1.0690000000000001E-3</v>
      </c>
      <c r="AI80" s="168">
        <v>8.6592554299592603E-3</v>
      </c>
      <c r="AJ80" s="168">
        <v>1.6070725389256599E-3</v>
      </c>
    </row>
    <row r="81" spans="1:36">
      <c r="A81" s="3">
        <v>419</v>
      </c>
      <c r="B81" s="3">
        <v>419</v>
      </c>
      <c r="C81" s="3" t="s">
        <v>469</v>
      </c>
      <c r="D81" s="3" t="s">
        <v>470</v>
      </c>
      <c r="E81" s="5" t="s">
        <v>132</v>
      </c>
      <c r="F81" s="3" t="s">
        <v>473</v>
      </c>
      <c r="G81" s="3" t="s">
        <v>474</v>
      </c>
      <c r="H81" s="3" t="s">
        <v>135</v>
      </c>
      <c r="I81" s="3" t="s">
        <v>149</v>
      </c>
      <c r="J81" s="3" t="s">
        <v>30</v>
      </c>
      <c r="K81" s="3" t="s">
        <v>30</v>
      </c>
      <c r="L81" s="3" t="s">
        <v>137</v>
      </c>
      <c r="M81" s="3" t="s">
        <v>31</v>
      </c>
      <c r="N81" s="3" t="s">
        <v>309</v>
      </c>
      <c r="O81" s="3" t="s">
        <v>139</v>
      </c>
      <c r="P81" s="3" t="s">
        <v>310</v>
      </c>
      <c r="Q81" s="3" t="s">
        <v>141</v>
      </c>
      <c r="R81" s="3" t="s">
        <v>142</v>
      </c>
      <c r="S81" s="3" t="s">
        <v>34</v>
      </c>
      <c r="T81" s="157">
        <v>4.13</v>
      </c>
      <c r="U81" s="3" t="s">
        <v>475</v>
      </c>
      <c r="V81" s="168">
        <v>2.0199999999999999E-2</v>
      </c>
      <c r="W81" s="168">
        <v>2.5430000000000001E-2</v>
      </c>
      <c r="X81" s="5" t="s">
        <v>144</v>
      </c>
      <c r="Y81" s="5" t="s">
        <v>139</v>
      </c>
      <c r="Z81" s="157">
        <v>2270000</v>
      </c>
      <c r="AA81" s="166">
        <v>1</v>
      </c>
      <c r="AB81" s="176">
        <v>105.02</v>
      </c>
      <c r="AD81" s="157">
        <v>2383.9540000000002</v>
      </c>
      <c r="AG81" s="3" t="s">
        <v>36</v>
      </c>
      <c r="AH81" s="168">
        <v>6.3599999999999996E-4</v>
      </c>
      <c r="AI81" s="168">
        <v>1.0864413650981701E-2</v>
      </c>
      <c r="AJ81" s="168">
        <v>2.0163281902522601E-3</v>
      </c>
    </row>
    <row r="82" spans="1:36">
      <c r="A82" s="3">
        <v>419</v>
      </c>
      <c r="B82" s="3">
        <v>419</v>
      </c>
      <c r="C82" s="3" t="s">
        <v>469</v>
      </c>
      <c r="D82" s="3" t="s">
        <v>470</v>
      </c>
      <c r="E82" s="5" t="s">
        <v>132</v>
      </c>
      <c r="F82" s="3" t="s">
        <v>476</v>
      </c>
      <c r="G82" s="3" t="s">
        <v>477</v>
      </c>
      <c r="H82" s="3" t="s">
        <v>135</v>
      </c>
      <c r="I82" s="3" t="s">
        <v>149</v>
      </c>
      <c r="J82" s="3" t="s">
        <v>30</v>
      </c>
      <c r="K82" s="3" t="s">
        <v>30</v>
      </c>
      <c r="L82" s="3" t="s">
        <v>137</v>
      </c>
      <c r="M82" s="3" t="s">
        <v>31</v>
      </c>
      <c r="N82" s="3" t="s">
        <v>309</v>
      </c>
      <c r="O82" s="3" t="s">
        <v>139</v>
      </c>
      <c r="P82" s="3" t="s">
        <v>310</v>
      </c>
      <c r="Q82" s="3" t="s">
        <v>141</v>
      </c>
      <c r="R82" s="3" t="s">
        <v>142</v>
      </c>
      <c r="S82" s="3" t="s">
        <v>34</v>
      </c>
      <c r="T82" s="157">
        <v>4.1289999999999996</v>
      </c>
      <c r="U82" s="3" t="s">
        <v>478</v>
      </c>
      <c r="V82" s="168">
        <v>1E-3</v>
      </c>
      <c r="W82" s="168">
        <v>2.5350000000000001E-2</v>
      </c>
      <c r="X82" s="5" t="s">
        <v>144</v>
      </c>
      <c r="Y82" s="5" t="s">
        <v>139</v>
      </c>
      <c r="Z82" s="157">
        <v>1700000</v>
      </c>
      <c r="AA82" s="166">
        <v>1</v>
      </c>
      <c r="AB82" s="176">
        <v>104.89</v>
      </c>
      <c r="AD82" s="157">
        <v>1783.13</v>
      </c>
      <c r="AG82" s="3" t="s">
        <v>36</v>
      </c>
      <c r="AH82" s="168">
        <v>3.9599999999999998E-4</v>
      </c>
      <c r="AI82" s="168">
        <v>8.1262733733431999E-3</v>
      </c>
      <c r="AJ82" s="168">
        <v>1.50815631756507E-3</v>
      </c>
    </row>
    <row r="83" spans="1:36">
      <c r="A83" s="3">
        <v>419</v>
      </c>
      <c r="B83" s="3">
        <v>419</v>
      </c>
      <c r="C83" s="3" t="s">
        <v>469</v>
      </c>
      <c r="D83" s="3" t="s">
        <v>470</v>
      </c>
      <c r="E83" s="5" t="s">
        <v>132</v>
      </c>
      <c r="F83" s="3" t="s">
        <v>479</v>
      </c>
      <c r="G83" s="3" t="s">
        <v>480</v>
      </c>
      <c r="H83" s="3" t="s">
        <v>135</v>
      </c>
      <c r="I83" s="3" t="s">
        <v>149</v>
      </c>
      <c r="J83" s="3" t="s">
        <v>30</v>
      </c>
      <c r="K83" s="3" t="s">
        <v>30</v>
      </c>
      <c r="L83" s="3" t="s">
        <v>137</v>
      </c>
      <c r="M83" s="3" t="s">
        <v>31</v>
      </c>
      <c r="N83" s="3" t="s">
        <v>309</v>
      </c>
      <c r="O83" s="3" t="s">
        <v>139</v>
      </c>
      <c r="P83" s="3" t="s">
        <v>481</v>
      </c>
      <c r="Q83" s="3" t="s">
        <v>172</v>
      </c>
      <c r="R83" s="3" t="s">
        <v>142</v>
      </c>
      <c r="S83" s="3" t="s">
        <v>34</v>
      </c>
      <c r="T83" s="157">
        <v>6.6959999999999997</v>
      </c>
      <c r="U83" s="3" t="s">
        <v>482</v>
      </c>
      <c r="V83" s="168">
        <v>2.5999999999999999E-2</v>
      </c>
      <c r="W83" s="168">
        <v>2.554E-2</v>
      </c>
      <c r="X83" s="5" t="s">
        <v>144</v>
      </c>
      <c r="Y83" s="5" t="s">
        <v>139</v>
      </c>
      <c r="Z83" s="157">
        <v>2300000</v>
      </c>
      <c r="AA83" s="166">
        <v>1</v>
      </c>
      <c r="AB83" s="176">
        <v>101.17</v>
      </c>
      <c r="AD83" s="157">
        <v>2326.91</v>
      </c>
      <c r="AG83" s="3" t="s">
        <v>36</v>
      </c>
      <c r="AH83" s="168">
        <v>1.253E-3</v>
      </c>
      <c r="AI83" s="168">
        <v>1.0604446549138899E-2</v>
      </c>
      <c r="AJ83" s="168">
        <v>1.9680808560819099E-3</v>
      </c>
    </row>
    <row r="84" spans="1:36">
      <c r="A84" s="3">
        <v>419</v>
      </c>
      <c r="B84" s="3">
        <v>419</v>
      </c>
      <c r="C84" s="3" t="s">
        <v>469</v>
      </c>
      <c r="D84" s="3" t="s">
        <v>470</v>
      </c>
      <c r="E84" s="5" t="s">
        <v>132</v>
      </c>
      <c r="F84" s="3" t="s">
        <v>483</v>
      </c>
      <c r="G84" s="3" t="s">
        <v>484</v>
      </c>
      <c r="H84" s="3" t="s">
        <v>135</v>
      </c>
      <c r="I84" s="3" t="s">
        <v>149</v>
      </c>
      <c r="J84" s="3" t="s">
        <v>30</v>
      </c>
      <c r="K84" s="3" t="s">
        <v>30</v>
      </c>
      <c r="L84" s="3" t="s">
        <v>137</v>
      </c>
      <c r="M84" s="3" t="s">
        <v>31</v>
      </c>
      <c r="N84" s="3" t="s">
        <v>309</v>
      </c>
      <c r="O84" s="3" t="s">
        <v>139</v>
      </c>
      <c r="P84" s="3" t="s">
        <v>151</v>
      </c>
      <c r="Q84" s="3" t="s">
        <v>141</v>
      </c>
      <c r="R84" s="3" t="s">
        <v>142</v>
      </c>
      <c r="S84" s="3" t="s">
        <v>34</v>
      </c>
      <c r="T84" s="157">
        <v>4.968</v>
      </c>
      <c r="U84" s="3" t="s">
        <v>485</v>
      </c>
      <c r="V84" s="168">
        <v>3.1E-2</v>
      </c>
      <c r="W84" s="168">
        <v>2.972E-2</v>
      </c>
      <c r="X84" s="5" t="s">
        <v>144</v>
      </c>
      <c r="Y84" s="5" t="s">
        <v>139</v>
      </c>
      <c r="Z84" s="157">
        <v>2000000</v>
      </c>
      <c r="AA84" s="166">
        <v>1</v>
      </c>
      <c r="AB84" s="176">
        <v>105.8</v>
      </c>
      <c r="AD84" s="157">
        <v>2116</v>
      </c>
      <c r="AG84" s="3" t="s">
        <v>36</v>
      </c>
      <c r="AH84" s="168">
        <v>1.3029999999999999E-3</v>
      </c>
      <c r="AI84" s="168">
        <v>9.64326462904792E-3</v>
      </c>
      <c r="AJ84" s="168">
        <v>1.7896949566031E-3</v>
      </c>
    </row>
    <row r="85" spans="1:36">
      <c r="A85" s="3">
        <v>419</v>
      </c>
      <c r="B85" s="3">
        <v>419</v>
      </c>
      <c r="C85" s="3" t="s">
        <v>486</v>
      </c>
      <c r="D85" s="3" t="s">
        <v>487</v>
      </c>
      <c r="E85" s="5" t="s">
        <v>132</v>
      </c>
      <c r="F85" s="3" t="s">
        <v>488</v>
      </c>
      <c r="G85" s="3" t="s">
        <v>489</v>
      </c>
      <c r="H85" s="3" t="s">
        <v>135</v>
      </c>
      <c r="I85" s="3" t="s">
        <v>149</v>
      </c>
      <c r="J85" s="3" t="s">
        <v>30</v>
      </c>
      <c r="K85" s="3" t="s">
        <v>30</v>
      </c>
      <c r="L85" s="3" t="s">
        <v>137</v>
      </c>
      <c r="M85" s="3" t="s">
        <v>31</v>
      </c>
      <c r="N85" s="3" t="s">
        <v>204</v>
      </c>
      <c r="O85" s="3" t="s">
        <v>139</v>
      </c>
      <c r="P85" s="3" t="s">
        <v>198</v>
      </c>
      <c r="Q85" s="3" t="s">
        <v>141</v>
      </c>
      <c r="R85" s="3" t="s">
        <v>142</v>
      </c>
      <c r="S85" s="3" t="s">
        <v>34</v>
      </c>
      <c r="T85" s="157">
        <v>5.1689999999999996</v>
      </c>
      <c r="U85" s="3" t="s">
        <v>490</v>
      </c>
      <c r="V85" s="168">
        <v>3.5000000000000001E-3</v>
      </c>
      <c r="W85" s="168">
        <v>2.9669999999999998E-2</v>
      </c>
      <c r="X85" s="5" t="s">
        <v>144</v>
      </c>
      <c r="Y85" s="5" t="s">
        <v>139</v>
      </c>
      <c r="Z85" s="157">
        <v>1515789.44</v>
      </c>
      <c r="AA85" s="166">
        <v>1</v>
      </c>
      <c r="AB85" s="176">
        <v>101.29</v>
      </c>
      <c r="AD85" s="157">
        <v>1535.3430000000001</v>
      </c>
      <c r="AG85" s="3" t="s">
        <v>36</v>
      </c>
      <c r="AH85" s="168">
        <v>4.35E-4</v>
      </c>
      <c r="AI85" s="168">
        <v>6.9970321545184504E-3</v>
      </c>
      <c r="AJ85" s="168">
        <v>1.2985802671442101E-3</v>
      </c>
    </row>
    <row r="86" spans="1:36">
      <c r="A86" s="3">
        <v>419</v>
      </c>
      <c r="B86" s="3">
        <v>419</v>
      </c>
      <c r="C86" s="3" t="s">
        <v>486</v>
      </c>
      <c r="D86" s="3" t="s">
        <v>487</v>
      </c>
      <c r="E86" s="5" t="s">
        <v>132</v>
      </c>
      <c r="F86" s="3" t="s">
        <v>491</v>
      </c>
      <c r="G86" s="3" t="s">
        <v>492</v>
      </c>
      <c r="H86" s="3" t="s">
        <v>135</v>
      </c>
      <c r="I86" s="3" t="s">
        <v>149</v>
      </c>
      <c r="J86" s="3" t="s">
        <v>30</v>
      </c>
      <c r="K86" s="3" t="s">
        <v>30</v>
      </c>
      <c r="L86" s="3" t="s">
        <v>137</v>
      </c>
      <c r="M86" s="3" t="s">
        <v>31</v>
      </c>
      <c r="N86" s="3" t="s">
        <v>204</v>
      </c>
      <c r="O86" s="3" t="s">
        <v>139</v>
      </c>
      <c r="P86" s="3" t="s">
        <v>198</v>
      </c>
      <c r="Q86" s="3" t="s">
        <v>141</v>
      </c>
      <c r="R86" s="3" t="s">
        <v>142</v>
      </c>
      <c r="S86" s="3" t="s">
        <v>34</v>
      </c>
      <c r="T86" s="157">
        <v>1.673</v>
      </c>
      <c r="U86" s="3" t="s">
        <v>405</v>
      </c>
      <c r="V86" s="168">
        <v>3.6999999999999998E-2</v>
      </c>
      <c r="W86" s="168">
        <v>2.9180000000000001E-2</v>
      </c>
      <c r="X86" s="5" t="s">
        <v>144</v>
      </c>
      <c r="Y86" s="5" t="s">
        <v>139</v>
      </c>
      <c r="Z86" s="157">
        <v>270883</v>
      </c>
      <c r="AA86" s="166">
        <v>1</v>
      </c>
      <c r="AB86" s="176">
        <v>121.5</v>
      </c>
      <c r="AD86" s="157">
        <v>329.12299999999999</v>
      </c>
      <c r="AG86" s="3" t="s">
        <v>36</v>
      </c>
      <c r="AH86" s="168">
        <v>1.201E-3</v>
      </c>
      <c r="AI86" s="168">
        <v>1.49991431465034E-3</v>
      </c>
      <c r="AJ86" s="168">
        <v>2.78369326937317E-4</v>
      </c>
    </row>
    <row r="87" spans="1:36">
      <c r="A87" s="3">
        <v>419</v>
      </c>
      <c r="B87" s="3">
        <v>419</v>
      </c>
      <c r="C87" s="3" t="s">
        <v>493</v>
      </c>
      <c r="D87" s="3" t="s">
        <v>494</v>
      </c>
      <c r="E87" s="5" t="s">
        <v>132</v>
      </c>
      <c r="F87" s="3" t="s">
        <v>495</v>
      </c>
      <c r="G87" s="3" t="s">
        <v>496</v>
      </c>
      <c r="H87" s="3" t="s">
        <v>135</v>
      </c>
      <c r="I87" s="3" t="s">
        <v>161</v>
      </c>
      <c r="J87" s="3" t="s">
        <v>30</v>
      </c>
      <c r="K87" s="3" t="s">
        <v>30</v>
      </c>
      <c r="L87" s="3" t="s">
        <v>137</v>
      </c>
      <c r="M87" s="3" t="s">
        <v>31</v>
      </c>
      <c r="N87" s="3" t="s">
        <v>185</v>
      </c>
      <c r="O87" s="3" t="s">
        <v>139</v>
      </c>
      <c r="P87" s="3" t="s">
        <v>179</v>
      </c>
      <c r="Q87" s="3" t="s">
        <v>172</v>
      </c>
      <c r="R87" s="3" t="s">
        <v>142</v>
      </c>
      <c r="S87" s="3" t="s">
        <v>34</v>
      </c>
      <c r="T87" s="157">
        <v>6.5819999999999999</v>
      </c>
      <c r="U87" s="3" t="s">
        <v>278</v>
      </c>
      <c r="V87" s="168">
        <v>6.0699999999999997E-2</v>
      </c>
      <c r="W87" s="168">
        <v>4.9540000000000001E-2</v>
      </c>
      <c r="X87" s="5" t="s">
        <v>144</v>
      </c>
      <c r="Y87" s="5" t="s">
        <v>139</v>
      </c>
      <c r="Z87" s="157">
        <v>1147132</v>
      </c>
      <c r="AA87" s="166">
        <v>1</v>
      </c>
      <c r="AB87" s="176">
        <v>109.46</v>
      </c>
      <c r="AD87" s="157">
        <v>1255.6510000000001</v>
      </c>
      <c r="AG87" s="3" t="s">
        <v>36</v>
      </c>
      <c r="AH87" s="168">
        <v>1.8240000000000001E-3</v>
      </c>
      <c r="AI87" s="168">
        <v>5.7223874566708303E-3</v>
      </c>
      <c r="AJ87" s="168">
        <v>1.0620187628247E-3</v>
      </c>
    </row>
    <row r="88" spans="1:36">
      <c r="A88" s="3">
        <v>419</v>
      </c>
      <c r="B88" s="3">
        <v>419</v>
      </c>
      <c r="C88" s="3" t="s">
        <v>493</v>
      </c>
      <c r="D88" s="3" t="s">
        <v>494</v>
      </c>
      <c r="E88" s="5" t="s">
        <v>132</v>
      </c>
      <c r="F88" s="3" t="s">
        <v>497</v>
      </c>
      <c r="G88" s="3" t="s">
        <v>498</v>
      </c>
      <c r="H88" s="3" t="s">
        <v>135</v>
      </c>
      <c r="I88" s="3" t="s">
        <v>161</v>
      </c>
      <c r="J88" s="3" t="s">
        <v>30</v>
      </c>
      <c r="K88" s="3" t="s">
        <v>30</v>
      </c>
      <c r="L88" s="3" t="s">
        <v>137</v>
      </c>
      <c r="M88" s="3" t="s">
        <v>31</v>
      </c>
      <c r="N88" s="3" t="s">
        <v>185</v>
      </c>
      <c r="O88" s="3" t="s">
        <v>139</v>
      </c>
      <c r="P88" s="3" t="s">
        <v>140</v>
      </c>
      <c r="Q88" s="3" t="s">
        <v>141</v>
      </c>
      <c r="R88" s="3" t="s">
        <v>142</v>
      </c>
      <c r="S88" s="3" t="s">
        <v>34</v>
      </c>
      <c r="T88" s="157">
        <v>5.931</v>
      </c>
      <c r="U88" s="3" t="s">
        <v>267</v>
      </c>
      <c r="V88" s="168">
        <v>6.0699999999999997E-2</v>
      </c>
      <c r="W88" s="168">
        <v>4.929E-2</v>
      </c>
      <c r="X88" s="5" t="s">
        <v>144</v>
      </c>
      <c r="Y88" s="5" t="s">
        <v>139</v>
      </c>
      <c r="Z88" s="157">
        <v>1139259</v>
      </c>
      <c r="AA88" s="166">
        <v>1</v>
      </c>
      <c r="AB88" s="176">
        <v>108.82</v>
      </c>
      <c r="AD88" s="157">
        <v>1239.742</v>
      </c>
      <c r="AG88" s="3" t="s">
        <v>36</v>
      </c>
      <c r="AH88" s="168">
        <v>1.812E-3</v>
      </c>
      <c r="AI88" s="168">
        <v>5.6498850391371799E-3</v>
      </c>
      <c r="AJ88" s="168">
        <v>1.0485630280716899E-3</v>
      </c>
    </row>
    <row r="89" spans="1:36">
      <c r="A89" s="3">
        <v>419</v>
      </c>
      <c r="B89" s="3">
        <v>419</v>
      </c>
      <c r="C89" s="3" t="s">
        <v>499</v>
      </c>
      <c r="D89" s="3" t="s">
        <v>500</v>
      </c>
      <c r="E89" s="5" t="s">
        <v>132</v>
      </c>
      <c r="F89" s="3" t="s">
        <v>501</v>
      </c>
      <c r="G89" s="3" t="s">
        <v>502</v>
      </c>
      <c r="H89" s="3" t="s">
        <v>135</v>
      </c>
      <c r="I89" s="3" t="s">
        <v>161</v>
      </c>
      <c r="J89" s="3" t="s">
        <v>30</v>
      </c>
      <c r="K89" s="3" t="s">
        <v>30</v>
      </c>
      <c r="L89" s="3" t="s">
        <v>137</v>
      </c>
      <c r="M89" s="3" t="s">
        <v>31</v>
      </c>
      <c r="N89" s="3" t="s">
        <v>204</v>
      </c>
      <c r="O89" s="3" t="s">
        <v>139</v>
      </c>
      <c r="P89" s="3" t="s">
        <v>186</v>
      </c>
      <c r="Q89" s="3" t="s">
        <v>172</v>
      </c>
      <c r="R89" s="3" t="s">
        <v>142</v>
      </c>
      <c r="S89" s="3" t="s">
        <v>34</v>
      </c>
      <c r="T89" s="157">
        <v>4.6219999999999999</v>
      </c>
      <c r="U89" s="3" t="s">
        <v>400</v>
      </c>
      <c r="V89" s="168">
        <v>5.4800000000000001E-2</v>
      </c>
      <c r="W89" s="168">
        <v>4.7289999999999999E-2</v>
      </c>
      <c r="X89" s="5" t="s">
        <v>144</v>
      </c>
      <c r="Y89" s="5" t="s">
        <v>139</v>
      </c>
      <c r="Z89" s="157">
        <v>1725000</v>
      </c>
      <c r="AA89" s="166">
        <v>1</v>
      </c>
      <c r="AB89" s="176">
        <v>105.18</v>
      </c>
      <c r="AD89" s="157">
        <v>1814.355</v>
      </c>
      <c r="AG89" s="3" t="s">
        <v>36</v>
      </c>
      <c r="AH89" s="168">
        <v>5.7499999999999999E-3</v>
      </c>
      <c r="AI89" s="168">
        <v>8.2685753289396206E-3</v>
      </c>
      <c r="AJ89" s="168">
        <v>1.53456615925691E-3</v>
      </c>
    </row>
    <row r="90" spans="1:36">
      <c r="A90" s="3">
        <v>419</v>
      </c>
      <c r="B90" s="3">
        <v>419</v>
      </c>
      <c r="C90" s="3" t="s">
        <v>499</v>
      </c>
      <c r="D90" s="3" t="s">
        <v>500</v>
      </c>
      <c r="E90" s="5" t="s">
        <v>132</v>
      </c>
      <c r="F90" s="3" t="s">
        <v>503</v>
      </c>
      <c r="G90" s="3" t="s">
        <v>504</v>
      </c>
      <c r="H90" s="3" t="s">
        <v>135</v>
      </c>
      <c r="I90" s="3" t="s">
        <v>161</v>
      </c>
      <c r="J90" s="3" t="s">
        <v>30</v>
      </c>
      <c r="K90" s="3" t="s">
        <v>30</v>
      </c>
      <c r="L90" s="3" t="s">
        <v>137</v>
      </c>
      <c r="M90" s="3" t="s">
        <v>31</v>
      </c>
      <c r="N90" s="3" t="s">
        <v>204</v>
      </c>
      <c r="O90" s="3" t="s">
        <v>139</v>
      </c>
      <c r="P90" s="3" t="s">
        <v>186</v>
      </c>
      <c r="Q90" s="3" t="s">
        <v>172</v>
      </c>
      <c r="R90" s="3" t="s">
        <v>142</v>
      </c>
      <c r="S90" s="3" t="s">
        <v>34</v>
      </c>
      <c r="T90" s="157">
        <v>6.2949999999999999</v>
      </c>
      <c r="U90" s="3" t="s">
        <v>325</v>
      </c>
      <c r="V90" s="168">
        <v>5.2900000000000003E-2</v>
      </c>
      <c r="W90" s="168">
        <v>5.1069999999999997E-2</v>
      </c>
      <c r="X90" s="5" t="s">
        <v>144</v>
      </c>
      <c r="Y90" s="5" t="s">
        <v>139</v>
      </c>
      <c r="Z90" s="157">
        <v>2000000</v>
      </c>
      <c r="AA90" s="166">
        <v>1</v>
      </c>
      <c r="AB90" s="176">
        <v>102.93</v>
      </c>
      <c r="AD90" s="157">
        <v>2058.6</v>
      </c>
      <c r="AG90" s="3" t="s">
        <v>36</v>
      </c>
      <c r="AH90" s="168">
        <v>3.64E-3</v>
      </c>
      <c r="AI90" s="168">
        <v>9.3816751254054993E-3</v>
      </c>
      <c r="AJ90" s="168">
        <v>1.74114652063476E-3</v>
      </c>
    </row>
    <row r="91" spans="1:36">
      <c r="A91" s="3">
        <v>419</v>
      </c>
      <c r="B91" s="3">
        <v>419</v>
      </c>
      <c r="C91" s="3" t="s">
        <v>505</v>
      </c>
      <c r="D91" s="3" t="s">
        <v>506</v>
      </c>
      <c r="E91" s="5" t="s">
        <v>132</v>
      </c>
      <c r="F91" s="3" t="s">
        <v>507</v>
      </c>
      <c r="G91" s="3" t="s">
        <v>508</v>
      </c>
      <c r="H91" s="3" t="s">
        <v>135</v>
      </c>
      <c r="I91" s="3" t="s">
        <v>149</v>
      </c>
      <c r="J91" s="3" t="s">
        <v>30</v>
      </c>
      <c r="K91" s="3" t="s">
        <v>30</v>
      </c>
      <c r="L91" s="3" t="s">
        <v>137</v>
      </c>
      <c r="M91" s="3" t="s">
        <v>31</v>
      </c>
      <c r="N91" s="3" t="s">
        <v>204</v>
      </c>
      <c r="O91" s="3" t="s">
        <v>139</v>
      </c>
      <c r="P91" s="3" t="s">
        <v>140</v>
      </c>
      <c r="Q91" s="3" t="s">
        <v>141</v>
      </c>
      <c r="R91" s="3" t="s">
        <v>142</v>
      </c>
      <c r="S91" s="3" t="s">
        <v>34</v>
      </c>
      <c r="T91" s="157">
        <v>5.0469999999999997</v>
      </c>
      <c r="U91" s="3" t="s">
        <v>464</v>
      </c>
      <c r="V91" s="168">
        <v>9.7000000000000003E-3</v>
      </c>
      <c r="W91" s="168">
        <v>3.1480000000000001E-2</v>
      </c>
      <c r="X91" s="5" t="s">
        <v>144</v>
      </c>
      <c r="Y91" s="5" t="s">
        <v>139</v>
      </c>
      <c r="Z91" s="157">
        <v>1647058.82</v>
      </c>
      <c r="AA91" s="166">
        <v>1</v>
      </c>
      <c r="AB91" s="176">
        <v>104.98</v>
      </c>
      <c r="AD91" s="157">
        <v>1729.0820000000001</v>
      </c>
      <c r="AG91" s="3" t="s">
        <v>36</v>
      </c>
      <c r="AH91" s="168">
        <v>2.7369999999999998E-3</v>
      </c>
      <c r="AI91" s="168">
        <v>7.8799615591203208E-3</v>
      </c>
      <c r="AJ91" s="168">
        <v>1.4624432703114901E-3</v>
      </c>
    </row>
    <row r="92" spans="1:36">
      <c r="A92" s="3">
        <v>419</v>
      </c>
      <c r="B92" s="3">
        <v>419</v>
      </c>
      <c r="C92" s="3" t="s">
        <v>509</v>
      </c>
      <c r="D92" s="3" t="s">
        <v>510</v>
      </c>
      <c r="E92" s="5" t="s">
        <v>132</v>
      </c>
      <c r="F92" s="3" t="s">
        <v>511</v>
      </c>
      <c r="G92" s="3" t="s">
        <v>512</v>
      </c>
      <c r="H92" s="3" t="s">
        <v>135</v>
      </c>
      <c r="I92" s="3" t="s">
        <v>149</v>
      </c>
      <c r="J92" s="3" t="s">
        <v>30</v>
      </c>
      <c r="K92" s="3" t="s">
        <v>30</v>
      </c>
      <c r="L92" s="3" t="s">
        <v>137</v>
      </c>
      <c r="M92" s="3" t="s">
        <v>31</v>
      </c>
      <c r="N92" s="3" t="s">
        <v>204</v>
      </c>
      <c r="O92" s="3" t="s">
        <v>139</v>
      </c>
      <c r="P92" s="3" t="s">
        <v>351</v>
      </c>
      <c r="Q92" s="3" t="s">
        <v>141</v>
      </c>
      <c r="R92" s="3" t="s">
        <v>142</v>
      </c>
      <c r="S92" s="3" t="s">
        <v>34</v>
      </c>
      <c r="T92" s="157">
        <v>1.2330000000000001</v>
      </c>
      <c r="U92" s="3" t="s">
        <v>433</v>
      </c>
      <c r="V92" s="168">
        <v>3.0000000000000001E-3</v>
      </c>
      <c r="W92" s="168">
        <v>3.2500000000000001E-2</v>
      </c>
      <c r="X92" s="5" t="s">
        <v>144</v>
      </c>
      <c r="Y92" s="5" t="s">
        <v>139</v>
      </c>
      <c r="Z92" s="157">
        <v>1121566</v>
      </c>
      <c r="AA92" s="166">
        <v>1</v>
      </c>
      <c r="AB92" s="176">
        <v>102.92</v>
      </c>
      <c r="AD92" s="157">
        <v>1154.316</v>
      </c>
      <c r="AG92" s="3" t="s">
        <v>36</v>
      </c>
      <c r="AH92" s="168">
        <v>3.0969999999999999E-3</v>
      </c>
      <c r="AI92" s="168">
        <v>5.26057278963208E-3</v>
      </c>
      <c r="AJ92" s="168">
        <v>9.7631050817461196E-4</v>
      </c>
    </row>
    <row r="93" spans="1:36">
      <c r="A93" s="3">
        <v>419</v>
      </c>
      <c r="B93" s="3">
        <v>419</v>
      </c>
      <c r="C93" s="3" t="s">
        <v>513</v>
      </c>
      <c r="D93" s="3" t="s">
        <v>514</v>
      </c>
      <c r="E93" s="5" t="s">
        <v>132</v>
      </c>
      <c r="F93" s="3" t="s">
        <v>515</v>
      </c>
      <c r="G93" s="3" t="s">
        <v>516</v>
      </c>
      <c r="H93" s="3" t="s">
        <v>135</v>
      </c>
      <c r="I93" s="3" t="s">
        <v>149</v>
      </c>
      <c r="J93" s="3" t="s">
        <v>30</v>
      </c>
      <c r="K93" s="3" t="s">
        <v>30</v>
      </c>
      <c r="L93" s="3" t="s">
        <v>137</v>
      </c>
      <c r="M93" s="3" t="s">
        <v>31</v>
      </c>
      <c r="N93" s="3" t="s">
        <v>309</v>
      </c>
      <c r="O93" s="3" t="s">
        <v>139</v>
      </c>
      <c r="P93" s="3" t="s">
        <v>310</v>
      </c>
      <c r="Q93" s="3" t="s">
        <v>141</v>
      </c>
      <c r="R93" s="3" t="s">
        <v>142</v>
      </c>
      <c r="S93" s="3" t="s">
        <v>34</v>
      </c>
      <c r="T93" s="157">
        <v>3.04</v>
      </c>
      <c r="U93" s="3" t="s">
        <v>517</v>
      </c>
      <c r="V93" s="168">
        <v>1E-3</v>
      </c>
      <c r="W93" s="168">
        <v>2.5440000000000001E-2</v>
      </c>
      <c r="X93" s="5" t="s">
        <v>144</v>
      </c>
      <c r="Y93" s="5" t="s">
        <v>139</v>
      </c>
      <c r="Z93" s="157">
        <v>1500000</v>
      </c>
      <c r="AA93" s="166">
        <v>1</v>
      </c>
      <c r="AB93" s="176">
        <v>107.76</v>
      </c>
      <c r="AD93" s="157">
        <v>1616.4</v>
      </c>
      <c r="AG93" s="3" t="s">
        <v>36</v>
      </c>
      <c r="AH93" s="168">
        <v>4.44E-4</v>
      </c>
      <c r="AI93" s="168">
        <v>7.3664333395052203E-3</v>
      </c>
      <c r="AJ93" s="168">
        <v>1.3671374895336699E-3</v>
      </c>
    </row>
    <row r="94" spans="1:36">
      <c r="A94" s="3">
        <v>419</v>
      </c>
      <c r="B94" s="3">
        <v>419</v>
      </c>
      <c r="C94" s="3" t="s">
        <v>513</v>
      </c>
      <c r="D94" s="3" t="s">
        <v>514</v>
      </c>
      <c r="E94" s="5" t="s">
        <v>132</v>
      </c>
      <c r="F94" s="3" t="s">
        <v>518</v>
      </c>
      <c r="G94" s="3" t="s">
        <v>519</v>
      </c>
      <c r="H94" s="3" t="s">
        <v>135</v>
      </c>
      <c r="I94" s="3" t="s">
        <v>149</v>
      </c>
      <c r="J94" s="3" t="s">
        <v>30</v>
      </c>
      <c r="K94" s="3" t="s">
        <v>30</v>
      </c>
      <c r="L94" s="3" t="s">
        <v>137</v>
      </c>
      <c r="M94" s="3" t="s">
        <v>31</v>
      </c>
      <c r="N94" s="3" t="s">
        <v>309</v>
      </c>
      <c r="O94" s="3" t="s">
        <v>139</v>
      </c>
      <c r="P94" s="3" t="s">
        <v>481</v>
      </c>
      <c r="Q94" s="3" t="s">
        <v>172</v>
      </c>
      <c r="R94" s="3" t="s">
        <v>142</v>
      </c>
      <c r="S94" s="3" t="s">
        <v>34</v>
      </c>
      <c r="T94" s="157">
        <v>1.157</v>
      </c>
      <c r="U94" s="3" t="s">
        <v>520</v>
      </c>
      <c r="V94" s="168">
        <v>5.0000000000000001E-3</v>
      </c>
      <c r="W94" s="168">
        <v>2.9350000000000001E-2</v>
      </c>
      <c r="X94" s="5" t="s">
        <v>144</v>
      </c>
      <c r="Y94" s="5" t="s">
        <v>139</v>
      </c>
      <c r="Z94" s="157">
        <v>4000000.01</v>
      </c>
      <c r="AA94" s="166">
        <v>1</v>
      </c>
      <c r="AB94" s="176">
        <v>114.73</v>
      </c>
      <c r="AD94" s="157">
        <v>4589.2</v>
      </c>
      <c r="AG94" s="3" t="s">
        <v>36</v>
      </c>
      <c r="AH94" s="168">
        <v>5.241E-3</v>
      </c>
      <c r="AI94" s="168">
        <v>2.0914399880086899E-2</v>
      </c>
      <c r="AJ94" s="168">
        <v>3.8815066707826602E-3</v>
      </c>
    </row>
    <row r="95" spans="1:36">
      <c r="A95" s="3">
        <v>419</v>
      </c>
      <c r="B95" s="3">
        <v>419</v>
      </c>
      <c r="C95" s="3" t="s">
        <v>513</v>
      </c>
      <c r="D95" s="3" t="s">
        <v>514</v>
      </c>
      <c r="E95" s="5" t="s">
        <v>132</v>
      </c>
      <c r="F95" s="3" t="s">
        <v>521</v>
      </c>
      <c r="G95" s="3" t="s">
        <v>522</v>
      </c>
      <c r="H95" s="3" t="s">
        <v>135</v>
      </c>
      <c r="I95" s="3" t="s">
        <v>149</v>
      </c>
      <c r="J95" s="3" t="s">
        <v>30</v>
      </c>
      <c r="K95" s="3" t="s">
        <v>30</v>
      </c>
      <c r="L95" s="3" t="s">
        <v>137</v>
      </c>
      <c r="M95" s="3" t="s">
        <v>31</v>
      </c>
      <c r="N95" s="3" t="s">
        <v>309</v>
      </c>
      <c r="O95" s="3" t="s">
        <v>139</v>
      </c>
      <c r="P95" s="3" t="s">
        <v>310</v>
      </c>
      <c r="Q95" s="3" t="s">
        <v>141</v>
      </c>
      <c r="R95" s="3" t="s">
        <v>142</v>
      </c>
      <c r="S95" s="3" t="s">
        <v>34</v>
      </c>
      <c r="T95" s="157">
        <v>4.7160000000000002</v>
      </c>
      <c r="U95" s="3" t="s">
        <v>523</v>
      </c>
      <c r="V95" s="168">
        <v>2E-3</v>
      </c>
      <c r="W95" s="168">
        <v>2.564E-2</v>
      </c>
      <c r="X95" s="5" t="s">
        <v>144</v>
      </c>
      <c r="Y95" s="5" t="s">
        <v>139</v>
      </c>
      <c r="Z95" s="157">
        <v>1150000</v>
      </c>
      <c r="AA95" s="166">
        <v>1</v>
      </c>
      <c r="AB95" s="176">
        <v>106.44</v>
      </c>
      <c r="AD95" s="157">
        <v>1224.06</v>
      </c>
      <c r="AG95" s="3" t="s">
        <v>36</v>
      </c>
      <c r="AH95" s="168">
        <v>3.3300000000000002E-4</v>
      </c>
      <c r="AI95" s="168">
        <v>5.5784189517166299E-3</v>
      </c>
      <c r="AJ95" s="168">
        <v>1.0352996259827901E-3</v>
      </c>
    </row>
    <row r="96" spans="1:36">
      <c r="A96" s="3">
        <v>419</v>
      </c>
      <c r="B96" s="3">
        <v>419</v>
      </c>
      <c r="C96" s="3" t="s">
        <v>513</v>
      </c>
      <c r="D96" s="3" t="s">
        <v>514</v>
      </c>
      <c r="E96" s="5" t="s">
        <v>132</v>
      </c>
      <c r="F96" s="3" t="s">
        <v>524</v>
      </c>
      <c r="G96" s="3" t="s">
        <v>525</v>
      </c>
      <c r="H96" s="3" t="s">
        <v>135</v>
      </c>
      <c r="I96" s="3" t="s">
        <v>149</v>
      </c>
      <c r="J96" s="3" t="s">
        <v>30</v>
      </c>
      <c r="K96" s="3" t="s">
        <v>30</v>
      </c>
      <c r="L96" s="3" t="s">
        <v>137</v>
      </c>
      <c r="M96" s="3" t="s">
        <v>31</v>
      </c>
      <c r="N96" s="3" t="s">
        <v>309</v>
      </c>
      <c r="O96" s="3" t="s">
        <v>139</v>
      </c>
      <c r="P96" s="3" t="s">
        <v>151</v>
      </c>
      <c r="Q96" s="3" t="s">
        <v>141</v>
      </c>
      <c r="R96" s="3" t="s">
        <v>142</v>
      </c>
      <c r="S96" s="3" t="s">
        <v>34</v>
      </c>
      <c r="T96" s="157">
        <v>3.5310000000000001</v>
      </c>
      <c r="U96" s="3" t="s">
        <v>526</v>
      </c>
      <c r="V96" s="168">
        <v>3.3599999999999998E-2</v>
      </c>
      <c r="W96" s="168">
        <v>2.955E-2</v>
      </c>
      <c r="X96" s="5" t="s">
        <v>144</v>
      </c>
      <c r="Y96" s="5" t="s">
        <v>139</v>
      </c>
      <c r="Z96" s="157">
        <v>1700000</v>
      </c>
      <c r="AA96" s="166">
        <v>1</v>
      </c>
      <c r="AB96" s="176">
        <v>108.97</v>
      </c>
      <c r="AD96" s="157">
        <v>1852.49</v>
      </c>
      <c r="AG96" s="3" t="s">
        <v>36</v>
      </c>
      <c r="AH96" s="168">
        <v>1.456E-3</v>
      </c>
      <c r="AI96" s="168">
        <v>8.4423682857585006E-3</v>
      </c>
      <c r="AJ96" s="168">
        <v>1.5668204206794299E-3</v>
      </c>
    </row>
    <row r="97" spans="1:36">
      <c r="A97" s="3">
        <v>419</v>
      </c>
      <c r="B97" s="3">
        <v>419</v>
      </c>
      <c r="C97" s="3" t="s">
        <v>513</v>
      </c>
      <c r="D97" s="3" t="s">
        <v>514</v>
      </c>
      <c r="E97" s="5" t="s">
        <v>132</v>
      </c>
      <c r="F97" s="3" t="s">
        <v>527</v>
      </c>
      <c r="G97" s="3" t="s">
        <v>528</v>
      </c>
      <c r="H97" s="3" t="s">
        <v>135</v>
      </c>
      <c r="I97" s="3" t="s">
        <v>149</v>
      </c>
      <c r="J97" s="3" t="s">
        <v>30</v>
      </c>
      <c r="K97" s="3" t="s">
        <v>30</v>
      </c>
      <c r="L97" s="3" t="s">
        <v>137</v>
      </c>
      <c r="M97" s="3" t="s">
        <v>31</v>
      </c>
      <c r="N97" s="3" t="s">
        <v>309</v>
      </c>
      <c r="O97" s="3" t="s">
        <v>139</v>
      </c>
      <c r="P97" s="3" t="s">
        <v>151</v>
      </c>
      <c r="Q97" s="3" t="s">
        <v>141</v>
      </c>
      <c r="R97" s="3" t="s">
        <v>142</v>
      </c>
      <c r="S97" s="3" t="s">
        <v>34</v>
      </c>
      <c r="T97" s="157">
        <v>4.6829999999999998</v>
      </c>
      <c r="U97" s="3" t="s">
        <v>529</v>
      </c>
      <c r="V97" s="168">
        <v>3.3500000000000002E-2</v>
      </c>
      <c r="W97" s="168">
        <v>3.0839999999999999E-2</v>
      </c>
      <c r="X97" s="5" t="s">
        <v>144</v>
      </c>
      <c r="Y97" s="5" t="s">
        <v>139</v>
      </c>
      <c r="Z97" s="157">
        <v>1730000</v>
      </c>
      <c r="AA97" s="166">
        <v>1</v>
      </c>
      <c r="AB97" s="176">
        <v>106.95</v>
      </c>
      <c r="AD97" s="157">
        <v>1850.2349999999999</v>
      </c>
      <c r="AG97" s="3" t="s">
        <v>36</v>
      </c>
      <c r="AH97" s="168">
        <v>1.142E-3</v>
      </c>
      <c r="AI97" s="168">
        <v>8.4320915552582604E-3</v>
      </c>
      <c r="AJ97" s="168">
        <v>1.56491316069496E-3</v>
      </c>
    </row>
    <row r="98" spans="1:36">
      <c r="A98" s="3">
        <v>419</v>
      </c>
      <c r="B98" s="3">
        <v>419</v>
      </c>
      <c r="C98" s="3" t="s">
        <v>513</v>
      </c>
      <c r="D98" s="3" t="s">
        <v>514</v>
      </c>
      <c r="E98" s="5" t="s">
        <v>132</v>
      </c>
      <c r="F98" s="3" t="s">
        <v>530</v>
      </c>
      <c r="G98" s="3" t="s">
        <v>531</v>
      </c>
      <c r="H98" s="3" t="s">
        <v>135</v>
      </c>
      <c r="I98" s="3" t="s">
        <v>149</v>
      </c>
      <c r="J98" s="3" t="s">
        <v>30</v>
      </c>
      <c r="K98" s="3" t="s">
        <v>30</v>
      </c>
      <c r="L98" s="3" t="s">
        <v>137</v>
      </c>
      <c r="M98" s="3" t="s">
        <v>31</v>
      </c>
      <c r="N98" s="3" t="s">
        <v>309</v>
      </c>
      <c r="O98" s="3" t="s">
        <v>139</v>
      </c>
      <c r="P98" s="3" t="s">
        <v>310</v>
      </c>
      <c r="Q98" s="3" t="s">
        <v>141</v>
      </c>
      <c r="R98" s="3" t="s">
        <v>142</v>
      </c>
      <c r="S98" s="3" t="s">
        <v>34</v>
      </c>
      <c r="T98" s="157">
        <v>0.71199999999999997</v>
      </c>
      <c r="U98" s="3" t="s">
        <v>532</v>
      </c>
      <c r="V98" s="168">
        <v>3.8E-3</v>
      </c>
      <c r="W98" s="168">
        <v>3.2919999999999998E-2</v>
      </c>
      <c r="X98" s="5" t="s">
        <v>144</v>
      </c>
      <c r="Y98" s="5" t="s">
        <v>139</v>
      </c>
      <c r="Z98" s="157">
        <v>1000000</v>
      </c>
      <c r="AA98" s="166">
        <v>1</v>
      </c>
      <c r="AB98" s="176">
        <v>114.65</v>
      </c>
      <c r="AD98" s="157">
        <v>1146.5</v>
      </c>
      <c r="AG98" s="3" t="s">
        <v>36</v>
      </c>
      <c r="AH98" s="168">
        <v>3.3300000000000002E-4</v>
      </c>
      <c r="AI98" s="168">
        <v>5.2249541102095598E-3</v>
      </c>
      <c r="AJ98" s="168">
        <v>9.6970003201581002E-4</v>
      </c>
    </row>
    <row r="99" spans="1:36">
      <c r="A99" s="3">
        <v>419</v>
      </c>
      <c r="B99" s="3">
        <v>419</v>
      </c>
      <c r="C99" s="3" t="s">
        <v>513</v>
      </c>
      <c r="D99" s="3" t="s">
        <v>514</v>
      </c>
      <c r="E99" s="5" t="s">
        <v>132</v>
      </c>
      <c r="F99" s="3" t="s">
        <v>533</v>
      </c>
      <c r="G99" s="3" t="s">
        <v>534</v>
      </c>
      <c r="H99" s="3" t="s">
        <v>135</v>
      </c>
      <c r="I99" s="3" t="s">
        <v>149</v>
      </c>
      <c r="J99" s="3" t="s">
        <v>30</v>
      </c>
      <c r="K99" s="3" t="s">
        <v>30</v>
      </c>
      <c r="L99" s="3" t="s">
        <v>137</v>
      </c>
      <c r="M99" s="3" t="s">
        <v>31</v>
      </c>
      <c r="N99" s="3" t="s">
        <v>309</v>
      </c>
      <c r="O99" s="3" t="s">
        <v>139</v>
      </c>
      <c r="P99" s="3" t="s">
        <v>310</v>
      </c>
      <c r="Q99" s="3" t="s">
        <v>141</v>
      </c>
      <c r="R99" s="3" t="s">
        <v>142</v>
      </c>
      <c r="S99" s="3" t="s">
        <v>34</v>
      </c>
      <c r="T99" s="157">
        <v>4.3650000000000002</v>
      </c>
      <c r="U99" s="3" t="s">
        <v>535</v>
      </c>
      <c r="V99" s="168">
        <v>2.2013000000000001E-2</v>
      </c>
      <c r="W99" s="168">
        <v>2.4549999999999999E-2</v>
      </c>
      <c r="X99" s="5" t="s">
        <v>144</v>
      </c>
      <c r="Y99" s="5" t="s">
        <v>139</v>
      </c>
      <c r="Z99" s="157">
        <v>380000</v>
      </c>
      <c r="AA99" s="166">
        <v>1</v>
      </c>
      <c r="AB99" s="176">
        <v>125.71</v>
      </c>
      <c r="AD99" s="157">
        <v>477.69799999999998</v>
      </c>
      <c r="AG99" s="3" t="s">
        <v>36</v>
      </c>
      <c r="AH99" s="168">
        <v>5.4100000000000003E-4</v>
      </c>
      <c r="AI99" s="168">
        <v>2.1770171204002499E-3</v>
      </c>
      <c r="AJ99" s="168">
        <v>4.0403294016039102E-4</v>
      </c>
    </row>
    <row r="100" spans="1:36">
      <c r="A100" s="3">
        <v>419</v>
      </c>
      <c r="B100" s="3">
        <v>419</v>
      </c>
      <c r="C100" s="3" t="s">
        <v>536</v>
      </c>
      <c r="D100" s="3" t="s">
        <v>537</v>
      </c>
      <c r="E100" s="5" t="s">
        <v>132</v>
      </c>
      <c r="F100" s="3" t="s">
        <v>538</v>
      </c>
      <c r="G100" s="3" t="s">
        <v>539</v>
      </c>
      <c r="H100" s="3" t="s">
        <v>135</v>
      </c>
      <c r="I100" s="3" t="s">
        <v>149</v>
      </c>
      <c r="J100" s="3" t="s">
        <v>30</v>
      </c>
      <c r="K100" s="3" t="s">
        <v>30</v>
      </c>
      <c r="L100" s="3" t="s">
        <v>137</v>
      </c>
      <c r="M100" s="3" t="s">
        <v>31</v>
      </c>
      <c r="N100" s="3" t="s">
        <v>170</v>
      </c>
      <c r="O100" s="3" t="s">
        <v>139</v>
      </c>
      <c r="P100" s="3" t="s">
        <v>540</v>
      </c>
      <c r="Q100" s="3" t="s">
        <v>141</v>
      </c>
      <c r="R100" s="3" t="s">
        <v>142</v>
      </c>
      <c r="S100" s="3" t="s">
        <v>34</v>
      </c>
      <c r="T100" s="157">
        <v>0.80900000000000005</v>
      </c>
      <c r="U100" s="3" t="s">
        <v>97</v>
      </c>
      <c r="V100" s="168">
        <v>0.03</v>
      </c>
      <c r="W100" s="168">
        <v>5.1639999999999998E-2</v>
      </c>
      <c r="X100" s="5" t="s">
        <v>144</v>
      </c>
      <c r="Y100" s="5" t="s">
        <v>139</v>
      </c>
      <c r="Z100" s="157">
        <v>239222.49</v>
      </c>
      <c r="AA100" s="166">
        <v>1</v>
      </c>
      <c r="AB100" s="176">
        <v>118.25</v>
      </c>
      <c r="AD100" s="157">
        <v>282.88099999999997</v>
      </c>
      <c r="AG100" s="3" t="s">
        <v>36</v>
      </c>
      <c r="AH100" s="168">
        <v>5.868E-3</v>
      </c>
      <c r="AI100" s="168">
        <v>1.28917411647573E-3</v>
      </c>
      <c r="AJ100" s="168">
        <v>2.3925802134371901E-4</v>
      </c>
    </row>
    <row r="101" spans="1:36">
      <c r="A101" s="3">
        <v>419</v>
      </c>
      <c r="B101" s="3">
        <v>419</v>
      </c>
      <c r="C101" s="3" t="s">
        <v>541</v>
      </c>
      <c r="D101" s="3" t="s">
        <v>542</v>
      </c>
      <c r="E101" s="5" t="s">
        <v>132</v>
      </c>
      <c r="F101" s="3" t="s">
        <v>543</v>
      </c>
      <c r="G101" s="3" t="s">
        <v>544</v>
      </c>
      <c r="H101" s="3" t="s">
        <v>135</v>
      </c>
      <c r="I101" s="3" t="s">
        <v>149</v>
      </c>
      <c r="J101" s="3" t="s">
        <v>30</v>
      </c>
      <c r="K101" s="3" t="s">
        <v>30</v>
      </c>
      <c r="L101" s="3" t="s">
        <v>137</v>
      </c>
      <c r="M101" s="3" t="s">
        <v>31</v>
      </c>
      <c r="N101" s="3" t="s">
        <v>204</v>
      </c>
      <c r="O101" s="3" t="s">
        <v>139</v>
      </c>
      <c r="P101" s="3" t="s">
        <v>198</v>
      </c>
      <c r="Q101" s="3" t="s">
        <v>141</v>
      </c>
      <c r="R101" s="3" t="s">
        <v>142</v>
      </c>
      <c r="S101" s="3" t="s">
        <v>34</v>
      </c>
      <c r="T101" s="157">
        <v>3.4809999999999999</v>
      </c>
      <c r="U101" s="3" t="s">
        <v>545</v>
      </c>
      <c r="V101" s="168">
        <v>1.43E-2</v>
      </c>
      <c r="W101" s="168">
        <v>2.8119999999999999E-2</v>
      </c>
      <c r="X101" s="5" t="s">
        <v>144</v>
      </c>
      <c r="Y101" s="5" t="s">
        <v>139</v>
      </c>
      <c r="Z101" s="157">
        <v>1680329.69</v>
      </c>
      <c r="AA101" s="166">
        <v>1</v>
      </c>
      <c r="AB101" s="176">
        <v>113.61</v>
      </c>
      <c r="AD101" s="157">
        <v>1909.0229999999999</v>
      </c>
      <c r="AG101" s="3" t="s">
        <v>36</v>
      </c>
      <c r="AH101" s="168">
        <v>8.7100000000000003E-4</v>
      </c>
      <c r="AI101" s="168">
        <v>8.7000046014668701E-3</v>
      </c>
      <c r="AJ101" s="168">
        <v>1.6146351838947999E-3</v>
      </c>
    </row>
    <row r="102" spans="1:36">
      <c r="A102" s="3">
        <v>419</v>
      </c>
      <c r="B102" s="3">
        <v>419</v>
      </c>
      <c r="C102" s="3" t="s">
        <v>541</v>
      </c>
      <c r="D102" s="3" t="s">
        <v>542</v>
      </c>
      <c r="E102" s="5" t="s">
        <v>132</v>
      </c>
      <c r="F102" s="3" t="s">
        <v>546</v>
      </c>
      <c r="G102" s="3" t="s">
        <v>547</v>
      </c>
      <c r="H102" s="3" t="s">
        <v>135</v>
      </c>
      <c r="I102" s="3" t="s">
        <v>149</v>
      </c>
      <c r="J102" s="3" t="s">
        <v>30</v>
      </c>
      <c r="K102" s="3" t="s">
        <v>30</v>
      </c>
      <c r="L102" s="3" t="s">
        <v>137</v>
      </c>
      <c r="M102" s="3" t="s">
        <v>31</v>
      </c>
      <c r="N102" s="3" t="s">
        <v>204</v>
      </c>
      <c r="O102" s="3" t="s">
        <v>139</v>
      </c>
      <c r="P102" s="3" t="s">
        <v>198</v>
      </c>
      <c r="Q102" s="3" t="s">
        <v>141</v>
      </c>
      <c r="R102" s="3" t="s">
        <v>142</v>
      </c>
      <c r="S102" s="3" t="s">
        <v>34</v>
      </c>
      <c r="T102" s="157">
        <v>5.3339999999999996</v>
      </c>
      <c r="U102" s="3" t="s">
        <v>548</v>
      </c>
      <c r="V102" s="168">
        <v>3.61E-2</v>
      </c>
      <c r="W102" s="168">
        <v>2.9340000000000001E-2</v>
      </c>
      <c r="X102" s="5" t="s">
        <v>144</v>
      </c>
      <c r="Y102" s="5" t="s">
        <v>139</v>
      </c>
      <c r="Z102" s="157">
        <v>2922889.81</v>
      </c>
      <c r="AA102" s="166">
        <v>1</v>
      </c>
      <c r="AB102" s="176">
        <v>113.95</v>
      </c>
      <c r="AD102" s="157">
        <v>3330.6329999999998</v>
      </c>
      <c r="AG102" s="3" t="s">
        <v>36</v>
      </c>
      <c r="AH102" s="168">
        <v>1.33E-3</v>
      </c>
      <c r="AI102" s="168">
        <v>1.5178721553937E-2</v>
      </c>
      <c r="AJ102" s="168">
        <v>2.8170212534596702E-3</v>
      </c>
    </row>
    <row r="103" spans="1:36">
      <c r="A103" s="3">
        <v>419</v>
      </c>
      <c r="B103" s="3">
        <v>419</v>
      </c>
      <c r="C103" s="3" t="s">
        <v>541</v>
      </c>
      <c r="D103" s="3" t="s">
        <v>542</v>
      </c>
      <c r="E103" s="5" t="s">
        <v>132</v>
      </c>
      <c r="F103" s="3" t="s">
        <v>549</v>
      </c>
      <c r="G103" s="3" t="s">
        <v>550</v>
      </c>
      <c r="H103" s="3" t="s">
        <v>135</v>
      </c>
      <c r="I103" s="3" t="s">
        <v>149</v>
      </c>
      <c r="J103" s="3" t="s">
        <v>30</v>
      </c>
      <c r="K103" s="3" t="s">
        <v>30</v>
      </c>
      <c r="L103" s="3" t="s">
        <v>137</v>
      </c>
      <c r="M103" s="3" t="s">
        <v>31</v>
      </c>
      <c r="N103" s="3" t="s">
        <v>204</v>
      </c>
      <c r="O103" s="3" t="s">
        <v>139</v>
      </c>
      <c r="P103" s="3" t="s">
        <v>198</v>
      </c>
      <c r="Q103" s="3" t="s">
        <v>141</v>
      </c>
      <c r="R103" s="3" t="s">
        <v>142</v>
      </c>
      <c r="S103" s="3" t="s">
        <v>34</v>
      </c>
      <c r="T103" s="157">
        <v>3.0649999999999999</v>
      </c>
      <c r="U103" s="3" t="s">
        <v>551</v>
      </c>
      <c r="V103" s="168">
        <v>2.2499999999999999E-2</v>
      </c>
      <c r="W103" s="168">
        <v>2.9350000000000001E-2</v>
      </c>
      <c r="X103" s="5" t="s">
        <v>144</v>
      </c>
      <c r="Y103" s="5" t="s">
        <v>139</v>
      </c>
      <c r="Z103" s="157">
        <v>3007509.21</v>
      </c>
      <c r="AA103" s="166">
        <v>1</v>
      </c>
      <c r="AB103" s="176">
        <v>118.47</v>
      </c>
      <c r="AD103" s="157">
        <v>3562.9960000000001</v>
      </c>
      <c r="AG103" s="3" t="s">
        <v>36</v>
      </c>
      <c r="AH103" s="168">
        <v>1.7309999999999999E-3</v>
      </c>
      <c r="AI103" s="168">
        <v>1.6237672426107599E-2</v>
      </c>
      <c r="AJ103" s="168">
        <v>3.01355210770019E-3</v>
      </c>
    </row>
    <row r="104" spans="1:36">
      <c r="A104" s="3">
        <v>419</v>
      </c>
      <c r="B104" s="3">
        <v>419</v>
      </c>
      <c r="C104" s="3" t="s">
        <v>552</v>
      </c>
      <c r="D104" s="3" t="s">
        <v>553</v>
      </c>
      <c r="E104" s="5" t="s">
        <v>132</v>
      </c>
      <c r="F104" s="3" t="s">
        <v>554</v>
      </c>
      <c r="G104" s="3" t="s">
        <v>555</v>
      </c>
      <c r="H104" s="3" t="s">
        <v>135</v>
      </c>
      <c r="I104" s="3" t="s">
        <v>161</v>
      </c>
      <c r="J104" s="3" t="s">
        <v>30</v>
      </c>
      <c r="K104" s="3" t="s">
        <v>30</v>
      </c>
      <c r="L104" s="3" t="s">
        <v>137</v>
      </c>
      <c r="M104" s="3" t="s">
        <v>31</v>
      </c>
      <c r="N104" s="3" t="s">
        <v>556</v>
      </c>
      <c r="O104" s="3" t="s">
        <v>139</v>
      </c>
      <c r="P104" s="3" t="s">
        <v>140</v>
      </c>
      <c r="Q104" s="3" t="s">
        <v>141</v>
      </c>
      <c r="R104" s="3" t="s">
        <v>142</v>
      </c>
      <c r="S104" s="3" t="s">
        <v>34</v>
      </c>
      <c r="T104" s="157">
        <v>1.6639999999999999</v>
      </c>
      <c r="U104" s="3" t="s">
        <v>180</v>
      </c>
      <c r="V104" s="168">
        <v>2.3900000000000001E-2</v>
      </c>
      <c r="W104" s="168">
        <v>4.8750000000000002E-2</v>
      </c>
      <c r="X104" s="5" t="s">
        <v>144</v>
      </c>
      <c r="Y104" s="5" t="s">
        <v>139</v>
      </c>
      <c r="Z104" s="157">
        <v>269254.19</v>
      </c>
      <c r="AA104" s="166">
        <v>1</v>
      </c>
      <c r="AB104" s="176">
        <v>96.69</v>
      </c>
      <c r="AD104" s="157">
        <v>260.34199999999998</v>
      </c>
      <c r="AG104" s="3" t="s">
        <v>36</v>
      </c>
      <c r="AH104" s="168">
        <v>2.0690000000000001E-3</v>
      </c>
      <c r="AI104" s="168">
        <v>1.1864582265074799E-3</v>
      </c>
      <c r="AJ104" s="168">
        <v>2.2019496362305499E-4</v>
      </c>
    </row>
    <row r="105" spans="1:36">
      <c r="A105" s="3">
        <v>419</v>
      </c>
      <c r="B105" s="3">
        <v>419</v>
      </c>
      <c r="C105" s="3" t="s">
        <v>557</v>
      </c>
      <c r="D105" s="3" t="s">
        <v>558</v>
      </c>
      <c r="E105" s="5" t="s">
        <v>132</v>
      </c>
      <c r="F105" s="3" t="s">
        <v>559</v>
      </c>
      <c r="G105" s="3" t="s">
        <v>560</v>
      </c>
      <c r="H105" s="3" t="s">
        <v>135</v>
      </c>
      <c r="I105" s="3" t="s">
        <v>161</v>
      </c>
      <c r="J105" s="3" t="s">
        <v>30</v>
      </c>
      <c r="K105" s="3" t="s">
        <v>30</v>
      </c>
      <c r="L105" s="3" t="s">
        <v>137</v>
      </c>
      <c r="M105" s="3" t="s">
        <v>31</v>
      </c>
      <c r="N105" s="3" t="s">
        <v>561</v>
      </c>
      <c r="O105" s="3" t="s">
        <v>139</v>
      </c>
      <c r="P105" s="3" t="s">
        <v>229</v>
      </c>
      <c r="Q105" s="3" t="s">
        <v>172</v>
      </c>
      <c r="R105" s="3" t="s">
        <v>142</v>
      </c>
      <c r="S105" s="3" t="s">
        <v>34</v>
      </c>
      <c r="T105" s="157">
        <v>0.96699999999999997</v>
      </c>
      <c r="U105" s="3" t="s">
        <v>562</v>
      </c>
      <c r="V105" s="168">
        <v>0.114</v>
      </c>
      <c r="W105" s="168">
        <v>1E-4</v>
      </c>
      <c r="X105" s="5" t="s">
        <v>144</v>
      </c>
      <c r="Y105" s="5" t="s">
        <v>139</v>
      </c>
      <c r="Z105" s="157">
        <v>1149200.03</v>
      </c>
      <c r="AA105" s="166">
        <v>1</v>
      </c>
      <c r="AB105" s="176">
        <v>100.46</v>
      </c>
      <c r="AD105" s="157">
        <v>1154.4860000000001</v>
      </c>
      <c r="AG105" s="3" t="s">
        <v>36</v>
      </c>
      <c r="AH105" s="168">
        <v>4.7540000000000004E-3</v>
      </c>
      <c r="AI105" s="168">
        <v>5.2613503709850696E-3</v>
      </c>
      <c r="AJ105" s="168">
        <v>9.7645481961677601E-4</v>
      </c>
    </row>
    <row r="106" spans="1:36">
      <c r="A106" s="3">
        <v>419</v>
      </c>
      <c r="B106" s="3">
        <v>419</v>
      </c>
      <c r="C106" s="3" t="s">
        <v>557</v>
      </c>
      <c r="D106" s="3" t="s">
        <v>558</v>
      </c>
      <c r="E106" s="5" t="s">
        <v>132</v>
      </c>
      <c r="F106" s="3" t="s">
        <v>563</v>
      </c>
      <c r="G106" s="3" t="s">
        <v>564</v>
      </c>
      <c r="H106" s="3" t="s">
        <v>135</v>
      </c>
      <c r="I106" s="3" t="s">
        <v>161</v>
      </c>
      <c r="J106" s="3" t="s">
        <v>30</v>
      </c>
      <c r="K106" s="3" t="s">
        <v>30</v>
      </c>
      <c r="L106" s="3" t="s">
        <v>137</v>
      </c>
      <c r="M106" s="3" t="s">
        <v>31</v>
      </c>
      <c r="N106" s="3" t="s">
        <v>561</v>
      </c>
      <c r="O106" s="3" t="s">
        <v>139</v>
      </c>
      <c r="P106" s="3" t="s">
        <v>229</v>
      </c>
      <c r="Q106" s="3" t="s">
        <v>172</v>
      </c>
      <c r="R106" s="3" t="s">
        <v>142</v>
      </c>
      <c r="S106" s="3" t="s">
        <v>34</v>
      </c>
      <c r="T106" s="157">
        <v>1.714</v>
      </c>
      <c r="U106" s="3" t="s">
        <v>565</v>
      </c>
      <c r="V106" s="168">
        <v>7.22E-2</v>
      </c>
      <c r="W106" s="168">
        <v>5.8099999999999999E-2</v>
      </c>
      <c r="X106" s="5" t="s">
        <v>144</v>
      </c>
      <c r="Y106" s="5" t="s">
        <v>139</v>
      </c>
      <c r="Z106" s="157">
        <v>1148000</v>
      </c>
      <c r="AA106" s="166">
        <v>1</v>
      </c>
      <c r="AB106" s="176">
        <v>103.83</v>
      </c>
      <c r="AD106" s="157">
        <v>1191.9680000000001</v>
      </c>
      <c r="AG106" s="3" t="s">
        <v>36</v>
      </c>
      <c r="AH106" s="168">
        <v>3.2980000000000002E-3</v>
      </c>
      <c r="AI106" s="168">
        <v>5.4321676326383904E-3</v>
      </c>
      <c r="AJ106" s="168">
        <v>1.0081568213186501E-3</v>
      </c>
    </row>
    <row r="107" spans="1:36">
      <c r="A107" s="3">
        <v>419</v>
      </c>
      <c r="B107" s="3">
        <v>419</v>
      </c>
      <c r="C107" s="3" t="s">
        <v>557</v>
      </c>
      <c r="D107" s="3" t="s">
        <v>558</v>
      </c>
      <c r="E107" s="5" t="s">
        <v>132</v>
      </c>
      <c r="F107" s="3" t="s">
        <v>566</v>
      </c>
      <c r="G107" s="3" t="s">
        <v>567</v>
      </c>
      <c r="H107" s="3" t="s">
        <v>135</v>
      </c>
      <c r="I107" s="3" t="s">
        <v>161</v>
      </c>
      <c r="J107" s="3" t="s">
        <v>30</v>
      </c>
      <c r="K107" s="3" t="s">
        <v>30</v>
      </c>
      <c r="L107" s="3" t="s">
        <v>137</v>
      </c>
      <c r="M107" s="3" t="s">
        <v>31</v>
      </c>
      <c r="N107" s="3" t="s">
        <v>561</v>
      </c>
      <c r="O107" s="3" t="s">
        <v>139</v>
      </c>
      <c r="P107" s="3" t="s">
        <v>229</v>
      </c>
      <c r="Q107" s="3" t="s">
        <v>172</v>
      </c>
      <c r="R107" s="3" t="s">
        <v>142</v>
      </c>
      <c r="S107" s="3" t="s">
        <v>34</v>
      </c>
      <c r="T107" s="157">
        <v>2.8410000000000002</v>
      </c>
      <c r="U107" s="3" t="s">
        <v>568</v>
      </c>
      <c r="V107" s="168">
        <v>6.4000000000000001E-2</v>
      </c>
      <c r="W107" s="168">
        <v>5.8369999999999998E-2</v>
      </c>
      <c r="X107" s="5" t="s">
        <v>144</v>
      </c>
      <c r="Y107" s="5" t="s">
        <v>139</v>
      </c>
      <c r="Z107" s="157">
        <v>1181683</v>
      </c>
      <c r="AA107" s="166">
        <v>1</v>
      </c>
      <c r="AB107" s="176">
        <v>104.05</v>
      </c>
      <c r="AD107" s="157">
        <v>1229.5409999999999</v>
      </c>
      <c r="AG107" s="3" t="s">
        <v>36</v>
      </c>
      <c r="AH107" s="168">
        <v>3.4120000000000001E-3</v>
      </c>
      <c r="AI107" s="168">
        <v>5.6033982952038899E-3</v>
      </c>
      <c r="AJ107" s="168">
        <v>1.03993554615901E-3</v>
      </c>
    </row>
    <row r="108" spans="1:36">
      <c r="A108" s="3">
        <v>419</v>
      </c>
      <c r="B108" s="3">
        <v>419</v>
      </c>
      <c r="C108" s="3" t="s">
        <v>569</v>
      </c>
      <c r="D108" s="3" t="s">
        <v>570</v>
      </c>
      <c r="E108" s="5" t="s">
        <v>132</v>
      </c>
      <c r="F108" s="3" t="s">
        <v>571</v>
      </c>
      <c r="G108" s="3" t="s">
        <v>572</v>
      </c>
      <c r="H108" s="3" t="s">
        <v>135</v>
      </c>
      <c r="I108" s="3" t="s">
        <v>149</v>
      </c>
      <c r="J108" s="3" t="s">
        <v>30</v>
      </c>
      <c r="K108" s="3" t="s">
        <v>30</v>
      </c>
      <c r="L108" s="3" t="s">
        <v>137</v>
      </c>
      <c r="M108" s="3" t="s">
        <v>31</v>
      </c>
      <c r="N108" s="3" t="s">
        <v>178</v>
      </c>
      <c r="O108" s="3" t="s">
        <v>139</v>
      </c>
      <c r="P108" s="3" t="s">
        <v>573</v>
      </c>
      <c r="Q108" s="3" t="s">
        <v>172</v>
      </c>
      <c r="R108" s="3" t="s">
        <v>142</v>
      </c>
      <c r="S108" s="3" t="s">
        <v>34</v>
      </c>
      <c r="T108" s="157">
        <v>3.2679999999999998</v>
      </c>
      <c r="U108" s="3" t="s">
        <v>574</v>
      </c>
      <c r="V108" s="168">
        <v>2.07E-2</v>
      </c>
      <c r="W108" s="168">
        <v>4.1239999999999999E-2</v>
      </c>
      <c r="X108" s="5" t="s">
        <v>144</v>
      </c>
      <c r="Y108" s="5" t="s">
        <v>139</v>
      </c>
      <c r="Z108" s="157">
        <v>2441241.2999999998</v>
      </c>
      <c r="AA108" s="166">
        <v>1</v>
      </c>
      <c r="AB108" s="176">
        <v>109.03</v>
      </c>
      <c r="AD108" s="157">
        <v>2661.6849999999999</v>
      </c>
      <c r="AG108" s="3" t="s">
        <v>36</v>
      </c>
      <c r="AH108" s="168">
        <v>5.8500000000000002E-3</v>
      </c>
      <c r="AI108" s="168">
        <v>1.21301212519651E-2</v>
      </c>
      <c r="AJ108" s="168">
        <v>2.2512310573986E-3</v>
      </c>
    </row>
    <row r="109" spans="1:36">
      <c r="A109" s="3">
        <v>419</v>
      </c>
      <c r="B109" s="3">
        <v>419</v>
      </c>
      <c r="C109" s="3" t="s">
        <v>575</v>
      </c>
      <c r="D109" s="3" t="s">
        <v>576</v>
      </c>
      <c r="E109" s="5" t="s">
        <v>132</v>
      </c>
      <c r="F109" s="3" t="s">
        <v>577</v>
      </c>
      <c r="G109" s="3" t="s">
        <v>578</v>
      </c>
      <c r="H109" s="3" t="s">
        <v>135</v>
      </c>
      <c r="I109" s="3" t="s">
        <v>149</v>
      </c>
      <c r="J109" s="3" t="s">
        <v>30</v>
      </c>
      <c r="K109" s="3" t="s">
        <v>30</v>
      </c>
      <c r="L109" s="3" t="s">
        <v>137</v>
      </c>
      <c r="M109" s="3" t="s">
        <v>31</v>
      </c>
      <c r="N109" s="3" t="s">
        <v>556</v>
      </c>
      <c r="O109" s="3" t="s">
        <v>139</v>
      </c>
      <c r="P109" s="3" t="s">
        <v>310</v>
      </c>
      <c r="Q109" s="3" t="s">
        <v>141</v>
      </c>
      <c r="R109" s="3" t="s">
        <v>142</v>
      </c>
      <c r="S109" s="3" t="s">
        <v>34</v>
      </c>
      <c r="T109" s="157">
        <v>11.507999999999999</v>
      </c>
      <c r="U109" s="3" t="s">
        <v>579</v>
      </c>
      <c r="V109" s="168">
        <v>2.07E-2</v>
      </c>
      <c r="W109" s="168">
        <v>2.7050000000000001E-2</v>
      </c>
      <c r="X109" s="5" t="s">
        <v>144</v>
      </c>
      <c r="Y109" s="5" t="s">
        <v>139</v>
      </c>
      <c r="Z109" s="157">
        <v>1510044.61</v>
      </c>
      <c r="AA109" s="166">
        <v>1</v>
      </c>
      <c r="AB109" s="176">
        <v>109.4</v>
      </c>
      <c r="AD109" s="157">
        <v>1651.989</v>
      </c>
      <c r="AG109" s="3" t="s">
        <v>36</v>
      </c>
      <c r="AH109" s="168">
        <v>2.7599999999999999E-4</v>
      </c>
      <c r="AI109" s="168">
        <v>7.52862249283167E-3</v>
      </c>
      <c r="AJ109" s="168">
        <v>1.3972381992922399E-3</v>
      </c>
    </row>
    <row r="110" spans="1:36">
      <c r="A110" s="3">
        <v>419</v>
      </c>
      <c r="B110" s="3">
        <v>419</v>
      </c>
      <c r="C110" s="3" t="s">
        <v>580</v>
      </c>
      <c r="D110" s="3" t="s">
        <v>581</v>
      </c>
      <c r="E110" s="5" t="s">
        <v>132</v>
      </c>
      <c r="F110" s="3" t="s">
        <v>582</v>
      </c>
      <c r="G110" s="3" t="s">
        <v>583</v>
      </c>
      <c r="H110" s="3" t="s">
        <v>135</v>
      </c>
      <c r="I110" s="3" t="s">
        <v>149</v>
      </c>
      <c r="J110" s="3" t="s">
        <v>30</v>
      </c>
      <c r="K110" s="3" t="s">
        <v>30</v>
      </c>
      <c r="L110" s="3" t="s">
        <v>137</v>
      </c>
      <c r="M110" s="3" t="s">
        <v>31</v>
      </c>
      <c r="N110" s="3" t="s">
        <v>309</v>
      </c>
      <c r="O110" s="3" t="s">
        <v>139</v>
      </c>
      <c r="P110" s="3" t="s">
        <v>310</v>
      </c>
      <c r="Q110" s="3" t="s">
        <v>141</v>
      </c>
      <c r="R110" s="3" t="s">
        <v>142</v>
      </c>
      <c r="S110" s="3" t="s">
        <v>34</v>
      </c>
      <c r="T110" s="157">
        <v>2.2450000000000001</v>
      </c>
      <c r="U110" s="3" t="s">
        <v>584</v>
      </c>
      <c r="V110" s="168">
        <v>1.4999999999999999E-2</v>
      </c>
      <c r="W110" s="168">
        <v>2.5919999999999999E-2</v>
      </c>
      <c r="X110" s="5" t="s">
        <v>144</v>
      </c>
      <c r="Y110" s="5" t="s">
        <v>139</v>
      </c>
      <c r="Z110" s="157">
        <v>1146845.6000000001</v>
      </c>
      <c r="AA110" s="166">
        <v>1</v>
      </c>
      <c r="AB110" s="176">
        <v>116.97</v>
      </c>
      <c r="AD110" s="157">
        <v>1341.4649999999999</v>
      </c>
      <c r="AG110" s="3" t="s">
        <v>36</v>
      </c>
      <c r="AH110" s="168">
        <v>4.9280000000000001E-3</v>
      </c>
      <c r="AI110" s="168">
        <v>6.1134711069869901E-3</v>
      </c>
      <c r="AJ110" s="168">
        <v>1.1346000372690799E-3</v>
      </c>
    </row>
    <row r="111" spans="1:36">
      <c r="A111" s="3">
        <v>419</v>
      </c>
      <c r="B111" s="3">
        <v>419</v>
      </c>
      <c r="C111" s="3" t="s">
        <v>585</v>
      </c>
      <c r="D111" s="3" t="s">
        <v>586</v>
      </c>
      <c r="E111" s="5" t="s">
        <v>441</v>
      </c>
      <c r="F111" s="3" t="s">
        <v>587</v>
      </c>
      <c r="G111" s="3" t="s">
        <v>588</v>
      </c>
      <c r="H111" s="3" t="s">
        <v>135</v>
      </c>
      <c r="I111" s="3" t="s">
        <v>161</v>
      </c>
      <c r="J111" s="3" t="s">
        <v>30</v>
      </c>
      <c r="K111" s="3" t="s">
        <v>30</v>
      </c>
      <c r="L111" s="3" t="s">
        <v>137</v>
      </c>
      <c r="M111" s="3" t="s">
        <v>31</v>
      </c>
      <c r="N111" s="3" t="s">
        <v>357</v>
      </c>
      <c r="O111" s="3" t="s">
        <v>139</v>
      </c>
      <c r="P111" s="3" t="s">
        <v>540</v>
      </c>
      <c r="Q111" s="3" t="s">
        <v>141</v>
      </c>
      <c r="R111" s="3" t="s">
        <v>142</v>
      </c>
      <c r="S111" s="3" t="s">
        <v>34</v>
      </c>
      <c r="T111" s="157">
        <v>3.746</v>
      </c>
      <c r="U111" s="3" t="s">
        <v>589</v>
      </c>
      <c r="V111" s="168">
        <v>0.06</v>
      </c>
      <c r="W111" s="168">
        <v>5.5539999999999999E-2</v>
      </c>
      <c r="X111" s="5" t="s">
        <v>144</v>
      </c>
      <c r="Y111" s="5" t="s">
        <v>139</v>
      </c>
      <c r="Z111" s="157">
        <v>1370000</v>
      </c>
      <c r="AA111" s="166">
        <v>1</v>
      </c>
      <c r="AB111" s="176">
        <v>103.52</v>
      </c>
      <c r="AD111" s="157">
        <v>1418.2239999999999</v>
      </c>
      <c r="AG111" s="3" t="s">
        <v>36</v>
      </c>
      <c r="AH111" s="168">
        <v>1.3699999999999999E-3</v>
      </c>
      <c r="AI111" s="168">
        <v>6.46328418490872E-3</v>
      </c>
      <c r="AJ111" s="168">
        <v>1.1995218998740399E-3</v>
      </c>
    </row>
    <row r="112" spans="1:36">
      <c r="A112" s="3">
        <v>419</v>
      </c>
      <c r="B112" s="3">
        <v>419</v>
      </c>
      <c r="C112" s="3" t="s">
        <v>585</v>
      </c>
      <c r="D112" s="3" t="s">
        <v>586</v>
      </c>
      <c r="E112" s="5" t="s">
        <v>441</v>
      </c>
      <c r="F112" s="3" t="s">
        <v>590</v>
      </c>
      <c r="G112" s="3" t="s">
        <v>591</v>
      </c>
      <c r="H112" s="3" t="s">
        <v>135</v>
      </c>
      <c r="I112" s="3" t="s">
        <v>161</v>
      </c>
      <c r="J112" s="3" t="s">
        <v>30</v>
      </c>
      <c r="K112" s="3" t="s">
        <v>30</v>
      </c>
      <c r="L112" s="3" t="s">
        <v>137</v>
      </c>
      <c r="M112" s="3" t="s">
        <v>31</v>
      </c>
      <c r="N112" s="3" t="s">
        <v>357</v>
      </c>
      <c r="O112" s="3" t="s">
        <v>139</v>
      </c>
      <c r="P112" s="3" t="s">
        <v>351</v>
      </c>
      <c r="Q112" s="3" t="s">
        <v>141</v>
      </c>
      <c r="R112" s="3" t="s">
        <v>142</v>
      </c>
      <c r="S112" s="3" t="s">
        <v>34</v>
      </c>
      <c r="T112" s="157">
        <v>2.9580000000000002</v>
      </c>
      <c r="U112" s="3" t="s">
        <v>592</v>
      </c>
      <c r="V112" s="168">
        <v>6.7000000000000004E-2</v>
      </c>
      <c r="W112" s="168">
        <v>5.1299999999999998E-2</v>
      </c>
      <c r="X112" s="5" t="s">
        <v>144</v>
      </c>
      <c r="Y112" s="5" t="s">
        <v>139</v>
      </c>
      <c r="Z112" s="157">
        <v>546000</v>
      </c>
      <c r="AA112" s="166">
        <v>1</v>
      </c>
      <c r="AB112" s="176">
        <v>104.89</v>
      </c>
      <c r="AD112" s="157">
        <v>572.69899999999996</v>
      </c>
      <c r="AG112" s="3" t="s">
        <v>36</v>
      </c>
      <c r="AH112" s="168">
        <v>5.9999999999999995E-4</v>
      </c>
      <c r="AI112" s="168">
        <v>2.6099678010855199E-3</v>
      </c>
      <c r="AJ112" s="168">
        <v>4.8438432317089898E-4</v>
      </c>
    </row>
    <row r="113" spans="1:36">
      <c r="A113" s="3">
        <v>419</v>
      </c>
      <c r="B113" s="3">
        <v>419</v>
      </c>
      <c r="C113" s="3" t="s">
        <v>593</v>
      </c>
      <c r="D113" s="3" t="s">
        <v>594</v>
      </c>
      <c r="E113" s="5" t="s">
        <v>132</v>
      </c>
      <c r="F113" s="3" t="s">
        <v>595</v>
      </c>
      <c r="G113" s="3" t="s">
        <v>596</v>
      </c>
      <c r="H113" s="3" t="s">
        <v>135</v>
      </c>
      <c r="I113" s="3" t="s">
        <v>161</v>
      </c>
      <c r="J113" s="3" t="s">
        <v>30</v>
      </c>
      <c r="K113" s="3" t="s">
        <v>30</v>
      </c>
      <c r="L113" s="3" t="s">
        <v>137</v>
      </c>
      <c r="M113" s="3" t="s">
        <v>31</v>
      </c>
      <c r="N113" s="3" t="s">
        <v>597</v>
      </c>
      <c r="O113" s="3" t="s">
        <v>139</v>
      </c>
      <c r="P113" s="3" t="s">
        <v>67</v>
      </c>
      <c r="Q113" s="3" t="s">
        <v>67</v>
      </c>
      <c r="R113" s="3" t="s">
        <v>67</v>
      </c>
      <c r="S113" s="3" t="s">
        <v>34</v>
      </c>
      <c r="T113" s="157">
        <v>3.6760000000000002</v>
      </c>
      <c r="U113" s="3" t="s">
        <v>598</v>
      </c>
      <c r="V113" s="168">
        <v>5.8999999999999997E-2</v>
      </c>
      <c r="W113" s="168">
        <v>5.3530000000000001E-2</v>
      </c>
      <c r="X113" s="5" t="s">
        <v>144</v>
      </c>
      <c r="Y113" s="5" t="s">
        <v>139</v>
      </c>
      <c r="Z113" s="157">
        <v>1772000</v>
      </c>
      <c r="AA113" s="166">
        <v>1</v>
      </c>
      <c r="AB113" s="176">
        <v>102.31</v>
      </c>
      <c r="AD113" s="157">
        <v>1812.933</v>
      </c>
      <c r="AG113" s="3" t="s">
        <v>36</v>
      </c>
      <c r="AH113" s="168">
        <v>3.6440000000000001E-3</v>
      </c>
      <c r="AI113" s="168">
        <v>8.2620957478197806E-3</v>
      </c>
      <c r="AJ113" s="168">
        <v>1.5333636128063901E-3</v>
      </c>
    </row>
    <row r="114" spans="1:36">
      <c r="A114" s="3">
        <v>419</v>
      </c>
      <c r="B114" s="3">
        <v>419</v>
      </c>
      <c r="C114" s="3" t="s">
        <v>599</v>
      </c>
      <c r="D114" s="3" t="s">
        <v>600</v>
      </c>
      <c r="E114" s="5" t="s">
        <v>132</v>
      </c>
      <c r="F114" s="3" t="s">
        <v>601</v>
      </c>
      <c r="G114" s="3" t="s">
        <v>602</v>
      </c>
      <c r="H114" s="3" t="s">
        <v>135</v>
      </c>
      <c r="I114" s="3" t="s">
        <v>161</v>
      </c>
      <c r="J114" s="3" t="s">
        <v>30</v>
      </c>
      <c r="K114" s="3" t="s">
        <v>30</v>
      </c>
      <c r="L114" s="3" t="s">
        <v>137</v>
      </c>
      <c r="M114" s="3" t="s">
        <v>31</v>
      </c>
      <c r="N114" s="3" t="s">
        <v>241</v>
      </c>
      <c r="O114" s="3" t="s">
        <v>139</v>
      </c>
      <c r="P114" s="3" t="s">
        <v>229</v>
      </c>
      <c r="Q114" s="3" t="s">
        <v>172</v>
      </c>
      <c r="R114" s="3" t="s">
        <v>142</v>
      </c>
      <c r="S114" s="3" t="s">
        <v>34</v>
      </c>
      <c r="T114" s="157">
        <v>2.992</v>
      </c>
      <c r="U114" s="3" t="s">
        <v>589</v>
      </c>
      <c r="V114" s="168">
        <v>6.9500000000000006E-2</v>
      </c>
      <c r="W114" s="168">
        <v>5.3469999999999997E-2</v>
      </c>
      <c r="X114" s="5" t="s">
        <v>144</v>
      </c>
      <c r="Y114" s="5" t="s">
        <v>139</v>
      </c>
      <c r="Z114" s="157">
        <v>1520000</v>
      </c>
      <c r="AA114" s="166">
        <v>1</v>
      </c>
      <c r="AB114" s="176">
        <v>106.87</v>
      </c>
      <c r="AD114" s="157">
        <v>1624.424</v>
      </c>
      <c r="AG114" s="3" t="s">
        <v>36</v>
      </c>
      <c r="AH114" s="168">
        <v>1.8929999999999999E-3</v>
      </c>
      <c r="AI114" s="168">
        <v>7.4030011823140503E-3</v>
      </c>
      <c r="AJ114" s="168">
        <v>1.37392412107043E-3</v>
      </c>
    </row>
    <row r="115" spans="1:36">
      <c r="A115" s="3">
        <v>419</v>
      </c>
      <c r="B115" s="3">
        <v>419</v>
      </c>
      <c r="C115" s="3" t="s">
        <v>599</v>
      </c>
      <c r="D115" s="3" t="s">
        <v>600</v>
      </c>
      <c r="E115" s="5" t="s">
        <v>132</v>
      </c>
      <c r="F115" s="3" t="s">
        <v>603</v>
      </c>
      <c r="G115" s="3" t="s">
        <v>604</v>
      </c>
      <c r="H115" s="3" t="s">
        <v>135</v>
      </c>
      <c r="I115" s="3" t="s">
        <v>161</v>
      </c>
      <c r="J115" s="3" t="s">
        <v>30</v>
      </c>
      <c r="K115" s="3" t="s">
        <v>30</v>
      </c>
      <c r="L115" s="3" t="s">
        <v>137</v>
      </c>
      <c r="M115" s="3" t="s">
        <v>31</v>
      </c>
      <c r="N115" s="3" t="s">
        <v>241</v>
      </c>
      <c r="O115" s="3" t="s">
        <v>139</v>
      </c>
      <c r="P115" s="3" t="s">
        <v>229</v>
      </c>
      <c r="Q115" s="3" t="s">
        <v>172</v>
      </c>
      <c r="R115" s="3" t="s">
        <v>142</v>
      </c>
      <c r="S115" s="3" t="s">
        <v>34</v>
      </c>
      <c r="T115" s="157">
        <v>5.5030000000000001</v>
      </c>
      <c r="U115" s="3" t="s">
        <v>605</v>
      </c>
      <c r="V115" s="168">
        <v>6.6900000000000001E-2</v>
      </c>
      <c r="W115" s="168">
        <v>5.6550000000000003E-2</v>
      </c>
      <c r="X115" s="5" t="s">
        <v>144</v>
      </c>
      <c r="Y115" s="5" t="s">
        <v>139</v>
      </c>
      <c r="Z115" s="157">
        <v>914975</v>
      </c>
      <c r="AA115" s="166">
        <v>1</v>
      </c>
      <c r="AB115" s="176">
        <v>107.94</v>
      </c>
      <c r="AD115" s="157">
        <v>987.62400000000002</v>
      </c>
      <c r="AG115" s="3" t="s">
        <v>36</v>
      </c>
      <c r="AH115" s="168">
        <v>1.2099999999999999E-3</v>
      </c>
      <c r="AI115" s="168">
        <v>4.5009072451076496E-3</v>
      </c>
      <c r="AJ115" s="168">
        <v>8.3532406364158996E-4</v>
      </c>
    </row>
    <row r="116" spans="1:36">
      <c r="A116" s="3">
        <v>419</v>
      </c>
      <c r="B116" s="3">
        <v>419</v>
      </c>
      <c r="C116" s="3" t="s">
        <v>606</v>
      </c>
      <c r="D116" s="3" t="s">
        <v>607</v>
      </c>
      <c r="E116" s="5" t="s">
        <v>132</v>
      </c>
      <c r="F116" s="3" t="s">
        <v>608</v>
      </c>
      <c r="G116" s="3" t="s">
        <v>609</v>
      </c>
      <c r="H116" s="3" t="s">
        <v>135</v>
      </c>
      <c r="I116" s="3" t="s">
        <v>149</v>
      </c>
      <c r="J116" s="3" t="s">
        <v>30</v>
      </c>
      <c r="K116" s="3" t="s">
        <v>30</v>
      </c>
      <c r="L116" s="3" t="s">
        <v>137</v>
      </c>
      <c r="M116" s="3" t="s">
        <v>31</v>
      </c>
      <c r="N116" s="3" t="s">
        <v>204</v>
      </c>
      <c r="O116" s="3" t="s">
        <v>139</v>
      </c>
      <c r="P116" s="3" t="s">
        <v>310</v>
      </c>
      <c r="Q116" s="3" t="s">
        <v>141</v>
      </c>
      <c r="R116" s="3" t="s">
        <v>142</v>
      </c>
      <c r="S116" s="3" t="s">
        <v>34</v>
      </c>
      <c r="T116" s="157">
        <v>4.0590000000000002</v>
      </c>
      <c r="U116" s="3" t="s">
        <v>383</v>
      </c>
      <c r="V116" s="168">
        <v>1.6500000000000001E-2</v>
      </c>
      <c r="W116" s="168">
        <v>2.5270000000000001E-2</v>
      </c>
      <c r="X116" s="5" t="s">
        <v>144</v>
      </c>
      <c r="Y116" s="5" t="s">
        <v>139</v>
      </c>
      <c r="Z116" s="157">
        <v>985026</v>
      </c>
      <c r="AA116" s="166">
        <v>1</v>
      </c>
      <c r="AB116" s="176">
        <v>116.12</v>
      </c>
      <c r="AD116" s="157">
        <v>1143.8119999999999</v>
      </c>
      <c r="AG116" s="3" t="s">
        <v>36</v>
      </c>
      <c r="AH116" s="168">
        <v>4.66E-4</v>
      </c>
      <c r="AI116" s="168">
        <v>5.2127049365183102E-3</v>
      </c>
      <c r="AJ116" s="168">
        <v>9.67426705998006E-4</v>
      </c>
    </row>
    <row r="117" spans="1:36">
      <c r="A117" s="3">
        <v>419</v>
      </c>
      <c r="B117" s="3">
        <v>419</v>
      </c>
      <c r="C117" s="3" t="s">
        <v>606</v>
      </c>
      <c r="D117" s="3" t="s">
        <v>607</v>
      </c>
      <c r="E117" s="5" t="s">
        <v>132</v>
      </c>
      <c r="F117" s="3" t="s">
        <v>610</v>
      </c>
      <c r="G117" s="3" t="s">
        <v>611</v>
      </c>
      <c r="H117" s="3" t="s">
        <v>135</v>
      </c>
      <c r="I117" s="3" t="s">
        <v>149</v>
      </c>
      <c r="J117" s="3" t="s">
        <v>30</v>
      </c>
      <c r="K117" s="3" t="s">
        <v>30</v>
      </c>
      <c r="L117" s="3" t="s">
        <v>137</v>
      </c>
      <c r="M117" s="3" t="s">
        <v>31</v>
      </c>
      <c r="N117" s="3" t="s">
        <v>204</v>
      </c>
      <c r="O117" s="3" t="s">
        <v>139</v>
      </c>
      <c r="P117" s="3" t="s">
        <v>310</v>
      </c>
      <c r="Q117" s="3" t="s">
        <v>141</v>
      </c>
      <c r="R117" s="3" t="s">
        <v>142</v>
      </c>
      <c r="S117" s="3" t="s">
        <v>34</v>
      </c>
      <c r="T117" s="157">
        <v>0.745</v>
      </c>
      <c r="U117" s="3" t="s">
        <v>433</v>
      </c>
      <c r="V117" s="168">
        <v>8.3000000000000001E-3</v>
      </c>
      <c r="W117" s="168">
        <v>3.8989999999999997E-2</v>
      </c>
      <c r="X117" s="5" t="s">
        <v>144</v>
      </c>
      <c r="Y117" s="5" t="s">
        <v>139</v>
      </c>
      <c r="Z117" s="157">
        <v>0.96</v>
      </c>
      <c r="AA117" s="166">
        <v>1</v>
      </c>
      <c r="AB117" s="176">
        <v>117.3</v>
      </c>
      <c r="AD117" s="157">
        <v>1E-3</v>
      </c>
      <c r="AG117" s="3" t="s">
        <v>36</v>
      </c>
      <c r="AH117" s="168">
        <v>0</v>
      </c>
      <c r="AI117" s="168">
        <v>5.1318938721541998E-9</v>
      </c>
      <c r="AJ117" s="168">
        <v>9.5242896820965002E-10</v>
      </c>
    </row>
    <row r="118" spans="1:36">
      <c r="A118" s="3">
        <v>419</v>
      </c>
      <c r="B118" s="3">
        <v>419</v>
      </c>
      <c r="C118" s="3" t="s">
        <v>612</v>
      </c>
      <c r="D118" s="3" t="s">
        <v>613</v>
      </c>
      <c r="E118" s="5" t="s">
        <v>165</v>
      </c>
      <c r="F118" s="3" t="s">
        <v>614</v>
      </c>
      <c r="G118" s="3" t="s">
        <v>615</v>
      </c>
      <c r="H118" s="3" t="s">
        <v>135</v>
      </c>
      <c r="I118" s="3" t="s">
        <v>161</v>
      </c>
      <c r="J118" s="3" t="s">
        <v>30</v>
      </c>
      <c r="K118" s="3" t="s">
        <v>30</v>
      </c>
      <c r="L118" s="3" t="s">
        <v>137</v>
      </c>
      <c r="M118" s="3" t="s">
        <v>31</v>
      </c>
      <c r="N118" s="3" t="s">
        <v>170</v>
      </c>
      <c r="O118" s="3" t="s">
        <v>139</v>
      </c>
      <c r="P118" s="3" t="s">
        <v>198</v>
      </c>
      <c r="Q118" s="3" t="s">
        <v>141</v>
      </c>
      <c r="R118" s="3" t="s">
        <v>142</v>
      </c>
      <c r="S118" s="3" t="s">
        <v>34</v>
      </c>
      <c r="T118" s="157">
        <v>3.2290000000000001</v>
      </c>
      <c r="U118" s="3" t="s">
        <v>616</v>
      </c>
      <c r="V118" s="168">
        <v>6.25E-2</v>
      </c>
      <c r="W118" s="168">
        <v>5.2150000000000002E-2</v>
      </c>
      <c r="X118" s="5" t="s">
        <v>144</v>
      </c>
      <c r="Y118" s="5" t="s">
        <v>139</v>
      </c>
      <c r="Z118" s="157">
        <v>1203271</v>
      </c>
      <c r="AA118" s="166">
        <v>1</v>
      </c>
      <c r="AB118" s="176">
        <v>106.47</v>
      </c>
      <c r="AD118" s="157">
        <v>1281.123</v>
      </c>
      <c r="AG118" s="3" t="s">
        <v>36</v>
      </c>
      <c r="AH118" s="168">
        <v>2.1879999999999998E-3</v>
      </c>
      <c r="AI118" s="168">
        <v>5.8384709730774703E-3</v>
      </c>
      <c r="AJ118" s="168">
        <v>1.08356272037948E-3</v>
      </c>
    </row>
    <row r="119" spans="1:36">
      <c r="A119" s="3">
        <v>419</v>
      </c>
      <c r="B119" s="3">
        <v>419</v>
      </c>
      <c r="C119" s="3" t="s">
        <v>612</v>
      </c>
      <c r="D119" s="3" t="s">
        <v>613</v>
      </c>
      <c r="E119" s="5" t="s">
        <v>165</v>
      </c>
      <c r="F119" s="3" t="s">
        <v>617</v>
      </c>
      <c r="G119" s="3" t="s">
        <v>618</v>
      </c>
      <c r="H119" s="3" t="s">
        <v>135</v>
      </c>
      <c r="I119" s="3" t="s">
        <v>161</v>
      </c>
      <c r="J119" s="3" t="s">
        <v>30</v>
      </c>
      <c r="K119" s="3" t="s">
        <v>30</v>
      </c>
      <c r="L119" s="3" t="s">
        <v>137</v>
      </c>
      <c r="M119" s="3" t="s">
        <v>31</v>
      </c>
      <c r="N119" s="3" t="s">
        <v>170</v>
      </c>
      <c r="O119" s="3" t="s">
        <v>139</v>
      </c>
      <c r="P119" s="3" t="s">
        <v>151</v>
      </c>
      <c r="Q119" s="3" t="s">
        <v>141</v>
      </c>
      <c r="R119" s="3" t="s">
        <v>142</v>
      </c>
      <c r="S119" s="3" t="s">
        <v>34</v>
      </c>
      <c r="T119" s="157">
        <v>5.82</v>
      </c>
      <c r="U119" s="3" t="s">
        <v>619</v>
      </c>
      <c r="V119" s="168">
        <v>6.5000000000000002E-2</v>
      </c>
      <c r="W119" s="168">
        <v>5.9089999999999997E-2</v>
      </c>
      <c r="X119" s="5" t="s">
        <v>144</v>
      </c>
      <c r="Y119" s="5" t="s">
        <v>139</v>
      </c>
      <c r="Z119" s="157">
        <v>1161240</v>
      </c>
      <c r="AA119" s="166">
        <v>1</v>
      </c>
      <c r="AB119" s="176">
        <v>106.8</v>
      </c>
      <c r="AD119" s="157">
        <v>1240.204</v>
      </c>
      <c r="AG119" s="3" t="s">
        <v>36</v>
      </c>
      <c r="AH119" s="168">
        <v>1.934E-3</v>
      </c>
      <c r="AI119" s="168">
        <v>5.6519935972818604E-3</v>
      </c>
      <c r="AJ119" s="168">
        <v>1.04895435570008E-3</v>
      </c>
    </row>
    <row r="120" spans="1:36">
      <c r="A120" s="3">
        <v>419</v>
      </c>
      <c r="B120" s="3">
        <v>419</v>
      </c>
      <c r="C120" s="3" t="s">
        <v>612</v>
      </c>
      <c r="D120" s="3" t="s">
        <v>613</v>
      </c>
      <c r="E120" s="5" t="s">
        <v>165</v>
      </c>
      <c r="F120" s="3" t="s">
        <v>620</v>
      </c>
      <c r="G120" s="3" t="s">
        <v>621</v>
      </c>
      <c r="H120" s="3" t="s">
        <v>135</v>
      </c>
      <c r="I120" s="3" t="s">
        <v>161</v>
      </c>
      <c r="J120" s="3" t="s">
        <v>30</v>
      </c>
      <c r="K120" s="3" t="s">
        <v>30</v>
      </c>
      <c r="L120" s="3" t="s">
        <v>137</v>
      </c>
      <c r="M120" s="3" t="s">
        <v>240</v>
      </c>
      <c r="N120" s="3" t="s">
        <v>170</v>
      </c>
      <c r="O120" s="3" t="s">
        <v>139</v>
      </c>
      <c r="P120" s="3" t="s">
        <v>151</v>
      </c>
      <c r="Q120" s="3" t="s">
        <v>141</v>
      </c>
      <c r="R120" s="3" t="s">
        <v>142</v>
      </c>
      <c r="S120" s="3" t="s">
        <v>34</v>
      </c>
      <c r="T120" s="157">
        <v>4.1349999999999998</v>
      </c>
      <c r="U120" s="3" t="s">
        <v>589</v>
      </c>
      <c r="V120" s="168">
        <v>2.9000000000000001E-2</v>
      </c>
      <c r="W120" s="168">
        <v>5.738E-2</v>
      </c>
      <c r="X120" s="5" t="s">
        <v>144</v>
      </c>
      <c r="Y120" s="5" t="s">
        <v>139</v>
      </c>
      <c r="Z120" s="157">
        <v>1695000</v>
      </c>
      <c r="AA120" s="166">
        <v>1</v>
      </c>
      <c r="AB120" s="176">
        <v>102.45</v>
      </c>
      <c r="AD120" s="157">
        <v>1736.527</v>
      </c>
      <c r="AG120" s="3" t="s">
        <v>36</v>
      </c>
      <c r="AH120" s="168">
        <v>4.8430000000000001E-3</v>
      </c>
      <c r="AI120" s="168">
        <v>7.9138914074286405E-3</v>
      </c>
      <c r="AJ120" s="168">
        <v>1.46874031604565E-3</v>
      </c>
    </row>
    <row r="121" spans="1:36">
      <c r="A121" s="3">
        <v>419</v>
      </c>
      <c r="B121" s="3">
        <v>419</v>
      </c>
      <c r="C121" s="3" t="s">
        <v>622</v>
      </c>
      <c r="D121" s="3" t="s">
        <v>623</v>
      </c>
      <c r="E121" s="5" t="s">
        <v>165</v>
      </c>
      <c r="F121" s="3" t="s">
        <v>624</v>
      </c>
      <c r="G121" s="3" t="s">
        <v>625</v>
      </c>
      <c r="H121" s="3" t="s">
        <v>135</v>
      </c>
      <c r="I121" s="3" t="s">
        <v>161</v>
      </c>
      <c r="J121" s="3" t="s">
        <v>30</v>
      </c>
      <c r="K121" s="3" t="s">
        <v>168</v>
      </c>
      <c r="L121" s="3" t="s">
        <v>137</v>
      </c>
      <c r="M121" s="3" t="s">
        <v>31</v>
      </c>
      <c r="N121" s="3" t="s">
        <v>170</v>
      </c>
      <c r="O121" s="3" t="s">
        <v>139</v>
      </c>
      <c r="P121" s="3" t="s">
        <v>198</v>
      </c>
      <c r="Q121" s="3" t="s">
        <v>141</v>
      </c>
      <c r="R121" s="3" t="s">
        <v>142</v>
      </c>
      <c r="S121" s="3" t="s">
        <v>34</v>
      </c>
      <c r="T121" s="157">
        <v>1.1879999999999999</v>
      </c>
      <c r="U121" s="3" t="s">
        <v>370</v>
      </c>
      <c r="V121" s="168">
        <v>3.49E-2</v>
      </c>
      <c r="W121" s="168">
        <v>5.4760000000000003E-2</v>
      </c>
      <c r="X121" s="5" t="s">
        <v>144</v>
      </c>
      <c r="Y121" s="5" t="s">
        <v>139</v>
      </c>
      <c r="Z121" s="157">
        <v>1408858</v>
      </c>
      <c r="AA121" s="166">
        <v>1</v>
      </c>
      <c r="AB121" s="176">
        <v>98.69</v>
      </c>
      <c r="AD121" s="157">
        <v>1390.402</v>
      </c>
      <c r="AG121" s="3" t="s">
        <v>36</v>
      </c>
      <c r="AH121" s="168">
        <v>1.49E-3</v>
      </c>
      <c r="AI121" s="168">
        <v>6.3364905685045101E-3</v>
      </c>
      <c r="AJ121" s="168">
        <v>1.17599025322354E-3</v>
      </c>
    </row>
    <row r="122" spans="1:36">
      <c r="A122" s="3">
        <v>419</v>
      </c>
      <c r="B122" s="3">
        <v>419</v>
      </c>
      <c r="C122" s="3" t="s">
        <v>622</v>
      </c>
      <c r="D122" s="3" t="s">
        <v>623</v>
      </c>
      <c r="E122" s="5" t="s">
        <v>165</v>
      </c>
      <c r="F122" s="3" t="s">
        <v>626</v>
      </c>
      <c r="G122" s="3" t="s">
        <v>627</v>
      </c>
      <c r="H122" s="3" t="s">
        <v>135</v>
      </c>
      <c r="I122" s="3" t="s">
        <v>161</v>
      </c>
      <c r="J122" s="3" t="s">
        <v>30</v>
      </c>
      <c r="K122" s="3" t="s">
        <v>168</v>
      </c>
      <c r="L122" s="3" t="s">
        <v>137</v>
      </c>
      <c r="M122" s="3" t="s">
        <v>31</v>
      </c>
      <c r="N122" s="3" t="s">
        <v>170</v>
      </c>
      <c r="O122" s="3" t="s">
        <v>139</v>
      </c>
      <c r="P122" s="3" t="s">
        <v>198</v>
      </c>
      <c r="Q122" s="3" t="s">
        <v>141</v>
      </c>
      <c r="R122" s="3" t="s">
        <v>142</v>
      </c>
      <c r="S122" s="3" t="s">
        <v>34</v>
      </c>
      <c r="T122" s="157">
        <v>3.6960000000000002</v>
      </c>
      <c r="U122" s="3" t="s">
        <v>628</v>
      </c>
      <c r="V122" s="168">
        <v>6.7400000000000002E-2</v>
      </c>
      <c r="W122" s="168">
        <v>5.6890000000000003E-2</v>
      </c>
      <c r="X122" s="5" t="s">
        <v>144</v>
      </c>
      <c r="Y122" s="5" t="s">
        <v>139</v>
      </c>
      <c r="Z122" s="157">
        <v>1621000</v>
      </c>
      <c r="AA122" s="166">
        <v>1</v>
      </c>
      <c r="AB122" s="176">
        <v>105.95</v>
      </c>
      <c r="AD122" s="157">
        <v>1717.4490000000001</v>
      </c>
      <c r="AG122" s="3" t="s">
        <v>36</v>
      </c>
      <c r="AH122" s="168">
        <v>5.6880000000000003E-3</v>
      </c>
      <c r="AI122" s="168">
        <v>7.8269470772807295E-3</v>
      </c>
      <c r="AJ122" s="168">
        <v>1.45260430452293E-3</v>
      </c>
    </row>
    <row r="123" spans="1:36">
      <c r="A123" s="3">
        <v>419</v>
      </c>
      <c r="B123" s="3">
        <v>419</v>
      </c>
      <c r="C123" s="3" t="s">
        <v>629</v>
      </c>
      <c r="D123" s="3" t="s">
        <v>630</v>
      </c>
      <c r="E123" s="5" t="s">
        <v>132</v>
      </c>
      <c r="F123" s="3" t="s">
        <v>631</v>
      </c>
      <c r="G123" s="3" t="s">
        <v>632</v>
      </c>
      <c r="H123" s="3" t="s">
        <v>135</v>
      </c>
      <c r="I123" s="3" t="s">
        <v>161</v>
      </c>
      <c r="J123" s="3" t="s">
        <v>30</v>
      </c>
      <c r="K123" s="3" t="s">
        <v>30</v>
      </c>
      <c r="L123" s="3" t="s">
        <v>137</v>
      </c>
      <c r="M123" s="3" t="s">
        <v>31</v>
      </c>
      <c r="N123" s="3" t="s">
        <v>633</v>
      </c>
      <c r="O123" s="3" t="s">
        <v>139</v>
      </c>
      <c r="P123" s="3" t="s">
        <v>151</v>
      </c>
      <c r="Q123" s="3" t="s">
        <v>141</v>
      </c>
      <c r="R123" s="3" t="s">
        <v>142</v>
      </c>
      <c r="S123" s="3" t="s">
        <v>34</v>
      </c>
      <c r="T123" s="157">
        <v>2.5470000000000002</v>
      </c>
      <c r="U123" s="3" t="s">
        <v>634</v>
      </c>
      <c r="V123" s="168">
        <v>4.7300000000000002E-2</v>
      </c>
      <c r="W123" s="168">
        <v>4.7289999999999999E-2</v>
      </c>
      <c r="X123" s="5" t="s">
        <v>144</v>
      </c>
      <c r="Y123" s="5" t="s">
        <v>139</v>
      </c>
      <c r="Z123" s="157">
        <v>1710000</v>
      </c>
      <c r="AA123" s="166">
        <v>1</v>
      </c>
      <c r="AB123" s="176">
        <v>101.31</v>
      </c>
      <c r="AD123" s="157">
        <v>1732.4010000000001</v>
      </c>
      <c r="AG123" s="3" t="s">
        <v>36</v>
      </c>
      <c r="AH123" s="168">
        <v>3.637E-3</v>
      </c>
      <c r="AI123" s="168">
        <v>7.8950856742094708E-3</v>
      </c>
      <c r="AJ123" s="168">
        <v>1.4652501571428E-3</v>
      </c>
    </row>
    <row r="124" spans="1:36">
      <c r="A124" s="3">
        <v>419</v>
      </c>
      <c r="B124" s="3">
        <v>419</v>
      </c>
      <c r="C124" s="3" t="s">
        <v>635</v>
      </c>
      <c r="D124" s="3" t="s">
        <v>636</v>
      </c>
      <c r="E124" s="5" t="s">
        <v>132</v>
      </c>
      <c r="F124" s="3" t="s">
        <v>637</v>
      </c>
      <c r="G124" s="3" t="s">
        <v>638</v>
      </c>
      <c r="H124" s="3" t="s">
        <v>135</v>
      </c>
      <c r="I124" s="3" t="s">
        <v>149</v>
      </c>
      <c r="J124" s="3" t="s">
        <v>30</v>
      </c>
      <c r="K124" s="3" t="s">
        <v>30</v>
      </c>
      <c r="L124" s="3" t="s">
        <v>137</v>
      </c>
      <c r="M124" s="3" t="s">
        <v>31</v>
      </c>
      <c r="N124" s="3" t="s">
        <v>204</v>
      </c>
      <c r="O124" s="3" t="s">
        <v>139</v>
      </c>
      <c r="P124" s="3" t="s">
        <v>639</v>
      </c>
      <c r="Q124" s="3" t="s">
        <v>172</v>
      </c>
      <c r="R124" s="3" t="s">
        <v>142</v>
      </c>
      <c r="S124" s="3" t="s">
        <v>34</v>
      </c>
      <c r="T124" s="157">
        <v>1.6930000000000001</v>
      </c>
      <c r="U124" s="3" t="s">
        <v>405</v>
      </c>
      <c r="V124" s="168">
        <v>1.77E-2</v>
      </c>
      <c r="W124" s="168">
        <v>2.93E-2</v>
      </c>
      <c r="X124" s="5" t="s">
        <v>144</v>
      </c>
      <c r="Y124" s="5" t="s">
        <v>139</v>
      </c>
      <c r="Z124" s="157">
        <v>145500</v>
      </c>
      <c r="AA124" s="166">
        <v>1</v>
      </c>
      <c r="AB124" s="176">
        <v>116.94</v>
      </c>
      <c r="AD124" s="157">
        <v>170.148</v>
      </c>
      <c r="AG124" s="3" t="s">
        <v>36</v>
      </c>
      <c r="AH124" s="168">
        <v>6.0000000000000002E-5</v>
      </c>
      <c r="AI124" s="168">
        <v>7.7541554684492199E-4</v>
      </c>
      <c r="AJ124" s="168">
        <v>1.4390948987127501E-4</v>
      </c>
    </row>
    <row r="125" spans="1:36">
      <c r="A125" s="3">
        <v>419</v>
      </c>
      <c r="B125" s="3">
        <v>419</v>
      </c>
      <c r="C125" s="3" t="s">
        <v>635</v>
      </c>
      <c r="D125" s="3" t="s">
        <v>636</v>
      </c>
      <c r="E125" s="5" t="s">
        <v>132</v>
      </c>
      <c r="F125" s="3" t="s">
        <v>640</v>
      </c>
      <c r="G125" s="3" t="s">
        <v>641</v>
      </c>
      <c r="H125" s="3" t="s">
        <v>135</v>
      </c>
      <c r="I125" s="3" t="s">
        <v>149</v>
      </c>
      <c r="J125" s="3" t="s">
        <v>30</v>
      </c>
      <c r="K125" s="3" t="s">
        <v>30</v>
      </c>
      <c r="L125" s="3" t="s">
        <v>137</v>
      </c>
      <c r="M125" s="3" t="s">
        <v>31</v>
      </c>
      <c r="N125" s="3" t="s">
        <v>204</v>
      </c>
      <c r="O125" s="3" t="s">
        <v>139</v>
      </c>
      <c r="P125" s="3" t="s">
        <v>642</v>
      </c>
      <c r="Q125" s="3" t="s">
        <v>141</v>
      </c>
      <c r="R125" s="3" t="s">
        <v>142</v>
      </c>
      <c r="S125" s="3" t="s">
        <v>34</v>
      </c>
      <c r="T125" s="157">
        <v>6.157</v>
      </c>
      <c r="U125" s="3" t="s">
        <v>643</v>
      </c>
      <c r="V125" s="168">
        <v>8.9999999999999993E-3</v>
      </c>
      <c r="W125" s="168">
        <v>2.7810000000000001E-2</v>
      </c>
      <c r="X125" s="5" t="s">
        <v>144</v>
      </c>
      <c r="Y125" s="5" t="s">
        <v>139</v>
      </c>
      <c r="Z125" s="157">
        <v>2253061.14</v>
      </c>
      <c r="AA125" s="166">
        <v>1</v>
      </c>
      <c r="AB125" s="176">
        <v>104.46</v>
      </c>
      <c r="AD125" s="157">
        <v>2353.5479999999998</v>
      </c>
      <c r="AG125" s="3" t="s">
        <v>36</v>
      </c>
      <c r="AH125" s="168">
        <v>8.3600000000000005E-4</v>
      </c>
      <c r="AI125" s="168">
        <v>1.07258426126914E-2</v>
      </c>
      <c r="AJ125" s="168">
        <v>1.9906107700735799E-3</v>
      </c>
    </row>
    <row r="126" spans="1:36">
      <c r="A126" s="3">
        <v>419</v>
      </c>
      <c r="B126" s="3">
        <v>419</v>
      </c>
      <c r="C126" s="3" t="s">
        <v>635</v>
      </c>
      <c r="D126" s="3" t="s">
        <v>636</v>
      </c>
      <c r="E126" s="5" t="s">
        <v>132</v>
      </c>
      <c r="F126" s="3" t="s">
        <v>644</v>
      </c>
      <c r="G126" s="3" t="s">
        <v>645</v>
      </c>
      <c r="H126" s="3" t="s">
        <v>135</v>
      </c>
      <c r="I126" s="3" t="s">
        <v>149</v>
      </c>
      <c r="J126" s="3" t="s">
        <v>30</v>
      </c>
      <c r="K126" s="3" t="s">
        <v>30</v>
      </c>
      <c r="L126" s="3" t="s">
        <v>137</v>
      </c>
      <c r="M126" s="3" t="s">
        <v>31</v>
      </c>
      <c r="N126" s="3" t="s">
        <v>204</v>
      </c>
      <c r="O126" s="3" t="s">
        <v>139</v>
      </c>
      <c r="P126" s="3" t="s">
        <v>639</v>
      </c>
      <c r="Q126" s="3" t="s">
        <v>172</v>
      </c>
      <c r="R126" s="3" t="s">
        <v>142</v>
      </c>
      <c r="S126" s="3" t="s">
        <v>34</v>
      </c>
      <c r="T126" s="157">
        <v>11.696</v>
      </c>
      <c r="U126" s="3" t="s">
        <v>646</v>
      </c>
      <c r="V126" s="168">
        <v>3.6700000000000003E-2</v>
      </c>
      <c r="W126" s="168">
        <v>3.0839999999999999E-2</v>
      </c>
      <c r="X126" s="5" t="s">
        <v>144</v>
      </c>
      <c r="Y126" s="5" t="s">
        <v>139</v>
      </c>
      <c r="Z126" s="157">
        <v>1750000</v>
      </c>
      <c r="AA126" s="166">
        <v>1</v>
      </c>
      <c r="AB126" s="176">
        <v>112.94</v>
      </c>
      <c r="AD126" s="157">
        <v>1976.45</v>
      </c>
      <c r="AG126" s="3" t="s">
        <v>36</v>
      </c>
      <c r="AH126" s="168">
        <v>3.4299999999999999E-4</v>
      </c>
      <c r="AI126" s="168">
        <v>9.0072922382238903E-3</v>
      </c>
      <c r="AJ126" s="168">
        <v>1.6716647433734401E-3</v>
      </c>
    </row>
    <row r="127" spans="1:36">
      <c r="A127" s="3">
        <v>419</v>
      </c>
      <c r="B127" s="3">
        <v>419</v>
      </c>
      <c r="C127" s="3" t="s">
        <v>647</v>
      </c>
      <c r="D127" s="3" t="s">
        <v>648</v>
      </c>
      <c r="E127" s="5" t="s">
        <v>132</v>
      </c>
      <c r="F127" s="3" t="s">
        <v>649</v>
      </c>
      <c r="G127" s="3" t="s">
        <v>650</v>
      </c>
      <c r="H127" s="3" t="s">
        <v>135</v>
      </c>
      <c r="I127" s="3" t="s">
        <v>149</v>
      </c>
      <c r="J127" s="3" t="s">
        <v>30</v>
      </c>
      <c r="K127" s="3" t="s">
        <v>30</v>
      </c>
      <c r="L127" s="3" t="s">
        <v>137</v>
      </c>
      <c r="M127" s="3" t="s">
        <v>31</v>
      </c>
      <c r="N127" s="3" t="s">
        <v>309</v>
      </c>
      <c r="O127" s="3" t="s">
        <v>139</v>
      </c>
      <c r="P127" s="3" t="s">
        <v>310</v>
      </c>
      <c r="Q127" s="3" t="s">
        <v>141</v>
      </c>
      <c r="R127" s="3" t="s">
        <v>142</v>
      </c>
      <c r="S127" s="3" t="s">
        <v>34</v>
      </c>
      <c r="T127" s="157">
        <v>3.073</v>
      </c>
      <c r="U127" s="3" t="s">
        <v>651</v>
      </c>
      <c r="V127" s="168">
        <v>1E-3</v>
      </c>
      <c r="W127" s="168">
        <v>2.538E-2</v>
      </c>
      <c r="X127" s="5" t="s">
        <v>144</v>
      </c>
      <c r="Y127" s="5" t="s">
        <v>139</v>
      </c>
      <c r="Z127" s="157">
        <v>910000.01</v>
      </c>
      <c r="AA127" s="166">
        <v>1</v>
      </c>
      <c r="AB127" s="176">
        <v>107.45</v>
      </c>
      <c r="AD127" s="157">
        <v>977.79499999999996</v>
      </c>
      <c r="AG127" s="3" t="s">
        <v>36</v>
      </c>
      <c r="AH127" s="168">
        <v>9.2500000000000004E-4</v>
      </c>
      <c r="AI127" s="168">
        <v>4.4561134411988598E-3</v>
      </c>
      <c r="AJ127" s="168">
        <v>8.2701077472684299E-4</v>
      </c>
    </row>
    <row r="128" spans="1:36">
      <c r="A128" s="3">
        <v>419</v>
      </c>
      <c r="B128" s="3">
        <v>419</v>
      </c>
      <c r="C128" s="3" t="s">
        <v>647</v>
      </c>
      <c r="D128" s="3" t="s">
        <v>648</v>
      </c>
      <c r="E128" s="5" t="s">
        <v>132</v>
      </c>
      <c r="F128" s="3" t="s">
        <v>652</v>
      </c>
      <c r="G128" s="3" t="s">
        <v>653</v>
      </c>
      <c r="H128" s="3" t="s">
        <v>135</v>
      </c>
      <c r="I128" s="3" t="s">
        <v>149</v>
      </c>
      <c r="J128" s="3" t="s">
        <v>30</v>
      </c>
      <c r="K128" s="3" t="s">
        <v>30</v>
      </c>
      <c r="L128" s="3" t="s">
        <v>137</v>
      </c>
      <c r="M128" s="3" t="s">
        <v>31</v>
      </c>
      <c r="N128" s="3" t="s">
        <v>309</v>
      </c>
      <c r="O128" s="3" t="s">
        <v>139</v>
      </c>
      <c r="P128" s="3" t="s">
        <v>310</v>
      </c>
      <c r="Q128" s="3" t="s">
        <v>141</v>
      </c>
      <c r="R128" s="3" t="s">
        <v>142</v>
      </c>
      <c r="S128" s="3" t="s">
        <v>34</v>
      </c>
      <c r="T128" s="157">
        <v>1.542</v>
      </c>
      <c r="U128" s="3" t="s">
        <v>654</v>
      </c>
      <c r="V128" s="168">
        <v>6.0000000000000001E-3</v>
      </c>
      <c r="W128" s="168">
        <v>2.7130000000000001E-2</v>
      </c>
      <c r="X128" s="5" t="s">
        <v>144</v>
      </c>
      <c r="Y128" s="5" t="s">
        <v>139</v>
      </c>
      <c r="Z128" s="157">
        <v>534150.04</v>
      </c>
      <c r="AA128" s="166">
        <v>1</v>
      </c>
      <c r="AB128" s="176">
        <v>116.21</v>
      </c>
      <c r="AD128" s="157">
        <v>620.73599999999999</v>
      </c>
      <c r="AG128" s="3" t="s">
        <v>36</v>
      </c>
      <c r="AH128" s="168">
        <v>8.0099999999999995E-4</v>
      </c>
      <c r="AI128" s="168">
        <v>2.8288843160225799E-3</v>
      </c>
      <c r="AJ128" s="168">
        <v>5.2501307264229697E-4</v>
      </c>
    </row>
    <row r="129" spans="1:36">
      <c r="A129" s="3">
        <v>419</v>
      </c>
      <c r="B129" s="3">
        <v>419</v>
      </c>
      <c r="C129" s="3" t="s">
        <v>647</v>
      </c>
      <c r="D129" s="3" t="s">
        <v>648</v>
      </c>
      <c r="E129" s="5" t="s">
        <v>132</v>
      </c>
      <c r="F129" s="3" t="s">
        <v>655</v>
      </c>
      <c r="G129" s="3" t="s">
        <v>656</v>
      </c>
      <c r="H129" s="3" t="s">
        <v>135</v>
      </c>
      <c r="I129" s="3" t="s">
        <v>149</v>
      </c>
      <c r="J129" s="3" t="s">
        <v>30</v>
      </c>
      <c r="K129" s="3" t="s">
        <v>30</v>
      </c>
      <c r="L129" s="3" t="s">
        <v>137</v>
      </c>
      <c r="M129" s="3" t="s">
        <v>31</v>
      </c>
      <c r="N129" s="3" t="s">
        <v>309</v>
      </c>
      <c r="O129" s="3" t="s">
        <v>139</v>
      </c>
      <c r="P129" s="3" t="s">
        <v>310</v>
      </c>
      <c r="Q129" s="3" t="s">
        <v>141</v>
      </c>
      <c r="R129" s="3" t="s">
        <v>142</v>
      </c>
      <c r="S129" s="3" t="s">
        <v>34</v>
      </c>
      <c r="T129" s="157">
        <v>2.5369999999999999</v>
      </c>
      <c r="U129" s="3" t="s">
        <v>657</v>
      </c>
      <c r="V129" s="168">
        <v>1.7500000000000002E-2</v>
      </c>
      <c r="W129" s="168">
        <v>2.5860000000000001E-2</v>
      </c>
      <c r="X129" s="5" t="s">
        <v>144</v>
      </c>
      <c r="Y129" s="5" t="s">
        <v>139</v>
      </c>
      <c r="Z129" s="157">
        <v>2585185.77</v>
      </c>
      <c r="AA129" s="166">
        <v>1</v>
      </c>
      <c r="AB129" s="176">
        <v>117.2</v>
      </c>
      <c r="AD129" s="157">
        <v>3029.8380000000002</v>
      </c>
      <c r="AG129" s="3" t="s">
        <v>36</v>
      </c>
      <c r="AH129" s="168">
        <v>1.16E-3</v>
      </c>
      <c r="AI129" s="168">
        <v>1.3807904981361399E-2</v>
      </c>
      <c r="AJ129" s="168">
        <v>2.5626111962082699E-3</v>
      </c>
    </row>
    <row r="130" spans="1:36">
      <c r="A130" s="3">
        <v>419</v>
      </c>
      <c r="B130" s="3">
        <v>419</v>
      </c>
      <c r="C130" s="3" t="s">
        <v>647</v>
      </c>
      <c r="D130" s="3" t="s">
        <v>648</v>
      </c>
      <c r="E130" s="5" t="s">
        <v>132</v>
      </c>
      <c r="F130" s="3" t="s">
        <v>658</v>
      </c>
      <c r="G130" s="3" t="s">
        <v>659</v>
      </c>
      <c r="H130" s="3" t="s">
        <v>135</v>
      </c>
      <c r="I130" s="3" t="s">
        <v>149</v>
      </c>
      <c r="J130" s="3" t="s">
        <v>30</v>
      </c>
      <c r="K130" s="3" t="s">
        <v>30</v>
      </c>
      <c r="L130" s="3" t="s">
        <v>137</v>
      </c>
      <c r="M130" s="3" t="s">
        <v>31</v>
      </c>
      <c r="N130" s="3" t="s">
        <v>309</v>
      </c>
      <c r="O130" s="3" t="s">
        <v>139</v>
      </c>
      <c r="P130" s="3" t="s">
        <v>151</v>
      </c>
      <c r="Q130" s="3" t="s">
        <v>141</v>
      </c>
      <c r="R130" s="3" t="s">
        <v>142</v>
      </c>
      <c r="S130" s="3" t="s">
        <v>34</v>
      </c>
      <c r="T130" s="157">
        <v>10.029</v>
      </c>
      <c r="U130" s="3" t="s">
        <v>660</v>
      </c>
      <c r="V130" s="168">
        <v>3.1899999999999998E-2</v>
      </c>
      <c r="W130" s="168">
        <v>3.2599999999999997E-2</v>
      </c>
      <c r="X130" s="5" t="s">
        <v>144</v>
      </c>
      <c r="Y130" s="5" t="s">
        <v>139</v>
      </c>
      <c r="Z130" s="157">
        <v>1400000</v>
      </c>
      <c r="AA130" s="166">
        <v>1</v>
      </c>
      <c r="AB130" s="176">
        <v>100.37</v>
      </c>
      <c r="AD130" s="157">
        <v>1405.18</v>
      </c>
      <c r="AG130" s="3" t="s">
        <v>36</v>
      </c>
      <c r="AH130" s="168">
        <v>1.4760000000000001E-3</v>
      </c>
      <c r="AI130" s="168">
        <v>6.4038386538022504E-3</v>
      </c>
      <c r="AJ130" s="168">
        <v>1.1884893946689701E-3</v>
      </c>
    </row>
    <row r="131" spans="1:36">
      <c r="A131" s="3">
        <v>419</v>
      </c>
      <c r="B131" s="3">
        <v>419</v>
      </c>
      <c r="C131" s="3" t="s">
        <v>647</v>
      </c>
      <c r="D131" s="3" t="s">
        <v>648</v>
      </c>
      <c r="E131" s="5" t="s">
        <v>132</v>
      </c>
      <c r="F131" s="3" t="s">
        <v>661</v>
      </c>
      <c r="G131" s="3" t="s">
        <v>662</v>
      </c>
      <c r="H131" s="3" t="s">
        <v>135</v>
      </c>
      <c r="I131" s="3" t="s">
        <v>149</v>
      </c>
      <c r="J131" s="3" t="s">
        <v>30</v>
      </c>
      <c r="K131" s="3" t="s">
        <v>30</v>
      </c>
      <c r="L131" s="3" t="s">
        <v>137</v>
      </c>
      <c r="M131" s="3" t="s">
        <v>31</v>
      </c>
      <c r="N131" s="3" t="s">
        <v>309</v>
      </c>
      <c r="O131" s="3" t="s">
        <v>139</v>
      </c>
      <c r="P131" s="3" t="s">
        <v>151</v>
      </c>
      <c r="Q131" s="3" t="s">
        <v>141</v>
      </c>
      <c r="R131" s="3" t="s">
        <v>142</v>
      </c>
      <c r="S131" s="3" t="s">
        <v>34</v>
      </c>
      <c r="T131" s="157">
        <v>3.8340000000000001</v>
      </c>
      <c r="U131" s="3" t="s">
        <v>663</v>
      </c>
      <c r="V131" s="168">
        <v>3.7100000000000001E-2</v>
      </c>
      <c r="W131" s="168">
        <v>2.98E-2</v>
      </c>
      <c r="X131" s="5" t="s">
        <v>144</v>
      </c>
      <c r="Y131" s="5" t="s">
        <v>139</v>
      </c>
      <c r="Z131" s="157">
        <v>1650000</v>
      </c>
      <c r="AA131" s="166">
        <v>1</v>
      </c>
      <c r="AB131" s="176">
        <v>112.43</v>
      </c>
      <c r="AD131" s="157">
        <v>1855.095</v>
      </c>
      <c r="AG131" s="3" t="s">
        <v>36</v>
      </c>
      <c r="AH131" s="168">
        <v>4.2950000000000002E-3</v>
      </c>
      <c r="AI131" s="168">
        <v>8.4542400742077702E-3</v>
      </c>
      <c r="AJ131" s="168">
        <v>1.5690237077124901E-3</v>
      </c>
    </row>
    <row r="132" spans="1:36">
      <c r="A132" s="3">
        <v>419</v>
      </c>
      <c r="B132" s="3">
        <v>419</v>
      </c>
      <c r="C132" s="3" t="s">
        <v>647</v>
      </c>
      <c r="D132" s="3" t="s">
        <v>648</v>
      </c>
      <c r="E132" s="5" t="s">
        <v>132</v>
      </c>
      <c r="F132" s="3" t="s">
        <v>664</v>
      </c>
      <c r="G132" s="3" t="s">
        <v>665</v>
      </c>
      <c r="H132" s="3" t="s">
        <v>135</v>
      </c>
      <c r="I132" s="3" t="s">
        <v>149</v>
      </c>
      <c r="J132" s="3" t="s">
        <v>30</v>
      </c>
      <c r="K132" s="3" t="s">
        <v>30</v>
      </c>
      <c r="L132" s="3" t="s">
        <v>137</v>
      </c>
      <c r="M132" s="3" t="s">
        <v>31</v>
      </c>
      <c r="N132" s="3" t="s">
        <v>309</v>
      </c>
      <c r="O132" s="3" t="s">
        <v>139</v>
      </c>
      <c r="P132" s="3" t="s">
        <v>151</v>
      </c>
      <c r="Q132" s="3" t="s">
        <v>141</v>
      </c>
      <c r="R132" s="3" t="s">
        <v>142</v>
      </c>
      <c r="S132" s="3" t="s">
        <v>34</v>
      </c>
      <c r="T132" s="157">
        <v>6.2939999999999996</v>
      </c>
      <c r="U132" s="3" t="s">
        <v>666</v>
      </c>
      <c r="V132" s="168">
        <v>3.4500000000000003E-2</v>
      </c>
      <c r="W132" s="168">
        <v>2.9739999999999999E-2</v>
      </c>
      <c r="X132" s="5" t="s">
        <v>144</v>
      </c>
      <c r="Y132" s="5" t="s">
        <v>139</v>
      </c>
      <c r="Z132" s="157">
        <v>1740000</v>
      </c>
      <c r="AA132" s="166">
        <v>1</v>
      </c>
      <c r="AB132" s="176">
        <v>108.65</v>
      </c>
      <c r="AD132" s="157">
        <v>1890.51</v>
      </c>
      <c r="AG132" s="3" t="s">
        <v>36</v>
      </c>
      <c r="AH132" s="168">
        <v>1.1820000000000001E-3</v>
      </c>
      <c r="AI132" s="168">
        <v>8.6156371521083994E-3</v>
      </c>
      <c r="AJ132" s="168">
        <v>1.5989774160717E-3</v>
      </c>
    </row>
    <row r="133" spans="1:36">
      <c r="A133" s="3">
        <v>419</v>
      </c>
      <c r="B133" s="3">
        <v>419</v>
      </c>
      <c r="C133" s="3" t="s">
        <v>667</v>
      </c>
      <c r="D133" s="3" t="s">
        <v>668</v>
      </c>
      <c r="E133" s="5" t="s">
        <v>132</v>
      </c>
      <c r="F133" s="3" t="s">
        <v>669</v>
      </c>
      <c r="G133" s="3" t="s">
        <v>670</v>
      </c>
      <c r="H133" s="3" t="s">
        <v>135</v>
      </c>
      <c r="I133" s="3" t="s">
        <v>161</v>
      </c>
      <c r="J133" s="3" t="s">
        <v>30</v>
      </c>
      <c r="K133" s="3" t="s">
        <v>30</v>
      </c>
      <c r="L133" s="3" t="s">
        <v>137</v>
      </c>
      <c r="M133" s="3" t="s">
        <v>31</v>
      </c>
      <c r="N133" s="3" t="s">
        <v>157</v>
      </c>
      <c r="O133" s="3" t="s">
        <v>139</v>
      </c>
      <c r="P133" s="3" t="s">
        <v>151</v>
      </c>
      <c r="Q133" s="3" t="s">
        <v>141</v>
      </c>
      <c r="R133" s="3" t="s">
        <v>142</v>
      </c>
      <c r="S133" s="3" t="s">
        <v>34</v>
      </c>
      <c r="T133" s="157">
        <v>2.8969999999999998</v>
      </c>
      <c r="U133" s="3" t="s">
        <v>64</v>
      </c>
      <c r="V133" s="168">
        <v>2.4299999999999999E-2</v>
      </c>
      <c r="W133" s="168">
        <v>4.6780000000000002E-2</v>
      </c>
      <c r="X133" s="5" t="s">
        <v>144</v>
      </c>
      <c r="Y133" s="5" t="s">
        <v>139</v>
      </c>
      <c r="Z133" s="157">
        <v>504993</v>
      </c>
      <c r="AA133" s="166">
        <v>1</v>
      </c>
      <c r="AB133" s="176">
        <v>94.65</v>
      </c>
      <c r="AD133" s="157">
        <v>477.976</v>
      </c>
      <c r="AG133" s="3" t="s">
        <v>36</v>
      </c>
      <c r="AH133" s="168">
        <v>3.4499999999999998E-4</v>
      </c>
      <c r="AI133" s="168">
        <v>2.1782834802004198E-3</v>
      </c>
      <c r="AJ133" s="168">
        <v>4.04267964069285E-4</v>
      </c>
    </row>
    <row r="134" spans="1:36">
      <c r="A134" s="3">
        <v>419</v>
      </c>
      <c r="B134" s="3">
        <v>419</v>
      </c>
      <c r="C134" s="3" t="s">
        <v>671</v>
      </c>
      <c r="D134" s="3" t="s">
        <v>672</v>
      </c>
      <c r="E134" s="5" t="s">
        <v>132</v>
      </c>
      <c r="F134" s="3" t="s">
        <v>673</v>
      </c>
      <c r="G134" s="3" t="s">
        <v>674</v>
      </c>
      <c r="H134" s="3" t="s">
        <v>135</v>
      </c>
      <c r="I134" s="3" t="s">
        <v>161</v>
      </c>
      <c r="J134" s="3" t="s">
        <v>30</v>
      </c>
      <c r="K134" s="3" t="s">
        <v>30</v>
      </c>
      <c r="L134" s="3" t="s">
        <v>137</v>
      </c>
      <c r="M134" s="3" t="s">
        <v>31</v>
      </c>
      <c r="N134" s="3" t="s">
        <v>185</v>
      </c>
      <c r="O134" s="3" t="s">
        <v>139</v>
      </c>
      <c r="P134" s="3" t="s">
        <v>198</v>
      </c>
      <c r="Q134" s="3" t="s">
        <v>141</v>
      </c>
      <c r="R134" s="3" t="s">
        <v>142</v>
      </c>
      <c r="S134" s="3" t="s">
        <v>34</v>
      </c>
      <c r="T134" s="157">
        <v>4.2709999999999999</v>
      </c>
      <c r="U134" s="3" t="s">
        <v>589</v>
      </c>
      <c r="V134" s="168">
        <v>4.6899999999999997E-2</v>
      </c>
      <c r="W134" s="168">
        <v>4.6489999999999997E-2</v>
      </c>
      <c r="X134" s="5" t="s">
        <v>144</v>
      </c>
      <c r="Y134" s="5" t="s">
        <v>139</v>
      </c>
      <c r="Z134" s="157">
        <v>1699000</v>
      </c>
      <c r="AA134" s="166">
        <v>1</v>
      </c>
      <c r="AB134" s="176">
        <v>100.58</v>
      </c>
      <c r="AD134" s="157">
        <v>1708.854</v>
      </c>
      <c r="AG134" s="3" t="s">
        <v>36</v>
      </c>
      <c r="AH134" s="168">
        <v>3.398E-3</v>
      </c>
      <c r="AI134" s="168">
        <v>7.7877756441682303E-3</v>
      </c>
      <c r="AJ134" s="168">
        <v>1.44533447226372E-3</v>
      </c>
    </row>
    <row r="135" spans="1:36">
      <c r="A135" s="3">
        <v>419</v>
      </c>
      <c r="B135" s="3">
        <v>419</v>
      </c>
      <c r="C135" s="3" t="s">
        <v>671</v>
      </c>
      <c r="D135" s="3" t="s">
        <v>672</v>
      </c>
      <c r="E135" s="5" t="s">
        <v>132</v>
      </c>
      <c r="F135" s="3" t="s">
        <v>675</v>
      </c>
      <c r="G135" s="3" t="s">
        <v>676</v>
      </c>
      <c r="H135" s="3" t="s">
        <v>135</v>
      </c>
      <c r="I135" s="3" t="s">
        <v>161</v>
      </c>
      <c r="J135" s="3" t="s">
        <v>30</v>
      </c>
      <c r="K135" s="3" t="s">
        <v>30</v>
      </c>
      <c r="L135" s="3" t="s">
        <v>137</v>
      </c>
      <c r="M135" s="3" t="s">
        <v>31</v>
      </c>
      <c r="N135" s="3" t="s">
        <v>185</v>
      </c>
      <c r="O135" s="3" t="s">
        <v>139</v>
      </c>
      <c r="P135" s="3" t="s">
        <v>198</v>
      </c>
      <c r="Q135" s="3" t="s">
        <v>141</v>
      </c>
      <c r="R135" s="3" t="s">
        <v>142</v>
      </c>
      <c r="S135" s="3" t="s">
        <v>34</v>
      </c>
      <c r="T135" s="157">
        <v>5.1849999999999996</v>
      </c>
      <c r="U135" s="3" t="s">
        <v>677</v>
      </c>
      <c r="V135" s="168">
        <v>5.1499999999999997E-2</v>
      </c>
      <c r="W135" s="168">
        <v>4.6739999999999997E-2</v>
      </c>
      <c r="X135" s="5" t="s">
        <v>144</v>
      </c>
      <c r="Y135" s="5" t="s">
        <v>139</v>
      </c>
      <c r="Z135" s="157">
        <v>1698000</v>
      </c>
      <c r="AA135" s="166">
        <v>1</v>
      </c>
      <c r="AB135" s="176">
        <v>105.19</v>
      </c>
      <c r="AD135" s="157">
        <v>1786.126</v>
      </c>
      <c r="AG135" s="3" t="s">
        <v>36</v>
      </c>
      <c r="AH135" s="168">
        <v>1.7030000000000001E-3</v>
      </c>
      <c r="AI135" s="168">
        <v>8.1399279808486592E-3</v>
      </c>
      <c r="AJ135" s="168">
        <v>1.5106904782592901E-3</v>
      </c>
    </row>
    <row r="136" spans="1:36">
      <c r="A136" s="3">
        <v>419</v>
      </c>
      <c r="B136" s="3">
        <v>419</v>
      </c>
      <c r="C136" s="3" t="s">
        <v>671</v>
      </c>
      <c r="D136" s="3" t="s">
        <v>672</v>
      </c>
      <c r="E136" s="5" t="s">
        <v>132</v>
      </c>
      <c r="F136" s="3" t="s">
        <v>678</v>
      </c>
      <c r="G136" s="3" t="s">
        <v>679</v>
      </c>
      <c r="H136" s="3" t="s">
        <v>135</v>
      </c>
      <c r="I136" s="3" t="s">
        <v>161</v>
      </c>
      <c r="J136" s="3" t="s">
        <v>30</v>
      </c>
      <c r="K136" s="3" t="s">
        <v>30</v>
      </c>
      <c r="L136" s="3" t="s">
        <v>137</v>
      </c>
      <c r="M136" s="3" t="s">
        <v>31</v>
      </c>
      <c r="N136" s="3" t="s">
        <v>185</v>
      </c>
      <c r="O136" s="3" t="s">
        <v>139</v>
      </c>
      <c r="P136" s="3" t="s">
        <v>198</v>
      </c>
      <c r="Q136" s="3" t="s">
        <v>141</v>
      </c>
      <c r="R136" s="3" t="s">
        <v>142</v>
      </c>
      <c r="S136" s="3" t="s">
        <v>34</v>
      </c>
      <c r="T136" s="157">
        <v>3.383</v>
      </c>
      <c r="U136" s="3" t="s">
        <v>680</v>
      </c>
      <c r="V136" s="168">
        <v>2.6200000000000001E-2</v>
      </c>
      <c r="W136" s="168">
        <v>4.5310000000000003E-2</v>
      </c>
      <c r="X136" s="5" t="s">
        <v>144</v>
      </c>
      <c r="Y136" s="5" t="s">
        <v>139</v>
      </c>
      <c r="Z136" s="157">
        <v>160000</v>
      </c>
      <c r="AA136" s="166">
        <v>1</v>
      </c>
      <c r="AB136" s="176">
        <v>95.06</v>
      </c>
      <c r="AD136" s="157">
        <v>152.096</v>
      </c>
      <c r="AG136" s="3" t="s">
        <v>36</v>
      </c>
      <c r="AH136" s="168">
        <v>1.2400000000000001E-4</v>
      </c>
      <c r="AI136" s="168">
        <v>6.9314838233443797E-4</v>
      </c>
      <c r="AJ136" s="168">
        <v>1.2864151423417101E-4</v>
      </c>
    </row>
    <row r="137" spans="1:36">
      <c r="A137" s="3">
        <v>419</v>
      </c>
      <c r="B137" s="3">
        <v>419</v>
      </c>
      <c r="C137" s="3" t="s">
        <v>681</v>
      </c>
      <c r="D137" s="3" t="s">
        <v>682</v>
      </c>
      <c r="E137" s="5" t="s">
        <v>132</v>
      </c>
      <c r="F137" s="3" t="s">
        <v>683</v>
      </c>
      <c r="G137" s="3" t="s">
        <v>684</v>
      </c>
      <c r="H137" s="3" t="s">
        <v>135</v>
      </c>
      <c r="I137" s="3" t="s">
        <v>161</v>
      </c>
      <c r="J137" s="3" t="s">
        <v>30</v>
      </c>
      <c r="K137" s="3" t="s">
        <v>30</v>
      </c>
      <c r="L137" s="3" t="s">
        <v>137</v>
      </c>
      <c r="M137" s="3" t="s">
        <v>31</v>
      </c>
      <c r="N137" s="3" t="s">
        <v>170</v>
      </c>
      <c r="O137" s="3" t="s">
        <v>139</v>
      </c>
      <c r="P137" s="3" t="s">
        <v>186</v>
      </c>
      <c r="Q137" s="3" t="s">
        <v>172</v>
      </c>
      <c r="R137" s="3" t="s">
        <v>142</v>
      </c>
      <c r="S137" s="3" t="s">
        <v>34</v>
      </c>
      <c r="T137" s="157">
        <v>5.5339999999999998</v>
      </c>
      <c r="U137" s="3" t="s">
        <v>352</v>
      </c>
      <c r="V137" s="168">
        <v>5.5899999999999998E-2</v>
      </c>
      <c r="W137" s="168">
        <v>5.425E-2</v>
      </c>
      <c r="X137" s="5" t="s">
        <v>144</v>
      </c>
      <c r="Y137" s="5" t="s">
        <v>139</v>
      </c>
      <c r="Z137" s="157">
        <v>1512000</v>
      </c>
      <c r="AA137" s="166">
        <v>1</v>
      </c>
      <c r="AB137" s="176">
        <v>101.35</v>
      </c>
      <c r="AD137" s="157">
        <v>1532.412</v>
      </c>
      <c r="AG137" s="3" t="s">
        <v>36</v>
      </c>
      <c r="AH137" s="168">
        <v>6.7600000000000004E-3</v>
      </c>
      <c r="AI137" s="168">
        <v>6.98367411943694E-3</v>
      </c>
      <c r="AJ137" s="168">
        <v>1.29610114737149E-3</v>
      </c>
    </row>
    <row r="138" spans="1:36">
      <c r="A138" s="3">
        <v>419</v>
      </c>
      <c r="B138" s="3">
        <v>419</v>
      </c>
      <c r="C138" s="3" t="s">
        <v>681</v>
      </c>
      <c r="D138" s="3" t="s">
        <v>682</v>
      </c>
      <c r="E138" s="5" t="s">
        <v>132</v>
      </c>
      <c r="F138" s="3" t="s">
        <v>685</v>
      </c>
      <c r="G138" s="3" t="s">
        <v>686</v>
      </c>
      <c r="H138" s="3" t="s">
        <v>135</v>
      </c>
      <c r="I138" s="3" t="s">
        <v>161</v>
      </c>
      <c r="J138" s="3" t="s">
        <v>30</v>
      </c>
      <c r="K138" s="3" t="s">
        <v>30</v>
      </c>
      <c r="L138" s="3" t="s">
        <v>137</v>
      </c>
      <c r="M138" s="3" t="s">
        <v>31</v>
      </c>
      <c r="N138" s="3" t="s">
        <v>170</v>
      </c>
      <c r="O138" s="3" t="s">
        <v>139</v>
      </c>
      <c r="P138" s="3" t="s">
        <v>186</v>
      </c>
      <c r="Q138" s="3" t="s">
        <v>172</v>
      </c>
      <c r="R138" s="3" t="s">
        <v>142</v>
      </c>
      <c r="S138" s="3" t="s">
        <v>34</v>
      </c>
      <c r="T138" s="157">
        <v>1.37</v>
      </c>
      <c r="U138" s="3" t="s">
        <v>687</v>
      </c>
      <c r="V138" s="168">
        <v>2.6499999999999999E-2</v>
      </c>
      <c r="W138" s="168">
        <v>4.9149999999999999E-2</v>
      </c>
      <c r="X138" s="5" t="s">
        <v>144</v>
      </c>
      <c r="Y138" s="5" t="s">
        <v>139</v>
      </c>
      <c r="Z138" s="157">
        <v>1057142.8600000001</v>
      </c>
      <c r="AA138" s="166">
        <v>1</v>
      </c>
      <c r="AB138" s="176">
        <v>97.33</v>
      </c>
      <c r="AD138" s="157">
        <v>1028.9169999999999</v>
      </c>
      <c r="AG138" s="3" t="s">
        <v>36</v>
      </c>
      <c r="AH138" s="168">
        <v>2.5799999999999998E-3</v>
      </c>
      <c r="AI138" s="168">
        <v>4.6890927772929398E-3</v>
      </c>
      <c r="AJ138" s="168">
        <v>8.7024944532645802E-4</v>
      </c>
    </row>
    <row r="139" spans="1:36">
      <c r="A139" s="3">
        <v>419</v>
      </c>
      <c r="B139" s="3">
        <v>419</v>
      </c>
      <c r="C139" s="3" t="s">
        <v>688</v>
      </c>
      <c r="D139" s="3" t="s">
        <v>689</v>
      </c>
      <c r="E139" s="5" t="s">
        <v>132</v>
      </c>
      <c r="F139" s="3" t="s">
        <v>690</v>
      </c>
      <c r="G139" s="3" t="s">
        <v>691</v>
      </c>
      <c r="H139" s="3" t="s">
        <v>135</v>
      </c>
      <c r="I139" s="3" t="s">
        <v>161</v>
      </c>
      <c r="J139" s="3" t="s">
        <v>30</v>
      </c>
      <c r="K139" s="3" t="s">
        <v>30</v>
      </c>
      <c r="L139" s="3" t="s">
        <v>137</v>
      </c>
      <c r="M139" s="3" t="s">
        <v>31</v>
      </c>
      <c r="N139" s="3" t="s">
        <v>692</v>
      </c>
      <c r="O139" s="3" t="s">
        <v>139</v>
      </c>
      <c r="P139" s="3" t="s">
        <v>186</v>
      </c>
      <c r="Q139" s="3" t="s">
        <v>172</v>
      </c>
      <c r="R139" s="3" t="s">
        <v>142</v>
      </c>
      <c r="S139" s="3" t="s">
        <v>34</v>
      </c>
      <c r="T139" s="157">
        <v>3.734</v>
      </c>
      <c r="U139" s="3" t="s">
        <v>693</v>
      </c>
      <c r="V139" s="168">
        <v>6.3299999999999995E-2</v>
      </c>
      <c r="W139" s="168">
        <v>5.2850000000000001E-2</v>
      </c>
      <c r="X139" s="5" t="s">
        <v>144</v>
      </c>
      <c r="Y139" s="5" t="s">
        <v>139</v>
      </c>
      <c r="Z139" s="157">
        <v>1740000</v>
      </c>
      <c r="AA139" s="166">
        <v>1</v>
      </c>
      <c r="AB139" s="176">
        <v>104.74</v>
      </c>
      <c r="AD139" s="157">
        <v>1822.4760000000001</v>
      </c>
      <c r="AG139" s="3" t="s">
        <v>36</v>
      </c>
      <c r="AH139" s="168">
        <v>2.6489999999999999E-3</v>
      </c>
      <c r="AI139" s="168">
        <v>8.3055852306657494E-3</v>
      </c>
      <c r="AJ139" s="168">
        <v>1.5414348325757E-3</v>
      </c>
    </row>
    <row r="140" spans="1:36">
      <c r="A140" s="3">
        <v>419</v>
      </c>
      <c r="B140" s="3">
        <v>419</v>
      </c>
      <c r="C140" s="3" t="s">
        <v>694</v>
      </c>
      <c r="D140" s="3" t="s">
        <v>695</v>
      </c>
      <c r="E140" s="5" t="s">
        <v>132</v>
      </c>
      <c r="F140" s="3" t="s">
        <v>696</v>
      </c>
      <c r="G140" s="3" t="s">
        <v>697</v>
      </c>
      <c r="H140" s="3" t="s">
        <v>135</v>
      </c>
      <c r="I140" s="3" t="s">
        <v>149</v>
      </c>
      <c r="J140" s="3" t="s">
        <v>30</v>
      </c>
      <c r="K140" s="3" t="s">
        <v>30</v>
      </c>
      <c r="L140" s="3" t="s">
        <v>137</v>
      </c>
      <c r="M140" s="3" t="s">
        <v>31</v>
      </c>
      <c r="N140" s="3" t="s">
        <v>217</v>
      </c>
      <c r="O140" s="3" t="s">
        <v>139</v>
      </c>
      <c r="P140" s="3" t="s">
        <v>67</v>
      </c>
      <c r="Q140" s="3" t="s">
        <v>67</v>
      </c>
      <c r="R140" s="3" t="s">
        <v>67</v>
      </c>
      <c r="S140" s="3" t="s">
        <v>34</v>
      </c>
      <c r="T140" s="157">
        <v>2.1680000000000001</v>
      </c>
      <c r="U140" s="3" t="s">
        <v>405</v>
      </c>
      <c r="V140" s="168">
        <v>3.6999999999999998E-2</v>
      </c>
      <c r="W140" s="168">
        <v>3.9019999999999999E-2</v>
      </c>
      <c r="X140" s="5" t="s">
        <v>144</v>
      </c>
      <c r="Y140" s="5" t="s">
        <v>139</v>
      </c>
      <c r="Z140" s="157">
        <v>735319.18</v>
      </c>
      <c r="AA140" s="166">
        <v>1</v>
      </c>
      <c r="AB140" s="176">
        <v>119.38</v>
      </c>
      <c r="AD140" s="157">
        <v>877.82399999999996</v>
      </c>
      <c r="AG140" s="3" t="s">
        <v>36</v>
      </c>
      <c r="AH140" s="168">
        <v>1.67E-3</v>
      </c>
      <c r="AI140" s="168">
        <v>4.0005148805955498E-3</v>
      </c>
      <c r="AJ140" s="168">
        <v>7.4245616822032499E-4</v>
      </c>
    </row>
    <row r="141" spans="1:36">
      <c r="A141" s="3">
        <v>419</v>
      </c>
      <c r="B141" s="3">
        <v>419</v>
      </c>
      <c r="C141" s="3" t="s">
        <v>694</v>
      </c>
      <c r="D141" s="3" t="s">
        <v>695</v>
      </c>
      <c r="E141" s="5" t="s">
        <v>132</v>
      </c>
      <c r="F141" s="3" t="s">
        <v>698</v>
      </c>
      <c r="G141" s="3" t="s">
        <v>699</v>
      </c>
      <c r="H141" s="3" t="s">
        <v>135</v>
      </c>
      <c r="I141" s="3" t="s">
        <v>149</v>
      </c>
      <c r="J141" s="3" t="s">
        <v>30</v>
      </c>
      <c r="K141" s="3" t="s">
        <v>30</v>
      </c>
      <c r="L141" s="3" t="s">
        <v>137</v>
      </c>
      <c r="M141" s="3" t="s">
        <v>31</v>
      </c>
      <c r="N141" s="3" t="s">
        <v>217</v>
      </c>
      <c r="O141" s="3" t="s">
        <v>139</v>
      </c>
      <c r="P141" s="3" t="s">
        <v>67</v>
      </c>
      <c r="Q141" s="3" t="s">
        <v>67</v>
      </c>
      <c r="R141" s="3" t="s">
        <v>67</v>
      </c>
      <c r="S141" s="3" t="s">
        <v>34</v>
      </c>
      <c r="T141" s="157">
        <v>6.4660000000000002</v>
      </c>
      <c r="U141" s="3" t="s">
        <v>700</v>
      </c>
      <c r="V141" s="168">
        <v>4.1000000000000002E-2</v>
      </c>
      <c r="W141" s="168">
        <v>3.7850000000000002E-2</v>
      </c>
      <c r="X141" s="5" t="s">
        <v>144</v>
      </c>
      <c r="Y141" s="5" t="s">
        <v>139</v>
      </c>
      <c r="Z141" s="157">
        <v>2191000</v>
      </c>
      <c r="AA141" s="166">
        <v>1</v>
      </c>
      <c r="AB141" s="176">
        <v>104.73</v>
      </c>
      <c r="AD141" s="157">
        <v>2294.634</v>
      </c>
      <c r="AG141" s="3" t="s">
        <v>36</v>
      </c>
      <c r="AH141" s="168">
        <v>7.8250000000000004E-3</v>
      </c>
      <c r="AI141" s="168">
        <v>1.04573562295795E-2</v>
      </c>
      <c r="AJ141" s="168">
        <v>1.94078234119021E-3</v>
      </c>
    </row>
    <row r="142" spans="1:36">
      <c r="A142" s="3">
        <v>419</v>
      </c>
      <c r="B142" s="3">
        <v>419</v>
      </c>
      <c r="C142" s="3" t="s">
        <v>701</v>
      </c>
      <c r="D142" s="3" t="s">
        <v>702</v>
      </c>
      <c r="E142" s="5" t="s">
        <v>132</v>
      </c>
      <c r="F142" s="3" t="s">
        <v>703</v>
      </c>
      <c r="G142" s="3" t="s">
        <v>704</v>
      </c>
      <c r="H142" s="3" t="s">
        <v>135</v>
      </c>
      <c r="I142" s="3" t="s">
        <v>161</v>
      </c>
      <c r="J142" s="3" t="s">
        <v>30</v>
      </c>
      <c r="K142" s="3" t="s">
        <v>30</v>
      </c>
      <c r="L142" s="3" t="s">
        <v>137</v>
      </c>
      <c r="M142" s="3" t="s">
        <v>31</v>
      </c>
      <c r="N142" s="3" t="s">
        <v>705</v>
      </c>
      <c r="O142" s="3" t="s">
        <v>139</v>
      </c>
      <c r="P142" s="3" t="s">
        <v>151</v>
      </c>
      <c r="Q142" s="3" t="s">
        <v>141</v>
      </c>
      <c r="R142" s="3" t="s">
        <v>142</v>
      </c>
      <c r="S142" s="3" t="s">
        <v>34</v>
      </c>
      <c r="T142" s="157">
        <v>3.399</v>
      </c>
      <c r="U142" s="3" t="s">
        <v>706</v>
      </c>
      <c r="V142" s="168">
        <v>5.04E-2</v>
      </c>
      <c r="W142" s="168">
        <v>4.922E-2</v>
      </c>
      <c r="X142" s="5" t="s">
        <v>144</v>
      </c>
      <c r="Y142" s="5" t="s">
        <v>139</v>
      </c>
      <c r="Z142" s="157">
        <v>1740000</v>
      </c>
      <c r="AA142" s="166">
        <v>1</v>
      </c>
      <c r="AB142" s="176">
        <v>101.51</v>
      </c>
      <c r="AD142" s="157">
        <v>1766.2739999999999</v>
      </c>
      <c r="AG142" s="3" t="s">
        <v>36</v>
      </c>
      <c r="AH142" s="168">
        <v>3.5149999999999999E-3</v>
      </c>
      <c r="AI142" s="168">
        <v>8.04945538251748E-3</v>
      </c>
      <c r="AJ142" s="168">
        <v>1.4938996549050999E-3</v>
      </c>
    </row>
    <row r="143" spans="1:36">
      <c r="A143" s="3">
        <v>419</v>
      </c>
      <c r="B143" s="3">
        <v>419</v>
      </c>
      <c r="C143" s="3" t="s">
        <v>707</v>
      </c>
      <c r="D143" s="3" t="s">
        <v>708</v>
      </c>
      <c r="E143" s="5" t="s">
        <v>132</v>
      </c>
      <c r="F143" s="3" t="s">
        <v>709</v>
      </c>
      <c r="G143" s="3" t="s">
        <v>710</v>
      </c>
      <c r="H143" s="3" t="s">
        <v>135</v>
      </c>
      <c r="I143" s="3" t="s">
        <v>149</v>
      </c>
      <c r="J143" s="3" t="s">
        <v>30</v>
      </c>
      <c r="K143" s="3" t="s">
        <v>30</v>
      </c>
      <c r="L143" s="3" t="s">
        <v>137</v>
      </c>
      <c r="M143" s="3" t="s">
        <v>31</v>
      </c>
      <c r="N143" s="3" t="s">
        <v>204</v>
      </c>
      <c r="O143" s="3" t="s">
        <v>139</v>
      </c>
      <c r="P143" s="3" t="s">
        <v>198</v>
      </c>
      <c r="Q143" s="3" t="s">
        <v>141</v>
      </c>
      <c r="R143" s="3" t="s">
        <v>142</v>
      </c>
      <c r="S143" s="3" t="s">
        <v>34</v>
      </c>
      <c r="T143" s="157">
        <v>5.8140000000000001</v>
      </c>
      <c r="U143" s="3" t="s">
        <v>711</v>
      </c>
      <c r="V143" s="168">
        <v>2.5000000000000001E-2</v>
      </c>
      <c r="W143" s="168">
        <v>2.9170000000000001E-2</v>
      </c>
      <c r="X143" s="5" t="s">
        <v>144</v>
      </c>
      <c r="Y143" s="5" t="s">
        <v>139</v>
      </c>
      <c r="Z143" s="157">
        <v>871000</v>
      </c>
      <c r="AA143" s="166">
        <v>1</v>
      </c>
      <c r="AB143" s="176">
        <v>116.08</v>
      </c>
      <c r="AD143" s="157">
        <v>1011.057</v>
      </c>
      <c r="AG143" s="3" t="s">
        <v>36</v>
      </c>
      <c r="AH143" s="168">
        <v>6.4499999999999996E-4</v>
      </c>
      <c r="AI143" s="168">
        <v>4.6076976736287197E-3</v>
      </c>
      <c r="AJ143" s="168">
        <v>8.5514331559511801E-4</v>
      </c>
    </row>
    <row r="144" spans="1:36">
      <c r="A144" s="3">
        <v>419</v>
      </c>
      <c r="B144" s="3">
        <v>419</v>
      </c>
      <c r="C144" s="3" t="s">
        <v>712</v>
      </c>
      <c r="D144" s="3" t="s">
        <v>713</v>
      </c>
      <c r="E144" s="5" t="s">
        <v>132</v>
      </c>
      <c r="F144" s="3" t="s">
        <v>714</v>
      </c>
      <c r="G144" s="3" t="s">
        <v>715</v>
      </c>
      <c r="H144" s="3" t="s">
        <v>135</v>
      </c>
      <c r="I144" s="3" t="s">
        <v>161</v>
      </c>
      <c r="J144" s="3" t="s">
        <v>30</v>
      </c>
      <c r="K144" s="3" t="s">
        <v>30</v>
      </c>
      <c r="L144" s="3" t="s">
        <v>137</v>
      </c>
      <c r="M144" s="3" t="s">
        <v>31</v>
      </c>
      <c r="N144" s="3" t="s">
        <v>178</v>
      </c>
      <c r="O144" s="3" t="s">
        <v>139</v>
      </c>
      <c r="P144" s="3" t="s">
        <v>186</v>
      </c>
      <c r="Q144" s="3" t="s">
        <v>172</v>
      </c>
      <c r="R144" s="3" t="s">
        <v>142</v>
      </c>
      <c r="S144" s="3" t="s">
        <v>34</v>
      </c>
      <c r="T144" s="157">
        <v>3.4180000000000001</v>
      </c>
      <c r="U144" s="3" t="s">
        <v>106</v>
      </c>
      <c r="V144" s="168">
        <v>5.8200000000000002E-2</v>
      </c>
      <c r="W144" s="168">
        <v>4.9939999999999998E-2</v>
      </c>
      <c r="X144" s="5" t="s">
        <v>144</v>
      </c>
      <c r="Y144" s="5" t="s">
        <v>139</v>
      </c>
      <c r="Z144" s="157">
        <v>1278000</v>
      </c>
      <c r="AA144" s="166">
        <v>1</v>
      </c>
      <c r="AB144" s="176">
        <v>105.57</v>
      </c>
      <c r="AD144" s="157">
        <v>1349.1849999999999</v>
      </c>
      <c r="AG144" s="3" t="s">
        <v>36</v>
      </c>
      <c r="AH144" s="168">
        <v>7.3029999999999996E-3</v>
      </c>
      <c r="AI144" s="168">
        <v>6.1486503455747401E-3</v>
      </c>
      <c r="AJ144" s="168">
        <v>1.14112895753619E-3</v>
      </c>
    </row>
    <row r="145" spans="1:36">
      <c r="A145" s="3">
        <v>419</v>
      </c>
      <c r="B145" s="3">
        <v>419</v>
      </c>
      <c r="C145" s="3" t="s">
        <v>716</v>
      </c>
      <c r="D145" s="3" t="s">
        <v>717</v>
      </c>
      <c r="E145" s="5" t="s">
        <v>165</v>
      </c>
      <c r="F145" s="3" t="s">
        <v>718</v>
      </c>
      <c r="G145" s="3" t="s">
        <v>719</v>
      </c>
      <c r="H145" s="3" t="s">
        <v>135</v>
      </c>
      <c r="I145" s="3" t="s">
        <v>136</v>
      </c>
      <c r="J145" s="3" t="s">
        <v>30</v>
      </c>
      <c r="K145" s="3" t="s">
        <v>720</v>
      </c>
      <c r="L145" s="3" t="s">
        <v>137</v>
      </c>
      <c r="M145" s="3" t="s">
        <v>31</v>
      </c>
      <c r="N145" s="3" t="s">
        <v>170</v>
      </c>
      <c r="O145" s="3" t="s">
        <v>139</v>
      </c>
      <c r="P145" s="3" t="s">
        <v>298</v>
      </c>
      <c r="Q145" s="3" t="s">
        <v>172</v>
      </c>
      <c r="R145" s="3" t="s">
        <v>142</v>
      </c>
      <c r="S145" s="3" t="s">
        <v>34</v>
      </c>
      <c r="T145" s="157">
        <v>2.3410000000000002</v>
      </c>
      <c r="U145" s="3" t="s">
        <v>721</v>
      </c>
      <c r="V145" s="168">
        <v>4.2999999999999997E-2</v>
      </c>
      <c r="W145" s="168">
        <v>7.3359999999999995E-2</v>
      </c>
      <c r="X145" s="5" t="s">
        <v>144</v>
      </c>
      <c r="Y145" s="5" t="s">
        <v>139</v>
      </c>
      <c r="Z145" s="157">
        <v>0.27</v>
      </c>
      <c r="AA145" s="166">
        <v>1</v>
      </c>
      <c r="AB145" s="176">
        <v>88.55</v>
      </c>
      <c r="AD145" s="157">
        <v>0</v>
      </c>
      <c r="AG145" s="3" t="s">
        <v>36</v>
      </c>
      <c r="AH145" s="168">
        <v>0</v>
      </c>
      <c r="AI145" s="168">
        <v>1.08958408498862E-9</v>
      </c>
      <c r="AJ145" s="168">
        <v>2.0221607689010001E-10</v>
      </c>
    </row>
    <row r="146" spans="1:36">
      <c r="A146" s="3">
        <v>419</v>
      </c>
      <c r="B146" s="3">
        <v>419</v>
      </c>
      <c r="C146" s="3" t="s">
        <v>722</v>
      </c>
      <c r="D146" s="3" t="s">
        <v>723</v>
      </c>
      <c r="E146" s="5" t="s">
        <v>132</v>
      </c>
      <c r="F146" s="3" t="s">
        <v>724</v>
      </c>
      <c r="G146" s="3" t="s">
        <v>725</v>
      </c>
      <c r="H146" s="3" t="s">
        <v>135</v>
      </c>
      <c r="I146" s="3" t="s">
        <v>161</v>
      </c>
      <c r="J146" s="3" t="s">
        <v>30</v>
      </c>
      <c r="K146" s="3" t="s">
        <v>30</v>
      </c>
      <c r="L146" s="3" t="s">
        <v>137</v>
      </c>
      <c r="M146" s="3" t="s">
        <v>31</v>
      </c>
      <c r="N146" s="3" t="s">
        <v>726</v>
      </c>
      <c r="O146" s="3" t="s">
        <v>139</v>
      </c>
      <c r="P146" s="3" t="s">
        <v>140</v>
      </c>
      <c r="Q146" s="3" t="s">
        <v>141</v>
      </c>
      <c r="R146" s="3" t="s">
        <v>142</v>
      </c>
      <c r="S146" s="3" t="s">
        <v>34</v>
      </c>
      <c r="T146" s="157">
        <v>4.7E-2</v>
      </c>
      <c r="U146" s="3" t="s">
        <v>727</v>
      </c>
      <c r="V146" s="168">
        <v>3.3500000000000002E-2</v>
      </c>
      <c r="W146" s="168">
        <v>5.7630000000000001E-2</v>
      </c>
      <c r="X146" s="5" t="s">
        <v>144</v>
      </c>
      <c r="Y146" s="5" t="s">
        <v>139</v>
      </c>
      <c r="Z146" s="157">
        <v>0</v>
      </c>
      <c r="AA146" s="166">
        <v>1</v>
      </c>
      <c r="AB146" s="176">
        <v>0</v>
      </c>
      <c r="AC146" s="157">
        <v>168.37700000000001</v>
      </c>
      <c r="AD146" s="157">
        <v>168.37700000000001</v>
      </c>
      <c r="AG146" s="3" t="s">
        <v>36</v>
      </c>
      <c r="AH146" s="168">
        <v>0</v>
      </c>
      <c r="AI146" s="168">
        <v>7.67348153896441E-4</v>
      </c>
      <c r="AJ146" s="168">
        <v>1.4241226118076001E-4</v>
      </c>
    </row>
    <row r="147" spans="1:36">
      <c r="A147" s="3">
        <v>419</v>
      </c>
      <c r="B147" s="3">
        <v>419</v>
      </c>
      <c r="C147" s="3" t="s">
        <v>728</v>
      </c>
      <c r="D147" s="3" t="s">
        <v>729</v>
      </c>
      <c r="E147" s="5" t="s">
        <v>132</v>
      </c>
      <c r="F147" s="3" t="s">
        <v>730</v>
      </c>
      <c r="G147" s="3" t="s">
        <v>731</v>
      </c>
      <c r="H147" s="3" t="s">
        <v>135</v>
      </c>
      <c r="I147" s="3" t="s">
        <v>161</v>
      </c>
      <c r="J147" s="3" t="s">
        <v>30</v>
      </c>
      <c r="K147" s="3" t="s">
        <v>30</v>
      </c>
      <c r="L147" s="3" t="s">
        <v>137</v>
      </c>
      <c r="M147" s="3" t="s">
        <v>31</v>
      </c>
      <c r="N147" s="3" t="s">
        <v>705</v>
      </c>
      <c r="O147" s="3" t="s">
        <v>139</v>
      </c>
      <c r="P147" s="3" t="s">
        <v>179</v>
      </c>
      <c r="Q147" s="3" t="s">
        <v>172</v>
      </c>
      <c r="R147" s="3" t="s">
        <v>142</v>
      </c>
      <c r="S147" s="3" t="s">
        <v>34</v>
      </c>
      <c r="T147" s="157">
        <v>4.532</v>
      </c>
      <c r="U147" s="3" t="s">
        <v>319</v>
      </c>
      <c r="V147" s="168">
        <v>5.8500000000000003E-2</v>
      </c>
      <c r="W147" s="168">
        <v>4.8800000000000003E-2</v>
      </c>
      <c r="X147" s="5" t="s">
        <v>144</v>
      </c>
      <c r="Y147" s="5" t="s">
        <v>139</v>
      </c>
      <c r="Z147" s="157">
        <v>954000</v>
      </c>
      <c r="AA147" s="166">
        <v>1</v>
      </c>
      <c r="AB147" s="176">
        <v>105.82</v>
      </c>
      <c r="AD147" s="157">
        <v>1009.523</v>
      </c>
      <c r="AG147" s="3" t="s">
        <v>36</v>
      </c>
      <c r="AH147" s="168">
        <v>6.1549999999999999E-3</v>
      </c>
      <c r="AI147" s="168">
        <v>4.6007067625035E-3</v>
      </c>
      <c r="AJ147" s="168">
        <v>8.5384587133073705E-4</v>
      </c>
    </row>
    <row r="148" spans="1:36">
      <c r="A148" s="3">
        <v>419</v>
      </c>
      <c r="B148" s="3">
        <v>419</v>
      </c>
      <c r="C148" s="3" t="s">
        <v>732</v>
      </c>
      <c r="D148" s="3" t="s">
        <v>733</v>
      </c>
      <c r="E148" s="5" t="s">
        <v>132</v>
      </c>
      <c r="F148" s="3" t="s">
        <v>734</v>
      </c>
      <c r="G148" s="3" t="s">
        <v>735</v>
      </c>
      <c r="H148" s="3" t="s">
        <v>135</v>
      </c>
      <c r="I148" s="3" t="s">
        <v>136</v>
      </c>
      <c r="J148" s="3" t="s">
        <v>30</v>
      </c>
      <c r="K148" s="3" t="s">
        <v>30</v>
      </c>
      <c r="L148" s="3" t="s">
        <v>137</v>
      </c>
      <c r="M148" s="3" t="s">
        <v>31</v>
      </c>
      <c r="N148" s="3" t="s">
        <v>357</v>
      </c>
      <c r="O148" s="3" t="s">
        <v>139</v>
      </c>
      <c r="P148" s="3" t="s">
        <v>179</v>
      </c>
      <c r="Q148" s="3" t="s">
        <v>172</v>
      </c>
      <c r="R148" s="3" t="s">
        <v>142</v>
      </c>
      <c r="S148" s="3" t="s">
        <v>34</v>
      </c>
      <c r="T148" s="157">
        <v>2.4950000000000001</v>
      </c>
      <c r="U148" s="3" t="s">
        <v>736</v>
      </c>
      <c r="V148" s="168">
        <v>4.6899999999999997E-2</v>
      </c>
      <c r="W148" s="168">
        <v>5.987E-2</v>
      </c>
      <c r="X148" s="5" t="s">
        <v>144</v>
      </c>
      <c r="Y148" s="5" t="s">
        <v>139</v>
      </c>
      <c r="Z148" s="157">
        <v>672281.91</v>
      </c>
      <c r="AA148" s="166">
        <v>1</v>
      </c>
      <c r="AB148" s="176">
        <v>92.95</v>
      </c>
      <c r="AD148" s="157">
        <v>624.88599999999997</v>
      </c>
      <c r="AG148" s="3" t="s">
        <v>36</v>
      </c>
      <c r="AH148" s="168">
        <v>5.8500000000000002E-4</v>
      </c>
      <c r="AI148" s="168">
        <v>2.8477983940587998E-3</v>
      </c>
      <c r="AJ148" s="168">
        <v>5.2852333927630099E-4</v>
      </c>
    </row>
    <row r="149" spans="1:36">
      <c r="A149" s="3">
        <v>419</v>
      </c>
      <c r="B149" s="3">
        <v>419</v>
      </c>
      <c r="C149" s="3" t="s">
        <v>737</v>
      </c>
      <c r="D149" s="3" t="s">
        <v>738</v>
      </c>
      <c r="E149" s="5" t="s">
        <v>132</v>
      </c>
      <c r="F149" s="3" t="s">
        <v>739</v>
      </c>
      <c r="G149" s="3" t="s">
        <v>740</v>
      </c>
      <c r="H149" s="3" t="s">
        <v>135</v>
      </c>
      <c r="I149" s="3" t="s">
        <v>136</v>
      </c>
      <c r="J149" s="3" t="s">
        <v>741</v>
      </c>
      <c r="K149" s="3" t="s">
        <v>168</v>
      </c>
      <c r="L149" s="3" t="s">
        <v>137</v>
      </c>
      <c r="M149" s="3" t="s">
        <v>240</v>
      </c>
      <c r="N149" s="3" t="s">
        <v>742</v>
      </c>
      <c r="O149" s="3" t="s">
        <v>139</v>
      </c>
      <c r="P149" s="3" t="s">
        <v>743</v>
      </c>
      <c r="Q149" s="3" t="s">
        <v>744</v>
      </c>
      <c r="R149" s="3" t="s">
        <v>142</v>
      </c>
      <c r="S149" s="3" t="s">
        <v>745</v>
      </c>
      <c r="T149" s="157">
        <v>3.94</v>
      </c>
      <c r="U149" s="3" t="s">
        <v>746</v>
      </c>
      <c r="V149" s="168">
        <v>4.3749999999999997E-2</v>
      </c>
      <c r="W149" s="168">
        <v>3.8309999999999997E-2</v>
      </c>
      <c r="X149" s="5" t="s">
        <v>144</v>
      </c>
      <c r="Y149" s="5" t="s">
        <v>139</v>
      </c>
      <c r="Z149" s="157">
        <v>840000</v>
      </c>
      <c r="AA149" s="166">
        <v>3.8807</v>
      </c>
      <c r="AB149" s="176">
        <v>104.277</v>
      </c>
      <c r="AD149" s="157">
        <v>3399.194</v>
      </c>
      <c r="AG149" s="3" t="s">
        <v>36</v>
      </c>
      <c r="AH149" s="168">
        <v>5.5999999999999995E-4</v>
      </c>
      <c r="AI149" s="168">
        <v>1.5491176332516799E-2</v>
      </c>
      <c r="AJ149" s="168">
        <v>2.8750097835790502E-3</v>
      </c>
    </row>
    <row r="150" spans="1:36">
      <c r="A150" s="3">
        <v>419</v>
      </c>
      <c r="B150" s="3">
        <v>419</v>
      </c>
      <c r="C150" s="3" t="s">
        <v>225</v>
      </c>
      <c r="D150" s="3" t="s">
        <v>226</v>
      </c>
      <c r="E150" s="5" t="s">
        <v>132</v>
      </c>
      <c r="F150" s="3" t="s">
        <v>747</v>
      </c>
      <c r="G150" s="3" t="s">
        <v>748</v>
      </c>
      <c r="H150" s="3" t="s">
        <v>135</v>
      </c>
      <c r="I150" s="3" t="s">
        <v>161</v>
      </c>
      <c r="J150" s="3" t="s">
        <v>30</v>
      </c>
      <c r="K150" s="3" t="s">
        <v>30</v>
      </c>
      <c r="L150" s="3" t="s">
        <v>137</v>
      </c>
      <c r="M150" s="3" t="s">
        <v>31</v>
      </c>
      <c r="N150" s="3" t="s">
        <v>170</v>
      </c>
      <c r="O150" s="3" t="s">
        <v>139</v>
      </c>
      <c r="P150" s="3" t="s">
        <v>229</v>
      </c>
      <c r="Q150" s="3" t="s">
        <v>172</v>
      </c>
      <c r="R150" s="3" t="s">
        <v>142</v>
      </c>
      <c r="S150" s="3" t="s">
        <v>34</v>
      </c>
      <c r="T150" s="157">
        <v>2.2410000000000001</v>
      </c>
      <c r="U150" s="3" t="s">
        <v>749</v>
      </c>
      <c r="V150" s="168">
        <v>2.8500000000000001E-2</v>
      </c>
      <c r="W150" s="168">
        <v>5.2490000000000002E-2</v>
      </c>
      <c r="X150" s="5" t="s">
        <v>144</v>
      </c>
      <c r="Y150" s="5" t="s">
        <v>139</v>
      </c>
      <c r="Z150" s="157">
        <v>178720.07</v>
      </c>
      <c r="AA150" s="166">
        <v>1</v>
      </c>
      <c r="AB150" s="176">
        <v>95.9</v>
      </c>
      <c r="AD150" s="157">
        <v>171.393</v>
      </c>
      <c r="AG150" s="3" t="s">
        <v>36</v>
      </c>
      <c r="AH150" s="168">
        <v>4.5399999999999998E-4</v>
      </c>
      <c r="AI150" s="168">
        <v>7.8108869915933697E-4</v>
      </c>
      <c r="AJ150" s="168">
        <v>1.4496237107652199E-4</v>
      </c>
    </row>
    <row r="151" spans="1:36">
      <c r="A151" s="3">
        <v>419</v>
      </c>
      <c r="B151" s="3">
        <v>1472</v>
      </c>
      <c r="C151" s="3" t="s">
        <v>145</v>
      </c>
      <c r="D151" s="3" t="s">
        <v>146</v>
      </c>
      <c r="E151" s="5" t="s">
        <v>132</v>
      </c>
      <c r="F151" s="3" t="s">
        <v>147</v>
      </c>
      <c r="G151" s="3" t="s">
        <v>148</v>
      </c>
      <c r="H151" s="3" t="s">
        <v>135</v>
      </c>
      <c r="I151" s="3" t="s">
        <v>149</v>
      </c>
      <c r="J151" s="3" t="s">
        <v>30</v>
      </c>
      <c r="K151" s="3" t="s">
        <v>30</v>
      </c>
      <c r="L151" s="3" t="s">
        <v>137</v>
      </c>
      <c r="M151" s="3" t="s">
        <v>31</v>
      </c>
      <c r="N151" s="3" t="s">
        <v>150</v>
      </c>
      <c r="O151" s="3" t="s">
        <v>139</v>
      </c>
      <c r="P151" s="3" t="s">
        <v>151</v>
      </c>
      <c r="Q151" s="3" t="s">
        <v>141</v>
      </c>
      <c r="R151" s="3" t="s">
        <v>142</v>
      </c>
      <c r="S151" s="3" t="s">
        <v>34</v>
      </c>
      <c r="T151" s="157">
        <v>4.7809999999999997</v>
      </c>
      <c r="U151" s="3" t="s">
        <v>152</v>
      </c>
      <c r="V151" s="168">
        <v>5.1499999999999997E-2</v>
      </c>
      <c r="W151" s="168">
        <v>4.1050000000000003E-2</v>
      </c>
      <c r="X151" s="5" t="s">
        <v>144</v>
      </c>
      <c r="Y151" s="5" t="s">
        <v>139</v>
      </c>
      <c r="Z151" s="157">
        <v>0.66</v>
      </c>
      <c r="AA151" s="166">
        <v>1</v>
      </c>
      <c r="AB151" s="176">
        <v>153.07</v>
      </c>
      <c r="AD151" s="157">
        <v>1E-3</v>
      </c>
      <c r="AG151" s="3" t="s">
        <v>36</v>
      </c>
      <c r="AH151" s="168">
        <v>0</v>
      </c>
      <c r="AI151" s="168">
        <v>7.2342991606623504E-7</v>
      </c>
      <c r="AJ151" s="168">
        <v>1.2214051072977699E-7</v>
      </c>
    </row>
    <row r="152" spans="1:36">
      <c r="A152" s="3">
        <v>419</v>
      </c>
      <c r="B152" s="3">
        <v>1472</v>
      </c>
      <c r="C152" s="3" t="s">
        <v>153</v>
      </c>
      <c r="D152" s="3" t="s">
        <v>154</v>
      </c>
      <c r="E152" s="5" t="s">
        <v>132</v>
      </c>
      <c r="F152" s="3" t="s">
        <v>155</v>
      </c>
      <c r="G152" s="3" t="s">
        <v>156</v>
      </c>
      <c r="H152" s="3" t="s">
        <v>135</v>
      </c>
      <c r="I152" s="3" t="s">
        <v>149</v>
      </c>
      <c r="J152" s="3" t="s">
        <v>30</v>
      </c>
      <c r="K152" s="3" t="s">
        <v>30</v>
      </c>
      <c r="L152" s="3" t="s">
        <v>137</v>
      </c>
      <c r="M152" s="3" t="s">
        <v>31</v>
      </c>
      <c r="N152" s="3" t="s">
        <v>157</v>
      </c>
      <c r="O152" s="3" t="s">
        <v>139</v>
      </c>
      <c r="P152" s="3" t="s">
        <v>140</v>
      </c>
      <c r="Q152" s="3" t="s">
        <v>141</v>
      </c>
      <c r="R152" s="3" t="s">
        <v>142</v>
      </c>
      <c r="S152" s="3" t="s">
        <v>34</v>
      </c>
      <c r="T152" s="157">
        <v>2.3959999999999999</v>
      </c>
      <c r="U152" s="3" t="s">
        <v>158</v>
      </c>
      <c r="V152" s="168">
        <v>2.75E-2</v>
      </c>
      <c r="W152" s="168">
        <v>3.0259999999999999E-2</v>
      </c>
      <c r="X152" s="5" t="s">
        <v>144</v>
      </c>
      <c r="Y152" s="5" t="s">
        <v>139</v>
      </c>
      <c r="Z152" s="157">
        <v>9866.7999999999993</v>
      </c>
      <c r="AA152" s="166">
        <v>1</v>
      </c>
      <c r="AB152" s="176">
        <v>117.38</v>
      </c>
      <c r="AD152" s="157">
        <v>11.582000000000001</v>
      </c>
      <c r="AG152" s="3" t="s">
        <v>36</v>
      </c>
      <c r="AH152" s="168">
        <v>1.2999999999999999E-5</v>
      </c>
      <c r="AI152" s="168">
        <v>8.2934050490464095E-3</v>
      </c>
      <c r="AJ152" s="168">
        <v>1.4002195732899399E-3</v>
      </c>
    </row>
    <row r="153" spans="1:36">
      <c r="A153" s="3">
        <v>419</v>
      </c>
      <c r="B153" s="3">
        <v>1472</v>
      </c>
      <c r="C153" s="3" t="s">
        <v>153</v>
      </c>
      <c r="D153" s="3" t="s">
        <v>154</v>
      </c>
      <c r="E153" s="5" t="s">
        <v>132</v>
      </c>
      <c r="F153" s="3" t="s">
        <v>159</v>
      </c>
      <c r="G153" s="3" t="s">
        <v>160</v>
      </c>
      <c r="H153" s="3" t="s">
        <v>135</v>
      </c>
      <c r="I153" s="3" t="s">
        <v>161</v>
      </c>
      <c r="J153" s="3" t="s">
        <v>30</v>
      </c>
      <c r="K153" s="3" t="s">
        <v>30</v>
      </c>
      <c r="L153" s="3" t="s">
        <v>137</v>
      </c>
      <c r="M153" s="3" t="s">
        <v>31</v>
      </c>
      <c r="N153" s="3" t="s">
        <v>157</v>
      </c>
      <c r="O153" s="3" t="s">
        <v>139</v>
      </c>
      <c r="P153" s="3" t="s">
        <v>140</v>
      </c>
      <c r="Q153" s="3" t="s">
        <v>141</v>
      </c>
      <c r="R153" s="3" t="s">
        <v>142</v>
      </c>
      <c r="S153" s="3" t="s">
        <v>34</v>
      </c>
      <c r="T153" s="157">
        <v>2.7879999999999998</v>
      </c>
      <c r="U153" s="3" t="s">
        <v>162</v>
      </c>
      <c r="V153" s="168">
        <v>2.5000000000000001E-2</v>
      </c>
      <c r="W153" s="168">
        <v>4.9959999999999997E-2</v>
      </c>
      <c r="X153" s="5" t="s">
        <v>144</v>
      </c>
      <c r="Y153" s="5" t="s">
        <v>139</v>
      </c>
      <c r="Z153" s="157">
        <v>19335.419999999998</v>
      </c>
      <c r="AA153" s="166">
        <v>1</v>
      </c>
      <c r="AB153" s="176">
        <v>93.71</v>
      </c>
      <c r="AD153" s="157">
        <v>18.119</v>
      </c>
      <c r="AG153" s="3" t="s">
        <v>36</v>
      </c>
      <c r="AH153" s="168">
        <v>2.9E-5</v>
      </c>
      <c r="AI153" s="168">
        <v>1.29748395069464E-2</v>
      </c>
      <c r="AJ153" s="168">
        <v>2.19061098915107E-3</v>
      </c>
    </row>
    <row r="154" spans="1:36">
      <c r="A154" s="3">
        <v>419</v>
      </c>
      <c r="B154" s="3">
        <v>1472</v>
      </c>
      <c r="C154" s="3" t="s">
        <v>163</v>
      </c>
      <c r="D154" s="3" t="s">
        <v>164</v>
      </c>
      <c r="E154" s="5" t="s">
        <v>165</v>
      </c>
      <c r="F154" s="3" t="s">
        <v>166</v>
      </c>
      <c r="G154" s="3" t="s">
        <v>167</v>
      </c>
      <c r="H154" s="3" t="s">
        <v>135</v>
      </c>
      <c r="I154" s="3" t="s">
        <v>161</v>
      </c>
      <c r="J154" s="3" t="s">
        <v>30</v>
      </c>
      <c r="K154" s="3" t="s">
        <v>168</v>
      </c>
      <c r="L154" s="3" t="s">
        <v>169</v>
      </c>
      <c r="M154" s="3" t="s">
        <v>31</v>
      </c>
      <c r="N154" s="3" t="s">
        <v>170</v>
      </c>
      <c r="O154" s="3" t="s">
        <v>139</v>
      </c>
      <c r="P154" s="3" t="s">
        <v>171</v>
      </c>
      <c r="Q154" s="3" t="s">
        <v>172</v>
      </c>
      <c r="R154" s="3" t="s">
        <v>142</v>
      </c>
      <c r="S154" s="3" t="s">
        <v>34</v>
      </c>
      <c r="T154" s="157">
        <v>0</v>
      </c>
      <c r="U154" s="3" t="s">
        <v>173</v>
      </c>
      <c r="V154" s="168">
        <v>0.03</v>
      </c>
      <c r="W154" s="168">
        <v>0</v>
      </c>
      <c r="X154" s="5" t="s">
        <v>144</v>
      </c>
      <c r="Y154" s="5" t="s">
        <v>139</v>
      </c>
      <c r="Z154" s="157">
        <v>1570.9</v>
      </c>
      <c r="AA154" s="166">
        <v>1</v>
      </c>
      <c r="AB154" s="176">
        <v>0.01</v>
      </c>
      <c r="AD154" s="157">
        <v>0</v>
      </c>
      <c r="AG154" s="3" t="s">
        <v>36</v>
      </c>
      <c r="AH154" s="168">
        <v>0</v>
      </c>
      <c r="AI154" s="168">
        <v>1.12489240924478E-7</v>
      </c>
      <c r="AJ154" s="168">
        <v>1.8992155332518399E-8</v>
      </c>
    </row>
    <row r="155" spans="1:36">
      <c r="A155" s="3">
        <v>419</v>
      </c>
      <c r="B155" s="3">
        <v>1472</v>
      </c>
      <c r="C155" s="3" t="s">
        <v>174</v>
      </c>
      <c r="D155" s="3" t="s">
        <v>175</v>
      </c>
      <c r="E155" s="5" t="s">
        <v>132</v>
      </c>
      <c r="F155" s="3" t="s">
        <v>176</v>
      </c>
      <c r="G155" s="3" t="s">
        <v>177</v>
      </c>
      <c r="H155" s="3" t="s">
        <v>135</v>
      </c>
      <c r="I155" s="3" t="s">
        <v>161</v>
      </c>
      <c r="J155" s="3" t="s">
        <v>30</v>
      </c>
      <c r="K155" s="3" t="s">
        <v>30</v>
      </c>
      <c r="L155" s="3" t="s">
        <v>137</v>
      </c>
      <c r="M155" s="3" t="s">
        <v>31</v>
      </c>
      <c r="N155" s="3" t="s">
        <v>178</v>
      </c>
      <c r="O155" s="3" t="s">
        <v>139</v>
      </c>
      <c r="P155" s="3" t="s">
        <v>179</v>
      </c>
      <c r="Q155" s="3" t="s">
        <v>172</v>
      </c>
      <c r="R155" s="3" t="s">
        <v>142</v>
      </c>
      <c r="S155" s="3" t="s">
        <v>34</v>
      </c>
      <c r="T155" s="157">
        <v>1.6819999999999999</v>
      </c>
      <c r="U155" s="3" t="s">
        <v>180</v>
      </c>
      <c r="V155" s="168">
        <v>2.5499999999999998E-2</v>
      </c>
      <c r="W155" s="168">
        <v>5.1679999999999997E-2</v>
      </c>
      <c r="X155" s="5" t="s">
        <v>144</v>
      </c>
      <c r="Y155" s="5" t="s">
        <v>139</v>
      </c>
      <c r="Z155" s="157">
        <v>0.2</v>
      </c>
      <c r="AA155" s="166">
        <v>1</v>
      </c>
      <c r="AB155" s="176">
        <v>96.49</v>
      </c>
      <c r="AD155" s="157">
        <v>0</v>
      </c>
      <c r="AG155" s="3" t="s">
        <v>36</v>
      </c>
      <c r="AH155" s="168">
        <v>0</v>
      </c>
      <c r="AI155" s="168">
        <v>1.3818940552298499E-7</v>
      </c>
      <c r="AJ155" s="168">
        <v>2.3331250468326398E-8</v>
      </c>
    </row>
    <row r="156" spans="1:36">
      <c r="A156" s="3">
        <v>419</v>
      </c>
      <c r="B156" s="3">
        <v>1472</v>
      </c>
      <c r="C156" s="3" t="s">
        <v>181</v>
      </c>
      <c r="D156" s="3" t="s">
        <v>182</v>
      </c>
      <c r="E156" s="5" t="s">
        <v>132</v>
      </c>
      <c r="F156" s="3" t="s">
        <v>183</v>
      </c>
      <c r="G156" s="3" t="s">
        <v>184</v>
      </c>
      <c r="H156" s="3" t="s">
        <v>135</v>
      </c>
      <c r="I156" s="3" t="s">
        <v>161</v>
      </c>
      <c r="J156" s="3" t="s">
        <v>30</v>
      </c>
      <c r="K156" s="3" t="s">
        <v>30</v>
      </c>
      <c r="L156" s="3" t="s">
        <v>137</v>
      </c>
      <c r="M156" s="3" t="s">
        <v>31</v>
      </c>
      <c r="N156" s="3" t="s">
        <v>185</v>
      </c>
      <c r="O156" s="3" t="s">
        <v>139</v>
      </c>
      <c r="P156" s="3" t="s">
        <v>186</v>
      </c>
      <c r="Q156" s="3" t="s">
        <v>172</v>
      </c>
      <c r="R156" s="3" t="s">
        <v>142</v>
      </c>
      <c r="S156" s="3" t="s">
        <v>34</v>
      </c>
      <c r="T156" s="157">
        <v>5.9370000000000003</v>
      </c>
      <c r="U156" s="3" t="s">
        <v>187</v>
      </c>
      <c r="V156" s="168">
        <v>5.1299999999999998E-2</v>
      </c>
      <c r="W156" s="168">
        <v>5.1470000000000002E-2</v>
      </c>
      <c r="X156" s="5" t="s">
        <v>144</v>
      </c>
      <c r="Y156" s="5" t="s">
        <v>139</v>
      </c>
      <c r="Z156" s="157">
        <v>17000</v>
      </c>
      <c r="AA156" s="166">
        <v>1</v>
      </c>
      <c r="AB156" s="176">
        <v>100.43</v>
      </c>
      <c r="AD156" s="157">
        <v>17.073</v>
      </c>
      <c r="AG156" s="3" t="s">
        <v>36</v>
      </c>
      <c r="AH156" s="168">
        <v>5.0000000000000002E-5</v>
      </c>
      <c r="AI156" s="168">
        <v>1.22257308500077E-2</v>
      </c>
      <c r="AJ156" s="168">
        <v>2.0641350003667899E-3</v>
      </c>
    </row>
    <row r="157" spans="1:36">
      <c r="A157" s="3">
        <v>419</v>
      </c>
      <c r="B157" s="3">
        <v>1472</v>
      </c>
      <c r="C157" s="3" t="s">
        <v>181</v>
      </c>
      <c r="D157" s="3" t="s">
        <v>182</v>
      </c>
      <c r="E157" s="5" t="s">
        <v>132</v>
      </c>
      <c r="F157" s="3" t="s">
        <v>188</v>
      </c>
      <c r="G157" s="3" t="s">
        <v>189</v>
      </c>
      <c r="H157" s="3" t="s">
        <v>135</v>
      </c>
      <c r="I157" s="3" t="s">
        <v>161</v>
      </c>
      <c r="J157" s="3" t="s">
        <v>30</v>
      </c>
      <c r="K157" s="3" t="s">
        <v>30</v>
      </c>
      <c r="L157" s="3" t="s">
        <v>137</v>
      </c>
      <c r="M157" s="3" t="s">
        <v>31</v>
      </c>
      <c r="N157" s="3" t="s">
        <v>185</v>
      </c>
      <c r="O157" s="3" t="s">
        <v>139</v>
      </c>
      <c r="P157" s="3" t="s">
        <v>186</v>
      </c>
      <c r="Q157" s="3" t="s">
        <v>172</v>
      </c>
      <c r="R157" s="3" t="s">
        <v>142</v>
      </c>
      <c r="S157" s="3" t="s">
        <v>34</v>
      </c>
      <c r="T157" s="157">
        <v>3.0779999999999998</v>
      </c>
      <c r="U157" s="3" t="s">
        <v>190</v>
      </c>
      <c r="V157" s="168">
        <v>2.18E-2</v>
      </c>
      <c r="W157" s="168">
        <v>4.58E-2</v>
      </c>
      <c r="X157" s="5" t="s">
        <v>144</v>
      </c>
      <c r="Y157" s="5" t="s">
        <v>139</v>
      </c>
      <c r="Z157" s="157">
        <v>37000</v>
      </c>
      <c r="AA157" s="166">
        <v>1</v>
      </c>
      <c r="AB157" s="176">
        <v>93.75</v>
      </c>
      <c r="AD157" s="157">
        <v>34.688000000000002</v>
      </c>
      <c r="AG157" s="3" t="s">
        <v>36</v>
      </c>
      <c r="AH157" s="168">
        <v>2.2499999999999999E-4</v>
      </c>
      <c r="AI157" s="168">
        <v>2.4839076609382001E-2</v>
      </c>
      <c r="AJ157" s="168">
        <v>4.1937130822887001E-3</v>
      </c>
    </row>
    <row r="158" spans="1:36">
      <c r="A158" s="3">
        <v>419</v>
      </c>
      <c r="B158" s="3">
        <v>1472</v>
      </c>
      <c r="C158" s="3" t="s">
        <v>205</v>
      </c>
      <c r="D158" s="3" t="s">
        <v>206</v>
      </c>
      <c r="E158" s="5" t="s">
        <v>132</v>
      </c>
      <c r="F158" s="3" t="s">
        <v>207</v>
      </c>
      <c r="G158" s="3" t="s">
        <v>208</v>
      </c>
      <c r="H158" s="3" t="s">
        <v>135</v>
      </c>
      <c r="I158" s="3" t="s">
        <v>161</v>
      </c>
      <c r="J158" s="3" t="s">
        <v>30</v>
      </c>
      <c r="K158" s="3" t="s">
        <v>30</v>
      </c>
      <c r="L158" s="3" t="s">
        <v>137</v>
      </c>
      <c r="M158" s="3" t="s">
        <v>31</v>
      </c>
      <c r="N158" s="3" t="s">
        <v>204</v>
      </c>
      <c r="O158" s="3" t="s">
        <v>139</v>
      </c>
      <c r="P158" s="3" t="s">
        <v>151</v>
      </c>
      <c r="Q158" s="3" t="s">
        <v>141</v>
      </c>
      <c r="R158" s="3" t="s">
        <v>142</v>
      </c>
      <c r="S158" s="3" t="s">
        <v>34</v>
      </c>
      <c r="T158" s="157">
        <v>3.4430000000000001</v>
      </c>
      <c r="U158" s="3" t="s">
        <v>209</v>
      </c>
      <c r="V158" s="168">
        <v>2.41E-2</v>
      </c>
      <c r="W158" s="168">
        <v>4.8230000000000002E-2</v>
      </c>
      <c r="X158" s="5" t="s">
        <v>144</v>
      </c>
      <c r="Y158" s="5" t="s">
        <v>139</v>
      </c>
      <c r="Z158" s="157">
        <v>0.78</v>
      </c>
      <c r="AA158" s="166">
        <v>1</v>
      </c>
      <c r="AB158" s="176">
        <v>93.59</v>
      </c>
      <c r="AD158" s="157">
        <v>1E-3</v>
      </c>
      <c r="AG158" s="3" t="s">
        <v>36</v>
      </c>
      <c r="AH158" s="168">
        <v>0</v>
      </c>
      <c r="AI158" s="168">
        <v>5.2274091828474503E-7</v>
      </c>
      <c r="AJ158" s="168">
        <v>8.8257122522433603E-8</v>
      </c>
    </row>
    <row r="159" spans="1:36">
      <c r="A159" s="3">
        <v>419</v>
      </c>
      <c r="B159" s="3">
        <v>1472</v>
      </c>
      <c r="C159" s="3" t="s">
        <v>213</v>
      </c>
      <c r="D159" s="3" t="s">
        <v>214</v>
      </c>
      <c r="E159" s="5" t="s">
        <v>132</v>
      </c>
      <c r="F159" s="3" t="s">
        <v>215</v>
      </c>
      <c r="G159" s="3" t="s">
        <v>216</v>
      </c>
      <c r="H159" s="3" t="s">
        <v>135</v>
      </c>
      <c r="I159" s="3" t="s">
        <v>161</v>
      </c>
      <c r="J159" s="3" t="s">
        <v>30</v>
      </c>
      <c r="K159" s="3" t="s">
        <v>30</v>
      </c>
      <c r="L159" s="3" t="s">
        <v>137</v>
      </c>
      <c r="M159" s="3" t="s">
        <v>31</v>
      </c>
      <c r="N159" s="3" t="s">
        <v>217</v>
      </c>
      <c r="O159" s="3" t="s">
        <v>139</v>
      </c>
      <c r="P159" s="3" t="s">
        <v>140</v>
      </c>
      <c r="Q159" s="3" t="s">
        <v>141</v>
      </c>
      <c r="R159" s="3" t="s">
        <v>142</v>
      </c>
      <c r="S159" s="3" t="s">
        <v>34</v>
      </c>
      <c r="T159" s="157">
        <v>0.72199999999999998</v>
      </c>
      <c r="U159" s="3" t="s">
        <v>218</v>
      </c>
      <c r="V159" s="168">
        <v>0.04</v>
      </c>
      <c r="W159" s="168">
        <v>5.2479999999999999E-2</v>
      </c>
      <c r="X159" s="5" t="s">
        <v>144</v>
      </c>
      <c r="Y159" s="5" t="s">
        <v>139</v>
      </c>
      <c r="Z159" s="157">
        <v>200</v>
      </c>
      <c r="AA159" s="166">
        <v>1</v>
      </c>
      <c r="AB159" s="176">
        <v>100.23</v>
      </c>
      <c r="AD159" s="157">
        <v>0.2</v>
      </c>
      <c r="AG159" s="3" t="s">
        <v>36</v>
      </c>
      <c r="AH159" s="168">
        <v>3.0000000000000001E-6</v>
      </c>
      <c r="AI159" s="168">
        <v>1.4354569505201401E-4</v>
      </c>
      <c r="AJ159" s="168">
        <v>2.4235581246143201E-5</v>
      </c>
    </row>
    <row r="160" spans="1:36">
      <c r="A160" s="3">
        <v>419</v>
      </c>
      <c r="B160" s="3">
        <v>1472</v>
      </c>
      <c r="C160" s="3" t="s">
        <v>213</v>
      </c>
      <c r="D160" s="3" t="s">
        <v>214</v>
      </c>
      <c r="E160" s="5" t="s">
        <v>132</v>
      </c>
      <c r="F160" s="3" t="s">
        <v>219</v>
      </c>
      <c r="G160" s="3" t="s">
        <v>220</v>
      </c>
      <c r="H160" s="3" t="s">
        <v>135</v>
      </c>
      <c r="I160" s="3" t="s">
        <v>161</v>
      </c>
      <c r="J160" s="3" t="s">
        <v>30</v>
      </c>
      <c r="K160" s="3" t="s">
        <v>30</v>
      </c>
      <c r="L160" s="3" t="s">
        <v>137</v>
      </c>
      <c r="M160" s="3" t="s">
        <v>31</v>
      </c>
      <c r="N160" s="3" t="s">
        <v>217</v>
      </c>
      <c r="O160" s="3" t="s">
        <v>139</v>
      </c>
      <c r="P160" s="3" t="s">
        <v>140</v>
      </c>
      <c r="Q160" s="3" t="s">
        <v>141</v>
      </c>
      <c r="R160" s="3" t="s">
        <v>142</v>
      </c>
      <c r="S160" s="3" t="s">
        <v>34</v>
      </c>
      <c r="T160" s="157">
        <v>2.5489999999999999</v>
      </c>
      <c r="U160" s="3" t="s">
        <v>221</v>
      </c>
      <c r="V160" s="168">
        <v>0.04</v>
      </c>
      <c r="W160" s="168">
        <v>4.802E-2</v>
      </c>
      <c r="X160" s="5" t="s">
        <v>144</v>
      </c>
      <c r="Y160" s="5" t="s">
        <v>139</v>
      </c>
      <c r="Z160" s="157">
        <v>12750</v>
      </c>
      <c r="AA160" s="166">
        <v>1</v>
      </c>
      <c r="AB160" s="176">
        <v>99.07</v>
      </c>
      <c r="AD160" s="157">
        <v>12.631</v>
      </c>
      <c r="AG160" s="3" t="s">
        <v>36</v>
      </c>
      <c r="AH160" s="168">
        <v>2.1999999999999999E-5</v>
      </c>
      <c r="AI160" s="168">
        <v>9.0451296075146192E-3</v>
      </c>
      <c r="AJ160" s="168">
        <v>1.5271372186075199E-3</v>
      </c>
    </row>
    <row r="161" spans="1:36">
      <c r="A161" s="3">
        <v>419</v>
      </c>
      <c r="B161" s="3">
        <v>1472</v>
      </c>
      <c r="C161" s="3" t="s">
        <v>236</v>
      </c>
      <c r="D161" s="3" t="s">
        <v>237</v>
      </c>
      <c r="E161" s="5" t="s">
        <v>132</v>
      </c>
      <c r="F161" s="3" t="s">
        <v>238</v>
      </c>
      <c r="G161" s="3" t="s">
        <v>239</v>
      </c>
      <c r="H161" s="3" t="s">
        <v>135</v>
      </c>
      <c r="I161" s="3" t="s">
        <v>161</v>
      </c>
      <c r="J161" s="3" t="s">
        <v>30</v>
      </c>
      <c r="K161" s="3" t="s">
        <v>30</v>
      </c>
      <c r="L161" s="3" t="s">
        <v>137</v>
      </c>
      <c r="M161" s="3" t="s">
        <v>240</v>
      </c>
      <c r="N161" s="3" t="s">
        <v>241</v>
      </c>
      <c r="O161" s="3" t="s">
        <v>139</v>
      </c>
      <c r="P161" s="3" t="s">
        <v>186</v>
      </c>
      <c r="Q161" s="3" t="s">
        <v>172</v>
      </c>
      <c r="R161" s="3" t="s">
        <v>142</v>
      </c>
      <c r="S161" s="3" t="s">
        <v>34</v>
      </c>
      <c r="T161" s="157">
        <v>5.5110000000000001</v>
      </c>
      <c r="U161" s="3" t="s">
        <v>242</v>
      </c>
      <c r="V161" s="168">
        <v>0.05</v>
      </c>
      <c r="W161" s="168">
        <v>5.1290000000000002E-2</v>
      </c>
      <c r="X161" s="5" t="s">
        <v>144</v>
      </c>
      <c r="Y161" s="5" t="s">
        <v>139</v>
      </c>
      <c r="Z161" s="157">
        <v>15000</v>
      </c>
      <c r="AA161" s="166">
        <v>1</v>
      </c>
      <c r="AB161" s="176">
        <v>100.11</v>
      </c>
      <c r="AD161" s="157">
        <v>15.016999999999999</v>
      </c>
      <c r="AG161" s="3" t="s">
        <v>36</v>
      </c>
      <c r="AH161" s="168">
        <v>3.1999999999999999E-5</v>
      </c>
      <c r="AI161" s="168">
        <v>1.0753037662119901E-2</v>
      </c>
      <c r="AJ161" s="168">
        <v>1.8154923964018199E-3</v>
      </c>
    </row>
    <row r="162" spans="1:36">
      <c r="A162" s="3">
        <v>419</v>
      </c>
      <c r="B162" s="3">
        <v>1472</v>
      </c>
      <c r="C162" s="3" t="s">
        <v>236</v>
      </c>
      <c r="D162" s="3" t="s">
        <v>237</v>
      </c>
      <c r="E162" s="5" t="s">
        <v>132</v>
      </c>
      <c r="F162" s="3" t="s">
        <v>243</v>
      </c>
      <c r="G162" s="3" t="s">
        <v>244</v>
      </c>
      <c r="H162" s="3" t="s">
        <v>135</v>
      </c>
      <c r="I162" s="3" t="s">
        <v>161</v>
      </c>
      <c r="J162" s="3" t="s">
        <v>30</v>
      </c>
      <c r="K162" s="3" t="s">
        <v>168</v>
      </c>
      <c r="L162" s="3" t="s">
        <v>137</v>
      </c>
      <c r="M162" s="3" t="s">
        <v>31</v>
      </c>
      <c r="N162" s="3" t="s">
        <v>241</v>
      </c>
      <c r="O162" s="3" t="s">
        <v>139</v>
      </c>
      <c r="P162" s="3" t="s">
        <v>186</v>
      </c>
      <c r="Q162" s="3" t="s">
        <v>172</v>
      </c>
      <c r="R162" s="3" t="s">
        <v>142</v>
      </c>
      <c r="S162" s="3" t="s">
        <v>34</v>
      </c>
      <c r="T162" s="157">
        <v>2.8079999999999998</v>
      </c>
      <c r="U162" s="3" t="s">
        <v>245</v>
      </c>
      <c r="V162" s="168">
        <v>1.4999999999999999E-2</v>
      </c>
      <c r="W162" s="168">
        <v>5.0139999999999997E-2</v>
      </c>
      <c r="X162" s="5" t="s">
        <v>144</v>
      </c>
      <c r="Y162" s="5" t="s">
        <v>139</v>
      </c>
      <c r="Z162" s="157">
        <v>17657</v>
      </c>
      <c r="AA162" s="166">
        <v>1</v>
      </c>
      <c r="AB162" s="176">
        <v>90.97</v>
      </c>
      <c r="AD162" s="157">
        <v>16.062999999999999</v>
      </c>
      <c r="AG162" s="3" t="s">
        <v>36</v>
      </c>
      <c r="AH162" s="168">
        <v>1.5E-5</v>
      </c>
      <c r="AI162" s="168">
        <v>1.1502111100738999E-2</v>
      </c>
      <c r="AJ162" s="168">
        <v>1.9419624390903301E-3</v>
      </c>
    </row>
    <row r="163" spans="1:36">
      <c r="A163" s="3">
        <v>419</v>
      </c>
      <c r="B163" s="3">
        <v>1472</v>
      </c>
      <c r="C163" s="3" t="s">
        <v>252</v>
      </c>
      <c r="D163" s="3" t="s">
        <v>253</v>
      </c>
      <c r="E163" s="5" t="s">
        <v>132</v>
      </c>
      <c r="F163" s="3" t="s">
        <v>254</v>
      </c>
      <c r="G163" s="3" t="s">
        <v>255</v>
      </c>
      <c r="H163" s="3" t="s">
        <v>135</v>
      </c>
      <c r="I163" s="3" t="s">
        <v>149</v>
      </c>
      <c r="J163" s="3" t="s">
        <v>30</v>
      </c>
      <c r="K163" s="3" t="s">
        <v>30</v>
      </c>
      <c r="L163" s="3" t="s">
        <v>137</v>
      </c>
      <c r="M163" s="3" t="s">
        <v>31</v>
      </c>
      <c r="N163" s="3" t="s">
        <v>170</v>
      </c>
      <c r="O163" s="3" t="s">
        <v>139</v>
      </c>
      <c r="P163" s="3" t="s">
        <v>140</v>
      </c>
      <c r="Q163" s="3" t="s">
        <v>141</v>
      </c>
      <c r="R163" s="3" t="s">
        <v>142</v>
      </c>
      <c r="S163" s="3" t="s">
        <v>34</v>
      </c>
      <c r="T163" s="157">
        <v>0.79300000000000004</v>
      </c>
      <c r="U163" s="3" t="s">
        <v>256</v>
      </c>
      <c r="V163" s="168">
        <v>2.5700000000000001E-2</v>
      </c>
      <c r="W163" s="168">
        <v>4.0009999999999997E-2</v>
      </c>
      <c r="X163" s="5" t="s">
        <v>144</v>
      </c>
      <c r="Y163" s="5" t="s">
        <v>139</v>
      </c>
      <c r="Z163" s="157">
        <v>8705.5300000000007</v>
      </c>
      <c r="AA163" s="166">
        <v>1</v>
      </c>
      <c r="AB163" s="176">
        <v>119.85</v>
      </c>
      <c r="AD163" s="157">
        <v>10.433999999999999</v>
      </c>
      <c r="AG163" s="3" t="s">
        <v>36</v>
      </c>
      <c r="AH163" s="168">
        <v>7.9999999999999996E-6</v>
      </c>
      <c r="AI163" s="168">
        <v>7.4712918464702096E-3</v>
      </c>
      <c r="AJ163" s="168">
        <v>1.2614178397559401E-3</v>
      </c>
    </row>
    <row r="164" spans="1:36">
      <c r="A164" s="3">
        <v>419</v>
      </c>
      <c r="B164" s="3">
        <v>1472</v>
      </c>
      <c r="C164" s="3" t="s">
        <v>252</v>
      </c>
      <c r="D164" s="3" t="s">
        <v>253</v>
      </c>
      <c r="E164" s="5" t="s">
        <v>132</v>
      </c>
      <c r="F164" s="3" t="s">
        <v>257</v>
      </c>
      <c r="G164" s="3" t="s">
        <v>258</v>
      </c>
      <c r="H164" s="3" t="s">
        <v>135</v>
      </c>
      <c r="I164" s="3" t="s">
        <v>149</v>
      </c>
      <c r="J164" s="3" t="s">
        <v>30</v>
      </c>
      <c r="K164" s="3" t="s">
        <v>30</v>
      </c>
      <c r="L164" s="3" t="s">
        <v>137</v>
      </c>
      <c r="M164" s="3" t="s">
        <v>31</v>
      </c>
      <c r="N164" s="3" t="s">
        <v>170</v>
      </c>
      <c r="O164" s="3" t="s">
        <v>139</v>
      </c>
      <c r="P164" s="3" t="s">
        <v>140</v>
      </c>
      <c r="Q164" s="3" t="s">
        <v>141</v>
      </c>
      <c r="R164" s="3" t="s">
        <v>142</v>
      </c>
      <c r="S164" s="3" t="s">
        <v>34</v>
      </c>
      <c r="T164" s="157">
        <v>4.226</v>
      </c>
      <c r="U164" s="3" t="s">
        <v>259</v>
      </c>
      <c r="V164" s="168">
        <v>1.54E-2</v>
      </c>
      <c r="W164" s="168">
        <v>3.075E-2</v>
      </c>
      <c r="X164" s="5" t="s">
        <v>144</v>
      </c>
      <c r="Y164" s="5" t="s">
        <v>139</v>
      </c>
      <c r="Z164" s="157">
        <v>30000</v>
      </c>
      <c r="AA164" s="166">
        <v>1</v>
      </c>
      <c r="AB164" s="176">
        <v>108.24</v>
      </c>
      <c r="AD164" s="157">
        <v>32.472000000000001</v>
      </c>
      <c r="AG164" s="3" t="s">
        <v>36</v>
      </c>
      <c r="AH164" s="168">
        <v>5.0000000000000002E-5</v>
      </c>
      <c r="AI164" s="168">
        <v>2.3252598073076901E-2</v>
      </c>
      <c r="AJ164" s="168">
        <v>3.9258594942869502E-3</v>
      </c>
    </row>
    <row r="165" spans="1:36">
      <c r="A165" s="3">
        <v>419</v>
      </c>
      <c r="B165" s="3">
        <v>1472</v>
      </c>
      <c r="C165" s="3" t="s">
        <v>252</v>
      </c>
      <c r="D165" s="3" t="s">
        <v>253</v>
      </c>
      <c r="E165" s="5" t="s">
        <v>132</v>
      </c>
      <c r="F165" s="3" t="s">
        <v>260</v>
      </c>
      <c r="G165" s="3" t="s">
        <v>261</v>
      </c>
      <c r="H165" s="3" t="s">
        <v>135</v>
      </c>
      <c r="I165" s="3" t="s">
        <v>149</v>
      </c>
      <c r="J165" s="3" t="s">
        <v>30</v>
      </c>
      <c r="K165" s="3" t="s">
        <v>30</v>
      </c>
      <c r="L165" s="3" t="s">
        <v>137</v>
      </c>
      <c r="M165" s="3" t="s">
        <v>31</v>
      </c>
      <c r="N165" s="3" t="s">
        <v>170</v>
      </c>
      <c r="O165" s="3" t="s">
        <v>139</v>
      </c>
      <c r="P165" s="3" t="s">
        <v>140</v>
      </c>
      <c r="Q165" s="3" t="s">
        <v>141</v>
      </c>
      <c r="R165" s="3" t="s">
        <v>142</v>
      </c>
      <c r="S165" s="3" t="s">
        <v>34</v>
      </c>
      <c r="T165" s="157">
        <v>6.452</v>
      </c>
      <c r="U165" s="3" t="s">
        <v>262</v>
      </c>
      <c r="V165" s="168">
        <v>4.02E-2</v>
      </c>
      <c r="W165" s="168">
        <v>3.3029999999999997E-2</v>
      </c>
      <c r="X165" s="5" t="s">
        <v>144</v>
      </c>
      <c r="Y165" s="5" t="s">
        <v>139</v>
      </c>
      <c r="Z165" s="157">
        <v>15000</v>
      </c>
      <c r="AA165" s="166">
        <v>1</v>
      </c>
      <c r="AB165" s="176">
        <v>108.86</v>
      </c>
      <c r="AD165" s="157">
        <v>16.329000000000001</v>
      </c>
      <c r="AG165" s="3" t="s">
        <v>36</v>
      </c>
      <c r="AH165" s="168">
        <v>1.9000000000000001E-5</v>
      </c>
      <c r="AI165" s="168">
        <v>1.16928946149074E-2</v>
      </c>
      <c r="AJ165" s="168">
        <v>1.9741734319478799E-3</v>
      </c>
    </row>
    <row r="166" spans="1:36">
      <c r="A166" s="3">
        <v>419</v>
      </c>
      <c r="B166" s="3">
        <v>1472</v>
      </c>
      <c r="C166" s="3" t="s">
        <v>200</v>
      </c>
      <c r="D166" s="3" t="s">
        <v>201</v>
      </c>
      <c r="E166" s="5" t="s">
        <v>132</v>
      </c>
      <c r="F166" s="3" t="s">
        <v>268</v>
      </c>
      <c r="G166" s="3" t="s">
        <v>269</v>
      </c>
      <c r="H166" s="3" t="s">
        <v>135</v>
      </c>
      <c r="I166" s="3" t="s">
        <v>149</v>
      </c>
      <c r="J166" s="3" t="s">
        <v>30</v>
      </c>
      <c r="K166" s="3" t="s">
        <v>30</v>
      </c>
      <c r="L166" s="3" t="s">
        <v>137</v>
      </c>
      <c r="M166" s="3" t="s">
        <v>31</v>
      </c>
      <c r="N166" s="3" t="s">
        <v>204</v>
      </c>
      <c r="O166" s="3" t="s">
        <v>139</v>
      </c>
      <c r="P166" s="3" t="s">
        <v>198</v>
      </c>
      <c r="Q166" s="3" t="s">
        <v>141</v>
      </c>
      <c r="R166" s="3" t="s">
        <v>142</v>
      </c>
      <c r="S166" s="3" t="s">
        <v>34</v>
      </c>
      <c r="T166" s="157">
        <v>4.8460000000000001</v>
      </c>
      <c r="U166" s="3" t="s">
        <v>270</v>
      </c>
      <c r="V166" s="168">
        <v>6.4999999999999997E-3</v>
      </c>
      <c r="W166" s="168">
        <v>2.8850000000000001E-2</v>
      </c>
      <c r="X166" s="5" t="s">
        <v>144</v>
      </c>
      <c r="Y166" s="5" t="s">
        <v>139</v>
      </c>
      <c r="Z166" s="157">
        <v>15320.32</v>
      </c>
      <c r="AA166" s="166">
        <v>1</v>
      </c>
      <c r="AB166" s="176">
        <v>105.89</v>
      </c>
      <c r="AD166" s="157">
        <v>16.222999999999999</v>
      </c>
      <c r="AG166" s="3" t="s">
        <v>36</v>
      </c>
      <c r="AH166" s="168">
        <v>6.9999999999999999E-6</v>
      </c>
      <c r="AI166" s="168">
        <v>1.1616765734846501E-2</v>
      </c>
      <c r="AJ166" s="168">
        <v>1.9613201892419601E-3</v>
      </c>
    </row>
    <row r="167" spans="1:36">
      <c r="A167" s="3">
        <v>419</v>
      </c>
      <c r="B167" s="3">
        <v>1472</v>
      </c>
      <c r="C167" s="3" t="s">
        <v>274</v>
      </c>
      <c r="D167" s="3" t="s">
        <v>275</v>
      </c>
      <c r="E167" s="5" t="s">
        <v>132</v>
      </c>
      <c r="F167" s="3" t="s">
        <v>276</v>
      </c>
      <c r="G167" s="3" t="s">
        <v>277</v>
      </c>
      <c r="H167" s="3" t="s">
        <v>135</v>
      </c>
      <c r="I167" s="3" t="s">
        <v>149</v>
      </c>
      <c r="J167" s="3" t="s">
        <v>30</v>
      </c>
      <c r="K167" s="3" t="s">
        <v>30</v>
      </c>
      <c r="L167" s="3" t="s">
        <v>137</v>
      </c>
      <c r="M167" s="3" t="s">
        <v>31</v>
      </c>
      <c r="N167" s="3" t="s">
        <v>204</v>
      </c>
      <c r="O167" s="3" t="s">
        <v>139</v>
      </c>
      <c r="P167" s="3" t="s">
        <v>250</v>
      </c>
      <c r="Q167" s="3" t="s">
        <v>141</v>
      </c>
      <c r="R167" s="3" t="s">
        <v>142</v>
      </c>
      <c r="S167" s="3" t="s">
        <v>34</v>
      </c>
      <c r="T167" s="157">
        <v>5.3049999999999997</v>
      </c>
      <c r="U167" s="3" t="s">
        <v>278</v>
      </c>
      <c r="V167" s="168">
        <v>3.6799999999999999E-2</v>
      </c>
      <c r="W167" s="168">
        <v>3.2320000000000002E-2</v>
      </c>
      <c r="X167" s="5" t="s">
        <v>144</v>
      </c>
      <c r="Y167" s="5" t="s">
        <v>139</v>
      </c>
      <c r="Z167" s="157">
        <v>13000</v>
      </c>
      <c r="AA167" s="166">
        <v>1</v>
      </c>
      <c r="AB167" s="176">
        <v>110.18</v>
      </c>
      <c r="AD167" s="157">
        <v>14.323</v>
      </c>
      <c r="AG167" s="3" t="s">
        <v>36</v>
      </c>
      <c r="AH167" s="168">
        <v>2.9E-5</v>
      </c>
      <c r="AI167" s="168">
        <v>1.0256721582899401E-2</v>
      </c>
      <c r="AJ167" s="168">
        <v>1.73169671964984E-3</v>
      </c>
    </row>
    <row r="168" spans="1:36">
      <c r="A168" s="3">
        <v>419</v>
      </c>
      <c r="B168" s="3">
        <v>1472</v>
      </c>
      <c r="C168" s="3" t="s">
        <v>282</v>
      </c>
      <c r="D168" s="3" t="s">
        <v>283</v>
      </c>
      <c r="E168" s="5" t="s">
        <v>132</v>
      </c>
      <c r="F168" s="3" t="s">
        <v>287</v>
      </c>
      <c r="G168" s="3" t="s">
        <v>288</v>
      </c>
      <c r="H168" s="3" t="s">
        <v>135</v>
      </c>
      <c r="I168" s="3" t="s">
        <v>149</v>
      </c>
      <c r="J168" s="3" t="s">
        <v>30</v>
      </c>
      <c r="K168" s="3" t="s">
        <v>30</v>
      </c>
      <c r="L168" s="3" t="s">
        <v>137</v>
      </c>
      <c r="M168" s="3" t="s">
        <v>31</v>
      </c>
      <c r="N168" s="3" t="s">
        <v>178</v>
      </c>
      <c r="O168" s="3" t="s">
        <v>139</v>
      </c>
      <c r="P168" s="3" t="s">
        <v>250</v>
      </c>
      <c r="Q168" s="3" t="s">
        <v>141</v>
      </c>
      <c r="R168" s="3" t="s">
        <v>142</v>
      </c>
      <c r="S168" s="3" t="s">
        <v>34</v>
      </c>
      <c r="T168" s="157">
        <v>4.6859999999999999</v>
      </c>
      <c r="U168" s="3" t="s">
        <v>267</v>
      </c>
      <c r="V168" s="168">
        <v>4.0800000000000003E-2</v>
      </c>
      <c r="W168" s="168">
        <v>3.4189999999999998E-2</v>
      </c>
      <c r="X168" s="5" t="s">
        <v>144</v>
      </c>
      <c r="Y168" s="5" t="s">
        <v>139</v>
      </c>
      <c r="Z168" s="157">
        <v>17000</v>
      </c>
      <c r="AA168" s="166">
        <v>1</v>
      </c>
      <c r="AB168" s="176">
        <v>111.71</v>
      </c>
      <c r="AD168" s="157">
        <v>18.991</v>
      </c>
      <c r="AG168" s="3" t="s">
        <v>36</v>
      </c>
      <c r="AH168" s="168">
        <v>2.0000000000000002E-5</v>
      </c>
      <c r="AI168" s="168">
        <v>1.35988887110859E-2</v>
      </c>
      <c r="AJ168" s="168">
        <v>2.2959725270434599E-3</v>
      </c>
    </row>
    <row r="169" spans="1:36">
      <c r="A169" s="3">
        <v>419</v>
      </c>
      <c r="B169" s="3">
        <v>1472</v>
      </c>
      <c r="C169" s="3" t="s">
        <v>750</v>
      </c>
      <c r="D169" s="3" t="s">
        <v>751</v>
      </c>
      <c r="E169" s="5" t="s">
        <v>132</v>
      </c>
      <c r="F169" s="3" t="s">
        <v>752</v>
      </c>
      <c r="G169" s="3" t="s">
        <v>753</v>
      </c>
      <c r="H169" s="3" t="s">
        <v>135</v>
      </c>
      <c r="I169" s="3" t="s">
        <v>161</v>
      </c>
      <c r="J169" s="3" t="s">
        <v>30</v>
      </c>
      <c r="K169" s="3" t="s">
        <v>30</v>
      </c>
      <c r="L169" s="3" t="s">
        <v>137</v>
      </c>
      <c r="M169" s="3" t="s">
        <v>31</v>
      </c>
      <c r="N169" s="3" t="s">
        <v>633</v>
      </c>
      <c r="O169" s="3" t="s">
        <v>139</v>
      </c>
      <c r="P169" s="3" t="s">
        <v>198</v>
      </c>
      <c r="Q169" s="3" t="s">
        <v>141</v>
      </c>
      <c r="R169" s="3" t="s">
        <v>142</v>
      </c>
      <c r="S169" s="3" t="s">
        <v>34</v>
      </c>
      <c r="T169" s="157">
        <v>0.153</v>
      </c>
      <c r="U169" s="3" t="s">
        <v>754</v>
      </c>
      <c r="V169" s="168">
        <v>3.6499999999999998E-2</v>
      </c>
      <c r="W169" s="168">
        <v>4.768E-2</v>
      </c>
      <c r="X169" s="5" t="s">
        <v>144</v>
      </c>
      <c r="Y169" s="5" t="s">
        <v>139</v>
      </c>
      <c r="Z169" s="157">
        <v>2996.63</v>
      </c>
      <c r="AA169" s="166">
        <v>1</v>
      </c>
      <c r="AB169" s="176">
        <v>101.1</v>
      </c>
      <c r="AD169" s="157">
        <v>3.03</v>
      </c>
      <c r="AG169" s="3" t="s">
        <v>36</v>
      </c>
      <c r="AH169" s="168">
        <v>6.0000000000000002E-6</v>
      </c>
      <c r="AI169" s="168">
        <v>2.1694354128580099E-3</v>
      </c>
      <c r="AJ169" s="168">
        <v>3.6627729022127098E-4</v>
      </c>
    </row>
    <row r="170" spans="1:36">
      <c r="A170" s="3">
        <v>419</v>
      </c>
      <c r="B170" s="3">
        <v>1472</v>
      </c>
      <c r="C170" s="3" t="s">
        <v>294</v>
      </c>
      <c r="D170" s="3" t="s">
        <v>295</v>
      </c>
      <c r="E170" s="5" t="s">
        <v>132</v>
      </c>
      <c r="F170" s="3" t="s">
        <v>755</v>
      </c>
      <c r="G170" s="3" t="s">
        <v>756</v>
      </c>
      <c r="H170" s="3" t="s">
        <v>135</v>
      </c>
      <c r="I170" s="3" t="s">
        <v>149</v>
      </c>
      <c r="J170" s="3" t="s">
        <v>30</v>
      </c>
      <c r="K170" s="3" t="s">
        <v>30</v>
      </c>
      <c r="L170" s="3" t="s">
        <v>137</v>
      </c>
      <c r="M170" s="3" t="s">
        <v>31</v>
      </c>
      <c r="N170" s="3" t="s">
        <v>204</v>
      </c>
      <c r="O170" s="3" t="s">
        <v>139</v>
      </c>
      <c r="P170" s="3" t="s">
        <v>298</v>
      </c>
      <c r="Q170" s="3" t="s">
        <v>172</v>
      </c>
      <c r="R170" s="3" t="s">
        <v>142</v>
      </c>
      <c r="S170" s="3" t="s">
        <v>34</v>
      </c>
      <c r="T170" s="157">
        <v>3.51</v>
      </c>
      <c r="U170" s="3" t="s">
        <v>757</v>
      </c>
      <c r="V170" s="168">
        <v>1.17E-2</v>
      </c>
      <c r="W170" s="168">
        <v>2.8479999999999998E-2</v>
      </c>
      <c r="X170" s="5" t="s">
        <v>144</v>
      </c>
      <c r="Y170" s="5" t="s">
        <v>139</v>
      </c>
      <c r="Z170" s="157">
        <v>12600</v>
      </c>
      <c r="AA170" s="166">
        <v>1</v>
      </c>
      <c r="AB170" s="176">
        <v>111.54</v>
      </c>
      <c r="AD170" s="157">
        <v>14.054</v>
      </c>
      <c r="AG170" s="3" t="s">
        <v>36</v>
      </c>
      <c r="AH170" s="168">
        <v>1.8E-5</v>
      </c>
      <c r="AI170" s="168">
        <v>1.0063837873335301E-2</v>
      </c>
      <c r="AJ170" s="168">
        <v>1.69913113966151E-3</v>
      </c>
    </row>
    <row r="171" spans="1:36">
      <c r="A171" s="3">
        <v>419</v>
      </c>
      <c r="B171" s="3">
        <v>1472</v>
      </c>
      <c r="C171" s="3" t="s">
        <v>294</v>
      </c>
      <c r="D171" s="3" t="s">
        <v>295</v>
      </c>
      <c r="E171" s="5" t="s">
        <v>132</v>
      </c>
      <c r="F171" s="3" t="s">
        <v>296</v>
      </c>
      <c r="G171" s="3" t="s">
        <v>297</v>
      </c>
      <c r="H171" s="3" t="s">
        <v>135</v>
      </c>
      <c r="I171" s="3" t="s">
        <v>149</v>
      </c>
      <c r="J171" s="3" t="s">
        <v>30</v>
      </c>
      <c r="K171" s="3" t="s">
        <v>30</v>
      </c>
      <c r="L171" s="3" t="s">
        <v>137</v>
      </c>
      <c r="M171" s="3" t="s">
        <v>31</v>
      </c>
      <c r="N171" s="3" t="s">
        <v>204</v>
      </c>
      <c r="O171" s="3" t="s">
        <v>139</v>
      </c>
      <c r="P171" s="3" t="s">
        <v>298</v>
      </c>
      <c r="Q171" s="3" t="s">
        <v>172</v>
      </c>
      <c r="R171" s="3" t="s">
        <v>142</v>
      </c>
      <c r="S171" s="3" t="s">
        <v>34</v>
      </c>
      <c r="T171" s="157">
        <v>3.524</v>
      </c>
      <c r="U171" s="3" t="s">
        <v>259</v>
      </c>
      <c r="V171" s="168">
        <v>1.3299999999999999E-2</v>
      </c>
      <c r="W171" s="168">
        <v>2.887E-2</v>
      </c>
      <c r="X171" s="5" t="s">
        <v>144</v>
      </c>
      <c r="Y171" s="5" t="s">
        <v>139</v>
      </c>
      <c r="Z171" s="157">
        <v>17100</v>
      </c>
      <c r="AA171" s="166">
        <v>1</v>
      </c>
      <c r="AB171" s="176">
        <v>112.31</v>
      </c>
      <c r="AD171" s="157">
        <v>19.204999999999998</v>
      </c>
      <c r="AG171" s="3" t="s">
        <v>36</v>
      </c>
      <c r="AH171" s="168">
        <v>1.5E-5</v>
      </c>
      <c r="AI171" s="168">
        <v>1.3752352134744499E-2</v>
      </c>
      <c r="AJ171" s="168">
        <v>2.3218825710266001E-3</v>
      </c>
    </row>
    <row r="172" spans="1:36">
      <c r="A172" s="3">
        <v>419</v>
      </c>
      <c r="B172" s="3">
        <v>1472</v>
      </c>
      <c r="C172" s="3" t="s">
        <v>294</v>
      </c>
      <c r="D172" s="3" t="s">
        <v>295</v>
      </c>
      <c r="E172" s="5" t="s">
        <v>132</v>
      </c>
      <c r="F172" s="3" t="s">
        <v>299</v>
      </c>
      <c r="G172" s="3" t="s">
        <v>300</v>
      </c>
      <c r="H172" s="3" t="s">
        <v>135</v>
      </c>
      <c r="I172" s="3" t="s">
        <v>149</v>
      </c>
      <c r="J172" s="3" t="s">
        <v>30</v>
      </c>
      <c r="K172" s="3" t="s">
        <v>30</v>
      </c>
      <c r="L172" s="3" t="s">
        <v>137</v>
      </c>
      <c r="M172" s="3" t="s">
        <v>31</v>
      </c>
      <c r="N172" s="3" t="s">
        <v>204</v>
      </c>
      <c r="O172" s="3" t="s">
        <v>139</v>
      </c>
      <c r="P172" s="3" t="s">
        <v>151</v>
      </c>
      <c r="Q172" s="3" t="s">
        <v>141</v>
      </c>
      <c r="R172" s="3" t="s">
        <v>142</v>
      </c>
      <c r="S172" s="3" t="s">
        <v>34</v>
      </c>
      <c r="T172" s="157">
        <v>4.6689999999999996</v>
      </c>
      <c r="U172" s="3" t="s">
        <v>301</v>
      </c>
      <c r="V172" s="168">
        <v>1.8700000000000001E-2</v>
      </c>
      <c r="W172" s="168">
        <v>2.946E-2</v>
      </c>
      <c r="X172" s="5" t="s">
        <v>144</v>
      </c>
      <c r="Y172" s="5" t="s">
        <v>139</v>
      </c>
      <c r="Z172" s="157">
        <v>29400</v>
      </c>
      <c r="AA172" s="166">
        <v>1</v>
      </c>
      <c r="AB172" s="176">
        <v>109.28</v>
      </c>
      <c r="AD172" s="157">
        <v>32.128</v>
      </c>
      <c r="AG172" s="3" t="s">
        <v>36</v>
      </c>
      <c r="AH172" s="168">
        <v>3.0000000000000001E-5</v>
      </c>
      <c r="AI172" s="168">
        <v>2.30064951873367E-2</v>
      </c>
      <c r="AJ172" s="168">
        <v>3.8843086384420201E-3</v>
      </c>
    </row>
    <row r="173" spans="1:36">
      <c r="A173" s="3">
        <v>419</v>
      </c>
      <c r="B173" s="3">
        <v>1472</v>
      </c>
      <c r="C173" s="3" t="s">
        <v>294</v>
      </c>
      <c r="D173" s="3" t="s">
        <v>295</v>
      </c>
      <c r="E173" s="5" t="s">
        <v>132</v>
      </c>
      <c r="F173" s="3" t="s">
        <v>302</v>
      </c>
      <c r="G173" s="3" t="s">
        <v>303</v>
      </c>
      <c r="H173" s="3" t="s">
        <v>135</v>
      </c>
      <c r="I173" s="3" t="s">
        <v>149</v>
      </c>
      <c r="J173" s="3" t="s">
        <v>30</v>
      </c>
      <c r="K173" s="3" t="s">
        <v>30</v>
      </c>
      <c r="L173" s="3" t="s">
        <v>137</v>
      </c>
      <c r="M173" s="3" t="s">
        <v>31</v>
      </c>
      <c r="N173" s="3" t="s">
        <v>204</v>
      </c>
      <c r="O173" s="3" t="s">
        <v>139</v>
      </c>
      <c r="P173" s="3" t="s">
        <v>298</v>
      </c>
      <c r="Q173" s="3" t="s">
        <v>172</v>
      </c>
      <c r="R173" s="3" t="s">
        <v>142</v>
      </c>
      <c r="S173" s="3" t="s">
        <v>34</v>
      </c>
      <c r="T173" s="157">
        <v>6.9960000000000004</v>
      </c>
      <c r="U173" s="3" t="s">
        <v>304</v>
      </c>
      <c r="V173" s="168">
        <v>3.0599999999999999E-2</v>
      </c>
      <c r="W173" s="168">
        <v>3.1600000000000003E-2</v>
      </c>
      <c r="X173" s="5" t="s">
        <v>144</v>
      </c>
      <c r="Y173" s="5" t="s">
        <v>139</v>
      </c>
      <c r="Z173" s="157">
        <v>13000</v>
      </c>
      <c r="AA173" s="166">
        <v>1</v>
      </c>
      <c r="AB173" s="176">
        <v>101.01</v>
      </c>
      <c r="AD173" s="157">
        <v>13.131</v>
      </c>
      <c r="AG173" s="3" t="s">
        <v>36</v>
      </c>
      <c r="AH173" s="168">
        <v>1.2E-5</v>
      </c>
      <c r="AI173" s="168">
        <v>9.4030808412476699E-3</v>
      </c>
      <c r="AJ173" s="168">
        <v>1.5875720244312101E-3</v>
      </c>
    </row>
    <row r="174" spans="1:36">
      <c r="A174" s="3">
        <v>419</v>
      </c>
      <c r="B174" s="3">
        <v>1472</v>
      </c>
      <c r="C174" s="3" t="s">
        <v>305</v>
      </c>
      <c r="D174" s="3" t="s">
        <v>306</v>
      </c>
      <c r="E174" s="5" t="s">
        <v>132</v>
      </c>
      <c r="F174" s="3" t="s">
        <v>307</v>
      </c>
      <c r="G174" s="3" t="s">
        <v>308</v>
      </c>
      <c r="H174" s="3" t="s">
        <v>135</v>
      </c>
      <c r="I174" s="3" t="s">
        <v>149</v>
      </c>
      <c r="J174" s="3" t="s">
        <v>30</v>
      </c>
      <c r="K174" s="3" t="s">
        <v>30</v>
      </c>
      <c r="L174" s="3" t="s">
        <v>137</v>
      </c>
      <c r="M174" s="3" t="s">
        <v>240</v>
      </c>
      <c r="N174" s="3" t="s">
        <v>309</v>
      </c>
      <c r="O174" s="3" t="s">
        <v>139</v>
      </c>
      <c r="P174" s="3" t="s">
        <v>310</v>
      </c>
      <c r="Q174" s="3" t="s">
        <v>141</v>
      </c>
      <c r="R174" s="3" t="s">
        <v>142</v>
      </c>
      <c r="S174" s="3" t="s">
        <v>34</v>
      </c>
      <c r="T174" s="157">
        <v>2.8420000000000001</v>
      </c>
      <c r="U174" s="3" t="s">
        <v>311</v>
      </c>
      <c r="V174" s="168">
        <v>2.52E-2</v>
      </c>
      <c r="W174" s="168">
        <v>2.5590000000000002E-2</v>
      </c>
      <c r="X174" s="5" t="s">
        <v>144</v>
      </c>
      <c r="Y174" s="5" t="s">
        <v>139</v>
      </c>
      <c r="Z174" s="157">
        <v>17022</v>
      </c>
      <c r="AA174" s="166">
        <v>1</v>
      </c>
      <c r="AB174" s="176">
        <v>100.78</v>
      </c>
      <c r="AD174" s="157">
        <v>17.155000000000001</v>
      </c>
      <c r="AG174" s="3" t="s">
        <v>36</v>
      </c>
      <c r="AH174" s="168">
        <v>1.0000000000000001E-5</v>
      </c>
      <c r="AI174" s="168">
        <v>1.22842143708498E-2</v>
      </c>
      <c r="AJ174" s="168">
        <v>2.0740090834621902E-3</v>
      </c>
    </row>
    <row r="175" spans="1:36">
      <c r="A175" s="3">
        <v>419</v>
      </c>
      <c r="B175" s="3">
        <v>1472</v>
      </c>
      <c r="C175" s="3" t="s">
        <v>289</v>
      </c>
      <c r="D175" s="3" t="s">
        <v>290</v>
      </c>
      <c r="E175" s="5" t="s">
        <v>132</v>
      </c>
      <c r="F175" s="3" t="s">
        <v>312</v>
      </c>
      <c r="G175" s="3" t="s">
        <v>313</v>
      </c>
      <c r="H175" s="3" t="s">
        <v>135</v>
      </c>
      <c r="I175" s="3" t="s">
        <v>161</v>
      </c>
      <c r="J175" s="3" t="s">
        <v>30</v>
      </c>
      <c r="K175" s="3" t="s">
        <v>30</v>
      </c>
      <c r="L175" s="3" t="s">
        <v>137</v>
      </c>
      <c r="M175" s="3" t="s">
        <v>31</v>
      </c>
      <c r="N175" s="3" t="s">
        <v>157</v>
      </c>
      <c r="O175" s="3" t="s">
        <v>139</v>
      </c>
      <c r="P175" s="3" t="s">
        <v>140</v>
      </c>
      <c r="Q175" s="3" t="s">
        <v>141</v>
      </c>
      <c r="R175" s="3" t="s">
        <v>142</v>
      </c>
      <c r="S175" s="3" t="s">
        <v>34</v>
      </c>
      <c r="T175" s="157">
        <v>3.8719999999999999</v>
      </c>
      <c r="U175" s="3" t="s">
        <v>314</v>
      </c>
      <c r="V175" s="168">
        <v>5.7500000000000002E-2</v>
      </c>
      <c r="W175" s="168">
        <v>5.033E-2</v>
      </c>
      <c r="X175" s="5" t="s">
        <v>144</v>
      </c>
      <c r="Y175" s="5" t="s">
        <v>139</v>
      </c>
      <c r="Z175" s="157">
        <v>20000</v>
      </c>
      <c r="AA175" s="166">
        <v>1</v>
      </c>
      <c r="AB175" s="176">
        <v>103.14</v>
      </c>
      <c r="AD175" s="157">
        <v>20.628</v>
      </c>
      <c r="AG175" s="3" t="s">
        <v>36</v>
      </c>
      <c r="AH175" s="168">
        <v>3.8000000000000002E-5</v>
      </c>
      <c r="AI175" s="168">
        <v>1.4771328931123101E-2</v>
      </c>
      <c r="AJ175" s="168">
        <v>2.4939218295193201E-3</v>
      </c>
    </row>
    <row r="176" spans="1:36">
      <c r="A176" s="3">
        <v>419</v>
      </c>
      <c r="B176" s="3">
        <v>1472</v>
      </c>
      <c r="C176" s="3" t="s">
        <v>315</v>
      </c>
      <c r="D176" s="3" t="s">
        <v>316</v>
      </c>
      <c r="E176" s="5" t="s">
        <v>132</v>
      </c>
      <c r="F176" s="3" t="s">
        <v>323</v>
      </c>
      <c r="G176" s="3" t="s">
        <v>324</v>
      </c>
      <c r="H176" s="3" t="s">
        <v>135</v>
      </c>
      <c r="I176" s="3" t="s">
        <v>149</v>
      </c>
      <c r="J176" s="3" t="s">
        <v>30</v>
      </c>
      <c r="K176" s="3" t="s">
        <v>30</v>
      </c>
      <c r="L176" s="3" t="s">
        <v>137</v>
      </c>
      <c r="M176" s="3" t="s">
        <v>31</v>
      </c>
      <c r="N176" s="3" t="s">
        <v>204</v>
      </c>
      <c r="O176" s="3" t="s">
        <v>139</v>
      </c>
      <c r="P176" s="3" t="s">
        <v>198</v>
      </c>
      <c r="Q176" s="3" t="s">
        <v>141</v>
      </c>
      <c r="R176" s="3" t="s">
        <v>142</v>
      </c>
      <c r="S176" s="3" t="s">
        <v>34</v>
      </c>
      <c r="T176" s="157">
        <v>4.1829999999999998</v>
      </c>
      <c r="U176" s="3" t="s">
        <v>325</v>
      </c>
      <c r="V176" s="168">
        <v>5.8999999999999999E-3</v>
      </c>
      <c r="W176" s="168">
        <v>2.921E-2</v>
      </c>
      <c r="X176" s="5" t="s">
        <v>144</v>
      </c>
      <c r="Y176" s="5" t="s">
        <v>139</v>
      </c>
      <c r="Z176" s="157">
        <v>41425</v>
      </c>
      <c r="AA176" s="166">
        <v>1</v>
      </c>
      <c r="AB176" s="176">
        <v>104.71</v>
      </c>
      <c r="AD176" s="157">
        <v>43.375999999999998</v>
      </c>
      <c r="AG176" s="3" t="s">
        <v>36</v>
      </c>
      <c r="AH176" s="168">
        <v>3.0000000000000001E-5</v>
      </c>
      <c r="AI176" s="168">
        <v>3.10608347560377E-2</v>
      </c>
      <c r="AJ176" s="168">
        <v>5.2441655183752597E-3</v>
      </c>
    </row>
    <row r="177" spans="1:36">
      <c r="A177" s="3">
        <v>419</v>
      </c>
      <c r="B177" s="3">
        <v>1472</v>
      </c>
      <c r="C177" s="3" t="s">
        <v>331</v>
      </c>
      <c r="D177" s="3" t="s">
        <v>332</v>
      </c>
      <c r="E177" s="5" t="s">
        <v>132</v>
      </c>
      <c r="F177" s="3" t="s">
        <v>333</v>
      </c>
      <c r="G177" s="3" t="s">
        <v>334</v>
      </c>
      <c r="H177" s="3" t="s">
        <v>135</v>
      </c>
      <c r="I177" s="3" t="s">
        <v>149</v>
      </c>
      <c r="J177" s="3" t="s">
        <v>30</v>
      </c>
      <c r="K177" s="3" t="s">
        <v>30</v>
      </c>
      <c r="L177" s="3" t="s">
        <v>137</v>
      </c>
      <c r="M177" s="3" t="s">
        <v>31</v>
      </c>
      <c r="N177" s="3" t="s">
        <v>309</v>
      </c>
      <c r="O177" s="3" t="s">
        <v>139</v>
      </c>
      <c r="P177" s="3" t="s">
        <v>310</v>
      </c>
      <c r="Q177" s="3" t="s">
        <v>141</v>
      </c>
      <c r="R177" s="3" t="s">
        <v>142</v>
      </c>
      <c r="S177" s="3" t="s">
        <v>34</v>
      </c>
      <c r="T177" s="157">
        <v>4.633</v>
      </c>
      <c r="U177" s="3" t="s">
        <v>335</v>
      </c>
      <c r="V177" s="168">
        <v>2.47E-2</v>
      </c>
      <c r="W177" s="168">
        <v>2.5909999999999999E-2</v>
      </c>
      <c r="X177" s="5" t="s">
        <v>144</v>
      </c>
      <c r="Y177" s="5" t="s">
        <v>139</v>
      </c>
      <c r="Z177" s="157">
        <v>29296.54</v>
      </c>
      <c r="AA177" s="166">
        <v>1</v>
      </c>
      <c r="AB177" s="176">
        <v>105.47</v>
      </c>
      <c r="AD177" s="157">
        <v>30.899000000000001</v>
      </c>
      <c r="AG177" s="3" t="s">
        <v>36</v>
      </c>
      <c r="AH177" s="168">
        <v>1.1E-5</v>
      </c>
      <c r="AI177" s="168">
        <v>2.2126245386064999E-2</v>
      </c>
      <c r="AJ177" s="168">
        <v>3.7356913945191701E-3</v>
      </c>
    </row>
    <row r="178" spans="1:36">
      <c r="A178" s="3">
        <v>419</v>
      </c>
      <c r="B178" s="3">
        <v>1472</v>
      </c>
      <c r="C178" s="3" t="s">
        <v>758</v>
      </c>
      <c r="D178" s="3" t="s">
        <v>759</v>
      </c>
      <c r="E178" s="5" t="s">
        <v>132</v>
      </c>
      <c r="F178" s="3" t="s">
        <v>760</v>
      </c>
      <c r="G178" s="3" t="s">
        <v>761</v>
      </c>
      <c r="H178" s="3" t="s">
        <v>135</v>
      </c>
      <c r="I178" s="3" t="s">
        <v>149</v>
      </c>
      <c r="J178" s="3" t="s">
        <v>30</v>
      </c>
      <c r="K178" s="3" t="s">
        <v>30</v>
      </c>
      <c r="L178" s="3" t="s">
        <v>137</v>
      </c>
      <c r="M178" s="3" t="s">
        <v>31</v>
      </c>
      <c r="N178" s="3" t="s">
        <v>217</v>
      </c>
      <c r="O178" s="3" t="s">
        <v>139</v>
      </c>
      <c r="P178" s="3" t="s">
        <v>762</v>
      </c>
      <c r="Q178" s="3" t="s">
        <v>141</v>
      </c>
      <c r="R178" s="3" t="s">
        <v>142</v>
      </c>
      <c r="S178" s="3" t="s">
        <v>34</v>
      </c>
      <c r="T178" s="157">
        <v>0.23599999999999999</v>
      </c>
      <c r="U178" s="3" t="s">
        <v>143</v>
      </c>
      <c r="V178" s="168">
        <v>4.9500000000000002E-2</v>
      </c>
      <c r="W178" s="168">
        <v>6.7369999999999999E-2</v>
      </c>
      <c r="X178" s="5" t="s">
        <v>144</v>
      </c>
      <c r="Y178" s="5" t="s">
        <v>763</v>
      </c>
      <c r="Z178" s="157">
        <v>0.34</v>
      </c>
      <c r="AA178" s="166">
        <v>1</v>
      </c>
      <c r="AB178" s="176">
        <v>148.12</v>
      </c>
      <c r="AD178" s="157">
        <v>1E-3</v>
      </c>
      <c r="AG178" s="3" t="s">
        <v>36</v>
      </c>
      <c r="AH178" s="168">
        <v>0</v>
      </c>
      <c r="AI178" s="168">
        <v>3.6062436592713999E-7</v>
      </c>
      <c r="AJ178" s="168">
        <v>6.0886124913736798E-8</v>
      </c>
    </row>
    <row r="179" spans="1:36">
      <c r="A179" s="3">
        <v>419</v>
      </c>
      <c r="B179" s="3">
        <v>1472</v>
      </c>
      <c r="C179" s="3" t="s">
        <v>344</v>
      </c>
      <c r="D179" s="3" t="s">
        <v>345</v>
      </c>
      <c r="E179" s="5" t="s">
        <v>132</v>
      </c>
      <c r="F179" s="3" t="s">
        <v>346</v>
      </c>
      <c r="G179" s="3" t="s">
        <v>347</v>
      </c>
      <c r="H179" s="3" t="s">
        <v>135</v>
      </c>
      <c r="I179" s="3" t="s">
        <v>149</v>
      </c>
      <c r="J179" s="3" t="s">
        <v>30</v>
      </c>
      <c r="K179" s="3" t="s">
        <v>30</v>
      </c>
      <c r="L179" s="3" t="s">
        <v>137</v>
      </c>
      <c r="M179" s="3" t="s">
        <v>31</v>
      </c>
      <c r="N179" s="3" t="s">
        <v>157</v>
      </c>
      <c r="O179" s="3" t="s">
        <v>139</v>
      </c>
      <c r="P179" s="3" t="s">
        <v>229</v>
      </c>
      <c r="Q179" s="3" t="s">
        <v>172</v>
      </c>
      <c r="R179" s="3" t="s">
        <v>142</v>
      </c>
      <c r="S179" s="3" t="s">
        <v>34</v>
      </c>
      <c r="T179" s="157">
        <v>3.2109999999999999</v>
      </c>
      <c r="U179" s="3" t="s">
        <v>348</v>
      </c>
      <c r="V179" s="168">
        <v>1.7999999999999999E-2</v>
      </c>
      <c r="W179" s="168">
        <v>3.2000000000000001E-2</v>
      </c>
      <c r="X179" s="5" t="s">
        <v>144</v>
      </c>
      <c r="Y179" s="5" t="s">
        <v>139</v>
      </c>
      <c r="Z179" s="157">
        <v>0.8</v>
      </c>
      <c r="AA179" s="166">
        <v>1</v>
      </c>
      <c r="AB179" s="176">
        <v>113.57</v>
      </c>
      <c r="AD179" s="157">
        <v>1E-3</v>
      </c>
      <c r="AG179" s="3" t="s">
        <v>36</v>
      </c>
      <c r="AH179" s="168">
        <v>0</v>
      </c>
      <c r="AI179" s="168">
        <v>6.5060299659013E-7</v>
      </c>
      <c r="AJ179" s="168">
        <v>1.09844755547221E-7</v>
      </c>
    </row>
    <row r="180" spans="1:36">
      <c r="A180" s="3">
        <v>419</v>
      </c>
      <c r="B180" s="3">
        <v>1472</v>
      </c>
      <c r="C180" s="3" t="s">
        <v>344</v>
      </c>
      <c r="D180" s="3" t="s">
        <v>345</v>
      </c>
      <c r="E180" s="5" t="s">
        <v>132</v>
      </c>
      <c r="F180" s="3" t="s">
        <v>349</v>
      </c>
      <c r="G180" s="3" t="s">
        <v>350</v>
      </c>
      <c r="H180" s="3" t="s">
        <v>135</v>
      </c>
      <c r="I180" s="3" t="s">
        <v>149</v>
      </c>
      <c r="J180" s="3" t="s">
        <v>30</v>
      </c>
      <c r="K180" s="3" t="s">
        <v>30</v>
      </c>
      <c r="L180" s="3" t="s">
        <v>137</v>
      </c>
      <c r="M180" s="3" t="s">
        <v>31</v>
      </c>
      <c r="N180" s="3" t="s">
        <v>157</v>
      </c>
      <c r="O180" s="3" t="s">
        <v>139</v>
      </c>
      <c r="P180" s="3" t="s">
        <v>351</v>
      </c>
      <c r="Q180" s="3" t="s">
        <v>141</v>
      </c>
      <c r="R180" s="3" t="s">
        <v>142</v>
      </c>
      <c r="S180" s="3" t="s">
        <v>34</v>
      </c>
      <c r="T180" s="157">
        <v>5.5270000000000001</v>
      </c>
      <c r="U180" s="3" t="s">
        <v>352</v>
      </c>
      <c r="V180" s="168">
        <v>3.3000000000000002E-2</v>
      </c>
      <c r="W180" s="168">
        <v>3.5090000000000003E-2</v>
      </c>
      <c r="X180" s="5" t="s">
        <v>144</v>
      </c>
      <c r="Y180" s="5" t="s">
        <v>139</v>
      </c>
      <c r="Z180" s="157">
        <v>38073.72</v>
      </c>
      <c r="AA180" s="166">
        <v>1</v>
      </c>
      <c r="AB180" s="176">
        <v>108.72</v>
      </c>
      <c r="AD180" s="157">
        <v>41.393999999999998</v>
      </c>
      <c r="AG180" s="3" t="s">
        <v>36</v>
      </c>
      <c r="AH180" s="168">
        <v>3.1999999999999999E-5</v>
      </c>
      <c r="AI180" s="168">
        <v>2.96412969300082E-2</v>
      </c>
      <c r="AJ180" s="168">
        <v>5.0044974161570404E-3</v>
      </c>
    </row>
    <row r="181" spans="1:36">
      <c r="A181" s="3">
        <v>419</v>
      </c>
      <c r="B181" s="3">
        <v>1472</v>
      </c>
      <c r="C181" s="3" t="s">
        <v>353</v>
      </c>
      <c r="D181" s="3" t="s">
        <v>354</v>
      </c>
      <c r="E181" s="5" t="s">
        <v>132</v>
      </c>
      <c r="F181" s="3" t="s">
        <v>355</v>
      </c>
      <c r="G181" s="3" t="s">
        <v>356</v>
      </c>
      <c r="H181" s="3" t="s">
        <v>135</v>
      </c>
      <c r="I181" s="3" t="s">
        <v>161</v>
      </c>
      <c r="J181" s="3" t="s">
        <v>30</v>
      </c>
      <c r="K181" s="3" t="s">
        <v>30</v>
      </c>
      <c r="L181" s="3" t="s">
        <v>137</v>
      </c>
      <c r="M181" s="3" t="s">
        <v>31</v>
      </c>
      <c r="N181" s="3" t="s">
        <v>357</v>
      </c>
      <c r="O181" s="3" t="s">
        <v>139</v>
      </c>
      <c r="P181" s="3" t="s">
        <v>186</v>
      </c>
      <c r="Q181" s="3" t="s">
        <v>172</v>
      </c>
      <c r="R181" s="3" t="s">
        <v>142</v>
      </c>
      <c r="S181" s="3" t="s">
        <v>34</v>
      </c>
      <c r="T181" s="157">
        <v>6.27</v>
      </c>
      <c r="U181" s="3" t="s">
        <v>358</v>
      </c>
      <c r="V181" s="168">
        <v>5.6800000000000003E-2</v>
      </c>
      <c r="W181" s="168">
        <v>5.7020000000000001E-2</v>
      </c>
      <c r="X181" s="5" t="s">
        <v>144</v>
      </c>
      <c r="Y181" s="5" t="s">
        <v>139</v>
      </c>
      <c r="Z181" s="157">
        <v>13000</v>
      </c>
      <c r="AA181" s="166">
        <v>1</v>
      </c>
      <c r="AB181" s="176">
        <v>100.76</v>
      </c>
      <c r="AD181" s="157">
        <v>13.099</v>
      </c>
      <c r="AG181" s="3" t="s">
        <v>36</v>
      </c>
      <c r="AH181" s="168">
        <v>1.2999999999999999E-5</v>
      </c>
      <c r="AI181" s="168">
        <v>9.3798081928929307E-3</v>
      </c>
      <c r="AJ181" s="168">
        <v>1.5836427797415E-3</v>
      </c>
    </row>
    <row r="182" spans="1:36">
      <c r="A182" s="3">
        <v>419</v>
      </c>
      <c r="B182" s="3">
        <v>1472</v>
      </c>
      <c r="C182" s="3" t="s">
        <v>359</v>
      </c>
      <c r="D182" s="3" t="s">
        <v>360</v>
      </c>
      <c r="E182" s="5" t="s">
        <v>132</v>
      </c>
      <c r="F182" s="3" t="s">
        <v>361</v>
      </c>
      <c r="G182" s="3" t="s">
        <v>362</v>
      </c>
      <c r="H182" s="3" t="s">
        <v>135</v>
      </c>
      <c r="I182" s="3" t="s">
        <v>161</v>
      </c>
      <c r="J182" s="3" t="s">
        <v>30</v>
      </c>
      <c r="K182" s="3" t="s">
        <v>30</v>
      </c>
      <c r="L182" s="3" t="s">
        <v>137</v>
      </c>
      <c r="M182" s="3" t="s">
        <v>31</v>
      </c>
      <c r="N182" s="3" t="s">
        <v>185</v>
      </c>
      <c r="O182" s="3" t="s">
        <v>139</v>
      </c>
      <c r="P182" s="3" t="s">
        <v>363</v>
      </c>
      <c r="Q182" s="3" t="s">
        <v>172</v>
      </c>
      <c r="R182" s="3" t="s">
        <v>142</v>
      </c>
      <c r="S182" s="3" t="s">
        <v>34</v>
      </c>
      <c r="T182" s="157">
        <v>2.077</v>
      </c>
      <c r="U182" s="3" t="s">
        <v>281</v>
      </c>
      <c r="V182" s="168">
        <v>5.45E-2</v>
      </c>
      <c r="W182" s="168">
        <v>5.7579999999999999E-2</v>
      </c>
      <c r="X182" s="5" t="s">
        <v>144</v>
      </c>
      <c r="Y182" s="5" t="s">
        <v>139</v>
      </c>
      <c r="Z182" s="157">
        <v>786.49</v>
      </c>
      <c r="AA182" s="166">
        <v>1</v>
      </c>
      <c r="AB182" s="176">
        <v>104.83</v>
      </c>
      <c r="AD182" s="157">
        <v>0.82399999999999995</v>
      </c>
      <c r="AG182" s="3" t="s">
        <v>36</v>
      </c>
      <c r="AH182" s="168">
        <v>6.4999999999999994E-5</v>
      </c>
      <c r="AI182" s="168">
        <v>5.9039305125829897E-4</v>
      </c>
      <c r="AJ182" s="168">
        <v>9.9679191046058306E-5</v>
      </c>
    </row>
    <row r="183" spans="1:36">
      <c r="A183" s="3">
        <v>419</v>
      </c>
      <c r="B183" s="3">
        <v>1472</v>
      </c>
      <c r="C183" s="3" t="s">
        <v>364</v>
      </c>
      <c r="D183" s="3" t="s">
        <v>365</v>
      </c>
      <c r="E183" s="5" t="s">
        <v>132</v>
      </c>
      <c r="F183" s="3" t="s">
        <v>366</v>
      </c>
      <c r="G183" s="3" t="s">
        <v>367</v>
      </c>
      <c r="H183" s="3" t="s">
        <v>135</v>
      </c>
      <c r="I183" s="3" t="s">
        <v>149</v>
      </c>
      <c r="J183" s="3" t="s">
        <v>30</v>
      </c>
      <c r="K183" s="3" t="s">
        <v>30</v>
      </c>
      <c r="L183" s="3" t="s">
        <v>137</v>
      </c>
      <c r="M183" s="3" t="s">
        <v>31</v>
      </c>
      <c r="N183" s="3" t="s">
        <v>204</v>
      </c>
      <c r="O183" s="3" t="s">
        <v>139</v>
      </c>
      <c r="P183" s="3" t="s">
        <v>351</v>
      </c>
      <c r="Q183" s="3" t="s">
        <v>141</v>
      </c>
      <c r="R183" s="3" t="s">
        <v>142</v>
      </c>
      <c r="S183" s="3" t="s">
        <v>34</v>
      </c>
      <c r="T183" s="157">
        <v>1.6659999999999999</v>
      </c>
      <c r="U183" s="3" t="s">
        <v>180</v>
      </c>
      <c r="V183" s="168">
        <v>3.6499999999999998E-2</v>
      </c>
      <c r="W183" s="168">
        <v>3.1359999999999999E-2</v>
      </c>
      <c r="X183" s="5" t="s">
        <v>144</v>
      </c>
      <c r="Y183" s="5" t="s">
        <v>139</v>
      </c>
      <c r="Z183" s="157">
        <v>16000</v>
      </c>
      <c r="AA183" s="166">
        <v>1</v>
      </c>
      <c r="AB183" s="176">
        <v>112.18</v>
      </c>
      <c r="AD183" s="157">
        <v>17.949000000000002</v>
      </c>
      <c r="AG183" s="3" t="s">
        <v>36</v>
      </c>
      <c r="AH183" s="168">
        <v>6.0999999999999999E-5</v>
      </c>
      <c r="AI183" s="168">
        <v>1.28528034089074E-2</v>
      </c>
      <c r="AJ183" s="168">
        <v>2.1700069872831202E-3</v>
      </c>
    </row>
    <row r="184" spans="1:36">
      <c r="A184" s="3">
        <v>419</v>
      </c>
      <c r="B184" s="3">
        <v>1472</v>
      </c>
      <c r="C184" s="3" t="s">
        <v>364</v>
      </c>
      <c r="D184" s="3" t="s">
        <v>365</v>
      </c>
      <c r="E184" s="5" t="s">
        <v>132</v>
      </c>
      <c r="F184" s="3" t="s">
        <v>368</v>
      </c>
      <c r="G184" s="3" t="s">
        <v>369</v>
      </c>
      <c r="H184" s="3" t="s">
        <v>135</v>
      </c>
      <c r="I184" s="3" t="s">
        <v>149</v>
      </c>
      <c r="J184" s="3" t="s">
        <v>30</v>
      </c>
      <c r="K184" s="3" t="s">
        <v>30</v>
      </c>
      <c r="L184" s="3" t="s">
        <v>137</v>
      </c>
      <c r="M184" s="3" t="s">
        <v>31</v>
      </c>
      <c r="N184" s="3" t="s">
        <v>204</v>
      </c>
      <c r="O184" s="3" t="s">
        <v>139</v>
      </c>
      <c r="P184" s="3" t="s">
        <v>250</v>
      </c>
      <c r="Q184" s="3" t="s">
        <v>141</v>
      </c>
      <c r="R184" s="3" t="s">
        <v>142</v>
      </c>
      <c r="S184" s="3" t="s">
        <v>34</v>
      </c>
      <c r="T184" s="157">
        <v>1.996</v>
      </c>
      <c r="U184" s="3" t="s">
        <v>370</v>
      </c>
      <c r="V184" s="168">
        <v>1.7999999999999999E-2</v>
      </c>
      <c r="W184" s="168">
        <v>3.0210000000000001E-2</v>
      </c>
      <c r="X184" s="5" t="s">
        <v>144</v>
      </c>
      <c r="Y184" s="5" t="s">
        <v>139</v>
      </c>
      <c r="Z184" s="157">
        <v>9330</v>
      </c>
      <c r="AA184" s="166">
        <v>1</v>
      </c>
      <c r="AB184" s="176">
        <v>116.94</v>
      </c>
      <c r="AD184" s="157">
        <v>10.911</v>
      </c>
      <c r="AG184" s="3" t="s">
        <v>36</v>
      </c>
      <c r="AH184" s="168">
        <v>1.2999999999999999E-5</v>
      </c>
      <c r="AI184" s="168">
        <v>7.8128085052199207E-3</v>
      </c>
      <c r="AJ184" s="168">
        <v>1.31907790909512E-3</v>
      </c>
    </row>
    <row r="185" spans="1:36">
      <c r="A185" s="3">
        <v>419</v>
      </c>
      <c r="B185" s="3">
        <v>1472</v>
      </c>
      <c r="C185" s="3" t="s">
        <v>364</v>
      </c>
      <c r="D185" s="3" t="s">
        <v>365</v>
      </c>
      <c r="E185" s="5" t="s">
        <v>132</v>
      </c>
      <c r="F185" s="3" t="s">
        <v>371</v>
      </c>
      <c r="G185" s="3" t="s">
        <v>372</v>
      </c>
      <c r="H185" s="3" t="s">
        <v>135</v>
      </c>
      <c r="I185" s="3" t="s">
        <v>149</v>
      </c>
      <c r="J185" s="3" t="s">
        <v>30</v>
      </c>
      <c r="K185" s="3" t="s">
        <v>30</v>
      </c>
      <c r="L185" s="3" t="s">
        <v>137</v>
      </c>
      <c r="M185" s="3" t="s">
        <v>31</v>
      </c>
      <c r="N185" s="3" t="s">
        <v>204</v>
      </c>
      <c r="O185" s="3" t="s">
        <v>139</v>
      </c>
      <c r="P185" s="3" t="s">
        <v>351</v>
      </c>
      <c r="Q185" s="3" t="s">
        <v>141</v>
      </c>
      <c r="R185" s="3" t="s">
        <v>142</v>
      </c>
      <c r="S185" s="3" t="s">
        <v>34</v>
      </c>
      <c r="T185" s="157">
        <v>1.212</v>
      </c>
      <c r="U185" s="3" t="s">
        <v>373</v>
      </c>
      <c r="V185" s="168">
        <v>2.2499999999999999E-2</v>
      </c>
      <c r="W185" s="168">
        <v>3.3989999999999999E-2</v>
      </c>
      <c r="X185" s="5" t="s">
        <v>144</v>
      </c>
      <c r="Y185" s="5" t="s">
        <v>139</v>
      </c>
      <c r="Z185" s="157">
        <v>3513.71</v>
      </c>
      <c r="AA185" s="166">
        <v>1</v>
      </c>
      <c r="AB185" s="176">
        <v>117.81</v>
      </c>
      <c r="AD185" s="157">
        <v>4.1399999999999997</v>
      </c>
      <c r="AG185" s="3" t="s">
        <v>36</v>
      </c>
      <c r="AH185" s="168">
        <v>1.4E-5</v>
      </c>
      <c r="AI185" s="168">
        <v>2.9642205727642601E-3</v>
      </c>
      <c r="AJ185" s="168">
        <v>5.0046508532830796E-4</v>
      </c>
    </row>
    <row r="186" spans="1:36">
      <c r="A186" s="3">
        <v>419</v>
      </c>
      <c r="B186" s="3">
        <v>1472</v>
      </c>
      <c r="C186" s="3" t="s">
        <v>379</v>
      </c>
      <c r="D186" s="3" t="s">
        <v>380</v>
      </c>
      <c r="E186" s="5" t="s">
        <v>132</v>
      </c>
      <c r="F186" s="3" t="s">
        <v>381</v>
      </c>
      <c r="G186" s="3" t="s">
        <v>382</v>
      </c>
      <c r="H186" s="3" t="s">
        <v>135</v>
      </c>
      <c r="I186" s="3" t="s">
        <v>161</v>
      </c>
      <c r="J186" s="3" t="s">
        <v>30</v>
      </c>
      <c r="K186" s="3" t="s">
        <v>30</v>
      </c>
      <c r="L186" s="3" t="s">
        <v>137</v>
      </c>
      <c r="M186" s="3" t="s">
        <v>31</v>
      </c>
      <c r="N186" s="3" t="s">
        <v>185</v>
      </c>
      <c r="O186" s="3" t="s">
        <v>139</v>
      </c>
      <c r="P186" s="3" t="s">
        <v>151</v>
      </c>
      <c r="Q186" s="3" t="s">
        <v>141</v>
      </c>
      <c r="R186" s="3" t="s">
        <v>142</v>
      </c>
      <c r="S186" s="3" t="s">
        <v>34</v>
      </c>
      <c r="T186" s="157">
        <v>5.6509999999999998</v>
      </c>
      <c r="U186" s="3" t="s">
        <v>383</v>
      </c>
      <c r="V186" s="168">
        <v>3.0499999999999999E-2</v>
      </c>
      <c r="W186" s="168">
        <v>4.6489999999999997E-2</v>
      </c>
      <c r="X186" s="5" t="s">
        <v>144</v>
      </c>
      <c r="Y186" s="5" t="s">
        <v>139</v>
      </c>
      <c r="Z186" s="157">
        <v>20670</v>
      </c>
      <c r="AA186" s="166">
        <v>1</v>
      </c>
      <c r="AB186" s="176">
        <v>92.49</v>
      </c>
      <c r="AD186" s="157">
        <v>19.117999999999999</v>
      </c>
      <c r="AG186" s="3" t="s">
        <v>36</v>
      </c>
      <c r="AH186" s="168">
        <v>3.0000000000000001E-5</v>
      </c>
      <c r="AI186" s="168">
        <v>1.3689818886656E-2</v>
      </c>
      <c r="AJ186" s="168">
        <v>2.3113247509952599E-3</v>
      </c>
    </row>
    <row r="187" spans="1:36">
      <c r="A187" s="3">
        <v>419</v>
      </c>
      <c r="B187" s="3">
        <v>1472</v>
      </c>
      <c r="C187" s="3" t="s">
        <v>379</v>
      </c>
      <c r="D187" s="3" t="s">
        <v>380</v>
      </c>
      <c r="E187" s="5" t="s">
        <v>132</v>
      </c>
      <c r="F187" s="3" t="s">
        <v>391</v>
      </c>
      <c r="G187" s="3" t="s">
        <v>392</v>
      </c>
      <c r="H187" s="3" t="s">
        <v>135</v>
      </c>
      <c r="I187" s="3" t="s">
        <v>161</v>
      </c>
      <c r="J187" s="3" t="s">
        <v>30</v>
      </c>
      <c r="K187" s="3" t="s">
        <v>30</v>
      </c>
      <c r="L187" s="3" t="s">
        <v>137</v>
      </c>
      <c r="M187" s="3" t="s">
        <v>31</v>
      </c>
      <c r="N187" s="3" t="s">
        <v>185</v>
      </c>
      <c r="O187" s="3" t="s">
        <v>139</v>
      </c>
      <c r="P187" s="3" t="s">
        <v>151</v>
      </c>
      <c r="Q187" s="3" t="s">
        <v>141</v>
      </c>
      <c r="R187" s="3" t="s">
        <v>142</v>
      </c>
      <c r="S187" s="3" t="s">
        <v>34</v>
      </c>
      <c r="T187" s="157">
        <v>3.8690000000000002</v>
      </c>
      <c r="U187" s="3" t="s">
        <v>393</v>
      </c>
      <c r="V187" s="168">
        <v>4.3799999999999999E-2</v>
      </c>
      <c r="W187" s="168">
        <v>4.5839999999999999E-2</v>
      </c>
      <c r="X187" s="5" t="s">
        <v>144</v>
      </c>
      <c r="Y187" s="5" t="s">
        <v>139</v>
      </c>
      <c r="Z187" s="157">
        <v>16000</v>
      </c>
      <c r="AA187" s="166">
        <v>1</v>
      </c>
      <c r="AB187" s="176">
        <v>100.56</v>
      </c>
      <c r="AD187" s="157">
        <v>16.09</v>
      </c>
      <c r="AG187" s="3" t="s">
        <v>36</v>
      </c>
      <c r="AH187" s="168">
        <v>3.1999999999999999E-5</v>
      </c>
      <c r="AI187" s="168">
        <v>1.1521464706718901E-2</v>
      </c>
      <c r="AJ187" s="168">
        <v>1.94523001106428E-3</v>
      </c>
    </row>
    <row r="188" spans="1:36">
      <c r="A188" s="3">
        <v>419</v>
      </c>
      <c r="B188" s="3">
        <v>1472</v>
      </c>
      <c r="C188" s="3" t="s">
        <v>401</v>
      </c>
      <c r="D188" s="3" t="s">
        <v>402</v>
      </c>
      <c r="E188" s="5" t="s">
        <v>132</v>
      </c>
      <c r="F188" s="3" t="s">
        <v>403</v>
      </c>
      <c r="G188" s="3" t="s">
        <v>404</v>
      </c>
      <c r="H188" s="3" t="s">
        <v>135</v>
      </c>
      <c r="I188" s="3" t="s">
        <v>161</v>
      </c>
      <c r="J188" s="3" t="s">
        <v>30</v>
      </c>
      <c r="K188" s="3" t="s">
        <v>30</v>
      </c>
      <c r="L188" s="3" t="s">
        <v>137</v>
      </c>
      <c r="M188" s="3" t="s">
        <v>31</v>
      </c>
      <c r="N188" s="3" t="s">
        <v>217</v>
      </c>
      <c r="O188" s="3" t="s">
        <v>139</v>
      </c>
      <c r="P188" s="3" t="s">
        <v>140</v>
      </c>
      <c r="Q188" s="3" t="s">
        <v>141</v>
      </c>
      <c r="R188" s="3" t="s">
        <v>142</v>
      </c>
      <c r="S188" s="3" t="s">
        <v>34</v>
      </c>
      <c r="T188" s="157">
        <v>1.798</v>
      </c>
      <c r="U188" s="3" t="s">
        <v>405</v>
      </c>
      <c r="V188" s="168">
        <v>2.1999999999999999E-2</v>
      </c>
      <c r="W188" s="168">
        <v>4.87E-2</v>
      </c>
      <c r="X188" s="5" t="s">
        <v>144</v>
      </c>
      <c r="Y188" s="5" t="s">
        <v>139</v>
      </c>
      <c r="Z188" s="157">
        <v>6706.2</v>
      </c>
      <c r="AA188" s="166">
        <v>1</v>
      </c>
      <c r="AB188" s="176">
        <v>96.03</v>
      </c>
      <c r="AD188" s="157">
        <v>6.44</v>
      </c>
      <c r="AG188" s="3" t="s">
        <v>36</v>
      </c>
      <c r="AH188" s="168">
        <v>7.9999999999999996E-6</v>
      </c>
      <c r="AI188" s="168">
        <v>4.61153890249201E-3</v>
      </c>
      <c r="AJ188" s="168">
        <v>7.7859057842589996E-4</v>
      </c>
    </row>
    <row r="189" spans="1:36">
      <c r="A189" s="3">
        <v>419</v>
      </c>
      <c r="B189" s="3">
        <v>1472</v>
      </c>
      <c r="C189" s="3" t="s">
        <v>406</v>
      </c>
      <c r="D189" s="3" t="s">
        <v>407</v>
      </c>
      <c r="E189" s="5" t="s">
        <v>132</v>
      </c>
      <c r="F189" s="3" t="s">
        <v>764</v>
      </c>
      <c r="G189" s="3" t="s">
        <v>765</v>
      </c>
      <c r="H189" s="3" t="s">
        <v>135</v>
      </c>
      <c r="I189" s="3" t="s">
        <v>149</v>
      </c>
      <c r="J189" s="3" t="s">
        <v>30</v>
      </c>
      <c r="K189" s="3" t="s">
        <v>30</v>
      </c>
      <c r="L189" s="3" t="s">
        <v>137</v>
      </c>
      <c r="M189" s="3" t="s">
        <v>31</v>
      </c>
      <c r="N189" s="3" t="s">
        <v>157</v>
      </c>
      <c r="O189" s="3" t="s">
        <v>139</v>
      </c>
      <c r="P189" s="3" t="s">
        <v>310</v>
      </c>
      <c r="Q189" s="3" t="s">
        <v>141</v>
      </c>
      <c r="R189" s="3" t="s">
        <v>142</v>
      </c>
      <c r="S189" s="3" t="s">
        <v>34</v>
      </c>
      <c r="T189" s="157">
        <v>4.915</v>
      </c>
      <c r="U189" s="3" t="s">
        <v>766</v>
      </c>
      <c r="V189" s="168">
        <v>2.3900000000000001E-2</v>
      </c>
      <c r="W189" s="168">
        <v>2.6040000000000001E-2</v>
      </c>
      <c r="X189" s="5" t="s">
        <v>144</v>
      </c>
      <c r="Y189" s="5" t="s">
        <v>139</v>
      </c>
      <c r="Z189" s="157">
        <v>6530</v>
      </c>
      <c r="AA189" s="166">
        <v>1</v>
      </c>
      <c r="AB189" s="176">
        <v>117.27</v>
      </c>
      <c r="AD189" s="157">
        <v>7.6580000000000004</v>
      </c>
      <c r="AG189" s="3" t="s">
        <v>36</v>
      </c>
      <c r="AH189" s="168">
        <v>1.9999999999999999E-6</v>
      </c>
      <c r="AI189" s="168">
        <v>5.4835594079434896E-3</v>
      </c>
      <c r="AJ189" s="168">
        <v>9.2581842667669096E-4</v>
      </c>
    </row>
    <row r="190" spans="1:36">
      <c r="A190" s="3">
        <v>419</v>
      </c>
      <c r="B190" s="3">
        <v>1472</v>
      </c>
      <c r="C190" s="3" t="s">
        <v>406</v>
      </c>
      <c r="D190" s="3" t="s">
        <v>407</v>
      </c>
      <c r="E190" s="5" t="s">
        <v>132</v>
      </c>
      <c r="F190" s="3" t="s">
        <v>411</v>
      </c>
      <c r="G190" s="3" t="s">
        <v>412</v>
      </c>
      <c r="H190" s="3" t="s">
        <v>135</v>
      </c>
      <c r="I190" s="3" t="s">
        <v>149</v>
      </c>
      <c r="J190" s="3" t="s">
        <v>30</v>
      </c>
      <c r="K190" s="3" t="s">
        <v>30</v>
      </c>
      <c r="L190" s="3" t="s">
        <v>137</v>
      </c>
      <c r="M190" s="3" t="s">
        <v>31</v>
      </c>
      <c r="N190" s="3" t="s">
        <v>157</v>
      </c>
      <c r="O190" s="3" t="s">
        <v>139</v>
      </c>
      <c r="P190" s="3" t="s">
        <v>310</v>
      </c>
      <c r="Q190" s="3" t="s">
        <v>141</v>
      </c>
      <c r="R190" s="3" t="s">
        <v>142</v>
      </c>
      <c r="S190" s="3" t="s">
        <v>34</v>
      </c>
      <c r="T190" s="157">
        <v>9.9329999999999998</v>
      </c>
      <c r="U190" s="3" t="s">
        <v>413</v>
      </c>
      <c r="V190" s="168">
        <v>1.2500000000000001E-2</v>
      </c>
      <c r="W190" s="168">
        <v>2.7859999999999999E-2</v>
      </c>
      <c r="X190" s="5" t="s">
        <v>144</v>
      </c>
      <c r="Y190" s="5" t="s">
        <v>139</v>
      </c>
      <c r="Z190" s="157">
        <v>20000</v>
      </c>
      <c r="AA190" s="166">
        <v>1</v>
      </c>
      <c r="AB190" s="176">
        <v>101.02</v>
      </c>
      <c r="AD190" s="157">
        <v>20.204000000000001</v>
      </c>
      <c r="AG190" s="3" t="s">
        <v>36</v>
      </c>
      <c r="AH190" s="168">
        <v>5.0000000000000004E-6</v>
      </c>
      <c r="AI190" s="168">
        <v>1.4467710380279801E-2</v>
      </c>
      <c r="AJ190" s="168">
        <v>2.44266029879815E-3</v>
      </c>
    </row>
    <row r="191" spans="1:36">
      <c r="A191" s="3">
        <v>419</v>
      </c>
      <c r="B191" s="3">
        <v>1472</v>
      </c>
      <c r="C191" s="3" t="s">
        <v>406</v>
      </c>
      <c r="D191" s="3" t="s">
        <v>407</v>
      </c>
      <c r="E191" s="5" t="s">
        <v>132</v>
      </c>
      <c r="F191" s="3" t="s">
        <v>414</v>
      </c>
      <c r="G191" s="3" t="s">
        <v>415</v>
      </c>
      <c r="H191" s="3" t="s">
        <v>135</v>
      </c>
      <c r="I191" s="3" t="s">
        <v>149</v>
      </c>
      <c r="J191" s="3" t="s">
        <v>30</v>
      </c>
      <c r="K191" s="3" t="s">
        <v>30</v>
      </c>
      <c r="L191" s="3" t="s">
        <v>137</v>
      </c>
      <c r="M191" s="3" t="s">
        <v>31</v>
      </c>
      <c r="N191" s="3" t="s">
        <v>157</v>
      </c>
      <c r="O191" s="3" t="s">
        <v>139</v>
      </c>
      <c r="P191" s="3" t="s">
        <v>310</v>
      </c>
      <c r="Q191" s="3" t="s">
        <v>141</v>
      </c>
      <c r="R191" s="3" t="s">
        <v>142</v>
      </c>
      <c r="S191" s="3" t="s">
        <v>34</v>
      </c>
      <c r="T191" s="157">
        <v>6.8730000000000002</v>
      </c>
      <c r="U191" s="3" t="s">
        <v>416</v>
      </c>
      <c r="V191" s="168">
        <v>0.03</v>
      </c>
      <c r="W191" s="168">
        <v>2.632E-2</v>
      </c>
      <c r="X191" s="5" t="s">
        <v>144</v>
      </c>
      <c r="Y191" s="5" t="s">
        <v>139</v>
      </c>
      <c r="Z191" s="157">
        <v>33000</v>
      </c>
      <c r="AA191" s="166">
        <v>1</v>
      </c>
      <c r="AB191" s="176">
        <v>111.48</v>
      </c>
      <c r="AD191" s="157">
        <v>36.787999999999997</v>
      </c>
      <c r="AG191" s="3" t="s">
        <v>36</v>
      </c>
      <c r="AH191" s="168">
        <v>7.9999999999999996E-6</v>
      </c>
      <c r="AI191" s="168">
        <v>2.6343492207181001E-2</v>
      </c>
      <c r="AJ191" s="168">
        <v>4.4477115490153402E-3</v>
      </c>
    </row>
    <row r="192" spans="1:36">
      <c r="A192" s="3">
        <v>419</v>
      </c>
      <c r="B192" s="3">
        <v>1472</v>
      </c>
      <c r="C192" s="3" t="s">
        <v>406</v>
      </c>
      <c r="D192" s="3" t="s">
        <v>407</v>
      </c>
      <c r="E192" s="5" t="s">
        <v>132</v>
      </c>
      <c r="F192" s="3" t="s">
        <v>417</v>
      </c>
      <c r="G192" s="3" t="s">
        <v>418</v>
      </c>
      <c r="H192" s="3" t="s">
        <v>135</v>
      </c>
      <c r="I192" s="3" t="s">
        <v>149</v>
      </c>
      <c r="J192" s="3" t="s">
        <v>30</v>
      </c>
      <c r="K192" s="3" t="s">
        <v>30</v>
      </c>
      <c r="L192" s="3" t="s">
        <v>137</v>
      </c>
      <c r="M192" s="3" t="s">
        <v>31</v>
      </c>
      <c r="N192" s="3" t="s">
        <v>157</v>
      </c>
      <c r="O192" s="3" t="s">
        <v>139</v>
      </c>
      <c r="P192" s="3" t="s">
        <v>310</v>
      </c>
      <c r="Q192" s="3" t="s">
        <v>141</v>
      </c>
      <c r="R192" s="3" t="s">
        <v>142</v>
      </c>
      <c r="S192" s="3" t="s">
        <v>34</v>
      </c>
      <c r="T192" s="157">
        <v>9.7940000000000005</v>
      </c>
      <c r="U192" s="3" t="s">
        <v>419</v>
      </c>
      <c r="V192" s="168">
        <v>3.2000000000000001E-2</v>
      </c>
      <c r="W192" s="168">
        <v>2.8170000000000001E-2</v>
      </c>
      <c r="X192" s="5" t="s">
        <v>144</v>
      </c>
      <c r="Y192" s="5" t="s">
        <v>139</v>
      </c>
      <c r="Z192" s="157">
        <v>10000</v>
      </c>
      <c r="AA192" s="166">
        <v>1</v>
      </c>
      <c r="AB192" s="176">
        <v>112.97</v>
      </c>
      <c r="AD192" s="157">
        <v>11.297000000000001</v>
      </c>
      <c r="AG192" s="3" t="s">
        <v>36</v>
      </c>
      <c r="AH192" s="168">
        <v>1.9999999999999999E-6</v>
      </c>
      <c r="AI192" s="168">
        <v>8.0895725681063499E-3</v>
      </c>
      <c r="AJ192" s="168">
        <v>1.36580545414387E-3</v>
      </c>
    </row>
    <row r="193" spans="1:36">
      <c r="A193" s="3">
        <v>419</v>
      </c>
      <c r="B193" s="3">
        <v>1472</v>
      </c>
      <c r="C193" s="3" t="s">
        <v>423</v>
      </c>
      <c r="D193" s="3" t="s">
        <v>424</v>
      </c>
      <c r="E193" s="5" t="s">
        <v>165</v>
      </c>
      <c r="F193" s="3" t="s">
        <v>425</v>
      </c>
      <c r="G193" s="3" t="s">
        <v>426</v>
      </c>
      <c r="H193" s="3" t="s">
        <v>135</v>
      </c>
      <c r="I193" s="3" t="s">
        <v>136</v>
      </c>
      <c r="J193" s="3" t="s">
        <v>30</v>
      </c>
      <c r="K193" s="3" t="s">
        <v>168</v>
      </c>
      <c r="L193" s="3" t="s">
        <v>137</v>
      </c>
      <c r="M193" s="3" t="s">
        <v>31</v>
      </c>
      <c r="N193" s="3" t="s">
        <v>170</v>
      </c>
      <c r="O193" s="3" t="s">
        <v>139</v>
      </c>
      <c r="P193" s="3" t="s">
        <v>151</v>
      </c>
      <c r="Q193" s="3" t="s">
        <v>141</v>
      </c>
      <c r="R193" s="3" t="s">
        <v>142</v>
      </c>
      <c r="S193" s="3" t="s">
        <v>427</v>
      </c>
      <c r="T193" s="157">
        <v>1.363</v>
      </c>
      <c r="U193" s="3" t="s">
        <v>428</v>
      </c>
      <c r="V193" s="168">
        <v>4.7199999999999999E-2</v>
      </c>
      <c r="W193" s="168">
        <v>5.0979999999999998E-2</v>
      </c>
      <c r="X193" s="5" t="s">
        <v>144</v>
      </c>
      <c r="Y193" s="5" t="s">
        <v>139</v>
      </c>
      <c r="Z193" s="157">
        <v>20000</v>
      </c>
      <c r="AA193" s="166">
        <v>3.306</v>
      </c>
      <c r="AB193" s="176">
        <v>31.134</v>
      </c>
      <c r="AD193" s="157">
        <v>20.585999999999999</v>
      </c>
      <c r="AG193" s="3" t="s">
        <v>36</v>
      </c>
      <c r="AH193" s="168">
        <v>6.0999999999999999E-5</v>
      </c>
      <c r="AI193" s="168">
        <v>1.47412535086339E-2</v>
      </c>
      <c r="AJ193" s="168">
        <v>2.4888440363818399E-3</v>
      </c>
    </row>
    <row r="194" spans="1:36">
      <c r="A194" s="3">
        <v>419</v>
      </c>
      <c r="B194" s="3">
        <v>1472</v>
      </c>
      <c r="C194" s="3" t="s">
        <v>429</v>
      </c>
      <c r="D194" s="3" t="s">
        <v>430</v>
      </c>
      <c r="E194" s="5" t="s">
        <v>132</v>
      </c>
      <c r="F194" s="3" t="s">
        <v>434</v>
      </c>
      <c r="G194" s="3" t="s">
        <v>435</v>
      </c>
      <c r="H194" s="3" t="s">
        <v>135</v>
      </c>
      <c r="I194" s="3" t="s">
        <v>149</v>
      </c>
      <c r="J194" s="3" t="s">
        <v>30</v>
      </c>
      <c r="K194" s="3" t="s">
        <v>30</v>
      </c>
      <c r="L194" s="3" t="s">
        <v>137</v>
      </c>
      <c r="M194" s="3" t="s">
        <v>31</v>
      </c>
      <c r="N194" s="3" t="s">
        <v>309</v>
      </c>
      <c r="O194" s="3" t="s">
        <v>139</v>
      </c>
      <c r="P194" s="3" t="s">
        <v>151</v>
      </c>
      <c r="Q194" s="3" t="s">
        <v>141</v>
      </c>
      <c r="R194" s="3" t="s">
        <v>142</v>
      </c>
      <c r="S194" s="3" t="s">
        <v>34</v>
      </c>
      <c r="T194" s="157">
        <v>1.7130000000000001</v>
      </c>
      <c r="U194" s="3" t="s">
        <v>405</v>
      </c>
      <c r="V194" s="168">
        <v>2E-3</v>
      </c>
      <c r="W194" s="168">
        <v>2.7310000000000001E-2</v>
      </c>
      <c r="X194" s="5" t="s">
        <v>144</v>
      </c>
      <c r="Y194" s="5" t="s">
        <v>139</v>
      </c>
      <c r="Z194" s="157">
        <v>15000</v>
      </c>
      <c r="AA194" s="166">
        <v>1</v>
      </c>
      <c r="AB194" s="176">
        <v>113.82</v>
      </c>
      <c r="AD194" s="157">
        <v>17.073</v>
      </c>
      <c r="AG194" s="3" t="s">
        <v>36</v>
      </c>
      <c r="AH194" s="168">
        <v>2.4000000000000001E-5</v>
      </c>
      <c r="AI194" s="168">
        <v>1.2225659241858901E-2</v>
      </c>
      <c r="AJ194" s="168">
        <v>2.0641229103831298E-3</v>
      </c>
    </row>
    <row r="195" spans="1:36">
      <c r="A195" s="3">
        <v>419</v>
      </c>
      <c r="B195" s="3">
        <v>1472</v>
      </c>
      <c r="C195" s="3" t="s">
        <v>429</v>
      </c>
      <c r="D195" s="3" t="s">
        <v>430</v>
      </c>
      <c r="E195" s="5" t="s">
        <v>132</v>
      </c>
      <c r="F195" s="3" t="s">
        <v>436</v>
      </c>
      <c r="G195" s="3" t="s">
        <v>437</v>
      </c>
      <c r="H195" s="3" t="s">
        <v>135</v>
      </c>
      <c r="I195" s="3" t="s">
        <v>149</v>
      </c>
      <c r="J195" s="3" t="s">
        <v>30</v>
      </c>
      <c r="K195" s="3" t="s">
        <v>30</v>
      </c>
      <c r="L195" s="3" t="s">
        <v>137</v>
      </c>
      <c r="M195" s="3" t="s">
        <v>31</v>
      </c>
      <c r="N195" s="3" t="s">
        <v>309</v>
      </c>
      <c r="O195" s="3" t="s">
        <v>139</v>
      </c>
      <c r="P195" s="3" t="s">
        <v>151</v>
      </c>
      <c r="Q195" s="3" t="s">
        <v>141</v>
      </c>
      <c r="R195" s="3" t="s">
        <v>142</v>
      </c>
      <c r="S195" s="3" t="s">
        <v>34</v>
      </c>
      <c r="T195" s="157">
        <v>3.6120000000000001</v>
      </c>
      <c r="U195" s="3" t="s">
        <v>438</v>
      </c>
      <c r="V195" s="168">
        <v>2.5899999999999999E-2</v>
      </c>
      <c r="W195" s="168">
        <v>2.6800000000000001E-2</v>
      </c>
      <c r="X195" s="5" t="s">
        <v>144</v>
      </c>
      <c r="Y195" s="5" t="s">
        <v>139</v>
      </c>
      <c r="Z195" s="157">
        <v>23000</v>
      </c>
      <c r="AA195" s="166">
        <v>1</v>
      </c>
      <c r="AB195" s="176">
        <v>107.69</v>
      </c>
      <c r="AD195" s="157">
        <v>24.768999999999998</v>
      </c>
      <c r="AG195" s="3" t="s">
        <v>36</v>
      </c>
      <c r="AH195" s="168">
        <v>3.4E-5</v>
      </c>
      <c r="AI195" s="168">
        <v>1.7736407547814099E-2</v>
      </c>
      <c r="AJ195" s="168">
        <v>2.99453178295594E-3</v>
      </c>
    </row>
    <row r="196" spans="1:36">
      <c r="A196" s="3">
        <v>419</v>
      </c>
      <c r="B196" s="3">
        <v>1472</v>
      </c>
      <c r="C196" s="3" t="s">
        <v>439</v>
      </c>
      <c r="D196" s="3" t="s">
        <v>440</v>
      </c>
      <c r="E196" s="5" t="s">
        <v>441</v>
      </c>
      <c r="F196" s="3" t="s">
        <v>442</v>
      </c>
      <c r="G196" s="3" t="s">
        <v>443</v>
      </c>
      <c r="H196" s="3" t="s">
        <v>135</v>
      </c>
      <c r="I196" s="3" t="s">
        <v>161</v>
      </c>
      <c r="J196" s="3" t="s">
        <v>30</v>
      </c>
      <c r="K196" s="3" t="s">
        <v>30</v>
      </c>
      <c r="L196" s="3" t="s">
        <v>137</v>
      </c>
      <c r="M196" s="3" t="s">
        <v>31</v>
      </c>
      <c r="N196" s="3" t="s">
        <v>357</v>
      </c>
      <c r="O196" s="3" t="s">
        <v>139</v>
      </c>
      <c r="P196" s="3" t="s">
        <v>198</v>
      </c>
      <c r="Q196" s="3" t="s">
        <v>141</v>
      </c>
      <c r="R196" s="3" t="s">
        <v>142</v>
      </c>
      <c r="S196" s="3" t="s">
        <v>34</v>
      </c>
      <c r="T196" s="157">
        <v>2.8519999999999999</v>
      </c>
      <c r="U196" s="3" t="s">
        <v>444</v>
      </c>
      <c r="V196" s="168">
        <v>2.24E-2</v>
      </c>
      <c r="W196" s="168">
        <v>4.6460000000000001E-2</v>
      </c>
      <c r="X196" s="5" t="s">
        <v>144</v>
      </c>
      <c r="Y196" s="5" t="s">
        <v>139</v>
      </c>
      <c r="Z196" s="157">
        <v>11624.24</v>
      </c>
      <c r="AA196" s="166">
        <v>1</v>
      </c>
      <c r="AB196" s="176">
        <v>94.99</v>
      </c>
      <c r="AD196" s="157">
        <v>11.042</v>
      </c>
      <c r="AG196" s="3" t="s">
        <v>36</v>
      </c>
      <c r="AH196" s="168">
        <v>2.1999999999999999E-5</v>
      </c>
      <c r="AI196" s="168">
        <v>7.9068755301697196E-3</v>
      </c>
      <c r="AJ196" s="168">
        <v>1.3349597439695699E-3</v>
      </c>
    </row>
    <row r="197" spans="1:36">
      <c r="A197" s="3">
        <v>419</v>
      </c>
      <c r="B197" s="3">
        <v>1472</v>
      </c>
      <c r="C197" s="3" t="s">
        <v>445</v>
      </c>
      <c r="D197" s="3" t="s">
        <v>446</v>
      </c>
      <c r="E197" s="5" t="s">
        <v>132</v>
      </c>
      <c r="F197" s="3" t="s">
        <v>767</v>
      </c>
      <c r="G197" s="3" t="s">
        <v>768</v>
      </c>
      <c r="H197" s="3" t="s">
        <v>135</v>
      </c>
      <c r="I197" s="3" t="s">
        <v>149</v>
      </c>
      <c r="J197" s="3" t="s">
        <v>30</v>
      </c>
      <c r="K197" s="3" t="s">
        <v>30</v>
      </c>
      <c r="L197" s="3" t="s">
        <v>137</v>
      </c>
      <c r="M197" s="3" t="s">
        <v>31</v>
      </c>
      <c r="N197" s="3" t="s">
        <v>204</v>
      </c>
      <c r="O197" s="3" t="s">
        <v>139</v>
      </c>
      <c r="P197" s="3" t="s">
        <v>151</v>
      </c>
      <c r="Q197" s="3" t="s">
        <v>141</v>
      </c>
      <c r="R197" s="3" t="s">
        <v>142</v>
      </c>
      <c r="S197" s="3" t="s">
        <v>34</v>
      </c>
      <c r="T197" s="157">
        <v>3.2109999999999999</v>
      </c>
      <c r="U197" s="3" t="s">
        <v>769</v>
      </c>
      <c r="V197" s="168">
        <v>2.4E-2</v>
      </c>
      <c r="W197" s="168">
        <v>2.9239999999999999E-2</v>
      </c>
      <c r="X197" s="5" t="s">
        <v>144</v>
      </c>
      <c r="Y197" s="5" t="s">
        <v>139</v>
      </c>
      <c r="Z197" s="157">
        <v>0.13</v>
      </c>
      <c r="AA197" s="166">
        <v>1</v>
      </c>
      <c r="AB197" s="176">
        <v>118.32</v>
      </c>
      <c r="AD197" s="157">
        <v>0</v>
      </c>
      <c r="AG197" s="3" t="s">
        <v>36</v>
      </c>
      <c r="AH197" s="168">
        <v>0</v>
      </c>
      <c r="AI197" s="168">
        <v>1.10144790133296E-7</v>
      </c>
      <c r="AJ197" s="168">
        <v>1.8596329267468598E-8</v>
      </c>
    </row>
    <row r="198" spans="1:36">
      <c r="A198" s="3">
        <v>419</v>
      </c>
      <c r="B198" s="3">
        <v>1472</v>
      </c>
      <c r="C198" s="3" t="s">
        <v>445</v>
      </c>
      <c r="D198" s="3" t="s">
        <v>446</v>
      </c>
      <c r="E198" s="5" t="s">
        <v>132</v>
      </c>
      <c r="F198" s="3" t="s">
        <v>447</v>
      </c>
      <c r="G198" s="3" t="s">
        <v>448</v>
      </c>
      <c r="H198" s="3" t="s">
        <v>135</v>
      </c>
      <c r="I198" s="3" t="s">
        <v>149</v>
      </c>
      <c r="J198" s="3" t="s">
        <v>30</v>
      </c>
      <c r="K198" s="3" t="s">
        <v>30</v>
      </c>
      <c r="L198" s="3" t="s">
        <v>137</v>
      </c>
      <c r="M198" s="3" t="s">
        <v>31</v>
      </c>
      <c r="N198" s="3" t="s">
        <v>204</v>
      </c>
      <c r="O198" s="3" t="s">
        <v>139</v>
      </c>
      <c r="P198" s="3" t="s">
        <v>151</v>
      </c>
      <c r="Q198" s="3" t="s">
        <v>141</v>
      </c>
      <c r="R198" s="3" t="s">
        <v>142</v>
      </c>
      <c r="S198" s="3" t="s">
        <v>34</v>
      </c>
      <c r="T198" s="157">
        <v>5.3479999999999999</v>
      </c>
      <c r="U198" s="3" t="s">
        <v>449</v>
      </c>
      <c r="V198" s="168">
        <v>1.4999999999999999E-2</v>
      </c>
      <c r="W198" s="168">
        <v>3.0550000000000001E-2</v>
      </c>
      <c r="X198" s="5" t="s">
        <v>144</v>
      </c>
      <c r="Y198" s="5" t="s">
        <v>139</v>
      </c>
      <c r="Z198" s="157">
        <v>17083.88</v>
      </c>
      <c r="AA198" s="166">
        <v>1</v>
      </c>
      <c r="AB198" s="176">
        <v>105.5</v>
      </c>
      <c r="AD198" s="157">
        <v>18.023</v>
      </c>
      <c r="AG198" s="3" t="s">
        <v>36</v>
      </c>
      <c r="AH198" s="168">
        <v>1.5999999999999999E-5</v>
      </c>
      <c r="AI198" s="168">
        <v>1.2906289969911101E-2</v>
      </c>
      <c r="AJ198" s="168">
        <v>2.1790374071387099E-3</v>
      </c>
    </row>
    <row r="199" spans="1:36">
      <c r="A199" s="3">
        <v>419</v>
      </c>
      <c r="B199" s="3">
        <v>1472</v>
      </c>
      <c r="C199" s="3" t="s">
        <v>450</v>
      </c>
      <c r="D199" s="3" t="s">
        <v>451</v>
      </c>
      <c r="E199" s="5" t="s">
        <v>132</v>
      </c>
      <c r="F199" s="3" t="s">
        <v>452</v>
      </c>
      <c r="G199" s="3" t="s">
        <v>453</v>
      </c>
      <c r="H199" s="3" t="s">
        <v>135</v>
      </c>
      <c r="I199" s="3" t="s">
        <v>161</v>
      </c>
      <c r="J199" s="3" t="s">
        <v>30</v>
      </c>
      <c r="K199" s="3" t="s">
        <v>30</v>
      </c>
      <c r="L199" s="3" t="s">
        <v>137</v>
      </c>
      <c r="M199" s="3" t="s">
        <v>31</v>
      </c>
      <c r="N199" s="3" t="s">
        <v>185</v>
      </c>
      <c r="O199" s="3" t="s">
        <v>139</v>
      </c>
      <c r="P199" s="3" t="s">
        <v>151</v>
      </c>
      <c r="Q199" s="3" t="s">
        <v>141</v>
      </c>
      <c r="R199" s="3" t="s">
        <v>142</v>
      </c>
      <c r="S199" s="3" t="s">
        <v>34</v>
      </c>
      <c r="T199" s="157">
        <v>4.2460000000000004</v>
      </c>
      <c r="U199" s="3" t="s">
        <v>44</v>
      </c>
      <c r="V199" s="168">
        <v>2.64E-2</v>
      </c>
      <c r="W199" s="168">
        <v>4.6199999999999998E-2</v>
      </c>
      <c r="X199" s="5" t="s">
        <v>144</v>
      </c>
      <c r="Y199" s="5" t="s">
        <v>139</v>
      </c>
      <c r="Z199" s="157">
        <v>0.28999999999999998</v>
      </c>
      <c r="AA199" s="166">
        <v>1</v>
      </c>
      <c r="AB199" s="176">
        <v>92.3</v>
      </c>
      <c r="AD199" s="157">
        <v>0</v>
      </c>
      <c r="AG199" s="3" t="s">
        <v>36</v>
      </c>
      <c r="AH199" s="168">
        <v>0</v>
      </c>
      <c r="AI199" s="168">
        <v>1.91673531849608E-7</v>
      </c>
      <c r="AJ199" s="168">
        <v>3.2361259264467503E-8</v>
      </c>
    </row>
    <row r="200" spans="1:36">
      <c r="A200" s="3">
        <v>419</v>
      </c>
      <c r="B200" s="3">
        <v>1472</v>
      </c>
      <c r="C200" s="3" t="s">
        <v>450</v>
      </c>
      <c r="D200" s="3" t="s">
        <v>451</v>
      </c>
      <c r="E200" s="5" t="s">
        <v>132</v>
      </c>
      <c r="F200" s="3" t="s">
        <v>465</v>
      </c>
      <c r="G200" s="3" t="s">
        <v>466</v>
      </c>
      <c r="H200" s="3" t="s">
        <v>135</v>
      </c>
      <c r="I200" s="3" t="s">
        <v>161</v>
      </c>
      <c r="J200" s="3" t="s">
        <v>30</v>
      </c>
      <c r="K200" s="3" t="s">
        <v>30</v>
      </c>
      <c r="L200" s="3" t="s">
        <v>137</v>
      </c>
      <c r="M200" s="3" t="s">
        <v>31</v>
      </c>
      <c r="N200" s="3" t="s">
        <v>467</v>
      </c>
      <c r="O200" s="3" t="s">
        <v>139</v>
      </c>
      <c r="P200" s="3" t="s">
        <v>151</v>
      </c>
      <c r="Q200" s="3" t="s">
        <v>141</v>
      </c>
      <c r="R200" s="3" t="s">
        <v>142</v>
      </c>
      <c r="S200" s="3" t="s">
        <v>34</v>
      </c>
      <c r="T200" s="157">
        <v>7.1269999999999998</v>
      </c>
      <c r="U200" s="3" t="s">
        <v>468</v>
      </c>
      <c r="V200" s="168">
        <v>5.3100000000000001E-2</v>
      </c>
      <c r="W200" s="168">
        <v>4.8730000000000002E-2</v>
      </c>
      <c r="X200" s="5" t="s">
        <v>144</v>
      </c>
      <c r="Y200" s="5" t="s">
        <v>139</v>
      </c>
      <c r="Z200" s="157">
        <v>21627</v>
      </c>
      <c r="AA200" s="166">
        <v>1</v>
      </c>
      <c r="AB200" s="176">
        <v>104.46</v>
      </c>
      <c r="AD200" s="157">
        <v>22.591999999999999</v>
      </c>
      <c r="AG200" s="3" t="s">
        <v>36</v>
      </c>
      <c r="AH200" s="168">
        <v>1.7E-5</v>
      </c>
      <c r="AI200" s="168">
        <v>1.6177400904924599E-2</v>
      </c>
      <c r="AJ200" s="168">
        <v>2.7313164204657301E-3</v>
      </c>
    </row>
    <row r="201" spans="1:36">
      <c r="A201" s="3">
        <v>419</v>
      </c>
      <c r="B201" s="3">
        <v>1472</v>
      </c>
      <c r="C201" s="3" t="s">
        <v>469</v>
      </c>
      <c r="D201" s="3" t="s">
        <v>470</v>
      </c>
      <c r="E201" s="5" t="s">
        <v>132</v>
      </c>
      <c r="F201" s="3" t="s">
        <v>471</v>
      </c>
      <c r="G201" s="3" t="s">
        <v>472</v>
      </c>
      <c r="H201" s="3" t="s">
        <v>135</v>
      </c>
      <c r="I201" s="3" t="s">
        <v>149</v>
      </c>
      <c r="J201" s="3" t="s">
        <v>30</v>
      </c>
      <c r="K201" s="3" t="s">
        <v>30</v>
      </c>
      <c r="L201" s="3" t="s">
        <v>137</v>
      </c>
      <c r="M201" s="3" t="s">
        <v>31</v>
      </c>
      <c r="N201" s="3" t="s">
        <v>309</v>
      </c>
      <c r="O201" s="3" t="s">
        <v>139</v>
      </c>
      <c r="P201" s="3" t="s">
        <v>310</v>
      </c>
      <c r="Q201" s="3" t="s">
        <v>141</v>
      </c>
      <c r="R201" s="3" t="s">
        <v>142</v>
      </c>
      <c r="S201" s="3" t="s">
        <v>34</v>
      </c>
      <c r="T201" s="157">
        <v>0.73199999999999998</v>
      </c>
      <c r="U201" s="3" t="s">
        <v>218</v>
      </c>
      <c r="V201" s="168">
        <v>8.3000000000000001E-3</v>
      </c>
      <c r="W201" s="168">
        <v>3.2770000000000001E-2</v>
      </c>
      <c r="X201" s="5" t="s">
        <v>144</v>
      </c>
      <c r="Y201" s="5" t="s">
        <v>139</v>
      </c>
      <c r="Z201" s="157">
        <v>13903</v>
      </c>
      <c r="AA201" s="166">
        <v>1</v>
      </c>
      <c r="AB201" s="176">
        <v>116.83</v>
      </c>
      <c r="AD201" s="157">
        <v>16.242999999999999</v>
      </c>
      <c r="AG201" s="3" t="s">
        <v>36</v>
      </c>
      <c r="AH201" s="168">
        <v>9.0000000000000002E-6</v>
      </c>
      <c r="AI201" s="168">
        <v>1.1631222025159199E-2</v>
      </c>
      <c r="AJ201" s="168">
        <v>1.9637609214301602E-3</v>
      </c>
    </row>
    <row r="202" spans="1:36">
      <c r="A202" s="3">
        <v>419</v>
      </c>
      <c r="B202" s="3">
        <v>1472</v>
      </c>
      <c r="C202" s="3" t="s">
        <v>469</v>
      </c>
      <c r="D202" s="3" t="s">
        <v>470</v>
      </c>
      <c r="E202" s="5" t="s">
        <v>132</v>
      </c>
      <c r="F202" s="3" t="s">
        <v>473</v>
      </c>
      <c r="G202" s="3" t="s">
        <v>474</v>
      </c>
      <c r="H202" s="3" t="s">
        <v>135</v>
      </c>
      <c r="I202" s="3" t="s">
        <v>149</v>
      </c>
      <c r="J202" s="3" t="s">
        <v>30</v>
      </c>
      <c r="K202" s="3" t="s">
        <v>30</v>
      </c>
      <c r="L202" s="3" t="s">
        <v>137</v>
      </c>
      <c r="M202" s="3" t="s">
        <v>31</v>
      </c>
      <c r="N202" s="3" t="s">
        <v>309</v>
      </c>
      <c r="O202" s="3" t="s">
        <v>139</v>
      </c>
      <c r="P202" s="3" t="s">
        <v>310</v>
      </c>
      <c r="Q202" s="3" t="s">
        <v>141</v>
      </c>
      <c r="R202" s="3" t="s">
        <v>142</v>
      </c>
      <c r="S202" s="3" t="s">
        <v>34</v>
      </c>
      <c r="T202" s="157">
        <v>4.13</v>
      </c>
      <c r="U202" s="3" t="s">
        <v>475</v>
      </c>
      <c r="V202" s="168">
        <v>2.0199999999999999E-2</v>
      </c>
      <c r="W202" s="168">
        <v>2.5430000000000001E-2</v>
      </c>
      <c r="X202" s="5" t="s">
        <v>144</v>
      </c>
      <c r="Y202" s="5" t="s">
        <v>139</v>
      </c>
      <c r="Z202" s="157">
        <v>15000</v>
      </c>
      <c r="AA202" s="166">
        <v>1</v>
      </c>
      <c r="AB202" s="176">
        <v>105.02</v>
      </c>
      <c r="AD202" s="157">
        <v>15.753</v>
      </c>
      <c r="AG202" s="3" t="s">
        <v>36</v>
      </c>
      <c r="AH202" s="168">
        <v>3.9999999999999998E-6</v>
      </c>
      <c r="AI202" s="168">
        <v>1.12804316779127E-2</v>
      </c>
      <c r="AJ202" s="168">
        <v>1.9045351260625299E-3</v>
      </c>
    </row>
    <row r="203" spans="1:36">
      <c r="A203" s="3">
        <v>419</v>
      </c>
      <c r="B203" s="3">
        <v>1472</v>
      </c>
      <c r="C203" s="3" t="s">
        <v>469</v>
      </c>
      <c r="D203" s="3" t="s">
        <v>470</v>
      </c>
      <c r="E203" s="5" t="s">
        <v>132</v>
      </c>
      <c r="F203" s="3" t="s">
        <v>476</v>
      </c>
      <c r="G203" s="3" t="s">
        <v>477</v>
      </c>
      <c r="H203" s="3" t="s">
        <v>135</v>
      </c>
      <c r="I203" s="3" t="s">
        <v>149</v>
      </c>
      <c r="J203" s="3" t="s">
        <v>30</v>
      </c>
      <c r="K203" s="3" t="s">
        <v>30</v>
      </c>
      <c r="L203" s="3" t="s">
        <v>137</v>
      </c>
      <c r="M203" s="3" t="s">
        <v>31</v>
      </c>
      <c r="N203" s="3" t="s">
        <v>309</v>
      </c>
      <c r="O203" s="3" t="s">
        <v>139</v>
      </c>
      <c r="P203" s="3" t="s">
        <v>310</v>
      </c>
      <c r="Q203" s="3" t="s">
        <v>141</v>
      </c>
      <c r="R203" s="3" t="s">
        <v>142</v>
      </c>
      <c r="S203" s="3" t="s">
        <v>34</v>
      </c>
      <c r="T203" s="157">
        <v>4.1289999999999996</v>
      </c>
      <c r="U203" s="3" t="s">
        <v>478</v>
      </c>
      <c r="V203" s="168">
        <v>1E-3</v>
      </c>
      <c r="W203" s="168">
        <v>2.5350000000000001E-2</v>
      </c>
      <c r="X203" s="5" t="s">
        <v>144</v>
      </c>
      <c r="Y203" s="5" t="s">
        <v>139</v>
      </c>
      <c r="Z203" s="157">
        <v>34000</v>
      </c>
      <c r="AA203" s="166">
        <v>1</v>
      </c>
      <c r="AB203" s="176">
        <v>104.89</v>
      </c>
      <c r="AD203" s="157">
        <v>35.662999999999997</v>
      </c>
      <c r="AG203" s="3" t="s">
        <v>36</v>
      </c>
      <c r="AH203" s="168">
        <v>7.9999999999999996E-6</v>
      </c>
      <c r="AI203" s="168">
        <v>2.5537327668172901E-2</v>
      </c>
      <c r="AJ203" s="168">
        <v>4.3116025129637204E-3</v>
      </c>
    </row>
    <row r="204" spans="1:36">
      <c r="A204" s="3">
        <v>419</v>
      </c>
      <c r="B204" s="3">
        <v>1472</v>
      </c>
      <c r="C204" s="3" t="s">
        <v>469</v>
      </c>
      <c r="D204" s="3" t="s">
        <v>470</v>
      </c>
      <c r="E204" s="5" t="s">
        <v>132</v>
      </c>
      <c r="F204" s="3" t="s">
        <v>479</v>
      </c>
      <c r="G204" s="3" t="s">
        <v>480</v>
      </c>
      <c r="H204" s="3" t="s">
        <v>135</v>
      </c>
      <c r="I204" s="3" t="s">
        <v>149</v>
      </c>
      <c r="J204" s="3" t="s">
        <v>30</v>
      </c>
      <c r="K204" s="3" t="s">
        <v>30</v>
      </c>
      <c r="L204" s="3" t="s">
        <v>137</v>
      </c>
      <c r="M204" s="3" t="s">
        <v>31</v>
      </c>
      <c r="N204" s="3" t="s">
        <v>309</v>
      </c>
      <c r="O204" s="3" t="s">
        <v>139</v>
      </c>
      <c r="P204" s="3" t="s">
        <v>481</v>
      </c>
      <c r="Q204" s="3" t="s">
        <v>172</v>
      </c>
      <c r="R204" s="3" t="s">
        <v>142</v>
      </c>
      <c r="S204" s="3" t="s">
        <v>34</v>
      </c>
      <c r="T204" s="157">
        <v>6.6959999999999997</v>
      </c>
      <c r="U204" s="3" t="s">
        <v>482</v>
      </c>
      <c r="V204" s="168">
        <v>2.5999999999999999E-2</v>
      </c>
      <c r="W204" s="168">
        <v>2.554E-2</v>
      </c>
      <c r="X204" s="5" t="s">
        <v>144</v>
      </c>
      <c r="Y204" s="5" t="s">
        <v>139</v>
      </c>
      <c r="Z204" s="157">
        <v>17000</v>
      </c>
      <c r="AA204" s="166">
        <v>1</v>
      </c>
      <c r="AB204" s="176">
        <v>101.17</v>
      </c>
      <c r="AD204" s="157">
        <v>17.199000000000002</v>
      </c>
      <c r="AG204" s="3" t="s">
        <v>36</v>
      </c>
      <c r="AH204" s="168">
        <v>9.0000000000000002E-6</v>
      </c>
      <c r="AI204" s="168">
        <v>1.23158139011777E-2</v>
      </c>
      <c r="AJ204" s="168">
        <v>2.07934419981189E-3</v>
      </c>
    </row>
    <row r="205" spans="1:36">
      <c r="A205" s="3">
        <v>419</v>
      </c>
      <c r="B205" s="3">
        <v>1472</v>
      </c>
      <c r="C205" s="3" t="s">
        <v>486</v>
      </c>
      <c r="D205" s="3" t="s">
        <v>487</v>
      </c>
      <c r="E205" s="5" t="s">
        <v>132</v>
      </c>
      <c r="F205" s="3" t="s">
        <v>488</v>
      </c>
      <c r="G205" s="3" t="s">
        <v>489</v>
      </c>
      <c r="H205" s="3" t="s">
        <v>135</v>
      </c>
      <c r="I205" s="3" t="s">
        <v>149</v>
      </c>
      <c r="J205" s="3" t="s">
        <v>30</v>
      </c>
      <c r="K205" s="3" t="s">
        <v>30</v>
      </c>
      <c r="L205" s="3" t="s">
        <v>137</v>
      </c>
      <c r="M205" s="3" t="s">
        <v>31</v>
      </c>
      <c r="N205" s="3" t="s">
        <v>204</v>
      </c>
      <c r="O205" s="3" t="s">
        <v>139</v>
      </c>
      <c r="P205" s="3" t="s">
        <v>198</v>
      </c>
      <c r="Q205" s="3" t="s">
        <v>141</v>
      </c>
      <c r="R205" s="3" t="s">
        <v>142</v>
      </c>
      <c r="S205" s="3" t="s">
        <v>34</v>
      </c>
      <c r="T205" s="157">
        <v>5.1689999999999996</v>
      </c>
      <c r="U205" s="3" t="s">
        <v>490</v>
      </c>
      <c r="V205" s="168">
        <v>3.5000000000000001E-3</v>
      </c>
      <c r="W205" s="168">
        <v>2.9669999999999998E-2</v>
      </c>
      <c r="X205" s="5" t="s">
        <v>144</v>
      </c>
      <c r="Y205" s="5" t="s">
        <v>139</v>
      </c>
      <c r="Z205" s="157">
        <v>18947.37</v>
      </c>
      <c r="AA205" s="166">
        <v>1</v>
      </c>
      <c r="AB205" s="176">
        <v>101.29</v>
      </c>
      <c r="AD205" s="157">
        <v>19.192</v>
      </c>
      <c r="AG205" s="3" t="s">
        <v>36</v>
      </c>
      <c r="AH205" s="168">
        <v>5.0000000000000004E-6</v>
      </c>
      <c r="AI205" s="168">
        <v>1.37428863058307E-2</v>
      </c>
      <c r="AJ205" s="168">
        <v>2.3202844049121899E-3</v>
      </c>
    </row>
    <row r="206" spans="1:36">
      <c r="A206" s="3">
        <v>419</v>
      </c>
      <c r="B206" s="3">
        <v>1472</v>
      </c>
      <c r="C206" s="3" t="s">
        <v>486</v>
      </c>
      <c r="D206" s="3" t="s">
        <v>487</v>
      </c>
      <c r="E206" s="5" t="s">
        <v>132</v>
      </c>
      <c r="F206" s="3" t="s">
        <v>491</v>
      </c>
      <c r="G206" s="3" t="s">
        <v>492</v>
      </c>
      <c r="H206" s="3" t="s">
        <v>135</v>
      </c>
      <c r="I206" s="3" t="s">
        <v>149</v>
      </c>
      <c r="J206" s="3" t="s">
        <v>30</v>
      </c>
      <c r="K206" s="3" t="s">
        <v>30</v>
      </c>
      <c r="L206" s="3" t="s">
        <v>137</v>
      </c>
      <c r="M206" s="3" t="s">
        <v>31</v>
      </c>
      <c r="N206" s="3" t="s">
        <v>204</v>
      </c>
      <c r="O206" s="3" t="s">
        <v>139</v>
      </c>
      <c r="P206" s="3" t="s">
        <v>198</v>
      </c>
      <c r="Q206" s="3" t="s">
        <v>141</v>
      </c>
      <c r="R206" s="3" t="s">
        <v>142</v>
      </c>
      <c r="S206" s="3" t="s">
        <v>34</v>
      </c>
      <c r="T206" s="157">
        <v>1.673</v>
      </c>
      <c r="U206" s="3" t="s">
        <v>405</v>
      </c>
      <c r="V206" s="168">
        <v>3.6999999999999998E-2</v>
      </c>
      <c r="W206" s="168">
        <v>2.9180000000000001E-2</v>
      </c>
      <c r="X206" s="5" t="s">
        <v>144</v>
      </c>
      <c r="Y206" s="5" t="s">
        <v>139</v>
      </c>
      <c r="Z206" s="157">
        <v>0.49</v>
      </c>
      <c r="AA206" s="166">
        <v>1</v>
      </c>
      <c r="AB206" s="176">
        <v>121.5</v>
      </c>
      <c r="AD206" s="157">
        <v>1E-3</v>
      </c>
      <c r="AG206" s="3" t="s">
        <v>36</v>
      </c>
      <c r="AH206" s="168">
        <v>0</v>
      </c>
      <c r="AI206" s="168">
        <v>4.2631911378437801E-7</v>
      </c>
      <c r="AJ206" s="168">
        <v>7.1977717723692301E-8</v>
      </c>
    </row>
    <row r="207" spans="1:36">
      <c r="A207" s="3">
        <v>419</v>
      </c>
      <c r="B207" s="3">
        <v>1472</v>
      </c>
      <c r="C207" s="3" t="s">
        <v>499</v>
      </c>
      <c r="D207" s="3" t="s">
        <v>500</v>
      </c>
      <c r="E207" s="5" t="s">
        <v>132</v>
      </c>
      <c r="F207" s="3" t="s">
        <v>501</v>
      </c>
      <c r="G207" s="3" t="s">
        <v>502</v>
      </c>
      <c r="H207" s="3" t="s">
        <v>135</v>
      </c>
      <c r="I207" s="3" t="s">
        <v>161</v>
      </c>
      <c r="J207" s="3" t="s">
        <v>30</v>
      </c>
      <c r="K207" s="3" t="s">
        <v>30</v>
      </c>
      <c r="L207" s="3" t="s">
        <v>137</v>
      </c>
      <c r="M207" s="3" t="s">
        <v>31</v>
      </c>
      <c r="N207" s="3" t="s">
        <v>204</v>
      </c>
      <c r="O207" s="3" t="s">
        <v>139</v>
      </c>
      <c r="P207" s="3" t="s">
        <v>186</v>
      </c>
      <c r="Q207" s="3" t="s">
        <v>172</v>
      </c>
      <c r="R207" s="3" t="s">
        <v>142</v>
      </c>
      <c r="S207" s="3" t="s">
        <v>34</v>
      </c>
      <c r="T207" s="157">
        <v>4.6219999999999999</v>
      </c>
      <c r="U207" s="3" t="s">
        <v>400</v>
      </c>
      <c r="V207" s="168">
        <v>5.4800000000000001E-2</v>
      </c>
      <c r="W207" s="168">
        <v>4.7289999999999999E-2</v>
      </c>
      <c r="X207" s="5" t="s">
        <v>144</v>
      </c>
      <c r="Y207" s="5" t="s">
        <v>139</v>
      </c>
      <c r="Z207" s="157">
        <v>28000</v>
      </c>
      <c r="AA207" s="166">
        <v>1</v>
      </c>
      <c r="AB207" s="176">
        <v>105.18</v>
      </c>
      <c r="AD207" s="157">
        <v>29.45</v>
      </c>
      <c r="AG207" s="3" t="s">
        <v>36</v>
      </c>
      <c r="AH207" s="168">
        <v>9.2999999999999997E-5</v>
      </c>
      <c r="AI207" s="168">
        <v>2.1088886249425402E-2</v>
      </c>
      <c r="AJ207" s="168">
        <v>3.5605485479966899E-3</v>
      </c>
    </row>
    <row r="208" spans="1:36">
      <c r="A208" s="3">
        <v>419</v>
      </c>
      <c r="B208" s="3">
        <v>1472</v>
      </c>
      <c r="C208" s="3" t="s">
        <v>499</v>
      </c>
      <c r="D208" s="3" t="s">
        <v>500</v>
      </c>
      <c r="E208" s="5" t="s">
        <v>132</v>
      </c>
      <c r="F208" s="3" t="s">
        <v>503</v>
      </c>
      <c r="G208" s="3" t="s">
        <v>504</v>
      </c>
      <c r="H208" s="3" t="s">
        <v>135</v>
      </c>
      <c r="I208" s="3" t="s">
        <v>161</v>
      </c>
      <c r="J208" s="3" t="s">
        <v>30</v>
      </c>
      <c r="K208" s="3" t="s">
        <v>30</v>
      </c>
      <c r="L208" s="3" t="s">
        <v>137</v>
      </c>
      <c r="M208" s="3" t="s">
        <v>31</v>
      </c>
      <c r="N208" s="3" t="s">
        <v>204</v>
      </c>
      <c r="O208" s="3" t="s">
        <v>139</v>
      </c>
      <c r="P208" s="3" t="s">
        <v>186</v>
      </c>
      <c r="Q208" s="3" t="s">
        <v>172</v>
      </c>
      <c r="R208" s="3" t="s">
        <v>142</v>
      </c>
      <c r="S208" s="3" t="s">
        <v>34</v>
      </c>
      <c r="T208" s="157">
        <v>6.2949999999999999</v>
      </c>
      <c r="U208" s="3" t="s">
        <v>325</v>
      </c>
      <c r="V208" s="168">
        <v>5.2900000000000003E-2</v>
      </c>
      <c r="W208" s="168">
        <v>5.1069999999999997E-2</v>
      </c>
      <c r="X208" s="5" t="s">
        <v>144</v>
      </c>
      <c r="Y208" s="5" t="s">
        <v>139</v>
      </c>
      <c r="Z208" s="157">
        <v>17000</v>
      </c>
      <c r="AA208" s="166">
        <v>1</v>
      </c>
      <c r="AB208" s="176">
        <v>102.93</v>
      </c>
      <c r="AD208" s="157">
        <v>17.498000000000001</v>
      </c>
      <c r="AG208" s="3" t="s">
        <v>36</v>
      </c>
      <c r="AH208" s="168">
        <v>3.1000000000000001E-5</v>
      </c>
      <c r="AI208" s="168">
        <v>1.2530065482338801E-2</v>
      </c>
      <c r="AJ208" s="168">
        <v>2.1155174309245698E-3</v>
      </c>
    </row>
    <row r="209" spans="1:36">
      <c r="A209" s="3">
        <v>419</v>
      </c>
      <c r="B209" s="3">
        <v>1472</v>
      </c>
      <c r="C209" s="3" t="s">
        <v>505</v>
      </c>
      <c r="D209" s="3" t="s">
        <v>506</v>
      </c>
      <c r="E209" s="5" t="s">
        <v>132</v>
      </c>
      <c r="F209" s="3" t="s">
        <v>507</v>
      </c>
      <c r="G209" s="3" t="s">
        <v>508</v>
      </c>
      <c r="H209" s="3" t="s">
        <v>135</v>
      </c>
      <c r="I209" s="3" t="s">
        <v>149</v>
      </c>
      <c r="J209" s="3" t="s">
        <v>30</v>
      </c>
      <c r="K209" s="3" t="s">
        <v>30</v>
      </c>
      <c r="L209" s="3" t="s">
        <v>137</v>
      </c>
      <c r="M209" s="3" t="s">
        <v>31</v>
      </c>
      <c r="N209" s="3" t="s">
        <v>204</v>
      </c>
      <c r="O209" s="3" t="s">
        <v>139</v>
      </c>
      <c r="P209" s="3" t="s">
        <v>140</v>
      </c>
      <c r="Q209" s="3" t="s">
        <v>141</v>
      </c>
      <c r="R209" s="3" t="s">
        <v>142</v>
      </c>
      <c r="S209" s="3" t="s">
        <v>34</v>
      </c>
      <c r="T209" s="157">
        <v>5.0469999999999997</v>
      </c>
      <c r="U209" s="3" t="s">
        <v>464</v>
      </c>
      <c r="V209" s="168">
        <v>9.7000000000000003E-3</v>
      </c>
      <c r="W209" s="168">
        <v>3.1480000000000001E-2</v>
      </c>
      <c r="X209" s="5" t="s">
        <v>144</v>
      </c>
      <c r="Y209" s="5" t="s">
        <v>139</v>
      </c>
      <c r="Z209" s="157">
        <v>24470.59</v>
      </c>
      <c r="AA209" s="166">
        <v>1</v>
      </c>
      <c r="AB209" s="176">
        <v>104.98</v>
      </c>
      <c r="AD209" s="157">
        <v>25.689</v>
      </c>
      <c r="AG209" s="3" t="s">
        <v>36</v>
      </c>
      <c r="AH209" s="168">
        <v>4.1E-5</v>
      </c>
      <c r="AI209" s="168">
        <v>1.8395578732949301E-2</v>
      </c>
      <c r="AJ209" s="168">
        <v>3.10582315123189E-3</v>
      </c>
    </row>
    <row r="210" spans="1:36">
      <c r="A210" s="3">
        <v>419</v>
      </c>
      <c r="B210" s="3">
        <v>1472</v>
      </c>
      <c r="C210" s="3" t="s">
        <v>513</v>
      </c>
      <c r="D210" s="3" t="s">
        <v>514</v>
      </c>
      <c r="E210" s="5" t="s">
        <v>132</v>
      </c>
      <c r="F210" s="3" t="s">
        <v>518</v>
      </c>
      <c r="G210" s="3" t="s">
        <v>519</v>
      </c>
      <c r="H210" s="3" t="s">
        <v>135</v>
      </c>
      <c r="I210" s="3" t="s">
        <v>149</v>
      </c>
      <c r="J210" s="3" t="s">
        <v>30</v>
      </c>
      <c r="K210" s="3" t="s">
        <v>30</v>
      </c>
      <c r="L210" s="3" t="s">
        <v>137</v>
      </c>
      <c r="M210" s="3" t="s">
        <v>31</v>
      </c>
      <c r="N210" s="3" t="s">
        <v>309</v>
      </c>
      <c r="O210" s="3" t="s">
        <v>139</v>
      </c>
      <c r="P210" s="3" t="s">
        <v>481</v>
      </c>
      <c r="Q210" s="3" t="s">
        <v>172</v>
      </c>
      <c r="R210" s="3" t="s">
        <v>142</v>
      </c>
      <c r="S210" s="3" t="s">
        <v>34</v>
      </c>
      <c r="T210" s="157">
        <v>1.157</v>
      </c>
      <c r="U210" s="3" t="s">
        <v>520</v>
      </c>
      <c r="V210" s="168">
        <v>5.0000000000000001E-3</v>
      </c>
      <c r="W210" s="168">
        <v>2.9350000000000001E-2</v>
      </c>
      <c r="X210" s="5" t="s">
        <v>144</v>
      </c>
      <c r="Y210" s="5" t="s">
        <v>139</v>
      </c>
      <c r="Z210" s="157">
        <v>15000.01</v>
      </c>
      <c r="AA210" s="166">
        <v>1</v>
      </c>
      <c r="AB210" s="176">
        <v>114.73</v>
      </c>
      <c r="AD210" s="157">
        <v>17.21</v>
      </c>
      <c r="AG210" s="3" t="s">
        <v>36</v>
      </c>
      <c r="AH210" s="168">
        <v>2.0000000000000002E-5</v>
      </c>
      <c r="AI210" s="168">
        <v>1.2323412580551699E-2</v>
      </c>
      <c r="AJ210" s="168">
        <v>2.0806271251637498E-3</v>
      </c>
    </row>
    <row r="211" spans="1:36">
      <c r="A211" s="3">
        <v>419</v>
      </c>
      <c r="B211" s="3">
        <v>1472</v>
      </c>
      <c r="C211" s="3" t="s">
        <v>513</v>
      </c>
      <c r="D211" s="3" t="s">
        <v>514</v>
      </c>
      <c r="E211" s="5" t="s">
        <v>132</v>
      </c>
      <c r="F211" s="3" t="s">
        <v>533</v>
      </c>
      <c r="G211" s="3" t="s">
        <v>534</v>
      </c>
      <c r="H211" s="3" t="s">
        <v>135</v>
      </c>
      <c r="I211" s="3" t="s">
        <v>149</v>
      </c>
      <c r="J211" s="3" t="s">
        <v>30</v>
      </c>
      <c r="K211" s="3" t="s">
        <v>30</v>
      </c>
      <c r="L211" s="3" t="s">
        <v>137</v>
      </c>
      <c r="M211" s="3" t="s">
        <v>31</v>
      </c>
      <c r="N211" s="3" t="s">
        <v>309</v>
      </c>
      <c r="O211" s="3" t="s">
        <v>139</v>
      </c>
      <c r="P211" s="3" t="s">
        <v>310</v>
      </c>
      <c r="Q211" s="3" t="s">
        <v>141</v>
      </c>
      <c r="R211" s="3" t="s">
        <v>142</v>
      </c>
      <c r="S211" s="3" t="s">
        <v>34</v>
      </c>
      <c r="T211" s="157">
        <v>4.3650000000000002</v>
      </c>
      <c r="U211" s="3" t="s">
        <v>535</v>
      </c>
      <c r="V211" s="168">
        <v>2.2013000000000001E-2</v>
      </c>
      <c r="W211" s="168">
        <v>2.4549999999999999E-2</v>
      </c>
      <c r="X211" s="5" t="s">
        <v>144</v>
      </c>
      <c r="Y211" s="5" t="s">
        <v>139</v>
      </c>
      <c r="Z211" s="157">
        <v>21053</v>
      </c>
      <c r="AA211" s="166">
        <v>1</v>
      </c>
      <c r="AB211" s="176">
        <v>125.71</v>
      </c>
      <c r="AD211" s="157">
        <v>26.466000000000001</v>
      </c>
      <c r="AG211" s="3" t="s">
        <v>36</v>
      </c>
      <c r="AH211" s="168">
        <v>3.0000000000000001E-5</v>
      </c>
      <c r="AI211" s="168">
        <v>1.8951616665618402E-2</v>
      </c>
      <c r="AJ211" s="168">
        <v>3.1997019853429098E-3</v>
      </c>
    </row>
    <row r="212" spans="1:36">
      <c r="A212" s="3">
        <v>419</v>
      </c>
      <c r="B212" s="3">
        <v>1472</v>
      </c>
      <c r="C212" s="3" t="s">
        <v>541</v>
      </c>
      <c r="D212" s="3" t="s">
        <v>542</v>
      </c>
      <c r="E212" s="5" t="s">
        <v>132</v>
      </c>
      <c r="F212" s="3" t="s">
        <v>546</v>
      </c>
      <c r="G212" s="3" t="s">
        <v>547</v>
      </c>
      <c r="H212" s="3" t="s">
        <v>135</v>
      </c>
      <c r="I212" s="3" t="s">
        <v>149</v>
      </c>
      <c r="J212" s="3" t="s">
        <v>30</v>
      </c>
      <c r="K212" s="3" t="s">
        <v>30</v>
      </c>
      <c r="L212" s="3" t="s">
        <v>137</v>
      </c>
      <c r="M212" s="3" t="s">
        <v>31</v>
      </c>
      <c r="N212" s="3" t="s">
        <v>204</v>
      </c>
      <c r="O212" s="3" t="s">
        <v>139</v>
      </c>
      <c r="P212" s="3" t="s">
        <v>198</v>
      </c>
      <c r="Q212" s="3" t="s">
        <v>141</v>
      </c>
      <c r="R212" s="3" t="s">
        <v>142</v>
      </c>
      <c r="S212" s="3" t="s">
        <v>34</v>
      </c>
      <c r="T212" s="157">
        <v>5.3339999999999996</v>
      </c>
      <c r="U212" s="3" t="s">
        <v>548</v>
      </c>
      <c r="V212" s="168">
        <v>3.61E-2</v>
      </c>
      <c r="W212" s="168">
        <v>2.9340000000000001E-2</v>
      </c>
      <c r="X212" s="5" t="s">
        <v>144</v>
      </c>
      <c r="Y212" s="5" t="s">
        <v>139</v>
      </c>
      <c r="Z212" s="157">
        <v>19696.98</v>
      </c>
      <c r="AA212" s="166">
        <v>1</v>
      </c>
      <c r="AB212" s="176">
        <v>113.95</v>
      </c>
      <c r="AD212" s="157">
        <v>22.445</v>
      </c>
      <c r="AG212" s="3" t="s">
        <v>36</v>
      </c>
      <c r="AH212" s="168">
        <v>9.0000000000000002E-6</v>
      </c>
      <c r="AI212" s="168">
        <v>1.6072240407148199E-2</v>
      </c>
      <c r="AJ212" s="168">
        <v>2.71356161571996E-3</v>
      </c>
    </row>
    <row r="213" spans="1:36">
      <c r="A213" s="3">
        <v>419</v>
      </c>
      <c r="B213" s="3">
        <v>1472</v>
      </c>
      <c r="C213" s="3" t="s">
        <v>552</v>
      </c>
      <c r="D213" s="3" t="s">
        <v>553</v>
      </c>
      <c r="E213" s="5" t="s">
        <v>132</v>
      </c>
      <c r="F213" s="3" t="s">
        <v>554</v>
      </c>
      <c r="G213" s="3" t="s">
        <v>555</v>
      </c>
      <c r="H213" s="3" t="s">
        <v>135</v>
      </c>
      <c r="I213" s="3" t="s">
        <v>161</v>
      </c>
      <c r="J213" s="3" t="s">
        <v>30</v>
      </c>
      <c r="K213" s="3" t="s">
        <v>30</v>
      </c>
      <c r="L213" s="3" t="s">
        <v>137</v>
      </c>
      <c r="M213" s="3" t="s">
        <v>31</v>
      </c>
      <c r="N213" s="3" t="s">
        <v>556</v>
      </c>
      <c r="O213" s="3" t="s">
        <v>139</v>
      </c>
      <c r="P213" s="3" t="s">
        <v>140</v>
      </c>
      <c r="Q213" s="3" t="s">
        <v>141</v>
      </c>
      <c r="R213" s="3" t="s">
        <v>142</v>
      </c>
      <c r="S213" s="3" t="s">
        <v>34</v>
      </c>
      <c r="T213" s="157">
        <v>1.6639999999999999</v>
      </c>
      <c r="U213" s="3" t="s">
        <v>180</v>
      </c>
      <c r="V213" s="168">
        <v>2.3900000000000001E-2</v>
      </c>
      <c r="W213" s="168">
        <v>4.8750000000000002E-2</v>
      </c>
      <c r="X213" s="5" t="s">
        <v>144</v>
      </c>
      <c r="Y213" s="5" t="s">
        <v>139</v>
      </c>
      <c r="Z213" s="157">
        <v>8986.6</v>
      </c>
      <c r="AA213" s="166">
        <v>1</v>
      </c>
      <c r="AB213" s="176">
        <v>96.69</v>
      </c>
      <c r="AD213" s="157">
        <v>8.6890000000000001</v>
      </c>
      <c r="AG213" s="3" t="s">
        <v>36</v>
      </c>
      <c r="AH213" s="168">
        <v>6.8999999999999997E-5</v>
      </c>
      <c r="AI213" s="168">
        <v>6.2221348341615001E-3</v>
      </c>
      <c r="AJ213" s="168">
        <v>1.0505160342366099E-3</v>
      </c>
    </row>
    <row r="214" spans="1:36">
      <c r="A214" s="3">
        <v>419</v>
      </c>
      <c r="B214" s="3">
        <v>1472</v>
      </c>
      <c r="C214" s="3" t="s">
        <v>770</v>
      </c>
      <c r="D214" s="3" t="s">
        <v>771</v>
      </c>
      <c r="E214" s="5" t="s">
        <v>132</v>
      </c>
      <c r="F214" s="3" t="s">
        <v>772</v>
      </c>
      <c r="G214" s="3" t="s">
        <v>773</v>
      </c>
      <c r="H214" s="3" t="s">
        <v>135</v>
      </c>
      <c r="I214" s="3" t="s">
        <v>161</v>
      </c>
      <c r="J214" s="3" t="s">
        <v>30</v>
      </c>
      <c r="K214" s="3" t="s">
        <v>30</v>
      </c>
      <c r="L214" s="3" t="s">
        <v>137</v>
      </c>
      <c r="M214" s="3" t="s">
        <v>31</v>
      </c>
      <c r="N214" s="3" t="s">
        <v>185</v>
      </c>
      <c r="O214" s="3" t="s">
        <v>139</v>
      </c>
      <c r="P214" s="3" t="s">
        <v>774</v>
      </c>
      <c r="Q214" s="3" t="s">
        <v>172</v>
      </c>
      <c r="R214" s="3" t="s">
        <v>142</v>
      </c>
      <c r="S214" s="3" t="s">
        <v>34</v>
      </c>
      <c r="T214" s="157">
        <v>0.98399999999999999</v>
      </c>
      <c r="U214" s="3" t="s">
        <v>562</v>
      </c>
      <c r="V214" s="168">
        <v>2.9399999999999999E-2</v>
      </c>
      <c r="W214" s="168">
        <v>4.4979999999999999E-2</v>
      </c>
      <c r="X214" s="5" t="s">
        <v>144</v>
      </c>
      <c r="Y214" s="5" t="s">
        <v>139</v>
      </c>
      <c r="Z214" s="157">
        <v>1167.68</v>
      </c>
      <c r="AA214" s="166">
        <v>1</v>
      </c>
      <c r="AB214" s="176">
        <v>98.58</v>
      </c>
      <c r="AD214" s="157">
        <v>1.151</v>
      </c>
      <c r="AG214" s="3" t="s">
        <v>36</v>
      </c>
      <c r="AH214" s="168">
        <v>1.1E-5</v>
      </c>
      <c r="AI214" s="168">
        <v>8.2428064446831795E-4</v>
      </c>
      <c r="AJ214" s="168">
        <v>1.39167674247539E-4</v>
      </c>
    </row>
    <row r="215" spans="1:36">
      <c r="A215" s="3">
        <v>419</v>
      </c>
      <c r="B215" s="3">
        <v>1472</v>
      </c>
      <c r="C215" s="3" t="s">
        <v>557</v>
      </c>
      <c r="D215" s="3" t="s">
        <v>558</v>
      </c>
      <c r="E215" s="5" t="s">
        <v>132</v>
      </c>
      <c r="F215" s="3" t="s">
        <v>559</v>
      </c>
      <c r="G215" s="3" t="s">
        <v>560</v>
      </c>
      <c r="H215" s="3" t="s">
        <v>135</v>
      </c>
      <c r="I215" s="3" t="s">
        <v>161</v>
      </c>
      <c r="J215" s="3" t="s">
        <v>30</v>
      </c>
      <c r="K215" s="3" t="s">
        <v>30</v>
      </c>
      <c r="L215" s="3" t="s">
        <v>137</v>
      </c>
      <c r="M215" s="3" t="s">
        <v>31</v>
      </c>
      <c r="N215" s="3" t="s">
        <v>561</v>
      </c>
      <c r="O215" s="3" t="s">
        <v>139</v>
      </c>
      <c r="P215" s="3" t="s">
        <v>229</v>
      </c>
      <c r="Q215" s="3" t="s">
        <v>172</v>
      </c>
      <c r="R215" s="3" t="s">
        <v>142</v>
      </c>
      <c r="S215" s="3" t="s">
        <v>34</v>
      </c>
      <c r="T215" s="157">
        <v>0.96699999999999997</v>
      </c>
      <c r="U215" s="3" t="s">
        <v>562</v>
      </c>
      <c r="V215" s="168">
        <v>0.114</v>
      </c>
      <c r="W215" s="168">
        <v>1E-4</v>
      </c>
      <c r="X215" s="5" t="s">
        <v>144</v>
      </c>
      <c r="Y215" s="5" t="s">
        <v>139</v>
      </c>
      <c r="Z215" s="157">
        <v>14233.76</v>
      </c>
      <c r="AA215" s="166">
        <v>1</v>
      </c>
      <c r="AB215" s="176">
        <v>100.46</v>
      </c>
      <c r="AD215" s="157">
        <v>14.298999999999999</v>
      </c>
      <c r="AG215" s="3" t="s">
        <v>36</v>
      </c>
      <c r="AH215" s="168">
        <v>5.8999999999999998E-5</v>
      </c>
      <c r="AI215" s="168">
        <v>1.0239417685705901E-2</v>
      </c>
      <c r="AJ215" s="168">
        <v>1.7287752108846E-3</v>
      </c>
    </row>
    <row r="216" spans="1:36">
      <c r="A216" s="3">
        <v>419</v>
      </c>
      <c r="B216" s="3">
        <v>1472</v>
      </c>
      <c r="C216" s="3" t="s">
        <v>569</v>
      </c>
      <c r="D216" s="3" t="s">
        <v>570</v>
      </c>
      <c r="E216" s="5" t="s">
        <v>132</v>
      </c>
      <c r="F216" s="3" t="s">
        <v>571</v>
      </c>
      <c r="G216" s="3" t="s">
        <v>572</v>
      </c>
      <c r="H216" s="3" t="s">
        <v>135</v>
      </c>
      <c r="I216" s="3" t="s">
        <v>149</v>
      </c>
      <c r="J216" s="3" t="s">
        <v>30</v>
      </c>
      <c r="K216" s="3" t="s">
        <v>30</v>
      </c>
      <c r="L216" s="3" t="s">
        <v>137</v>
      </c>
      <c r="M216" s="3" t="s">
        <v>31</v>
      </c>
      <c r="N216" s="3" t="s">
        <v>178</v>
      </c>
      <c r="O216" s="3" t="s">
        <v>139</v>
      </c>
      <c r="P216" s="3" t="s">
        <v>573</v>
      </c>
      <c r="Q216" s="3" t="s">
        <v>172</v>
      </c>
      <c r="R216" s="3" t="s">
        <v>142</v>
      </c>
      <c r="S216" s="3" t="s">
        <v>34</v>
      </c>
      <c r="T216" s="157">
        <v>3.2679999999999998</v>
      </c>
      <c r="U216" s="3" t="s">
        <v>574</v>
      </c>
      <c r="V216" s="168">
        <v>2.07E-2</v>
      </c>
      <c r="W216" s="168">
        <v>4.1239999999999999E-2</v>
      </c>
      <c r="X216" s="5" t="s">
        <v>144</v>
      </c>
      <c r="Y216" s="5" t="s">
        <v>139</v>
      </c>
      <c r="Z216" s="157">
        <v>0.77</v>
      </c>
      <c r="AA216" s="166">
        <v>1</v>
      </c>
      <c r="AB216" s="176">
        <v>109.03</v>
      </c>
      <c r="AD216" s="157">
        <v>1E-3</v>
      </c>
      <c r="AG216" s="3" t="s">
        <v>36</v>
      </c>
      <c r="AH216" s="168">
        <v>0</v>
      </c>
      <c r="AI216" s="168">
        <v>6.01172607566158E-7</v>
      </c>
      <c r="AJ216" s="168">
        <v>1.01499160726109E-7</v>
      </c>
    </row>
    <row r="217" spans="1:36">
      <c r="A217" s="3">
        <v>419</v>
      </c>
      <c r="B217" s="3">
        <v>1472</v>
      </c>
      <c r="C217" s="3" t="s">
        <v>575</v>
      </c>
      <c r="D217" s="3" t="s">
        <v>576</v>
      </c>
      <c r="E217" s="5" t="s">
        <v>132</v>
      </c>
      <c r="F217" s="3" t="s">
        <v>577</v>
      </c>
      <c r="G217" s="3" t="s">
        <v>578</v>
      </c>
      <c r="H217" s="3" t="s">
        <v>135</v>
      </c>
      <c r="I217" s="3" t="s">
        <v>149</v>
      </c>
      <c r="J217" s="3" t="s">
        <v>30</v>
      </c>
      <c r="K217" s="3" t="s">
        <v>30</v>
      </c>
      <c r="L217" s="3" t="s">
        <v>137</v>
      </c>
      <c r="M217" s="3" t="s">
        <v>31</v>
      </c>
      <c r="N217" s="3" t="s">
        <v>556</v>
      </c>
      <c r="O217" s="3" t="s">
        <v>139</v>
      </c>
      <c r="P217" s="3" t="s">
        <v>310</v>
      </c>
      <c r="Q217" s="3" t="s">
        <v>141</v>
      </c>
      <c r="R217" s="3" t="s">
        <v>142</v>
      </c>
      <c r="S217" s="3" t="s">
        <v>34</v>
      </c>
      <c r="T217" s="157">
        <v>11.507999999999999</v>
      </c>
      <c r="U217" s="3" t="s">
        <v>579</v>
      </c>
      <c r="V217" s="168">
        <v>2.07E-2</v>
      </c>
      <c r="W217" s="168">
        <v>2.7050000000000001E-2</v>
      </c>
      <c r="X217" s="5" t="s">
        <v>144</v>
      </c>
      <c r="Y217" s="5" t="s">
        <v>139</v>
      </c>
      <c r="Z217" s="157">
        <v>0.66</v>
      </c>
      <c r="AA217" s="166">
        <v>1</v>
      </c>
      <c r="AB217" s="176">
        <v>109.4</v>
      </c>
      <c r="AD217" s="157">
        <v>1E-3</v>
      </c>
      <c r="AG217" s="3" t="s">
        <v>36</v>
      </c>
      <c r="AH217" s="168">
        <v>0</v>
      </c>
      <c r="AI217" s="168">
        <v>5.1703947747857895E-7</v>
      </c>
      <c r="AJ217" s="168">
        <v>8.7294518023372405E-8</v>
      </c>
    </row>
    <row r="218" spans="1:36">
      <c r="A218" s="3">
        <v>419</v>
      </c>
      <c r="B218" s="3">
        <v>1472</v>
      </c>
      <c r="C218" s="3" t="s">
        <v>585</v>
      </c>
      <c r="D218" s="3" t="s">
        <v>586</v>
      </c>
      <c r="E218" s="5" t="s">
        <v>441</v>
      </c>
      <c r="F218" s="3" t="s">
        <v>590</v>
      </c>
      <c r="G218" s="3" t="s">
        <v>591</v>
      </c>
      <c r="H218" s="3" t="s">
        <v>135</v>
      </c>
      <c r="I218" s="3" t="s">
        <v>161</v>
      </c>
      <c r="J218" s="3" t="s">
        <v>30</v>
      </c>
      <c r="K218" s="3" t="s">
        <v>30</v>
      </c>
      <c r="L218" s="3" t="s">
        <v>137</v>
      </c>
      <c r="M218" s="3" t="s">
        <v>31</v>
      </c>
      <c r="N218" s="3" t="s">
        <v>357</v>
      </c>
      <c r="O218" s="3" t="s">
        <v>139</v>
      </c>
      <c r="P218" s="3" t="s">
        <v>351</v>
      </c>
      <c r="Q218" s="3" t="s">
        <v>141</v>
      </c>
      <c r="R218" s="3" t="s">
        <v>142</v>
      </c>
      <c r="S218" s="3" t="s">
        <v>34</v>
      </c>
      <c r="T218" s="157">
        <v>2.9580000000000002</v>
      </c>
      <c r="U218" s="3" t="s">
        <v>592</v>
      </c>
      <c r="V218" s="168">
        <v>6.7000000000000004E-2</v>
      </c>
      <c r="W218" s="168">
        <v>5.1299999999999998E-2</v>
      </c>
      <c r="X218" s="5" t="s">
        <v>144</v>
      </c>
      <c r="Y218" s="5" t="s">
        <v>139</v>
      </c>
      <c r="Z218" s="157">
        <v>8000</v>
      </c>
      <c r="AA218" s="166">
        <v>1</v>
      </c>
      <c r="AB218" s="176">
        <v>104.89</v>
      </c>
      <c r="AD218" s="157">
        <v>8.391</v>
      </c>
      <c r="AG218" s="3" t="s">
        <v>36</v>
      </c>
      <c r="AH218" s="168">
        <v>9.0000000000000002E-6</v>
      </c>
      <c r="AI218" s="168">
        <v>6.0087829807465697E-3</v>
      </c>
      <c r="AJ218" s="168">
        <v>1.0144947089326399E-3</v>
      </c>
    </row>
    <row r="219" spans="1:36">
      <c r="A219" s="3">
        <v>419</v>
      </c>
      <c r="B219" s="3">
        <v>1472</v>
      </c>
      <c r="C219" s="3" t="s">
        <v>593</v>
      </c>
      <c r="D219" s="3" t="s">
        <v>594</v>
      </c>
      <c r="E219" s="5" t="s">
        <v>132</v>
      </c>
      <c r="F219" s="3" t="s">
        <v>595</v>
      </c>
      <c r="G219" s="3" t="s">
        <v>596</v>
      </c>
      <c r="H219" s="3" t="s">
        <v>135</v>
      </c>
      <c r="I219" s="3" t="s">
        <v>161</v>
      </c>
      <c r="J219" s="3" t="s">
        <v>30</v>
      </c>
      <c r="K219" s="3" t="s">
        <v>30</v>
      </c>
      <c r="L219" s="3" t="s">
        <v>137</v>
      </c>
      <c r="M219" s="3" t="s">
        <v>31</v>
      </c>
      <c r="N219" s="3" t="s">
        <v>597</v>
      </c>
      <c r="O219" s="3" t="s">
        <v>139</v>
      </c>
      <c r="P219" s="3" t="s">
        <v>67</v>
      </c>
      <c r="Q219" s="3" t="s">
        <v>67</v>
      </c>
      <c r="R219" s="3" t="s">
        <v>67</v>
      </c>
      <c r="S219" s="3" t="s">
        <v>34</v>
      </c>
      <c r="T219" s="157">
        <v>3.6760000000000002</v>
      </c>
      <c r="U219" s="3" t="s">
        <v>598</v>
      </c>
      <c r="V219" s="168">
        <v>5.8999999999999997E-2</v>
      </c>
      <c r="W219" s="168">
        <v>5.3530000000000001E-2</v>
      </c>
      <c r="X219" s="5" t="s">
        <v>144</v>
      </c>
      <c r="Y219" s="5" t="s">
        <v>139</v>
      </c>
      <c r="Z219" s="157">
        <v>15000</v>
      </c>
      <c r="AA219" s="166">
        <v>1</v>
      </c>
      <c r="AB219" s="176">
        <v>102.31</v>
      </c>
      <c r="AD219" s="157">
        <v>15.347</v>
      </c>
      <c r="AG219" s="3" t="s">
        <v>36</v>
      </c>
      <c r="AH219" s="168">
        <v>3.1000000000000001E-5</v>
      </c>
      <c r="AI219" s="168">
        <v>1.09893445531065E-2</v>
      </c>
      <c r="AJ219" s="168">
        <v>1.8553893424819801E-3</v>
      </c>
    </row>
    <row r="220" spans="1:36">
      <c r="A220" s="3">
        <v>419</v>
      </c>
      <c r="B220" s="3">
        <v>1472</v>
      </c>
      <c r="C220" s="3" t="s">
        <v>599</v>
      </c>
      <c r="D220" s="3" t="s">
        <v>600</v>
      </c>
      <c r="E220" s="5" t="s">
        <v>132</v>
      </c>
      <c r="F220" s="3" t="s">
        <v>601</v>
      </c>
      <c r="G220" s="3" t="s">
        <v>602</v>
      </c>
      <c r="H220" s="3" t="s">
        <v>135</v>
      </c>
      <c r="I220" s="3" t="s">
        <v>161</v>
      </c>
      <c r="J220" s="3" t="s">
        <v>30</v>
      </c>
      <c r="K220" s="3" t="s">
        <v>30</v>
      </c>
      <c r="L220" s="3" t="s">
        <v>137</v>
      </c>
      <c r="M220" s="3" t="s">
        <v>31</v>
      </c>
      <c r="N220" s="3" t="s">
        <v>241</v>
      </c>
      <c r="O220" s="3" t="s">
        <v>139</v>
      </c>
      <c r="P220" s="3" t="s">
        <v>229</v>
      </c>
      <c r="Q220" s="3" t="s">
        <v>172</v>
      </c>
      <c r="R220" s="3" t="s">
        <v>142</v>
      </c>
      <c r="S220" s="3" t="s">
        <v>34</v>
      </c>
      <c r="T220" s="157">
        <v>2.992</v>
      </c>
      <c r="U220" s="3" t="s">
        <v>589</v>
      </c>
      <c r="V220" s="168">
        <v>6.9500000000000006E-2</v>
      </c>
      <c r="W220" s="168">
        <v>5.3469999999999997E-2</v>
      </c>
      <c r="X220" s="5" t="s">
        <v>144</v>
      </c>
      <c r="Y220" s="5" t="s">
        <v>139</v>
      </c>
      <c r="Z220" s="157">
        <v>19000</v>
      </c>
      <c r="AA220" s="166">
        <v>1</v>
      </c>
      <c r="AB220" s="176">
        <v>106.87</v>
      </c>
      <c r="AD220" s="157">
        <v>20.305</v>
      </c>
      <c r="AG220" s="3" t="s">
        <v>36</v>
      </c>
      <c r="AH220" s="168">
        <v>2.4000000000000001E-5</v>
      </c>
      <c r="AI220" s="168">
        <v>1.45402494349978E-2</v>
      </c>
      <c r="AJ220" s="168">
        <v>2.4549074522463902E-3</v>
      </c>
    </row>
    <row r="221" spans="1:36">
      <c r="A221" s="3">
        <v>419</v>
      </c>
      <c r="B221" s="3">
        <v>1472</v>
      </c>
      <c r="C221" s="3" t="s">
        <v>599</v>
      </c>
      <c r="D221" s="3" t="s">
        <v>600</v>
      </c>
      <c r="E221" s="5" t="s">
        <v>132</v>
      </c>
      <c r="F221" s="3" t="s">
        <v>603</v>
      </c>
      <c r="G221" s="3" t="s">
        <v>604</v>
      </c>
      <c r="H221" s="3" t="s">
        <v>135</v>
      </c>
      <c r="I221" s="3" t="s">
        <v>161</v>
      </c>
      <c r="J221" s="3" t="s">
        <v>30</v>
      </c>
      <c r="K221" s="3" t="s">
        <v>30</v>
      </c>
      <c r="L221" s="3" t="s">
        <v>137</v>
      </c>
      <c r="M221" s="3" t="s">
        <v>31</v>
      </c>
      <c r="N221" s="3" t="s">
        <v>241</v>
      </c>
      <c r="O221" s="3" t="s">
        <v>139</v>
      </c>
      <c r="P221" s="3" t="s">
        <v>229</v>
      </c>
      <c r="Q221" s="3" t="s">
        <v>172</v>
      </c>
      <c r="R221" s="3" t="s">
        <v>142</v>
      </c>
      <c r="S221" s="3" t="s">
        <v>34</v>
      </c>
      <c r="T221" s="157">
        <v>5.5030000000000001</v>
      </c>
      <c r="U221" s="3" t="s">
        <v>605</v>
      </c>
      <c r="V221" s="168">
        <v>6.6900000000000001E-2</v>
      </c>
      <c r="W221" s="168">
        <v>5.6550000000000003E-2</v>
      </c>
      <c r="X221" s="5" t="s">
        <v>144</v>
      </c>
      <c r="Y221" s="5" t="s">
        <v>139</v>
      </c>
      <c r="Z221" s="157">
        <v>16774</v>
      </c>
      <c r="AA221" s="166">
        <v>1</v>
      </c>
      <c r="AB221" s="176">
        <v>107.94</v>
      </c>
      <c r="AD221" s="157">
        <v>18.106000000000002</v>
      </c>
      <c r="AG221" s="3" t="s">
        <v>36</v>
      </c>
      <c r="AH221" s="168">
        <v>2.1999999999999999E-5</v>
      </c>
      <c r="AI221" s="168">
        <v>1.29652680166287E-2</v>
      </c>
      <c r="AJ221" s="168">
        <v>2.1889949836612602E-3</v>
      </c>
    </row>
    <row r="222" spans="1:36">
      <c r="A222" s="3">
        <v>419</v>
      </c>
      <c r="B222" s="3">
        <v>1472</v>
      </c>
      <c r="C222" s="3" t="s">
        <v>622</v>
      </c>
      <c r="D222" s="3" t="s">
        <v>623</v>
      </c>
      <c r="E222" s="5" t="s">
        <v>165</v>
      </c>
      <c r="F222" s="3" t="s">
        <v>624</v>
      </c>
      <c r="G222" s="3" t="s">
        <v>625</v>
      </c>
      <c r="H222" s="3" t="s">
        <v>135</v>
      </c>
      <c r="I222" s="3" t="s">
        <v>161</v>
      </c>
      <c r="J222" s="3" t="s">
        <v>30</v>
      </c>
      <c r="K222" s="3" t="s">
        <v>168</v>
      </c>
      <c r="L222" s="3" t="s">
        <v>137</v>
      </c>
      <c r="M222" s="3" t="s">
        <v>31</v>
      </c>
      <c r="N222" s="3" t="s">
        <v>170</v>
      </c>
      <c r="O222" s="3" t="s">
        <v>139</v>
      </c>
      <c r="P222" s="3" t="s">
        <v>198</v>
      </c>
      <c r="Q222" s="3" t="s">
        <v>141</v>
      </c>
      <c r="R222" s="3" t="s">
        <v>142</v>
      </c>
      <c r="S222" s="3" t="s">
        <v>34</v>
      </c>
      <c r="T222" s="157">
        <v>1.1879999999999999</v>
      </c>
      <c r="U222" s="3" t="s">
        <v>370</v>
      </c>
      <c r="V222" s="168">
        <v>3.49E-2</v>
      </c>
      <c r="W222" s="168">
        <v>5.4760000000000003E-2</v>
      </c>
      <c r="X222" s="5" t="s">
        <v>144</v>
      </c>
      <c r="Y222" s="5" t="s">
        <v>139</v>
      </c>
      <c r="Z222" s="157">
        <v>24150</v>
      </c>
      <c r="AA222" s="166">
        <v>1</v>
      </c>
      <c r="AB222" s="176">
        <v>98.69</v>
      </c>
      <c r="AD222" s="157">
        <v>23.834</v>
      </c>
      <c r="AG222" s="3" t="s">
        <v>36</v>
      </c>
      <c r="AH222" s="168">
        <v>2.5999999999999998E-5</v>
      </c>
      <c r="AI222" s="168">
        <v>1.7066824811388801E-2</v>
      </c>
      <c r="AJ222" s="168">
        <v>2.8814825772394601E-3</v>
      </c>
    </row>
    <row r="223" spans="1:36">
      <c r="A223" s="3">
        <v>419</v>
      </c>
      <c r="B223" s="3">
        <v>1472</v>
      </c>
      <c r="C223" s="3" t="s">
        <v>775</v>
      </c>
      <c r="D223" s="3" t="s">
        <v>776</v>
      </c>
      <c r="E223" s="5" t="s">
        <v>165</v>
      </c>
      <c r="F223" s="3" t="s">
        <v>777</v>
      </c>
      <c r="G223" s="3" t="s">
        <v>778</v>
      </c>
      <c r="H223" s="3" t="s">
        <v>135</v>
      </c>
      <c r="I223" s="3" t="s">
        <v>161</v>
      </c>
      <c r="J223" s="3" t="s">
        <v>30</v>
      </c>
      <c r="K223" s="3" t="s">
        <v>168</v>
      </c>
      <c r="L223" s="3" t="s">
        <v>137</v>
      </c>
      <c r="M223" s="3" t="s">
        <v>31</v>
      </c>
      <c r="N223" s="3" t="s">
        <v>170</v>
      </c>
      <c r="O223" s="3" t="s">
        <v>139</v>
      </c>
      <c r="P223" s="3" t="s">
        <v>250</v>
      </c>
      <c r="Q223" s="3" t="s">
        <v>141</v>
      </c>
      <c r="R223" s="3" t="s">
        <v>142</v>
      </c>
      <c r="S223" s="3" t="s">
        <v>34</v>
      </c>
      <c r="T223" s="157">
        <v>1.4159999999999999</v>
      </c>
      <c r="U223" s="3" t="s">
        <v>779</v>
      </c>
      <c r="V223" s="168">
        <v>5.1499999999999997E-2</v>
      </c>
      <c r="W223" s="168">
        <v>6.3219999999999998E-2</v>
      </c>
      <c r="X223" s="5" t="s">
        <v>144</v>
      </c>
      <c r="Y223" s="5" t="s">
        <v>139</v>
      </c>
      <c r="Z223" s="157">
        <v>0.54</v>
      </c>
      <c r="AA223" s="166">
        <v>1</v>
      </c>
      <c r="AB223" s="176">
        <v>100</v>
      </c>
      <c r="AD223" s="157">
        <v>1E-3</v>
      </c>
      <c r="AG223" s="3" t="s">
        <v>36</v>
      </c>
      <c r="AH223" s="168">
        <v>0</v>
      </c>
      <c r="AI223" s="168">
        <v>3.8668400343254201E-7</v>
      </c>
      <c r="AJ223" s="168">
        <v>6.5285911767521397E-8</v>
      </c>
    </row>
    <row r="224" spans="1:36">
      <c r="A224" s="3">
        <v>419</v>
      </c>
      <c r="B224" s="3">
        <v>1472</v>
      </c>
      <c r="C224" s="3" t="s">
        <v>635</v>
      </c>
      <c r="D224" s="3" t="s">
        <v>636</v>
      </c>
      <c r="E224" s="5" t="s">
        <v>132</v>
      </c>
      <c r="F224" s="3" t="s">
        <v>637</v>
      </c>
      <c r="G224" s="3" t="s">
        <v>638</v>
      </c>
      <c r="H224" s="3" t="s">
        <v>135</v>
      </c>
      <c r="I224" s="3" t="s">
        <v>149</v>
      </c>
      <c r="J224" s="3" t="s">
        <v>30</v>
      </c>
      <c r="K224" s="3" t="s">
        <v>30</v>
      </c>
      <c r="L224" s="3" t="s">
        <v>137</v>
      </c>
      <c r="M224" s="3" t="s">
        <v>31</v>
      </c>
      <c r="N224" s="3" t="s">
        <v>204</v>
      </c>
      <c r="O224" s="3" t="s">
        <v>139</v>
      </c>
      <c r="P224" s="3" t="s">
        <v>639</v>
      </c>
      <c r="Q224" s="3" t="s">
        <v>172</v>
      </c>
      <c r="R224" s="3" t="s">
        <v>142</v>
      </c>
      <c r="S224" s="3" t="s">
        <v>34</v>
      </c>
      <c r="T224" s="157">
        <v>1.6930000000000001</v>
      </c>
      <c r="U224" s="3" t="s">
        <v>405</v>
      </c>
      <c r="V224" s="168">
        <v>1.77E-2</v>
      </c>
      <c r="W224" s="168">
        <v>2.93E-2</v>
      </c>
      <c r="X224" s="5" t="s">
        <v>144</v>
      </c>
      <c r="Y224" s="5" t="s">
        <v>139</v>
      </c>
      <c r="Z224" s="157">
        <v>7500</v>
      </c>
      <c r="AA224" s="166">
        <v>1</v>
      </c>
      <c r="AB224" s="176">
        <v>116.94</v>
      </c>
      <c r="AD224" s="157">
        <v>8.7710000000000008</v>
      </c>
      <c r="AG224" s="3" t="s">
        <v>36</v>
      </c>
      <c r="AH224" s="168">
        <v>3.0000000000000001E-6</v>
      </c>
      <c r="AI224" s="168">
        <v>6.2803926890835403E-3</v>
      </c>
      <c r="AJ224" s="168">
        <v>1.06035201695749E-3</v>
      </c>
    </row>
    <row r="225" spans="1:36">
      <c r="A225" s="3">
        <v>419</v>
      </c>
      <c r="B225" s="3">
        <v>1472</v>
      </c>
      <c r="C225" s="3" t="s">
        <v>635</v>
      </c>
      <c r="D225" s="3" t="s">
        <v>636</v>
      </c>
      <c r="E225" s="5" t="s">
        <v>132</v>
      </c>
      <c r="F225" s="3" t="s">
        <v>640</v>
      </c>
      <c r="G225" s="3" t="s">
        <v>641</v>
      </c>
      <c r="H225" s="3" t="s">
        <v>135</v>
      </c>
      <c r="I225" s="3" t="s">
        <v>149</v>
      </c>
      <c r="J225" s="3" t="s">
        <v>30</v>
      </c>
      <c r="K225" s="3" t="s">
        <v>30</v>
      </c>
      <c r="L225" s="3" t="s">
        <v>137</v>
      </c>
      <c r="M225" s="3" t="s">
        <v>31</v>
      </c>
      <c r="N225" s="3" t="s">
        <v>204</v>
      </c>
      <c r="O225" s="3" t="s">
        <v>139</v>
      </c>
      <c r="P225" s="3" t="s">
        <v>642</v>
      </c>
      <c r="Q225" s="3" t="s">
        <v>141</v>
      </c>
      <c r="R225" s="3" t="s">
        <v>142</v>
      </c>
      <c r="S225" s="3" t="s">
        <v>34</v>
      </c>
      <c r="T225" s="157">
        <v>6.157</v>
      </c>
      <c r="U225" s="3" t="s">
        <v>643</v>
      </c>
      <c r="V225" s="168">
        <v>8.9999999999999993E-3</v>
      </c>
      <c r="W225" s="168">
        <v>2.7810000000000001E-2</v>
      </c>
      <c r="X225" s="5" t="s">
        <v>144</v>
      </c>
      <c r="Y225" s="5" t="s">
        <v>139</v>
      </c>
      <c r="Z225" s="157">
        <v>31346.94</v>
      </c>
      <c r="AA225" s="166">
        <v>1</v>
      </c>
      <c r="AB225" s="176">
        <v>104.46</v>
      </c>
      <c r="AD225" s="157">
        <v>32.744999999999997</v>
      </c>
      <c r="AG225" s="3" t="s">
        <v>36</v>
      </c>
      <c r="AH225" s="168">
        <v>1.2E-5</v>
      </c>
      <c r="AI225" s="168">
        <v>2.3448098003542701E-2</v>
      </c>
      <c r="AJ225" s="168">
        <v>3.9588667847299201E-3</v>
      </c>
    </row>
    <row r="226" spans="1:36">
      <c r="A226" s="3">
        <v>419</v>
      </c>
      <c r="B226" s="3">
        <v>1472</v>
      </c>
      <c r="C226" s="3" t="s">
        <v>635</v>
      </c>
      <c r="D226" s="3" t="s">
        <v>636</v>
      </c>
      <c r="E226" s="5" t="s">
        <v>132</v>
      </c>
      <c r="F226" s="3" t="s">
        <v>780</v>
      </c>
      <c r="G226" s="3" t="s">
        <v>781</v>
      </c>
      <c r="H226" s="3" t="s">
        <v>135</v>
      </c>
      <c r="I226" s="3" t="s">
        <v>149</v>
      </c>
      <c r="J226" s="3" t="s">
        <v>30</v>
      </c>
      <c r="K226" s="3" t="s">
        <v>30</v>
      </c>
      <c r="L226" s="3" t="s">
        <v>137</v>
      </c>
      <c r="M226" s="3" t="s">
        <v>31</v>
      </c>
      <c r="N226" s="3" t="s">
        <v>204</v>
      </c>
      <c r="O226" s="3" t="s">
        <v>139</v>
      </c>
      <c r="P226" s="3" t="s">
        <v>642</v>
      </c>
      <c r="Q226" s="3" t="s">
        <v>141</v>
      </c>
      <c r="R226" s="3" t="s">
        <v>142</v>
      </c>
      <c r="S226" s="3" t="s">
        <v>34</v>
      </c>
      <c r="T226" s="157">
        <v>9.6180000000000003</v>
      </c>
      <c r="U226" s="3" t="s">
        <v>782</v>
      </c>
      <c r="V226" s="168">
        <v>1.6899999999999998E-2</v>
      </c>
      <c r="W226" s="168">
        <v>2.9430000000000001E-2</v>
      </c>
      <c r="X226" s="5" t="s">
        <v>144</v>
      </c>
      <c r="Y226" s="5" t="s">
        <v>139</v>
      </c>
      <c r="Z226" s="157">
        <v>40428</v>
      </c>
      <c r="AA226" s="166">
        <v>1</v>
      </c>
      <c r="AB226" s="176">
        <v>104.3</v>
      </c>
      <c r="AD226" s="157">
        <v>42.165999999999997</v>
      </c>
      <c r="AG226" s="3" t="s">
        <v>36</v>
      </c>
      <c r="AH226" s="168">
        <v>9.0000000000000002E-6</v>
      </c>
      <c r="AI226" s="168">
        <v>3.0194581313099898E-2</v>
      </c>
      <c r="AJ226" s="168">
        <v>5.0979113538845502E-3</v>
      </c>
    </row>
    <row r="227" spans="1:36">
      <c r="A227" s="3">
        <v>419</v>
      </c>
      <c r="B227" s="3">
        <v>1472</v>
      </c>
      <c r="C227" s="3" t="s">
        <v>647</v>
      </c>
      <c r="D227" s="3" t="s">
        <v>648</v>
      </c>
      <c r="E227" s="5" t="s">
        <v>132</v>
      </c>
      <c r="F227" s="3" t="s">
        <v>655</v>
      </c>
      <c r="G227" s="3" t="s">
        <v>656</v>
      </c>
      <c r="H227" s="3" t="s">
        <v>135</v>
      </c>
      <c r="I227" s="3" t="s">
        <v>149</v>
      </c>
      <c r="J227" s="3" t="s">
        <v>30</v>
      </c>
      <c r="K227" s="3" t="s">
        <v>30</v>
      </c>
      <c r="L227" s="3" t="s">
        <v>137</v>
      </c>
      <c r="M227" s="3" t="s">
        <v>31</v>
      </c>
      <c r="N227" s="3" t="s">
        <v>309</v>
      </c>
      <c r="O227" s="3" t="s">
        <v>139</v>
      </c>
      <c r="P227" s="3" t="s">
        <v>310</v>
      </c>
      <c r="Q227" s="3" t="s">
        <v>141</v>
      </c>
      <c r="R227" s="3" t="s">
        <v>142</v>
      </c>
      <c r="S227" s="3" t="s">
        <v>34</v>
      </c>
      <c r="T227" s="157">
        <v>2.5369999999999999</v>
      </c>
      <c r="U227" s="3" t="s">
        <v>657</v>
      </c>
      <c r="V227" s="168">
        <v>1.7500000000000002E-2</v>
      </c>
      <c r="W227" s="168">
        <v>2.5860000000000001E-2</v>
      </c>
      <c r="X227" s="5" t="s">
        <v>144</v>
      </c>
      <c r="Y227" s="5" t="s">
        <v>139</v>
      </c>
      <c r="Z227" s="157">
        <v>14005.61</v>
      </c>
      <c r="AA227" s="166">
        <v>1</v>
      </c>
      <c r="AB227" s="176">
        <v>117.2</v>
      </c>
      <c r="AD227" s="157">
        <v>16.414999999999999</v>
      </c>
      <c r="AG227" s="3" t="s">
        <v>36</v>
      </c>
      <c r="AH227" s="168">
        <v>6.0000000000000002E-6</v>
      </c>
      <c r="AI227" s="168">
        <v>1.17541732309426E-2</v>
      </c>
      <c r="AJ227" s="168">
        <v>1.9845194257935E-3</v>
      </c>
    </row>
    <row r="228" spans="1:36">
      <c r="A228" s="3">
        <v>419</v>
      </c>
      <c r="B228" s="3">
        <v>1472</v>
      </c>
      <c r="C228" s="3" t="s">
        <v>647</v>
      </c>
      <c r="D228" s="3" t="s">
        <v>648</v>
      </c>
      <c r="E228" s="5" t="s">
        <v>132</v>
      </c>
      <c r="F228" s="3" t="s">
        <v>658</v>
      </c>
      <c r="G228" s="3" t="s">
        <v>659</v>
      </c>
      <c r="H228" s="3" t="s">
        <v>135</v>
      </c>
      <c r="I228" s="3" t="s">
        <v>149</v>
      </c>
      <c r="J228" s="3" t="s">
        <v>30</v>
      </c>
      <c r="K228" s="3" t="s">
        <v>30</v>
      </c>
      <c r="L228" s="3" t="s">
        <v>137</v>
      </c>
      <c r="M228" s="3" t="s">
        <v>31</v>
      </c>
      <c r="N228" s="3" t="s">
        <v>309</v>
      </c>
      <c r="O228" s="3" t="s">
        <v>139</v>
      </c>
      <c r="P228" s="3" t="s">
        <v>151</v>
      </c>
      <c r="Q228" s="3" t="s">
        <v>141</v>
      </c>
      <c r="R228" s="3" t="s">
        <v>142</v>
      </c>
      <c r="S228" s="3" t="s">
        <v>34</v>
      </c>
      <c r="T228" s="157">
        <v>10.029</v>
      </c>
      <c r="U228" s="3" t="s">
        <v>660</v>
      </c>
      <c r="V228" s="168">
        <v>3.1899999999999998E-2</v>
      </c>
      <c r="W228" s="168">
        <v>3.2599999999999997E-2</v>
      </c>
      <c r="X228" s="5" t="s">
        <v>144</v>
      </c>
      <c r="Y228" s="5" t="s">
        <v>139</v>
      </c>
      <c r="Z228" s="157">
        <v>10000</v>
      </c>
      <c r="AA228" s="166">
        <v>1</v>
      </c>
      <c r="AB228" s="176">
        <v>100.37</v>
      </c>
      <c r="AD228" s="157">
        <v>10.037000000000001</v>
      </c>
      <c r="AG228" s="3" t="s">
        <v>36</v>
      </c>
      <c r="AH228" s="168">
        <v>1.1E-5</v>
      </c>
      <c r="AI228" s="168">
        <v>7.1873098934304202E-3</v>
      </c>
      <c r="AJ228" s="168">
        <v>1.2134716600196501E-3</v>
      </c>
    </row>
    <row r="229" spans="1:36">
      <c r="A229" s="3">
        <v>419</v>
      </c>
      <c r="B229" s="3">
        <v>1472</v>
      </c>
      <c r="C229" s="3" t="s">
        <v>647</v>
      </c>
      <c r="D229" s="3" t="s">
        <v>648</v>
      </c>
      <c r="E229" s="5" t="s">
        <v>132</v>
      </c>
      <c r="F229" s="3" t="s">
        <v>664</v>
      </c>
      <c r="G229" s="3" t="s">
        <v>665</v>
      </c>
      <c r="H229" s="3" t="s">
        <v>135</v>
      </c>
      <c r="I229" s="3" t="s">
        <v>149</v>
      </c>
      <c r="J229" s="3" t="s">
        <v>30</v>
      </c>
      <c r="K229" s="3" t="s">
        <v>30</v>
      </c>
      <c r="L229" s="3" t="s">
        <v>137</v>
      </c>
      <c r="M229" s="3" t="s">
        <v>31</v>
      </c>
      <c r="N229" s="3" t="s">
        <v>309</v>
      </c>
      <c r="O229" s="3" t="s">
        <v>139</v>
      </c>
      <c r="P229" s="3" t="s">
        <v>151</v>
      </c>
      <c r="Q229" s="3" t="s">
        <v>141</v>
      </c>
      <c r="R229" s="3" t="s">
        <v>142</v>
      </c>
      <c r="S229" s="3" t="s">
        <v>34</v>
      </c>
      <c r="T229" s="157">
        <v>6.2939999999999996</v>
      </c>
      <c r="U229" s="3" t="s">
        <v>666</v>
      </c>
      <c r="V229" s="168">
        <v>3.4500000000000003E-2</v>
      </c>
      <c r="W229" s="168">
        <v>2.9739999999999999E-2</v>
      </c>
      <c r="X229" s="5" t="s">
        <v>144</v>
      </c>
      <c r="Y229" s="5" t="s">
        <v>139</v>
      </c>
      <c r="Z229" s="157">
        <v>16000</v>
      </c>
      <c r="AA229" s="166">
        <v>1</v>
      </c>
      <c r="AB229" s="176">
        <v>108.65</v>
      </c>
      <c r="AD229" s="157">
        <v>17.384</v>
      </c>
      <c r="AG229" s="3" t="s">
        <v>36</v>
      </c>
      <c r="AH229" s="168">
        <v>1.1E-5</v>
      </c>
      <c r="AI229" s="168">
        <v>1.24483605845765E-2</v>
      </c>
      <c r="AJ229" s="168">
        <v>2.1017227595677601E-3</v>
      </c>
    </row>
    <row r="230" spans="1:36">
      <c r="A230" s="3">
        <v>419</v>
      </c>
      <c r="B230" s="3">
        <v>1472</v>
      </c>
      <c r="C230" s="3" t="s">
        <v>671</v>
      </c>
      <c r="D230" s="3" t="s">
        <v>672</v>
      </c>
      <c r="E230" s="5" t="s">
        <v>132</v>
      </c>
      <c r="F230" s="3" t="s">
        <v>673</v>
      </c>
      <c r="G230" s="3" t="s">
        <v>674</v>
      </c>
      <c r="H230" s="3" t="s">
        <v>135</v>
      </c>
      <c r="I230" s="3" t="s">
        <v>161</v>
      </c>
      <c r="J230" s="3" t="s">
        <v>30</v>
      </c>
      <c r="K230" s="3" t="s">
        <v>30</v>
      </c>
      <c r="L230" s="3" t="s">
        <v>137</v>
      </c>
      <c r="M230" s="3" t="s">
        <v>31</v>
      </c>
      <c r="N230" s="3" t="s">
        <v>185</v>
      </c>
      <c r="O230" s="3" t="s">
        <v>139</v>
      </c>
      <c r="P230" s="3" t="s">
        <v>198</v>
      </c>
      <c r="Q230" s="3" t="s">
        <v>141</v>
      </c>
      <c r="R230" s="3" t="s">
        <v>142</v>
      </c>
      <c r="S230" s="3" t="s">
        <v>34</v>
      </c>
      <c r="T230" s="157">
        <v>4.2709999999999999</v>
      </c>
      <c r="U230" s="3" t="s">
        <v>589</v>
      </c>
      <c r="V230" s="168">
        <v>4.6899999999999997E-2</v>
      </c>
      <c r="W230" s="168">
        <v>4.6489999999999997E-2</v>
      </c>
      <c r="X230" s="5" t="s">
        <v>144</v>
      </c>
      <c r="Y230" s="5" t="s">
        <v>139</v>
      </c>
      <c r="Z230" s="157">
        <v>20000</v>
      </c>
      <c r="AA230" s="166">
        <v>1</v>
      </c>
      <c r="AB230" s="176">
        <v>100.58</v>
      </c>
      <c r="AD230" s="157">
        <v>20.116</v>
      </c>
      <c r="AG230" s="3" t="s">
        <v>36</v>
      </c>
      <c r="AH230" s="168">
        <v>4.0000000000000003E-5</v>
      </c>
      <c r="AI230" s="168">
        <v>1.4404695209349999E-2</v>
      </c>
      <c r="AJ230" s="168">
        <v>2.4320211131767799E-3</v>
      </c>
    </row>
    <row r="231" spans="1:36">
      <c r="A231" s="3">
        <v>419</v>
      </c>
      <c r="B231" s="3">
        <v>1472</v>
      </c>
      <c r="C231" s="3" t="s">
        <v>681</v>
      </c>
      <c r="D231" s="3" t="s">
        <v>682</v>
      </c>
      <c r="E231" s="5" t="s">
        <v>132</v>
      </c>
      <c r="F231" s="3" t="s">
        <v>685</v>
      </c>
      <c r="G231" s="3" t="s">
        <v>686</v>
      </c>
      <c r="H231" s="3" t="s">
        <v>135</v>
      </c>
      <c r="I231" s="3" t="s">
        <v>161</v>
      </c>
      <c r="J231" s="3" t="s">
        <v>30</v>
      </c>
      <c r="K231" s="3" t="s">
        <v>30</v>
      </c>
      <c r="L231" s="3" t="s">
        <v>137</v>
      </c>
      <c r="M231" s="3" t="s">
        <v>31</v>
      </c>
      <c r="N231" s="3" t="s">
        <v>170</v>
      </c>
      <c r="O231" s="3" t="s">
        <v>139</v>
      </c>
      <c r="P231" s="3" t="s">
        <v>186</v>
      </c>
      <c r="Q231" s="3" t="s">
        <v>172</v>
      </c>
      <c r="R231" s="3" t="s">
        <v>142</v>
      </c>
      <c r="S231" s="3" t="s">
        <v>34</v>
      </c>
      <c r="T231" s="157">
        <v>1.37</v>
      </c>
      <c r="U231" s="3" t="s">
        <v>687</v>
      </c>
      <c r="V231" s="168">
        <v>2.6499999999999999E-2</v>
      </c>
      <c r="W231" s="168">
        <v>4.9149999999999999E-2</v>
      </c>
      <c r="X231" s="5" t="s">
        <v>144</v>
      </c>
      <c r="Y231" s="5" t="s">
        <v>139</v>
      </c>
      <c r="Z231" s="157">
        <v>11428.58</v>
      </c>
      <c r="AA231" s="166">
        <v>1</v>
      </c>
      <c r="AB231" s="176">
        <v>97.33</v>
      </c>
      <c r="AD231" s="157">
        <v>11.122999999999999</v>
      </c>
      <c r="AG231" s="3" t="s">
        <v>36</v>
      </c>
      <c r="AH231" s="168">
        <v>2.8E-5</v>
      </c>
      <c r="AI231" s="168">
        <v>7.9652872552496996E-3</v>
      </c>
      <c r="AJ231" s="168">
        <v>1.3448217054055399E-3</v>
      </c>
    </row>
    <row r="232" spans="1:36">
      <c r="A232" s="3">
        <v>419</v>
      </c>
      <c r="B232" s="3">
        <v>1472</v>
      </c>
      <c r="C232" s="3" t="s">
        <v>688</v>
      </c>
      <c r="D232" s="3" t="s">
        <v>689</v>
      </c>
      <c r="E232" s="5" t="s">
        <v>132</v>
      </c>
      <c r="F232" s="3" t="s">
        <v>690</v>
      </c>
      <c r="G232" s="3" t="s">
        <v>691</v>
      </c>
      <c r="H232" s="3" t="s">
        <v>135</v>
      </c>
      <c r="I232" s="3" t="s">
        <v>161</v>
      </c>
      <c r="J232" s="3" t="s">
        <v>30</v>
      </c>
      <c r="K232" s="3" t="s">
        <v>30</v>
      </c>
      <c r="L232" s="3" t="s">
        <v>137</v>
      </c>
      <c r="M232" s="3" t="s">
        <v>31</v>
      </c>
      <c r="N232" s="3" t="s">
        <v>692</v>
      </c>
      <c r="O232" s="3" t="s">
        <v>139</v>
      </c>
      <c r="P232" s="3" t="s">
        <v>186</v>
      </c>
      <c r="Q232" s="3" t="s">
        <v>172</v>
      </c>
      <c r="R232" s="3" t="s">
        <v>142</v>
      </c>
      <c r="S232" s="3" t="s">
        <v>34</v>
      </c>
      <c r="T232" s="157">
        <v>3.734</v>
      </c>
      <c r="U232" s="3" t="s">
        <v>693</v>
      </c>
      <c r="V232" s="168">
        <v>6.3299999999999995E-2</v>
      </c>
      <c r="W232" s="168">
        <v>5.2850000000000001E-2</v>
      </c>
      <c r="X232" s="5" t="s">
        <v>144</v>
      </c>
      <c r="Y232" s="5" t="s">
        <v>139</v>
      </c>
      <c r="Z232" s="157">
        <v>17000</v>
      </c>
      <c r="AA232" s="166">
        <v>1</v>
      </c>
      <c r="AB232" s="176">
        <v>104.74</v>
      </c>
      <c r="AD232" s="157">
        <v>17.806000000000001</v>
      </c>
      <c r="AG232" s="3" t="s">
        <v>36</v>
      </c>
      <c r="AH232" s="168">
        <v>2.5999999999999998E-5</v>
      </c>
      <c r="AI232" s="168">
        <v>1.2750403756146601E-2</v>
      </c>
      <c r="AJ232" s="168">
        <v>2.1527183106483899E-3</v>
      </c>
    </row>
    <row r="233" spans="1:36">
      <c r="A233" s="3">
        <v>419</v>
      </c>
      <c r="B233" s="3">
        <v>1472</v>
      </c>
      <c r="C233" s="3" t="s">
        <v>694</v>
      </c>
      <c r="D233" s="3" t="s">
        <v>695</v>
      </c>
      <c r="E233" s="5" t="s">
        <v>132</v>
      </c>
      <c r="F233" s="3" t="s">
        <v>698</v>
      </c>
      <c r="G233" s="3" t="s">
        <v>699</v>
      </c>
      <c r="H233" s="3" t="s">
        <v>135</v>
      </c>
      <c r="I233" s="3" t="s">
        <v>149</v>
      </c>
      <c r="J233" s="3" t="s">
        <v>30</v>
      </c>
      <c r="K233" s="3" t="s">
        <v>30</v>
      </c>
      <c r="L233" s="3" t="s">
        <v>137</v>
      </c>
      <c r="M233" s="3" t="s">
        <v>31</v>
      </c>
      <c r="N233" s="3" t="s">
        <v>217</v>
      </c>
      <c r="O233" s="3" t="s">
        <v>139</v>
      </c>
      <c r="P233" s="3" t="s">
        <v>67</v>
      </c>
      <c r="Q233" s="3" t="s">
        <v>67</v>
      </c>
      <c r="R233" s="3" t="s">
        <v>67</v>
      </c>
      <c r="S233" s="3" t="s">
        <v>34</v>
      </c>
      <c r="T233" s="157">
        <v>6.4660000000000002</v>
      </c>
      <c r="U233" s="3" t="s">
        <v>700</v>
      </c>
      <c r="V233" s="168">
        <v>4.1000000000000002E-2</v>
      </c>
      <c r="W233" s="168">
        <v>3.7850000000000002E-2</v>
      </c>
      <c r="X233" s="5" t="s">
        <v>144</v>
      </c>
      <c r="Y233" s="5" t="s">
        <v>139</v>
      </c>
      <c r="Z233" s="157">
        <v>17000</v>
      </c>
      <c r="AA233" s="166">
        <v>1</v>
      </c>
      <c r="AB233" s="176">
        <v>104.73</v>
      </c>
      <c r="AD233" s="157">
        <v>17.803999999999998</v>
      </c>
      <c r="AG233" s="3" t="s">
        <v>36</v>
      </c>
      <c r="AH233" s="168">
        <v>6.0999999999999999E-5</v>
      </c>
      <c r="AI233" s="168">
        <v>1.2749186417617299E-2</v>
      </c>
      <c r="AJ233" s="168">
        <v>2.1525127809261602E-3</v>
      </c>
    </row>
    <row r="234" spans="1:36">
      <c r="A234" s="3">
        <v>419</v>
      </c>
      <c r="B234" s="3">
        <v>1472</v>
      </c>
      <c r="C234" s="3" t="s">
        <v>701</v>
      </c>
      <c r="D234" s="3" t="s">
        <v>702</v>
      </c>
      <c r="E234" s="5" t="s">
        <v>132</v>
      </c>
      <c r="F234" s="3" t="s">
        <v>703</v>
      </c>
      <c r="G234" s="3" t="s">
        <v>704</v>
      </c>
      <c r="H234" s="3" t="s">
        <v>135</v>
      </c>
      <c r="I234" s="3" t="s">
        <v>161</v>
      </c>
      <c r="J234" s="3" t="s">
        <v>30</v>
      </c>
      <c r="K234" s="3" t="s">
        <v>30</v>
      </c>
      <c r="L234" s="3" t="s">
        <v>137</v>
      </c>
      <c r="M234" s="3" t="s">
        <v>31</v>
      </c>
      <c r="N234" s="3" t="s">
        <v>705</v>
      </c>
      <c r="O234" s="3" t="s">
        <v>139</v>
      </c>
      <c r="P234" s="3" t="s">
        <v>151</v>
      </c>
      <c r="Q234" s="3" t="s">
        <v>141</v>
      </c>
      <c r="R234" s="3" t="s">
        <v>142</v>
      </c>
      <c r="S234" s="3" t="s">
        <v>34</v>
      </c>
      <c r="T234" s="157">
        <v>3.399</v>
      </c>
      <c r="U234" s="3" t="s">
        <v>706</v>
      </c>
      <c r="V234" s="168">
        <v>5.04E-2</v>
      </c>
      <c r="W234" s="168">
        <v>4.922E-2</v>
      </c>
      <c r="X234" s="5" t="s">
        <v>144</v>
      </c>
      <c r="Y234" s="5" t="s">
        <v>139</v>
      </c>
      <c r="Z234" s="157">
        <v>17000</v>
      </c>
      <c r="AA234" s="166">
        <v>1</v>
      </c>
      <c r="AB234" s="176">
        <v>101.51</v>
      </c>
      <c r="AD234" s="157">
        <v>17.257000000000001</v>
      </c>
      <c r="AG234" s="3" t="s">
        <v>36</v>
      </c>
      <c r="AH234" s="168">
        <v>3.4E-5</v>
      </c>
      <c r="AI234" s="168">
        <v>1.2357203411174701E-2</v>
      </c>
      <c r="AJ234" s="168">
        <v>2.0863322103677499E-3</v>
      </c>
    </row>
    <row r="235" spans="1:36">
      <c r="A235" s="3">
        <v>419</v>
      </c>
      <c r="B235" s="3">
        <v>1472</v>
      </c>
      <c r="C235" s="3" t="s">
        <v>712</v>
      </c>
      <c r="D235" s="3" t="s">
        <v>713</v>
      </c>
      <c r="E235" s="5" t="s">
        <v>132</v>
      </c>
      <c r="F235" s="3" t="s">
        <v>714</v>
      </c>
      <c r="G235" s="3" t="s">
        <v>715</v>
      </c>
      <c r="H235" s="3" t="s">
        <v>135</v>
      </c>
      <c r="I235" s="3" t="s">
        <v>161</v>
      </c>
      <c r="J235" s="3" t="s">
        <v>30</v>
      </c>
      <c r="K235" s="3" t="s">
        <v>30</v>
      </c>
      <c r="L235" s="3" t="s">
        <v>137</v>
      </c>
      <c r="M235" s="3" t="s">
        <v>31</v>
      </c>
      <c r="N235" s="3" t="s">
        <v>178</v>
      </c>
      <c r="O235" s="3" t="s">
        <v>139</v>
      </c>
      <c r="P235" s="3" t="s">
        <v>186</v>
      </c>
      <c r="Q235" s="3" t="s">
        <v>172</v>
      </c>
      <c r="R235" s="3" t="s">
        <v>142</v>
      </c>
      <c r="S235" s="3" t="s">
        <v>34</v>
      </c>
      <c r="T235" s="157">
        <v>3.4180000000000001</v>
      </c>
      <c r="U235" s="3" t="s">
        <v>106</v>
      </c>
      <c r="V235" s="168">
        <v>5.8200000000000002E-2</v>
      </c>
      <c r="W235" s="168">
        <v>4.9939999999999998E-2</v>
      </c>
      <c r="X235" s="5" t="s">
        <v>144</v>
      </c>
      <c r="Y235" s="5" t="s">
        <v>139</v>
      </c>
      <c r="Z235" s="157">
        <v>12000</v>
      </c>
      <c r="AA235" s="166">
        <v>1</v>
      </c>
      <c r="AB235" s="176">
        <v>105.57</v>
      </c>
      <c r="AD235" s="157">
        <v>12.667999999999999</v>
      </c>
      <c r="AG235" s="3" t="s">
        <v>36</v>
      </c>
      <c r="AH235" s="168">
        <v>6.8999999999999997E-5</v>
      </c>
      <c r="AI235" s="168">
        <v>9.0716067205274392E-3</v>
      </c>
      <c r="AJ235" s="168">
        <v>1.53160749006605E-3</v>
      </c>
    </row>
    <row r="236" spans="1:36">
      <c r="A236" s="3">
        <v>419</v>
      </c>
      <c r="B236" s="3">
        <v>1472</v>
      </c>
      <c r="C236" s="3" t="s">
        <v>783</v>
      </c>
      <c r="D236" s="3" t="s">
        <v>784</v>
      </c>
      <c r="E236" s="5" t="s">
        <v>132</v>
      </c>
      <c r="F236" s="3" t="s">
        <v>785</v>
      </c>
      <c r="G236" s="3" t="s">
        <v>786</v>
      </c>
      <c r="H236" s="3" t="s">
        <v>135</v>
      </c>
      <c r="I236" s="3" t="s">
        <v>161</v>
      </c>
      <c r="J236" s="3" t="s">
        <v>30</v>
      </c>
      <c r="K236" s="3" t="s">
        <v>30</v>
      </c>
      <c r="L236" s="3" t="s">
        <v>137</v>
      </c>
      <c r="M236" s="3" t="s">
        <v>31</v>
      </c>
      <c r="N236" s="3" t="s">
        <v>787</v>
      </c>
      <c r="O236" s="3" t="s">
        <v>139</v>
      </c>
      <c r="P236" s="3" t="s">
        <v>198</v>
      </c>
      <c r="Q236" s="3" t="s">
        <v>141</v>
      </c>
      <c r="R236" s="3" t="s">
        <v>142</v>
      </c>
      <c r="S236" s="3" t="s">
        <v>34</v>
      </c>
      <c r="T236" s="157">
        <v>2.3940000000000001</v>
      </c>
      <c r="U236" s="3" t="s">
        <v>788</v>
      </c>
      <c r="V236" s="168">
        <v>5.0900000000000001E-2</v>
      </c>
      <c r="W236" s="168">
        <v>4.6089999999999999E-2</v>
      </c>
      <c r="X236" s="5" t="s">
        <v>144</v>
      </c>
      <c r="Y236" s="5" t="s">
        <v>139</v>
      </c>
      <c r="Z236" s="157">
        <v>120.37</v>
      </c>
      <c r="AA236" s="166">
        <v>1</v>
      </c>
      <c r="AB236" s="176">
        <v>101.07</v>
      </c>
      <c r="AC236" s="157">
        <v>3.7999999999999999E-2</v>
      </c>
      <c r="AD236" s="157">
        <v>0.159</v>
      </c>
      <c r="AG236" s="3" t="s">
        <v>36</v>
      </c>
      <c r="AH236" s="168">
        <v>0</v>
      </c>
      <c r="AI236" s="168">
        <v>1.14149088453945E-4</v>
      </c>
      <c r="AJ236" s="168">
        <v>1.9272396196879E-5</v>
      </c>
    </row>
    <row r="237" spans="1:36">
      <c r="A237" s="3">
        <v>419</v>
      </c>
      <c r="B237" s="3">
        <v>1472</v>
      </c>
      <c r="C237" s="3" t="s">
        <v>789</v>
      </c>
      <c r="D237" s="3" t="s">
        <v>790</v>
      </c>
      <c r="E237" s="5" t="s">
        <v>132</v>
      </c>
      <c r="F237" s="3" t="s">
        <v>791</v>
      </c>
      <c r="G237" s="3" t="s">
        <v>792</v>
      </c>
      <c r="H237" s="3" t="s">
        <v>135</v>
      </c>
      <c r="I237" s="3" t="s">
        <v>161</v>
      </c>
      <c r="J237" s="3" t="s">
        <v>30</v>
      </c>
      <c r="K237" s="3" t="s">
        <v>30</v>
      </c>
      <c r="L237" s="3" t="s">
        <v>137</v>
      </c>
      <c r="M237" s="3" t="s">
        <v>31</v>
      </c>
      <c r="N237" s="3" t="s">
        <v>793</v>
      </c>
      <c r="O237" s="3" t="s">
        <v>139</v>
      </c>
      <c r="P237" s="3" t="s">
        <v>642</v>
      </c>
      <c r="Q237" s="3" t="s">
        <v>141</v>
      </c>
      <c r="R237" s="3" t="s">
        <v>142</v>
      </c>
      <c r="S237" s="3" t="s">
        <v>34</v>
      </c>
      <c r="T237" s="157">
        <v>5.7960000000000003</v>
      </c>
      <c r="U237" s="3" t="s">
        <v>700</v>
      </c>
      <c r="V237" s="168">
        <v>1.9E-2</v>
      </c>
      <c r="W237" s="168">
        <v>4.5870000000000001E-2</v>
      </c>
      <c r="X237" s="5" t="s">
        <v>144</v>
      </c>
      <c r="Y237" s="5" t="s">
        <v>139</v>
      </c>
      <c r="Z237" s="157">
        <v>18900</v>
      </c>
      <c r="AA237" s="166">
        <v>1</v>
      </c>
      <c r="AB237" s="176">
        <v>86.15</v>
      </c>
      <c r="AD237" s="157">
        <v>16.282</v>
      </c>
      <c r="AG237" s="3" t="s">
        <v>36</v>
      </c>
      <c r="AH237" s="168">
        <v>1.2999999999999999E-5</v>
      </c>
      <c r="AI237" s="168">
        <v>1.16594894134997E-2</v>
      </c>
      <c r="AJ237" s="168">
        <v>1.9685334545701898E-3</v>
      </c>
    </row>
    <row r="238" spans="1:36">
      <c r="A238" s="3">
        <v>419</v>
      </c>
      <c r="B238" s="3">
        <v>1472</v>
      </c>
      <c r="C238" s="3" t="s">
        <v>794</v>
      </c>
      <c r="D238" s="3" t="s">
        <v>795</v>
      </c>
      <c r="E238" s="5" t="s">
        <v>132</v>
      </c>
      <c r="F238" s="3" t="s">
        <v>796</v>
      </c>
      <c r="G238" s="3" t="s">
        <v>797</v>
      </c>
      <c r="H238" s="3" t="s">
        <v>135</v>
      </c>
      <c r="I238" s="3" t="s">
        <v>149</v>
      </c>
      <c r="J238" s="3" t="s">
        <v>30</v>
      </c>
      <c r="K238" s="3" t="s">
        <v>30</v>
      </c>
      <c r="L238" s="3" t="s">
        <v>137</v>
      </c>
      <c r="M238" s="3" t="s">
        <v>31</v>
      </c>
      <c r="N238" s="3" t="s">
        <v>556</v>
      </c>
      <c r="O238" s="3" t="s">
        <v>139</v>
      </c>
      <c r="P238" s="3" t="s">
        <v>198</v>
      </c>
      <c r="Q238" s="3" t="s">
        <v>141</v>
      </c>
      <c r="R238" s="3" t="s">
        <v>142</v>
      </c>
      <c r="S238" s="3" t="s">
        <v>34</v>
      </c>
      <c r="T238" s="157">
        <v>0.45300000000000001</v>
      </c>
      <c r="U238" s="3" t="s">
        <v>798</v>
      </c>
      <c r="V238" s="168">
        <v>1.7999999999999999E-2</v>
      </c>
      <c r="W238" s="168">
        <v>4.768E-2</v>
      </c>
      <c r="X238" s="5" t="s">
        <v>144</v>
      </c>
      <c r="Y238" s="5" t="s">
        <v>139</v>
      </c>
      <c r="Z238" s="157">
        <v>0.22</v>
      </c>
      <c r="AA238" s="166">
        <v>1</v>
      </c>
      <c r="AB238" s="176">
        <v>117.78</v>
      </c>
      <c r="AD238" s="157">
        <v>0</v>
      </c>
      <c r="AG238" s="3" t="s">
        <v>36</v>
      </c>
      <c r="AH238" s="168">
        <v>0</v>
      </c>
      <c r="AI238" s="168">
        <v>1.8554817080264201E-7</v>
      </c>
      <c r="AJ238" s="168">
        <v>3.1327082062135299E-8</v>
      </c>
    </row>
    <row r="239" spans="1:36">
      <c r="A239" s="3">
        <v>419</v>
      </c>
      <c r="B239" s="3">
        <v>1472</v>
      </c>
      <c r="C239" s="3" t="s">
        <v>716</v>
      </c>
      <c r="D239" s="3" t="s">
        <v>717</v>
      </c>
      <c r="E239" s="5" t="s">
        <v>165</v>
      </c>
      <c r="F239" s="3" t="s">
        <v>718</v>
      </c>
      <c r="G239" s="3" t="s">
        <v>719</v>
      </c>
      <c r="H239" s="3" t="s">
        <v>135</v>
      </c>
      <c r="I239" s="3" t="s">
        <v>136</v>
      </c>
      <c r="J239" s="3" t="s">
        <v>30</v>
      </c>
      <c r="K239" s="3" t="s">
        <v>720</v>
      </c>
      <c r="L239" s="3" t="s">
        <v>137</v>
      </c>
      <c r="M239" s="3" t="s">
        <v>31</v>
      </c>
      <c r="N239" s="3" t="s">
        <v>170</v>
      </c>
      <c r="O239" s="3" t="s">
        <v>139</v>
      </c>
      <c r="P239" s="3" t="s">
        <v>298</v>
      </c>
      <c r="Q239" s="3" t="s">
        <v>172</v>
      </c>
      <c r="R239" s="3" t="s">
        <v>142</v>
      </c>
      <c r="S239" s="3" t="s">
        <v>34</v>
      </c>
      <c r="T239" s="157">
        <v>2.3410000000000002</v>
      </c>
      <c r="U239" s="3" t="s">
        <v>721</v>
      </c>
      <c r="V239" s="168">
        <v>4.2999999999999997E-2</v>
      </c>
      <c r="W239" s="168">
        <v>7.3359999999999995E-2</v>
      </c>
      <c r="X239" s="5" t="s">
        <v>144</v>
      </c>
      <c r="Y239" s="5" t="s">
        <v>139</v>
      </c>
      <c r="Z239" s="157">
        <v>0.82</v>
      </c>
      <c r="AA239" s="166">
        <v>1</v>
      </c>
      <c r="AB239" s="176">
        <v>88.55</v>
      </c>
      <c r="AD239" s="157">
        <v>1E-3</v>
      </c>
      <c r="AG239" s="3" t="s">
        <v>36</v>
      </c>
      <c r="AH239" s="168">
        <v>0</v>
      </c>
      <c r="AI239" s="168">
        <v>5.1995392913407997E-7</v>
      </c>
      <c r="AJ239" s="168">
        <v>8.7786580358360994E-8</v>
      </c>
    </row>
    <row r="240" spans="1:36">
      <c r="A240" s="3">
        <v>419</v>
      </c>
      <c r="B240" s="3">
        <v>1472</v>
      </c>
      <c r="C240" s="3" t="s">
        <v>722</v>
      </c>
      <c r="D240" s="3" t="s">
        <v>723</v>
      </c>
      <c r="E240" s="5" t="s">
        <v>132</v>
      </c>
      <c r="F240" s="3" t="s">
        <v>799</v>
      </c>
      <c r="G240" s="3" t="s">
        <v>800</v>
      </c>
      <c r="H240" s="3" t="s">
        <v>135</v>
      </c>
      <c r="I240" s="3" t="s">
        <v>161</v>
      </c>
      <c r="J240" s="3" t="s">
        <v>30</v>
      </c>
      <c r="K240" s="3" t="s">
        <v>30</v>
      </c>
      <c r="L240" s="3" t="s">
        <v>137</v>
      </c>
      <c r="M240" s="3" t="s">
        <v>31</v>
      </c>
      <c r="N240" s="3" t="s">
        <v>726</v>
      </c>
      <c r="O240" s="3" t="s">
        <v>139</v>
      </c>
      <c r="P240" s="3" t="s">
        <v>140</v>
      </c>
      <c r="Q240" s="3" t="s">
        <v>141</v>
      </c>
      <c r="R240" s="3" t="s">
        <v>142</v>
      </c>
      <c r="S240" s="3" t="s">
        <v>34</v>
      </c>
      <c r="T240" s="157">
        <v>2.605</v>
      </c>
      <c r="U240" s="3" t="s">
        <v>801</v>
      </c>
      <c r="V240" s="168">
        <v>2.6200000000000001E-2</v>
      </c>
      <c r="W240" s="168">
        <v>4.632E-2</v>
      </c>
      <c r="X240" s="5" t="s">
        <v>144</v>
      </c>
      <c r="Y240" s="5" t="s">
        <v>139</v>
      </c>
      <c r="Z240" s="157">
        <v>5312.2</v>
      </c>
      <c r="AA240" s="166">
        <v>1</v>
      </c>
      <c r="AB240" s="176">
        <v>95.7</v>
      </c>
      <c r="AD240" s="157">
        <v>5.0839999999999996</v>
      </c>
      <c r="AG240" s="3" t="s">
        <v>36</v>
      </c>
      <c r="AH240" s="168">
        <v>1.5E-5</v>
      </c>
      <c r="AI240" s="168">
        <v>3.6403974522664301E-3</v>
      </c>
      <c r="AJ240" s="168">
        <v>6.1462761520425101E-4</v>
      </c>
    </row>
    <row r="241" spans="1:36">
      <c r="A241" s="3">
        <v>419</v>
      </c>
      <c r="B241" s="3">
        <v>1472</v>
      </c>
      <c r="C241" s="3" t="s">
        <v>728</v>
      </c>
      <c r="D241" s="3" t="s">
        <v>729</v>
      </c>
      <c r="E241" s="5" t="s">
        <v>132</v>
      </c>
      <c r="F241" s="3" t="s">
        <v>730</v>
      </c>
      <c r="G241" s="3" t="s">
        <v>731</v>
      </c>
      <c r="H241" s="3" t="s">
        <v>135</v>
      </c>
      <c r="I241" s="3" t="s">
        <v>161</v>
      </c>
      <c r="J241" s="3" t="s">
        <v>30</v>
      </c>
      <c r="K241" s="3" t="s">
        <v>30</v>
      </c>
      <c r="L241" s="3" t="s">
        <v>137</v>
      </c>
      <c r="M241" s="3" t="s">
        <v>31</v>
      </c>
      <c r="N241" s="3" t="s">
        <v>705</v>
      </c>
      <c r="O241" s="3" t="s">
        <v>139</v>
      </c>
      <c r="P241" s="3" t="s">
        <v>179</v>
      </c>
      <c r="Q241" s="3" t="s">
        <v>172</v>
      </c>
      <c r="R241" s="3" t="s">
        <v>142</v>
      </c>
      <c r="S241" s="3" t="s">
        <v>34</v>
      </c>
      <c r="T241" s="157">
        <v>4.532</v>
      </c>
      <c r="U241" s="3" t="s">
        <v>319</v>
      </c>
      <c r="V241" s="168">
        <v>5.8500000000000003E-2</v>
      </c>
      <c r="W241" s="168">
        <v>4.8800000000000003E-2</v>
      </c>
      <c r="X241" s="5" t="s">
        <v>144</v>
      </c>
      <c r="Y241" s="5" t="s">
        <v>139</v>
      </c>
      <c r="Z241" s="157">
        <v>9000</v>
      </c>
      <c r="AA241" s="166">
        <v>1</v>
      </c>
      <c r="AB241" s="176">
        <v>105.82</v>
      </c>
      <c r="AD241" s="157">
        <v>9.5239999999999991</v>
      </c>
      <c r="AG241" s="3" t="s">
        <v>36</v>
      </c>
      <c r="AH241" s="168">
        <v>5.8E-5</v>
      </c>
      <c r="AI241" s="168">
        <v>6.8198168738719299E-3</v>
      </c>
      <c r="AJ241" s="168">
        <v>1.15142586387318E-3</v>
      </c>
    </row>
    <row r="242" spans="1:36">
      <c r="A242" s="3">
        <v>419</v>
      </c>
      <c r="B242" s="3">
        <v>1472</v>
      </c>
      <c r="C242" s="3" t="s">
        <v>737</v>
      </c>
      <c r="D242" s="3" t="s">
        <v>738</v>
      </c>
      <c r="E242" s="5" t="s">
        <v>132</v>
      </c>
      <c r="F242" s="3" t="s">
        <v>739</v>
      </c>
      <c r="G242" s="3" t="s">
        <v>740</v>
      </c>
      <c r="H242" s="3" t="s">
        <v>135</v>
      </c>
      <c r="I242" s="3" t="s">
        <v>136</v>
      </c>
      <c r="J242" s="3" t="s">
        <v>741</v>
      </c>
      <c r="K242" s="3" t="s">
        <v>168</v>
      </c>
      <c r="L242" s="3" t="s">
        <v>137</v>
      </c>
      <c r="M242" s="3" t="s">
        <v>240</v>
      </c>
      <c r="N242" s="3" t="s">
        <v>742</v>
      </c>
      <c r="O242" s="3" t="s">
        <v>139</v>
      </c>
      <c r="P242" s="3" t="s">
        <v>743</v>
      </c>
      <c r="Q242" s="3" t="s">
        <v>744</v>
      </c>
      <c r="R242" s="3" t="s">
        <v>142</v>
      </c>
      <c r="S242" s="3" t="s">
        <v>745</v>
      </c>
      <c r="T242" s="157">
        <v>3.94</v>
      </c>
      <c r="U242" s="3" t="s">
        <v>746</v>
      </c>
      <c r="V242" s="168">
        <v>4.3749999999999997E-2</v>
      </c>
      <c r="W242" s="168">
        <v>3.8309999999999997E-2</v>
      </c>
      <c r="X242" s="5" t="s">
        <v>144</v>
      </c>
      <c r="Y242" s="5" t="s">
        <v>139</v>
      </c>
      <c r="Z242" s="157">
        <v>10000</v>
      </c>
      <c r="AA242" s="166">
        <v>3.8807</v>
      </c>
      <c r="AB242" s="176">
        <v>104.277</v>
      </c>
      <c r="AD242" s="157">
        <v>40.466999999999999</v>
      </c>
      <c r="AG242" s="3" t="s">
        <v>36</v>
      </c>
      <c r="AH242" s="168">
        <v>6.9999999999999999E-6</v>
      </c>
      <c r="AI242" s="168">
        <v>2.8977381455776701E-2</v>
      </c>
      <c r="AJ242" s="168">
        <v>4.8924050443831697E-3</v>
      </c>
    </row>
    <row r="243" spans="1:36">
      <c r="A243" s="3">
        <v>419</v>
      </c>
      <c r="B243" s="3">
        <v>12435</v>
      </c>
      <c r="C243" s="3" t="s">
        <v>274</v>
      </c>
      <c r="D243" s="3" t="s">
        <v>275</v>
      </c>
      <c r="E243" s="5" t="s">
        <v>132</v>
      </c>
      <c r="F243" s="3" t="s">
        <v>279</v>
      </c>
      <c r="G243" s="3" t="s">
        <v>280</v>
      </c>
      <c r="H243" s="3" t="s">
        <v>135</v>
      </c>
      <c r="I243" s="3" t="s">
        <v>149</v>
      </c>
      <c r="J243" s="3" t="s">
        <v>30</v>
      </c>
      <c r="K243" s="3" t="s">
        <v>30</v>
      </c>
      <c r="L243" s="3" t="s">
        <v>137</v>
      </c>
      <c r="M243" s="3" t="s">
        <v>31</v>
      </c>
      <c r="N243" s="3" t="s">
        <v>204</v>
      </c>
      <c r="O243" s="3" t="s">
        <v>139</v>
      </c>
      <c r="P243" s="3" t="s">
        <v>250</v>
      </c>
      <c r="Q243" s="3" t="s">
        <v>141</v>
      </c>
      <c r="R243" s="3" t="s">
        <v>142</v>
      </c>
      <c r="S243" s="3" t="s">
        <v>34</v>
      </c>
      <c r="T243" s="157">
        <v>0.96499999999999997</v>
      </c>
      <c r="U243" s="3" t="s">
        <v>281</v>
      </c>
      <c r="V243" s="168">
        <v>3.4599999999999999E-2</v>
      </c>
      <c r="W243" s="168">
        <v>3.4209999999999997E-2</v>
      </c>
      <c r="X243" s="5" t="s">
        <v>144</v>
      </c>
      <c r="Y243" s="5" t="s">
        <v>139</v>
      </c>
      <c r="Z243" s="157">
        <v>10909.09</v>
      </c>
      <c r="AA243" s="166">
        <v>1</v>
      </c>
      <c r="AB243" s="176">
        <v>120.85</v>
      </c>
      <c r="AD243" s="157">
        <v>13.183999999999999</v>
      </c>
      <c r="AG243" s="3" t="s">
        <v>36</v>
      </c>
      <c r="AH243" s="168">
        <v>4.3999999999999999E-5</v>
      </c>
      <c r="AI243" s="168">
        <v>1</v>
      </c>
      <c r="AJ243" s="168">
        <v>7.4754386805328196E-4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89"/>
  <sheetViews>
    <sheetView rightToLeft="1" workbookViewId="0">
      <selection activeCell="A2" sqref="A2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129</v>
      </c>
      <c r="M1" s="22" t="s">
        <v>8</v>
      </c>
      <c r="N1" s="22" t="s">
        <v>122</v>
      </c>
      <c r="O1" s="22" t="s">
        <v>123</v>
      </c>
      <c r="P1" s="22" t="s">
        <v>11</v>
      </c>
      <c r="Q1" s="22" t="s">
        <v>17</v>
      </c>
      <c r="R1" s="165" t="s">
        <v>18</v>
      </c>
      <c r="S1" s="171" t="s">
        <v>19</v>
      </c>
      <c r="T1" s="22" t="s">
        <v>16</v>
      </c>
      <c r="U1" s="22" t="s">
        <v>20</v>
      </c>
      <c r="V1" s="167" t="s">
        <v>23</v>
      </c>
      <c r="W1" s="167" t="s">
        <v>24</v>
      </c>
      <c r="X1" s="167" t="s">
        <v>25</v>
      </c>
    </row>
    <row r="2" spans="1:24">
      <c r="A2" s="21">
        <v>14947</v>
      </c>
      <c r="B2" s="21">
        <v>14949</v>
      </c>
      <c r="C2" s="21" t="s">
        <v>194</v>
      </c>
      <c r="D2" s="21" t="s">
        <v>195</v>
      </c>
      <c r="E2" s="21" t="s">
        <v>132</v>
      </c>
      <c r="F2" s="21" t="s">
        <v>802</v>
      </c>
      <c r="G2" s="21" t="s">
        <v>803</v>
      </c>
      <c r="H2" s="21" t="s">
        <v>135</v>
      </c>
      <c r="I2" s="21" t="s">
        <v>804</v>
      </c>
      <c r="J2" s="21" t="s">
        <v>30</v>
      </c>
      <c r="K2" s="21" t="s">
        <v>30</v>
      </c>
      <c r="L2" s="23" t="s">
        <v>137</v>
      </c>
      <c r="M2" s="21" t="s">
        <v>31</v>
      </c>
      <c r="N2" s="23" t="s">
        <v>150</v>
      </c>
      <c r="O2" s="23" t="s">
        <v>139</v>
      </c>
      <c r="P2" s="21" t="s">
        <v>34</v>
      </c>
      <c r="Q2" s="160">
        <v>214</v>
      </c>
      <c r="R2" s="177">
        <v>1</v>
      </c>
      <c r="S2" s="178">
        <v>2070</v>
      </c>
      <c r="T2" s="23"/>
      <c r="U2" s="160">
        <v>4.43</v>
      </c>
      <c r="V2" s="179">
        <v>0</v>
      </c>
      <c r="W2" s="179">
        <v>3.0009608407564101E-2</v>
      </c>
      <c r="X2" s="179">
        <v>3.1312395000618301E-3</v>
      </c>
    </row>
    <row r="3" spans="1:24">
      <c r="A3" s="21">
        <v>14947</v>
      </c>
      <c r="B3" s="21">
        <v>14949</v>
      </c>
      <c r="C3" s="21" t="s">
        <v>236</v>
      </c>
      <c r="D3" s="21" t="s">
        <v>237</v>
      </c>
      <c r="E3" s="21" t="s">
        <v>132</v>
      </c>
      <c r="F3" s="21" t="s">
        <v>805</v>
      </c>
      <c r="G3" s="21" t="s">
        <v>806</v>
      </c>
      <c r="H3" s="21" t="s">
        <v>135</v>
      </c>
      <c r="I3" s="21" t="s">
        <v>804</v>
      </c>
      <c r="J3" s="21" t="s">
        <v>30</v>
      </c>
      <c r="K3" s="21" t="s">
        <v>168</v>
      </c>
      <c r="L3" s="23" t="s">
        <v>137</v>
      </c>
      <c r="M3" s="21" t="s">
        <v>31</v>
      </c>
      <c r="N3" s="23" t="s">
        <v>241</v>
      </c>
      <c r="O3" s="23" t="s">
        <v>139</v>
      </c>
      <c r="P3" s="21" t="s">
        <v>34</v>
      </c>
      <c r="Q3" s="160">
        <v>74</v>
      </c>
      <c r="R3" s="177">
        <v>1</v>
      </c>
      <c r="S3" s="178">
        <v>10190</v>
      </c>
      <c r="T3" s="23"/>
      <c r="U3" s="160">
        <v>7.5410000000000004</v>
      </c>
      <c r="V3" s="179">
        <v>9.9999999999999995E-7</v>
      </c>
      <c r="W3" s="179">
        <v>5.1083672661988697E-2</v>
      </c>
      <c r="X3" s="179">
        <v>5.3301333184717602E-3</v>
      </c>
    </row>
    <row r="4" spans="1:24">
      <c r="A4" s="21">
        <v>14947</v>
      </c>
      <c r="B4" s="21">
        <v>14949</v>
      </c>
      <c r="C4" s="21" t="s">
        <v>807</v>
      </c>
      <c r="D4" s="21" t="s">
        <v>808</v>
      </c>
      <c r="E4" s="21" t="s">
        <v>809</v>
      </c>
      <c r="F4" s="21" t="s">
        <v>810</v>
      </c>
      <c r="G4" s="21" t="s">
        <v>811</v>
      </c>
      <c r="H4" s="21" t="s">
        <v>135</v>
      </c>
      <c r="I4" s="21" t="s">
        <v>804</v>
      </c>
      <c r="J4" s="21" t="s">
        <v>30</v>
      </c>
      <c r="K4" s="21" t="s">
        <v>720</v>
      </c>
      <c r="L4" s="23" t="s">
        <v>137</v>
      </c>
      <c r="M4" s="21" t="s">
        <v>31</v>
      </c>
      <c r="N4" s="23" t="s">
        <v>357</v>
      </c>
      <c r="O4" s="23" t="s">
        <v>139</v>
      </c>
      <c r="P4" s="21" t="s">
        <v>34</v>
      </c>
      <c r="Q4" s="160">
        <v>119</v>
      </c>
      <c r="R4" s="177">
        <v>1</v>
      </c>
      <c r="S4" s="178">
        <v>3825</v>
      </c>
      <c r="T4" s="159">
        <v>0.11899999999999999</v>
      </c>
      <c r="U4" s="160">
        <v>4.67</v>
      </c>
      <c r="V4" s="179">
        <v>9.9999999999999995E-7</v>
      </c>
      <c r="W4" s="179">
        <v>3.1639413723987299E-2</v>
      </c>
      <c r="X4" s="179">
        <v>3.3012953939904198E-3</v>
      </c>
    </row>
    <row r="5" spans="1:24">
      <c r="A5" s="21">
        <v>14947</v>
      </c>
      <c r="B5" s="21">
        <v>14949</v>
      </c>
      <c r="C5" s="21" t="s">
        <v>294</v>
      </c>
      <c r="D5" s="21" t="s">
        <v>295</v>
      </c>
      <c r="E5" s="21" t="s">
        <v>132</v>
      </c>
      <c r="F5" s="21" t="s">
        <v>812</v>
      </c>
      <c r="G5" s="21" t="s">
        <v>813</v>
      </c>
      <c r="H5" s="21" t="s">
        <v>135</v>
      </c>
      <c r="I5" s="21" t="s">
        <v>804</v>
      </c>
      <c r="J5" s="21" t="s">
        <v>30</v>
      </c>
      <c r="K5" s="21" t="s">
        <v>30</v>
      </c>
      <c r="L5" s="23" t="s">
        <v>137</v>
      </c>
      <c r="M5" s="21" t="s">
        <v>31</v>
      </c>
      <c r="N5" s="23" t="s">
        <v>204</v>
      </c>
      <c r="O5" s="23" t="s">
        <v>139</v>
      </c>
      <c r="P5" s="21" t="s">
        <v>34</v>
      </c>
      <c r="Q5" s="160">
        <v>9</v>
      </c>
      <c r="R5" s="177">
        <v>1</v>
      </c>
      <c r="S5" s="178">
        <v>68050</v>
      </c>
      <c r="T5" s="23"/>
      <c r="U5" s="160">
        <v>6.125</v>
      </c>
      <c r="V5" s="179">
        <v>0</v>
      </c>
      <c r="W5" s="179">
        <v>4.1490326130327798E-2</v>
      </c>
      <c r="X5" s="179">
        <v>4.3291517265178197E-3</v>
      </c>
    </row>
    <row r="6" spans="1:24">
      <c r="A6" s="21">
        <v>14947</v>
      </c>
      <c r="B6" s="21">
        <v>14949</v>
      </c>
      <c r="C6" s="21" t="s">
        <v>814</v>
      </c>
      <c r="D6" s="21" t="s">
        <v>815</v>
      </c>
      <c r="E6" s="21" t="s">
        <v>132</v>
      </c>
      <c r="F6" s="21" t="s">
        <v>816</v>
      </c>
      <c r="G6" s="21" t="s">
        <v>817</v>
      </c>
      <c r="H6" s="21" t="s">
        <v>135</v>
      </c>
      <c r="I6" s="21" t="s">
        <v>804</v>
      </c>
      <c r="J6" s="21" t="s">
        <v>30</v>
      </c>
      <c r="K6" s="21" t="s">
        <v>30</v>
      </c>
      <c r="L6" s="23" t="s">
        <v>137</v>
      </c>
      <c r="M6" s="21" t="s">
        <v>31</v>
      </c>
      <c r="N6" s="23" t="s">
        <v>726</v>
      </c>
      <c r="O6" s="23" t="s">
        <v>139</v>
      </c>
      <c r="P6" s="21" t="s">
        <v>34</v>
      </c>
      <c r="Q6" s="160">
        <v>10</v>
      </c>
      <c r="R6" s="177">
        <v>1</v>
      </c>
      <c r="S6" s="178">
        <v>67920</v>
      </c>
      <c r="T6" s="23"/>
      <c r="U6" s="160">
        <v>6.7919999999999998</v>
      </c>
      <c r="V6" s="179">
        <v>9.9999999999999995E-7</v>
      </c>
      <c r="W6" s="179">
        <v>4.60122940774245E-2</v>
      </c>
      <c r="X6" s="179">
        <v>4.8009794312203497E-3</v>
      </c>
    </row>
    <row r="7" spans="1:24">
      <c r="A7" s="21">
        <v>14947</v>
      </c>
      <c r="B7" s="21">
        <v>14949</v>
      </c>
      <c r="C7" s="21" t="s">
        <v>818</v>
      </c>
      <c r="D7" s="21" t="s">
        <v>819</v>
      </c>
      <c r="E7" s="21" t="s">
        <v>132</v>
      </c>
      <c r="F7" s="21" t="s">
        <v>820</v>
      </c>
      <c r="G7" s="21" t="s">
        <v>821</v>
      </c>
      <c r="H7" s="21" t="s">
        <v>135</v>
      </c>
      <c r="I7" s="21" t="s">
        <v>804</v>
      </c>
      <c r="J7" s="21" t="s">
        <v>30</v>
      </c>
      <c r="K7" s="21" t="s">
        <v>30</v>
      </c>
      <c r="L7" s="23" t="s">
        <v>137</v>
      </c>
      <c r="M7" s="21" t="s">
        <v>31</v>
      </c>
      <c r="N7" s="23" t="s">
        <v>309</v>
      </c>
      <c r="O7" s="23" t="s">
        <v>139</v>
      </c>
      <c r="P7" s="21" t="s">
        <v>34</v>
      </c>
      <c r="Q7" s="160">
        <v>245</v>
      </c>
      <c r="R7" s="177">
        <v>1</v>
      </c>
      <c r="S7" s="178">
        <v>3274</v>
      </c>
      <c r="T7" s="23"/>
      <c r="U7" s="160">
        <v>8.0210000000000008</v>
      </c>
      <c r="V7" s="179">
        <v>0</v>
      </c>
      <c r="W7" s="179">
        <v>5.434016703228E-2</v>
      </c>
      <c r="X7" s="179">
        <v>5.6699199516560403E-3</v>
      </c>
    </row>
    <row r="8" spans="1:24">
      <c r="A8" s="21">
        <v>14947</v>
      </c>
      <c r="B8" s="21">
        <v>14949</v>
      </c>
      <c r="C8" s="21" t="s">
        <v>353</v>
      </c>
      <c r="D8" s="21" t="s">
        <v>354</v>
      </c>
      <c r="E8" s="21" t="s">
        <v>132</v>
      </c>
      <c r="F8" s="21" t="s">
        <v>822</v>
      </c>
      <c r="G8" s="21" t="s">
        <v>823</v>
      </c>
      <c r="H8" s="21" t="s">
        <v>135</v>
      </c>
      <c r="I8" s="21" t="s">
        <v>804</v>
      </c>
      <c r="J8" s="21" t="s">
        <v>30</v>
      </c>
      <c r="K8" s="21" t="s">
        <v>30</v>
      </c>
      <c r="L8" s="23" t="s">
        <v>137</v>
      </c>
      <c r="M8" s="21" t="s">
        <v>31</v>
      </c>
      <c r="N8" s="23" t="s">
        <v>357</v>
      </c>
      <c r="O8" s="23" t="s">
        <v>139</v>
      </c>
      <c r="P8" s="21" t="s">
        <v>34</v>
      </c>
      <c r="Q8" s="160">
        <v>11</v>
      </c>
      <c r="R8" s="177">
        <v>1</v>
      </c>
      <c r="S8" s="178">
        <v>80070</v>
      </c>
      <c r="T8" s="23"/>
      <c r="U8" s="160">
        <v>8.8079999999999998</v>
      </c>
      <c r="V8" s="179">
        <v>9.9999999999999995E-7</v>
      </c>
      <c r="W8" s="179">
        <v>5.9667621105084202E-2</v>
      </c>
      <c r="X8" s="179">
        <v>6.2257930707243104E-3</v>
      </c>
    </row>
    <row r="9" spans="1:24">
      <c r="A9" s="21">
        <v>14947</v>
      </c>
      <c r="B9" s="21">
        <v>14949</v>
      </c>
      <c r="C9" s="21" t="s">
        <v>824</v>
      </c>
      <c r="D9" s="21" t="s">
        <v>825</v>
      </c>
      <c r="E9" s="21" t="s">
        <v>132</v>
      </c>
      <c r="F9" s="21" t="s">
        <v>826</v>
      </c>
      <c r="G9" s="21" t="s">
        <v>827</v>
      </c>
      <c r="H9" s="21" t="s">
        <v>135</v>
      </c>
      <c r="I9" s="21" t="s">
        <v>804</v>
      </c>
      <c r="J9" s="21" t="s">
        <v>30</v>
      </c>
      <c r="K9" s="21" t="s">
        <v>30</v>
      </c>
      <c r="L9" s="23" t="s">
        <v>137</v>
      </c>
      <c r="M9" s="21" t="s">
        <v>31</v>
      </c>
      <c r="N9" s="23" t="s">
        <v>828</v>
      </c>
      <c r="O9" s="23" t="s">
        <v>139</v>
      </c>
      <c r="P9" s="21" t="s">
        <v>34</v>
      </c>
      <c r="Q9" s="160">
        <v>29</v>
      </c>
      <c r="R9" s="177">
        <v>1</v>
      </c>
      <c r="S9" s="178">
        <v>17410</v>
      </c>
      <c r="T9" s="23"/>
      <c r="U9" s="160">
        <v>5.0490000000000004</v>
      </c>
      <c r="V9" s="179">
        <v>9.9999999999999995E-7</v>
      </c>
      <c r="W9" s="179">
        <v>3.4203691337972401E-2</v>
      </c>
      <c r="X9" s="179">
        <v>3.5688552783110202E-3</v>
      </c>
    </row>
    <row r="10" spans="1:24">
      <c r="A10" s="21">
        <v>14947</v>
      </c>
      <c r="B10" s="21">
        <v>14949</v>
      </c>
      <c r="C10" s="21" t="s">
        <v>829</v>
      </c>
      <c r="D10" s="21" t="s">
        <v>830</v>
      </c>
      <c r="E10" s="21" t="s">
        <v>132</v>
      </c>
      <c r="F10" s="21" t="s">
        <v>831</v>
      </c>
      <c r="G10" s="21" t="s">
        <v>832</v>
      </c>
      <c r="H10" s="21" t="s">
        <v>135</v>
      </c>
      <c r="I10" s="21" t="s">
        <v>804</v>
      </c>
      <c r="J10" s="21" t="s">
        <v>30</v>
      </c>
      <c r="K10" s="21" t="s">
        <v>833</v>
      </c>
      <c r="L10" s="23" t="s">
        <v>137</v>
      </c>
      <c r="M10" s="21" t="s">
        <v>31</v>
      </c>
      <c r="N10" s="23" t="s">
        <v>834</v>
      </c>
      <c r="O10" s="23" t="s">
        <v>139</v>
      </c>
      <c r="P10" s="21" t="s">
        <v>34</v>
      </c>
      <c r="Q10" s="160">
        <v>35</v>
      </c>
      <c r="R10" s="177">
        <v>1</v>
      </c>
      <c r="S10" s="178">
        <v>23540</v>
      </c>
      <c r="T10" s="23"/>
      <c r="U10" s="160">
        <v>8.2390000000000008</v>
      </c>
      <c r="V10" s="179">
        <v>0</v>
      </c>
      <c r="W10" s="179">
        <v>5.5814972158996001E-2</v>
      </c>
      <c r="X10" s="179">
        <v>5.8238029348975998E-3</v>
      </c>
    </row>
    <row r="11" spans="1:24">
      <c r="A11" s="21">
        <v>14947</v>
      </c>
      <c r="B11" s="21">
        <v>14949</v>
      </c>
      <c r="C11" s="21" t="s">
        <v>737</v>
      </c>
      <c r="D11" s="21" t="s">
        <v>738</v>
      </c>
      <c r="E11" s="21" t="s">
        <v>132</v>
      </c>
      <c r="F11" s="21" t="s">
        <v>835</v>
      </c>
      <c r="G11" s="21" t="s">
        <v>836</v>
      </c>
      <c r="H11" s="21" t="s">
        <v>135</v>
      </c>
      <c r="I11" s="21" t="s">
        <v>804</v>
      </c>
      <c r="J11" s="21" t="s">
        <v>30</v>
      </c>
      <c r="K11" s="21" t="s">
        <v>168</v>
      </c>
      <c r="L11" s="23" t="s">
        <v>137</v>
      </c>
      <c r="M11" s="21" t="s">
        <v>31</v>
      </c>
      <c r="N11" s="23" t="s">
        <v>837</v>
      </c>
      <c r="O11" s="23" t="s">
        <v>139</v>
      </c>
      <c r="P11" s="21" t="s">
        <v>34</v>
      </c>
      <c r="Q11" s="160">
        <v>220</v>
      </c>
      <c r="R11" s="177">
        <v>1</v>
      </c>
      <c r="S11" s="178">
        <v>6440</v>
      </c>
      <c r="T11" s="23"/>
      <c r="U11" s="160">
        <v>14.167999999999999</v>
      </c>
      <c r="V11" s="179">
        <v>0</v>
      </c>
      <c r="W11" s="179">
        <v>9.5980886703320195E-2</v>
      </c>
      <c r="X11" s="179">
        <v>1.0014763925431399E-2</v>
      </c>
    </row>
    <row r="12" spans="1:24">
      <c r="A12" s="21">
        <v>14947</v>
      </c>
      <c r="B12" s="21">
        <v>14949</v>
      </c>
      <c r="C12" s="21" t="s">
        <v>454</v>
      </c>
      <c r="D12" s="21" t="s">
        <v>455</v>
      </c>
      <c r="E12" s="21" t="s">
        <v>132</v>
      </c>
      <c r="F12" s="21" t="s">
        <v>838</v>
      </c>
      <c r="G12" s="21" t="s">
        <v>839</v>
      </c>
      <c r="H12" s="21" t="s">
        <v>135</v>
      </c>
      <c r="I12" s="21" t="s">
        <v>804</v>
      </c>
      <c r="J12" s="21" t="s">
        <v>30</v>
      </c>
      <c r="K12" s="21" t="s">
        <v>30</v>
      </c>
      <c r="L12" s="23" t="s">
        <v>137</v>
      </c>
      <c r="M12" s="21" t="s">
        <v>31</v>
      </c>
      <c r="N12" s="23" t="s">
        <v>185</v>
      </c>
      <c r="O12" s="23" t="s">
        <v>139</v>
      </c>
      <c r="P12" s="21" t="s">
        <v>34</v>
      </c>
      <c r="Q12" s="160">
        <v>42</v>
      </c>
      <c r="R12" s="177">
        <v>1</v>
      </c>
      <c r="S12" s="178">
        <v>16970</v>
      </c>
      <c r="T12" s="23"/>
      <c r="U12" s="160">
        <v>7.1269999999999998</v>
      </c>
      <c r="V12" s="179">
        <v>9.9999999999999995E-7</v>
      </c>
      <c r="W12" s="179">
        <v>4.8284455949269098E-2</v>
      </c>
      <c r="X12" s="179">
        <v>5.0380595992461598E-3</v>
      </c>
    </row>
    <row r="13" spans="1:24">
      <c r="A13" s="21">
        <v>14947</v>
      </c>
      <c r="B13" s="21">
        <v>14949</v>
      </c>
      <c r="C13" s="21" t="s">
        <v>469</v>
      </c>
      <c r="D13" s="21" t="s">
        <v>470</v>
      </c>
      <c r="E13" s="21" t="s">
        <v>132</v>
      </c>
      <c r="F13" s="21" t="s">
        <v>840</v>
      </c>
      <c r="G13" s="21" t="s">
        <v>841</v>
      </c>
      <c r="H13" s="21" t="s">
        <v>135</v>
      </c>
      <c r="I13" s="21" t="s">
        <v>804</v>
      </c>
      <c r="J13" s="21" t="s">
        <v>30</v>
      </c>
      <c r="K13" s="21" t="s">
        <v>30</v>
      </c>
      <c r="L13" s="23" t="s">
        <v>137</v>
      </c>
      <c r="M13" s="21" t="s">
        <v>31</v>
      </c>
      <c r="N13" s="23" t="s">
        <v>309</v>
      </c>
      <c r="O13" s="23" t="s">
        <v>139</v>
      </c>
      <c r="P13" s="21" t="s">
        <v>34</v>
      </c>
      <c r="Q13" s="160">
        <v>128</v>
      </c>
      <c r="R13" s="177">
        <v>1</v>
      </c>
      <c r="S13" s="178">
        <v>6529</v>
      </c>
      <c r="T13" s="23"/>
      <c r="U13" s="160">
        <v>8.3569999999999993</v>
      </c>
      <c r="V13" s="179">
        <v>0</v>
      </c>
      <c r="W13" s="179">
        <v>5.66151741873272E-2</v>
      </c>
      <c r="X13" s="179">
        <v>5.9072970000353699E-3</v>
      </c>
    </row>
    <row r="14" spans="1:24">
      <c r="A14" s="21">
        <v>14947</v>
      </c>
      <c r="B14" s="21">
        <v>14949</v>
      </c>
      <c r="C14" s="21" t="s">
        <v>842</v>
      </c>
      <c r="D14" s="21" t="s">
        <v>843</v>
      </c>
      <c r="E14" s="21" t="s">
        <v>441</v>
      </c>
      <c r="F14" s="21" t="s">
        <v>844</v>
      </c>
      <c r="G14" s="21" t="s">
        <v>845</v>
      </c>
      <c r="H14" s="21" t="s">
        <v>135</v>
      </c>
      <c r="I14" s="21" t="s">
        <v>804</v>
      </c>
      <c r="J14" s="21" t="s">
        <v>30</v>
      </c>
      <c r="K14" s="21" t="s">
        <v>30</v>
      </c>
      <c r="L14" s="23" t="s">
        <v>137</v>
      </c>
      <c r="M14" s="21" t="s">
        <v>31</v>
      </c>
      <c r="N14" s="23" t="s">
        <v>357</v>
      </c>
      <c r="O14" s="23" t="s">
        <v>139</v>
      </c>
      <c r="P14" s="21" t="s">
        <v>34</v>
      </c>
      <c r="Q14" s="160">
        <v>519</v>
      </c>
      <c r="R14" s="177">
        <v>1</v>
      </c>
      <c r="S14" s="178">
        <v>1744</v>
      </c>
      <c r="T14" s="23"/>
      <c r="U14" s="160">
        <v>9.0510000000000002</v>
      </c>
      <c r="V14" s="179">
        <v>0</v>
      </c>
      <c r="W14" s="179">
        <v>6.1318291831660397E-2</v>
      </c>
      <c r="X14" s="179">
        <v>6.3980260872453804E-3</v>
      </c>
    </row>
    <row r="15" spans="1:24">
      <c r="A15" s="21">
        <v>14947</v>
      </c>
      <c r="B15" s="21">
        <v>14949</v>
      </c>
      <c r="C15" s="21" t="s">
        <v>846</v>
      </c>
      <c r="D15" s="21" t="s">
        <v>847</v>
      </c>
      <c r="E15" s="21" t="s">
        <v>132</v>
      </c>
      <c r="F15" s="21" t="s">
        <v>848</v>
      </c>
      <c r="G15" s="21" t="s">
        <v>849</v>
      </c>
      <c r="H15" s="21" t="s">
        <v>135</v>
      </c>
      <c r="I15" s="21" t="s">
        <v>804</v>
      </c>
      <c r="J15" s="21" t="s">
        <v>30</v>
      </c>
      <c r="K15" s="21" t="s">
        <v>168</v>
      </c>
      <c r="L15" s="23" t="s">
        <v>137</v>
      </c>
      <c r="M15" s="21" t="s">
        <v>31</v>
      </c>
      <c r="N15" s="23" t="s">
        <v>597</v>
      </c>
      <c r="O15" s="23" t="s">
        <v>139</v>
      </c>
      <c r="P15" s="21" t="s">
        <v>34</v>
      </c>
      <c r="Q15" s="160">
        <v>8</v>
      </c>
      <c r="R15" s="177">
        <v>1</v>
      </c>
      <c r="S15" s="178">
        <v>48800</v>
      </c>
      <c r="T15" s="23"/>
      <c r="U15" s="160">
        <v>3.9039999999999999</v>
      </c>
      <c r="V15" s="179">
        <v>0</v>
      </c>
      <c r="W15" s="179">
        <v>2.6447584817176899E-2</v>
      </c>
      <c r="X15" s="179">
        <v>2.7595735717733001E-3</v>
      </c>
    </row>
    <row r="16" spans="1:24">
      <c r="A16" s="21">
        <v>14947</v>
      </c>
      <c r="B16" s="21">
        <v>14949</v>
      </c>
      <c r="C16" s="21" t="s">
        <v>647</v>
      </c>
      <c r="D16" s="21" t="s">
        <v>648</v>
      </c>
      <c r="E16" s="21" t="s">
        <v>132</v>
      </c>
      <c r="F16" s="21" t="s">
        <v>850</v>
      </c>
      <c r="G16" s="21" t="s">
        <v>851</v>
      </c>
      <c r="H16" s="21" t="s">
        <v>135</v>
      </c>
      <c r="I16" s="21" t="s">
        <v>804</v>
      </c>
      <c r="J16" s="21" t="s">
        <v>30</v>
      </c>
      <c r="K16" s="21" t="s">
        <v>30</v>
      </c>
      <c r="L16" s="23" t="s">
        <v>137</v>
      </c>
      <c r="M16" s="21" t="s">
        <v>31</v>
      </c>
      <c r="N16" s="23" t="s">
        <v>309</v>
      </c>
      <c r="O16" s="23" t="s">
        <v>139</v>
      </c>
      <c r="P16" s="21" t="s">
        <v>34</v>
      </c>
      <c r="Q16" s="160">
        <v>255</v>
      </c>
      <c r="R16" s="177">
        <v>1</v>
      </c>
      <c r="S16" s="178">
        <v>6732</v>
      </c>
      <c r="T16" s="23"/>
      <c r="U16" s="160">
        <v>17.167000000000002</v>
      </c>
      <c r="V16" s="179">
        <v>0</v>
      </c>
      <c r="W16" s="179">
        <v>0.116294853873604</v>
      </c>
      <c r="X16" s="179">
        <v>1.21343482779722E-2</v>
      </c>
    </row>
    <row r="17" spans="1:24">
      <c r="A17" s="21">
        <v>14947</v>
      </c>
      <c r="B17" s="21">
        <v>14949</v>
      </c>
      <c r="C17" s="21" t="s">
        <v>852</v>
      </c>
      <c r="D17" s="21" t="s">
        <v>853</v>
      </c>
      <c r="E17" s="21" t="s">
        <v>132</v>
      </c>
      <c r="F17" s="21" t="s">
        <v>854</v>
      </c>
      <c r="G17" s="21" t="s">
        <v>855</v>
      </c>
      <c r="H17" s="21" t="s">
        <v>135</v>
      </c>
      <c r="I17" s="21" t="s">
        <v>804</v>
      </c>
      <c r="J17" s="21" t="s">
        <v>30</v>
      </c>
      <c r="K17" s="21" t="s">
        <v>30</v>
      </c>
      <c r="L17" s="23" t="s">
        <v>137</v>
      </c>
      <c r="M17" s="21" t="s">
        <v>31</v>
      </c>
      <c r="N17" s="23" t="s">
        <v>787</v>
      </c>
      <c r="O17" s="23" t="s">
        <v>139</v>
      </c>
      <c r="P17" s="21" t="s">
        <v>34</v>
      </c>
      <c r="Q17" s="160">
        <v>17</v>
      </c>
      <c r="R17" s="177">
        <v>1</v>
      </c>
      <c r="S17" s="178">
        <v>30530</v>
      </c>
      <c r="T17" s="23"/>
      <c r="U17" s="160">
        <v>5.19</v>
      </c>
      <c r="V17" s="179">
        <v>9.9999999999999995E-7</v>
      </c>
      <c r="W17" s="179">
        <v>3.5160248452773997E-2</v>
      </c>
      <c r="X17" s="179">
        <v>3.6686636257327399E-3</v>
      </c>
    </row>
    <row r="18" spans="1:24">
      <c r="A18" s="21">
        <v>14947</v>
      </c>
      <c r="B18" s="21">
        <v>14949</v>
      </c>
      <c r="C18" s="21" t="s">
        <v>856</v>
      </c>
      <c r="D18" s="21" t="s">
        <v>857</v>
      </c>
      <c r="E18" s="21" t="s">
        <v>132</v>
      </c>
      <c r="F18" s="21" t="s">
        <v>858</v>
      </c>
      <c r="G18" s="21" t="s">
        <v>859</v>
      </c>
      <c r="H18" s="21" t="s">
        <v>135</v>
      </c>
      <c r="I18" s="21" t="s">
        <v>804</v>
      </c>
      <c r="J18" s="21" t="s">
        <v>30</v>
      </c>
      <c r="K18" s="21" t="s">
        <v>833</v>
      </c>
      <c r="L18" s="23" t="s">
        <v>137</v>
      </c>
      <c r="M18" s="21" t="s">
        <v>31</v>
      </c>
      <c r="N18" s="23" t="s">
        <v>860</v>
      </c>
      <c r="O18" s="23" t="s">
        <v>139</v>
      </c>
      <c r="P18" s="21" t="s">
        <v>34</v>
      </c>
      <c r="Q18" s="160">
        <v>52</v>
      </c>
      <c r="R18" s="177">
        <v>1</v>
      </c>
      <c r="S18" s="178">
        <v>13500</v>
      </c>
      <c r="T18" s="23"/>
      <c r="U18" s="160">
        <v>7.02</v>
      </c>
      <c r="V18" s="179">
        <v>3.9999999999999998E-6</v>
      </c>
      <c r="W18" s="179">
        <v>4.7556876387444103E-2</v>
      </c>
      <c r="X18" s="179">
        <v>4.9621430517030104E-3</v>
      </c>
    </row>
    <row r="19" spans="1:24">
      <c r="A19" s="21">
        <v>14947</v>
      </c>
      <c r="B19" s="21">
        <v>14949</v>
      </c>
      <c r="C19" s="21" t="s">
        <v>861</v>
      </c>
      <c r="D19" s="21" t="s">
        <v>862</v>
      </c>
      <c r="E19" s="21" t="s">
        <v>809</v>
      </c>
      <c r="F19" s="21" t="s">
        <v>863</v>
      </c>
      <c r="G19" s="21" t="s">
        <v>864</v>
      </c>
      <c r="H19" s="21" t="s">
        <v>135</v>
      </c>
      <c r="I19" s="21" t="s">
        <v>804</v>
      </c>
      <c r="J19" s="21" t="s">
        <v>741</v>
      </c>
      <c r="K19" s="21" t="s">
        <v>833</v>
      </c>
      <c r="L19" s="23" t="s">
        <v>137</v>
      </c>
      <c r="M19" s="21" t="s">
        <v>240</v>
      </c>
      <c r="N19" s="23" t="s">
        <v>865</v>
      </c>
      <c r="O19" s="23" t="s">
        <v>139</v>
      </c>
      <c r="P19" s="21" t="s">
        <v>427</v>
      </c>
      <c r="Q19" s="160">
        <v>53.15</v>
      </c>
      <c r="R19" s="177">
        <v>3.306</v>
      </c>
      <c r="S19" s="178">
        <v>4800</v>
      </c>
      <c r="T19" s="23"/>
      <c r="U19" s="160">
        <v>8.4339999999999993</v>
      </c>
      <c r="V19" s="179">
        <v>0</v>
      </c>
      <c r="W19" s="179">
        <v>5.7137806645167301E-2</v>
      </c>
      <c r="X19" s="179">
        <v>5.9618291143428304E-3</v>
      </c>
    </row>
    <row r="20" spans="1:24">
      <c r="A20" s="5">
        <v>14947</v>
      </c>
      <c r="B20" s="5">
        <v>14949</v>
      </c>
      <c r="C20" s="5" t="s">
        <v>866</v>
      </c>
      <c r="D20" s="5" t="s">
        <v>867</v>
      </c>
      <c r="E20" s="21" t="s">
        <v>809</v>
      </c>
      <c r="F20" s="5" t="s">
        <v>868</v>
      </c>
      <c r="G20" s="5" t="s">
        <v>869</v>
      </c>
      <c r="H20" s="21" t="s">
        <v>135</v>
      </c>
      <c r="I20" s="5" t="s">
        <v>804</v>
      </c>
      <c r="J20" s="5" t="s">
        <v>741</v>
      </c>
      <c r="K20" s="21" t="s">
        <v>168</v>
      </c>
      <c r="L20" s="23" t="s">
        <v>137</v>
      </c>
      <c r="M20" s="21" t="s">
        <v>240</v>
      </c>
      <c r="N20" s="23" t="s">
        <v>870</v>
      </c>
      <c r="O20" s="5" t="s">
        <v>139</v>
      </c>
      <c r="P20" s="5" t="s">
        <v>427</v>
      </c>
      <c r="Q20" s="158">
        <v>16</v>
      </c>
      <c r="R20" s="170">
        <v>3.306</v>
      </c>
      <c r="S20" s="172">
        <v>14216</v>
      </c>
      <c r="U20" s="158">
        <v>7.52</v>
      </c>
      <c r="V20" s="169">
        <v>0</v>
      </c>
      <c r="W20" s="169">
        <v>5.0942054516632002E-2</v>
      </c>
      <c r="X20" s="169">
        <v>5.3153567067731299E-3</v>
      </c>
    </row>
    <row r="21" spans="1:24" s="45" customFormat="1">
      <c r="A21" s="45">
        <v>419</v>
      </c>
      <c r="B21" s="45">
        <v>419</v>
      </c>
      <c r="C21" s="45" t="s">
        <v>153</v>
      </c>
      <c r="D21" s="45" t="s">
        <v>154</v>
      </c>
      <c r="E21" s="45" t="s">
        <v>132</v>
      </c>
      <c r="F21" s="45" t="s">
        <v>871</v>
      </c>
      <c r="G21" s="45" t="s">
        <v>872</v>
      </c>
      <c r="H21" s="45" t="s">
        <v>135</v>
      </c>
      <c r="I21" s="45" t="s">
        <v>804</v>
      </c>
      <c r="J21" s="45" t="s">
        <v>30</v>
      </c>
      <c r="K21" s="45" t="s">
        <v>30</v>
      </c>
      <c r="L21" s="45" t="s">
        <v>137</v>
      </c>
      <c r="M21" s="45" t="s">
        <v>31</v>
      </c>
      <c r="N21" s="23" t="s">
        <v>157</v>
      </c>
      <c r="O21" s="45" t="s">
        <v>139</v>
      </c>
      <c r="P21" s="45" t="s">
        <v>34</v>
      </c>
      <c r="Q21" s="158">
        <v>28245</v>
      </c>
      <c r="R21" s="170">
        <v>1</v>
      </c>
      <c r="S21" s="172">
        <v>5239</v>
      </c>
      <c r="T21" s="42"/>
      <c r="U21" s="158">
        <v>1479.7560000000001</v>
      </c>
      <c r="V21" s="169">
        <v>9.5000000000000005E-5</v>
      </c>
      <c r="W21" s="169">
        <v>5.73008558475065E-3</v>
      </c>
      <c r="X21" s="169">
        <v>1.2515647659926501E-3</v>
      </c>
    </row>
    <row r="22" spans="1:24">
      <c r="A22" s="5">
        <v>419</v>
      </c>
      <c r="B22" s="5">
        <v>419</v>
      </c>
      <c r="C22" s="5" t="s">
        <v>873</v>
      </c>
      <c r="D22" s="5" t="s">
        <v>874</v>
      </c>
      <c r="E22" s="5" t="s">
        <v>809</v>
      </c>
      <c r="F22" s="5" t="s">
        <v>875</v>
      </c>
      <c r="G22" s="5" t="s">
        <v>876</v>
      </c>
      <c r="H22" s="5" t="s">
        <v>135</v>
      </c>
      <c r="I22" s="5" t="s">
        <v>804</v>
      </c>
      <c r="J22" s="5" t="s">
        <v>30</v>
      </c>
      <c r="K22" s="5" t="s">
        <v>168</v>
      </c>
      <c r="L22" s="3" t="s">
        <v>137</v>
      </c>
      <c r="M22" s="5" t="s">
        <v>31</v>
      </c>
      <c r="N22" s="5" t="s">
        <v>241</v>
      </c>
      <c r="O22" s="5" t="s">
        <v>139</v>
      </c>
      <c r="P22" s="5" t="s">
        <v>34</v>
      </c>
      <c r="Q22" s="158">
        <v>10035.17</v>
      </c>
      <c r="R22" s="170">
        <v>1</v>
      </c>
      <c r="S22" s="172">
        <v>31800</v>
      </c>
      <c r="U22" s="158">
        <v>3191.1840000000002</v>
      </c>
      <c r="V22" s="169">
        <v>1.76E-4</v>
      </c>
      <c r="W22" s="169">
        <v>1.23572827826137E-2</v>
      </c>
      <c r="X22" s="169">
        <v>2.6990765679462199E-3</v>
      </c>
    </row>
    <row r="23" spans="1:24">
      <c r="A23" s="5">
        <v>419</v>
      </c>
      <c r="B23" s="5">
        <v>419</v>
      </c>
      <c r="C23" s="5" t="s">
        <v>194</v>
      </c>
      <c r="D23" s="5" t="s">
        <v>195</v>
      </c>
      <c r="E23" s="5" t="s">
        <v>132</v>
      </c>
      <c r="F23" s="5" t="s">
        <v>802</v>
      </c>
      <c r="G23" s="5" t="s">
        <v>803</v>
      </c>
      <c r="H23" s="5" t="s">
        <v>135</v>
      </c>
      <c r="I23" s="5" t="s">
        <v>804</v>
      </c>
      <c r="J23" s="5" t="s">
        <v>30</v>
      </c>
      <c r="K23" s="5" t="s">
        <v>30</v>
      </c>
      <c r="L23" s="3" t="s">
        <v>137</v>
      </c>
      <c r="M23" s="3" t="s">
        <v>31</v>
      </c>
      <c r="N23" s="5" t="s">
        <v>150</v>
      </c>
      <c r="O23" s="5" t="s">
        <v>139</v>
      </c>
      <c r="P23" s="5" t="s">
        <v>34</v>
      </c>
      <c r="Q23" s="158">
        <v>332298</v>
      </c>
      <c r="R23" s="170">
        <v>1</v>
      </c>
      <c r="S23" s="172">
        <v>2070</v>
      </c>
      <c r="U23" s="158">
        <v>6878.5690000000004</v>
      </c>
      <c r="V23" s="169">
        <v>2.5300000000000002E-4</v>
      </c>
      <c r="W23" s="169">
        <v>2.6636012129556401E-2</v>
      </c>
      <c r="X23" s="169">
        <v>5.81783531761269E-3</v>
      </c>
    </row>
    <row r="24" spans="1:24">
      <c r="A24" s="5">
        <v>419</v>
      </c>
      <c r="B24" s="5">
        <v>419</v>
      </c>
      <c r="C24" s="5" t="s">
        <v>877</v>
      </c>
      <c r="D24" s="5" t="s">
        <v>878</v>
      </c>
      <c r="E24" s="5" t="s">
        <v>132</v>
      </c>
      <c r="F24" s="5" t="s">
        <v>879</v>
      </c>
      <c r="G24" s="5" t="s">
        <v>880</v>
      </c>
      <c r="H24" s="5" t="s">
        <v>135</v>
      </c>
      <c r="I24" s="5" t="s">
        <v>804</v>
      </c>
      <c r="J24" s="5" t="s">
        <v>30</v>
      </c>
      <c r="K24" s="5" t="s">
        <v>30</v>
      </c>
      <c r="L24" s="3" t="s">
        <v>137</v>
      </c>
      <c r="M24" s="3" t="s">
        <v>31</v>
      </c>
      <c r="N24" s="5" t="s">
        <v>185</v>
      </c>
      <c r="O24" s="5" t="s">
        <v>139</v>
      </c>
      <c r="P24" s="5" t="s">
        <v>34</v>
      </c>
      <c r="Q24" s="158">
        <v>12325</v>
      </c>
      <c r="R24" s="170">
        <v>1</v>
      </c>
      <c r="S24" s="172">
        <v>20440</v>
      </c>
      <c r="U24" s="158">
        <v>2519.23</v>
      </c>
      <c r="V24" s="169">
        <v>8.34E-4</v>
      </c>
      <c r="W24" s="169">
        <v>9.7552622848222307E-3</v>
      </c>
      <c r="X24" s="169">
        <v>2.13074349032289E-3</v>
      </c>
    </row>
    <row r="25" spans="1:24">
      <c r="A25" s="5">
        <v>419</v>
      </c>
      <c r="B25" s="5">
        <v>419</v>
      </c>
      <c r="C25" s="5" t="s">
        <v>881</v>
      </c>
      <c r="D25" s="5" t="s">
        <v>882</v>
      </c>
      <c r="E25" s="5" t="s">
        <v>132</v>
      </c>
      <c r="F25" s="5" t="s">
        <v>883</v>
      </c>
      <c r="G25" s="5" t="s">
        <v>884</v>
      </c>
      <c r="H25" s="5" t="s">
        <v>135</v>
      </c>
      <c r="I25" s="5" t="s">
        <v>804</v>
      </c>
      <c r="J25" s="5" t="s">
        <v>30</v>
      </c>
      <c r="K25" s="5" t="s">
        <v>30</v>
      </c>
      <c r="L25" s="3" t="s">
        <v>137</v>
      </c>
      <c r="M25" s="3" t="s">
        <v>31</v>
      </c>
      <c r="N25" s="5" t="s">
        <v>726</v>
      </c>
      <c r="O25" s="5" t="s">
        <v>139</v>
      </c>
      <c r="P25" s="5" t="s">
        <v>34</v>
      </c>
      <c r="Q25" s="158">
        <v>92819</v>
      </c>
      <c r="R25" s="170">
        <v>1</v>
      </c>
      <c r="S25" s="172">
        <v>2180</v>
      </c>
      <c r="U25" s="158">
        <v>2023.454</v>
      </c>
      <c r="V25" s="169">
        <v>6.2500000000000001E-4</v>
      </c>
      <c r="W25" s="169">
        <v>7.8354602169413406E-3</v>
      </c>
      <c r="X25" s="169">
        <v>1.7114204993654799E-3</v>
      </c>
    </row>
    <row r="26" spans="1:24">
      <c r="A26" s="5">
        <v>419</v>
      </c>
      <c r="B26" s="5">
        <v>419</v>
      </c>
      <c r="C26" s="5" t="s">
        <v>885</v>
      </c>
      <c r="D26" s="5" t="s">
        <v>886</v>
      </c>
      <c r="E26" s="5" t="s">
        <v>132</v>
      </c>
      <c r="F26" s="5" t="s">
        <v>887</v>
      </c>
      <c r="G26" s="5" t="s">
        <v>888</v>
      </c>
      <c r="H26" s="5" t="s">
        <v>135</v>
      </c>
      <c r="I26" s="5" t="s">
        <v>804</v>
      </c>
      <c r="J26" s="5" t="s">
        <v>30</v>
      </c>
      <c r="K26" s="5" t="s">
        <v>30</v>
      </c>
      <c r="L26" s="3" t="s">
        <v>137</v>
      </c>
      <c r="M26" s="3" t="s">
        <v>31</v>
      </c>
      <c r="N26" s="5" t="s">
        <v>889</v>
      </c>
      <c r="O26" s="5" t="s">
        <v>139</v>
      </c>
      <c r="P26" s="5" t="s">
        <v>34</v>
      </c>
      <c r="Q26" s="158">
        <v>4303.57</v>
      </c>
      <c r="R26" s="170">
        <v>1</v>
      </c>
      <c r="S26" s="172">
        <v>167700</v>
      </c>
      <c r="U26" s="158">
        <v>7217.0870000000004</v>
      </c>
      <c r="V26" s="169">
        <v>9.2999999999999997E-5</v>
      </c>
      <c r="W26" s="169">
        <v>2.79468629479253E-2</v>
      </c>
      <c r="X26" s="169">
        <v>6.1041512327029103E-3</v>
      </c>
    </row>
    <row r="27" spans="1:24">
      <c r="A27" s="5">
        <v>419</v>
      </c>
      <c r="B27" s="5">
        <v>419</v>
      </c>
      <c r="C27" s="5" t="s">
        <v>213</v>
      </c>
      <c r="D27" s="5" t="s">
        <v>214</v>
      </c>
      <c r="E27" s="5" t="s">
        <v>132</v>
      </c>
      <c r="F27" s="5" t="s">
        <v>890</v>
      </c>
      <c r="G27" s="5" t="s">
        <v>891</v>
      </c>
      <c r="H27" s="5" t="s">
        <v>135</v>
      </c>
      <c r="I27" s="5" t="s">
        <v>804</v>
      </c>
      <c r="J27" s="5" t="s">
        <v>30</v>
      </c>
      <c r="K27" s="5" t="s">
        <v>30</v>
      </c>
      <c r="L27" s="3" t="s">
        <v>137</v>
      </c>
      <c r="M27" s="3" t="s">
        <v>31</v>
      </c>
      <c r="N27" s="5" t="s">
        <v>217</v>
      </c>
      <c r="O27" s="5" t="s">
        <v>139</v>
      </c>
      <c r="P27" s="5" t="s">
        <v>34</v>
      </c>
      <c r="Q27" s="158">
        <v>1122</v>
      </c>
      <c r="R27" s="170">
        <v>1</v>
      </c>
      <c r="S27" s="172">
        <v>192960</v>
      </c>
      <c r="T27" s="157">
        <v>13.766</v>
      </c>
      <c r="U27" s="158">
        <v>2178.777</v>
      </c>
      <c r="V27" s="169">
        <v>2.7599999999999999E-4</v>
      </c>
      <c r="W27" s="169">
        <v>8.4369210074030296E-3</v>
      </c>
      <c r="X27" s="169">
        <v>1.8427915098563599E-3</v>
      </c>
    </row>
    <row r="28" spans="1:24">
      <c r="A28" s="5">
        <v>419</v>
      </c>
      <c r="B28" s="5">
        <v>419</v>
      </c>
      <c r="C28" s="5" t="s">
        <v>892</v>
      </c>
      <c r="D28" s="5" t="s">
        <v>893</v>
      </c>
      <c r="E28" s="5" t="s">
        <v>132</v>
      </c>
      <c r="F28" s="5" t="s">
        <v>894</v>
      </c>
      <c r="G28" s="5" t="s">
        <v>895</v>
      </c>
      <c r="H28" s="5" t="s">
        <v>135</v>
      </c>
      <c r="I28" s="5" t="s">
        <v>804</v>
      </c>
      <c r="J28" s="5" t="s">
        <v>30</v>
      </c>
      <c r="K28" s="5" t="s">
        <v>30</v>
      </c>
      <c r="L28" s="3" t="s">
        <v>137</v>
      </c>
      <c r="M28" s="3" t="s">
        <v>31</v>
      </c>
      <c r="N28" s="5" t="s">
        <v>787</v>
      </c>
      <c r="O28" s="5" t="s">
        <v>139</v>
      </c>
      <c r="P28" s="5" t="s">
        <v>34</v>
      </c>
      <c r="Q28" s="158">
        <v>10699</v>
      </c>
      <c r="R28" s="170">
        <v>1</v>
      </c>
      <c r="S28" s="172">
        <v>11550</v>
      </c>
      <c r="U28" s="158">
        <v>1235.7349999999999</v>
      </c>
      <c r="V28" s="169">
        <v>4.2499999999999998E-4</v>
      </c>
      <c r="W28" s="169">
        <v>4.7851582276741897E-3</v>
      </c>
      <c r="X28" s="169">
        <v>1.0451738196363199E-3</v>
      </c>
    </row>
    <row r="29" spans="1:24">
      <c r="A29" s="5">
        <v>419</v>
      </c>
      <c r="B29" s="5">
        <v>419</v>
      </c>
      <c r="C29" s="5" t="s">
        <v>236</v>
      </c>
      <c r="D29" s="5" t="s">
        <v>237</v>
      </c>
      <c r="E29" s="5" t="s">
        <v>132</v>
      </c>
      <c r="F29" s="5" t="s">
        <v>805</v>
      </c>
      <c r="G29" s="5" t="s">
        <v>806</v>
      </c>
      <c r="H29" s="5" t="s">
        <v>135</v>
      </c>
      <c r="I29" s="5" t="s">
        <v>804</v>
      </c>
      <c r="J29" s="5" t="s">
        <v>30</v>
      </c>
      <c r="K29" s="5" t="s">
        <v>168</v>
      </c>
      <c r="L29" s="3" t="s">
        <v>137</v>
      </c>
      <c r="M29" s="3" t="s">
        <v>31</v>
      </c>
      <c r="N29" s="5" t="s">
        <v>241</v>
      </c>
      <c r="O29" s="5" t="s">
        <v>139</v>
      </c>
      <c r="P29" s="5" t="s">
        <v>34</v>
      </c>
      <c r="Q29" s="158">
        <v>39172.400000000001</v>
      </c>
      <c r="R29" s="170">
        <v>1</v>
      </c>
      <c r="S29" s="172">
        <v>10190</v>
      </c>
      <c r="U29" s="158">
        <v>3991.6680000000001</v>
      </c>
      <c r="V29" s="169">
        <v>2.9700000000000001E-4</v>
      </c>
      <c r="W29" s="169">
        <v>1.5457010277591301E-2</v>
      </c>
      <c r="X29" s="169">
        <v>3.3761187620832702E-3</v>
      </c>
    </row>
    <row r="30" spans="1:24">
      <c r="A30" s="5">
        <v>419</v>
      </c>
      <c r="B30" s="5">
        <v>419</v>
      </c>
      <c r="C30" s="5" t="s">
        <v>807</v>
      </c>
      <c r="D30" s="5" t="s">
        <v>808</v>
      </c>
      <c r="E30" s="5" t="s">
        <v>809</v>
      </c>
      <c r="F30" s="5" t="s">
        <v>810</v>
      </c>
      <c r="G30" s="5" t="s">
        <v>811</v>
      </c>
      <c r="H30" s="5" t="s">
        <v>135</v>
      </c>
      <c r="I30" s="5" t="s">
        <v>804</v>
      </c>
      <c r="J30" s="5" t="s">
        <v>30</v>
      </c>
      <c r="K30" s="5" t="s">
        <v>720</v>
      </c>
      <c r="L30" s="3" t="s">
        <v>137</v>
      </c>
      <c r="M30" s="3" t="s">
        <v>31</v>
      </c>
      <c r="N30" s="5" t="s">
        <v>357</v>
      </c>
      <c r="O30" s="5" t="s">
        <v>139</v>
      </c>
      <c r="P30" s="5" t="s">
        <v>34</v>
      </c>
      <c r="Q30" s="158">
        <v>56432</v>
      </c>
      <c r="R30" s="170">
        <v>1</v>
      </c>
      <c r="S30" s="172">
        <v>3825</v>
      </c>
      <c r="T30" s="157">
        <v>56.256999999999998</v>
      </c>
      <c r="U30" s="158">
        <v>2214.7809999999999</v>
      </c>
      <c r="V30" s="169">
        <v>3.0600000000000001E-4</v>
      </c>
      <c r="W30" s="169">
        <v>8.57633885899922E-3</v>
      </c>
      <c r="X30" s="169">
        <v>1.8732431441692201E-3</v>
      </c>
    </row>
    <row r="31" spans="1:24">
      <c r="A31" s="5">
        <v>419</v>
      </c>
      <c r="B31" s="5">
        <v>419</v>
      </c>
      <c r="C31" s="5" t="s">
        <v>252</v>
      </c>
      <c r="D31" s="5" t="s">
        <v>253</v>
      </c>
      <c r="E31" s="5" t="s">
        <v>132</v>
      </c>
      <c r="F31" s="5" t="s">
        <v>896</v>
      </c>
      <c r="G31" s="5" t="s">
        <v>897</v>
      </c>
      <c r="H31" s="5" t="s">
        <v>135</v>
      </c>
      <c r="I31" s="5" t="s">
        <v>804</v>
      </c>
      <c r="J31" s="5" t="s">
        <v>30</v>
      </c>
      <c r="K31" s="5" t="s">
        <v>30</v>
      </c>
      <c r="L31" s="3" t="s">
        <v>137</v>
      </c>
      <c r="M31" s="3" t="s">
        <v>31</v>
      </c>
      <c r="N31" s="5" t="s">
        <v>170</v>
      </c>
      <c r="O31" s="5" t="s">
        <v>139</v>
      </c>
      <c r="P31" s="5" t="s">
        <v>34</v>
      </c>
      <c r="Q31" s="158">
        <v>5535</v>
      </c>
      <c r="R31" s="170">
        <v>1</v>
      </c>
      <c r="S31" s="172">
        <v>21010</v>
      </c>
      <c r="U31" s="158">
        <v>1162.903</v>
      </c>
      <c r="V31" s="169">
        <v>1.4300000000000001E-4</v>
      </c>
      <c r="W31" s="169">
        <v>4.5031333599702197E-3</v>
      </c>
      <c r="X31" s="169">
        <v>9.835739739915369E-4</v>
      </c>
    </row>
    <row r="32" spans="1:24">
      <c r="A32" s="5">
        <v>419</v>
      </c>
      <c r="B32" s="5">
        <v>419</v>
      </c>
      <c r="C32" s="5" t="s">
        <v>898</v>
      </c>
      <c r="D32" s="5" t="s">
        <v>899</v>
      </c>
      <c r="E32" s="5" t="s">
        <v>132</v>
      </c>
      <c r="F32" s="5" t="s">
        <v>900</v>
      </c>
      <c r="G32" s="5" t="s">
        <v>901</v>
      </c>
      <c r="H32" s="5" t="s">
        <v>135</v>
      </c>
      <c r="I32" s="5" t="s">
        <v>804</v>
      </c>
      <c r="J32" s="5" t="s">
        <v>30</v>
      </c>
      <c r="K32" s="5" t="s">
        <v>30</v>
      </c>
      <c r="L32" s="3" t="s">
        <v>137</v>
      </c>
      <c r="M32" s="3" t="s">
        <v>31</v>
      </c>
      <c r="N32" s="5" t="s">
        <v>889</v>
      </c>
      <c r="O32" s="5" t="s">
        <v>139</v>
      </c>
      <c r="P32" s="5" t="s">
        <v>34</v>
      </c>
      <c r="Q32" s="158">
        <v>49000</v>
      </c>
      <c r="R32" s="170">
        <v>1</v>
      </c>
      <c r="S32" s="172">
        <v>1792</v>
      </c>
      <c r="U32" s="158">
        <v>878.08</v>
      </c>
      <c r="V32" s="169">
        <v>6.6100000000000002E-4</v>
      </c>
      <c r="W32" s="169">
        <v>3.4002058990472098E-3</v>
      </c>
      <c r="X32" s="169">
        <v>7.4267265949624298E-4</v>
      </c>
    </row>
    <row r="33" spans="1:24">
      <c r="A33" s="5">
        <v>419</v>
      </c>
      <c r="B33" s="5">
        <v>419</v>
      </c>
      <c r="C33" s="5" t="s">
        <v>902</v>
      </c>
      <c r="D33" s="5" t="s">
        <v>903</v>
      </c>
      <c r="E33" s="5" t="s">
        <v>165</v>
      </c>
      <c r="F33" s="5" t="s">
        <v>902</v>
      </c>
      <c r="G33" s="5" t="s">
        <v>904</v>
      </c>
      <c r="H33" s="5" t="s">
        <v>135</v>
      </c>
      <c r="I33" s="5" t="s">
        <v>804</v>
      </c>
      <c r="J33" s="5" t="s">
        <v>30</v>
      </c>
      <c r="K33" s="5" t="s">
        <v>905</v>
      </c>
      <c r="L33" s="3" t="s">
        <v>137</v>
      </c>
      <c r="M33" s="3" t="s">
        <v>31</v>
      </c>
      <c r="N33" s="5" t="s">
        <v>170</v>
      </c>
      <c r="O33" s="5" t="s">
        <v>139</v>
      </c>
      <c r="P33" s="5" t="s">
        <v>34</v>
      </c>
      <c r="Q33" s="158">
        <v>10500</v>
      </c>
      <c r="R33" s="170">
        <v>1</v>
      </c>
      <c r="S33" s="172">
        <v>11110</v>
      </c>
      <c r="U33" s="158">
        <v>1166.55</v>
      </c>
      <c r="V33" s="169">
        <v>4.8299999999999998E-4</v>
      </c>
      <c r="W33" s="169">
        <v>4.51725377133464E-3</v>
      </c>
      <c r="X33" s="169">
        <v>9.8665815294203497E-4</v>
      </c>
    </row>
    <row r="34" spans="1:24">
      <c r="A34" s="5">
        <v>419</v>
      </c>
      <c r="B34" s="5">
        <v>419</v>
      </c>
      <c r="C34" s="5" t="s">
        <v>282</v>
      </c>
      <c r="D34" s="5" t="s">
        <v>283</v>
      </c>
      <c r="E34" s="5" t="s">
        <v>132</v>
      </c>
      <c r="F34" s="5" t="s">
        <v>906</v>
      </c>
      <c r="G34" s="5" t="s">
        <v>907</v>
      </c>
      <c r="H34" s="5" t="s">
        <v>135</v>
      </c>
      <c r="I34" s="5" t="s">
        <v>804</v>
      </c>
      <c r="J34" s="5" t="s">
        <v>30</v>
      </c>
      <c r="K34" s="5" t="s">
        <v>30</v>
      </c>
      <c r="L34" s="3" t="s">
        <v>137</v>
      </c>
      <c r="M34" s="3" t="s">
        <v>31</v>
      </c>
      <c r="N34" s="5" t="s">
        <v>178</v>
      </c>
      <c r="O34" s="5" t="s">
        <v>139</v>
      </c>
      <c r="P34" s="5" t="s">
        <v>34</v>
      </c>
      <c r="Q34" s="158">
        <v>39632</v>
      </c>
      <c r="R34" s="170">
        <v>1</v>
      </c>
      <c r="S34" s="172">
        <v>6966</v>
      </c>
      <c r="U34" s="158">
        <v>2760.7649999999999</v>
      </c>
      <c r="V34" s="169">
        <v>3.5500000000000001E-4</v>
      </c>
      <c r="W34" s="169">
        <v>1.06905633278378E-2</v>
      </c>
      <c r="X34" s="169">
        <v>2.33503185804809E-3</v>
      </c>
    </row>
    <row r="35" spans="1:24">
      <c r="A35" s="5">
        <v>419</v>
      </c>
      <c r="B35" s="5">
        <v>419</v>
      </c>
      <c r="C35" s="5" t="s">
        <v>750</v>
      </c>
      <c r="D35" s="5" t="s">
        <v>751</v>
      </c>
      <c r="E35" s="5" t="s">
        <v>132</v>
      </c>
      <c r="F35" s="5" t="s">
        <v>908</v>
      </c>
      <c r="G35" s="5" t="s">
        <v>909</v>
      </c>
      <c r="H35" s="5" t="s">
        <v>135</v>
      </c>
      <c r="I35" s="5" t="s">
        <v>804</v>
      </c>
      <c r="J35" s="5" t="s">
        <v>30</v>
      </c>
      <c r="K35" s="5" t="s">
        <v>30</v>
      </c>
      <c r="L35" s="3" t="s">
        <v>137</v>
      </c>
      <c r="M35" s="3" t="s">
        <v>31</v>
      </c>
      <c r="N35" s="5" t="s">
        <v>633</v>
      </c>
      <c r="O35" s="5" t="s">
        <v>139</v>
      </c>
      <c r="P35" s="5" t="s">
        <v>34</v>
      </c>
      <c r="Q35" s="158">
        <v>823193.93</v>
      </c>
      <c r="R35" s="170">
        <v>1</v>
      </c>
      <c r="S35" s="172">
        <v>634.70000000000005</v>
      </c>
      <c r="T35" s="157">
        <v>173.072</v>
      </c>
      <c r="U35" s="158">
        <v>5397.884</v>
      </c>
      <c r="V35" s="169">
        <v>2.9700000000000001E-4</v>
      </c>
      <c r="W35" s="169">
        <v>2.09023287875558E-2</v>
      </c>
      <c r="X35" s="169">
        <v>4.5654847298126598E-3</v>
      </c>
    </row>
    <row r="36" spans="1:24">
      <c r="A36" s="5">
        <v>419</v>
      </c>
      <c r="B36" s="5">
        <v>419</v>
      </c>
      <c r="C36" s="5" t="s">
        <v>294</v>
      </c>
      <c r="D36" s="5" t="s">
        <v>295</v>
      </c>
      <c r="E36" s="5" t="s">
        <v>132</v>
      </c>
      <c r="F36" s="5" t="s">
        <v>812</v>
      </c>
      <c r="G36" s="5" t="s">
        <v>813</v>
      </c>
      <c r="H36" s="5" t="s">
        <v>135</v>
      </c>
      <c r="I36" s="5" t="s">
        <v>804</v>
      </c>
      <c r="J36" s="5" t="s">
        <v>30</v>
      </c>
      <c r="K36" s="5" t="s">
        <v>30</v>
      </c>
      <c r="L36" s="3" t="s">
        <v>137</v>
      </c>
      <c r="M36" s="3" t="s">
        <v>31</v>
      </c>
      <c r="N36" s="5" t="s">
        <v>204</v>
      </c>
      <c r="O36" s="5" t="s">
        <v>139</v>
      </c>
      <c r="P36" s="5" t="s">
        <v>34</v>
      </c>
      <c r="Q36" s="158">
        <v>5970</v>
      </c>
      <c r="R36" s="170">
        <v>1</v>
      </c>
      <c r="S36" s="172">
        <v>68050</v>
      </c>
      <c r="U36" s="158">
        <v>4062.585</v>
      </c>
      <c r="V36" s="169">
        <v>2.4000000000000001E-4</v>
      </c>
      <c r="W36" s="169">
        <v>1.5731625230481001E-2</v>
      </c>
      <c r="X36" s="169">
        <v>3.43610013481635E-3</v>
      </c>
    </row>
    <row r="37" spans="1:24">
      <c r="A37" s="5">
        <v>419</v>
      </c>
      <c r="B37" s="5">
        <v>419</v>
      </c>
      <c r="C37" s="5" t="s">
        <v>910</v>
      </c>
      <c r="D37" s="5" t="s">
        <v>911</v>
      </c>
      <c r="E37" s="5" t="s">
        <v>132</v>
      </c>
      <c r="F37" s="5" t="s">
        <v>910</v>
      </c>
      <c r="G37" s="5" t="s">
        <v>912</v>
      </c>
      <c r="H37" s="5" t="s">
        <v>135</v>
      </c>
      <c r="I37" s="5" t="s">
        <v>804</v>
      </c>
      <c r="J37" s="5" t="s">
        <v>30</v>
      </c>
      <c r="K37" s="5" t="s">
        <v>30</v>
      </c>
      <c r="L37" s="3" t="s">
        <v>137</v>
      </c>
      <c r="M37" s="3" t="s">
        <v>31</v>
      </c>
      <c r="N37" s="5" t="s">
        <v>913</v>
      </c>
      <c r="O37" s="5" t="s">
        <v>139</v>
      </c>
      <c r="P37" s="5" t="s">
        <v>34</v>
      </c>
      <c r="Q37" s="158">
        <v>295504</v>
      </c>
      <c r="R37" s="170">
        <v>1</v>
      </c>
      <c r="S37" s="172">
        <v>7.4</v>
      </c>
      <c r="U37" s="158">
        <v>21.867000000000001</v>
      </c>
      <c r="V37" s="169">
        <v>2.6359999999999999E-3</v>
      </c>
      <c r="W37" s="169">
        <v>8.4677146564563006E-5</v>
      </c>
      <c r="X37" s="169">
        <v>1.84951745584816E-5</v>
      </c>
    </row>
    <row r="38" spans="1:24">
      <c r="A38" s="5">
        <v>419</v>
      </c>
      <c r="B38" s="5">
        <v>419</v>
      </c>
      <c r="C38" s="5" t="s">
        <v>814</v>
      </c>
      <c r="D38" s="5" t="s">
        <v>815</v>
      </c>
      <c r="E38" s="5" t="s">
        <v>132</v>
      </c>
      <c r="F38" s="5" t="s">
        <v>816</v>
      </c>
      <c r="G38" s="5" t="s">
        <v>817</v>
      </c>
      <c r="H38" s="5" t="s">
        <v>135</v>
      </c>
      <c r="I38" s="5" t="s">
        <v>804</v>
      </c>
      <c r="J38" s="5" t="s">
        <v>30</v>
      </c>
      <c r="K38" s="5" t="s">
        <v>30</v>
      </c>
      <c r="L38" s="3" t="s">
        <v>137</v>
      </c>
      <c r="M38" s="3" t="s">
        <v>31</v>
      </c>
      <c r="N38" s="5" t="s">
        <v>726</v>
      </c>
      <c r="O38" s="5" t="s">
        <v>139</v>
      </c>
      <c r="P38" s="5" t="s">
        <v>34</v>
      </c>
      <c r="Q38" s="158">
        <v>4580</v>
      </c>
      <c r="R38" s="170">
        <v>1</v>
      </c>
      <c r="S38" s="172">
        <v>67920</v>
      </c>
      <c r="U38" s="158">
        <v>3110.7359999999999</v>
      </c>
      <c r="V38" s="169">
        <v>5.0100000000000003E-4</v>
      </c>
      <c r="W38" s="169">
        <v>1.2045762228474101E-2</v>
      </c>
      <c r="X38" s="169">
        <v>2.6310342771851099E-3</v>
      </c>
    </row>
    <row r="39" spans="1:24">
      <c r="A39" s="5">
        <v>419</v>
      </c>
      <c r="B39" s="5">
        <v>419</v>
      </c>
      <c r="C39" s="5" t="s">
        <v>914</v>
      </c>
      <c r="D39" s="5" t="s">
        <v>915</v>
      </c>
      <c r="E39" s="5" t="s">
        <v>132</v>
      </c>
      <c r="F39" s="5" t="s">
        <v>916</v>
      </c>
      <c r="G39" s="5" t="s">
        <v>917</v>
      </c>
      <c r="H39" s="5" t="s">
        <v>135</v>
      </c>
      <c r="I39" s="5" t="s">
        <v>804</v>
      </c>
      <c r="J39" s="5" t="s">
        <v>30</v>
      </c>
      <c r="K39" s="5" t="s">
        <v>30</v>
      </c>
      <c r="L39" s="3" t="s">
        <v>137</v>
      </c>
      <c r="M39" s="3" t="s">
        <v>31</v>
      </c>
      <c r="N39" s="5" t="s">
        <v>556</v>
      </c>
      <c r="O39" s="5" t="s">
        <v>139</v>
      </c>
      <c r="P39" s="5" t="s">
        <v>34</v>
      </c>
      <c r="Q39" s="158">
        <v>155518</v>
      </c>
      <c r="R39" s="170">
        <v>1</v>
      </c>
      <c r="S39" s="172">
        <v>850</v>
      </c>
      <c r="U39" s="158">
        <v>1321.903</v>
      </c>
      <c r="V39" s="169">
        <v>1.913E-3</v>
      </c>
      <c r="W39" s="169">
        <v>5.1188301505195504E-3</v>
      </c>
      <c r="X39" s="169">
        <v>1.1180544103112E-3</v>
      </c>
    </row>
    <row r="40" spans="1:24">
      <c r="A40" s="5">
        <v>419</v>
      </c>
      <c r="B40" s="5">
        <v>419</v>
      </c>
      <c r="C40" s="5" t="s">
        <v>818</v>
      </c>
      <c r="D40" s="5" t="s">
        <v>819</v>
      </c>
      <c r="E40" s="5" t="s">
        <v>132</v>
      </c>
      <c r="F40" s="5" t="s">
        <v>820</v>
      </c>
      <c r="G40" s="5" t="s">
        <v>821</v>
      </c>
      <c r="H40" s="5" t="s">
        <v>135</v>
      </c>
      <c r="I40" s="5" t="s">
        <v>804</v>
      </c>
      <c r="J40" s="5" t="s">
        <v>30</v>
      </c>
      <c r="K40" s="5" t="s">
        <v>30</v>
      </c>
      <c r="L40" s="3" t="s">
        <v>137</v>
      </c>
      <c r="M40" s="3" t="s">
        <v>31</v>
      </c>
      <c r="N40" s="5" t="s">
        <v>309</v>
      </c>
      <c r="O40" s="5" t="s">
        <v>139</v>
      </c>
      <c r="P40" s="5" t="s">
        <v>34</v>
      </c>
      <c r="Q40" s="158">
        <v>139615</v>
      </c>
      <c r="R40" s="170">
        <v>1</v>
      </c>
      <c r="S40" s="172">
        <v>3274</v>
      </c>
      <c r="U40" s="158">
        <v>4570.9949999999999</v>
      </c>
      <c r="V40" s="169">
        <v>1.13E-4</v>
      </c>
      <c r="W40" s="169">
        <v>1.7700351338757199E-2</v>
      </c>
      <c r="X40" s="169">
        <v>3.8661091101736701E-3</v>
      </c>
    </row>
    <row r="41" spans="1:24">
      <c r="A41" s="5">
        <v>419</v>
      </c>
      <c r="B41" s="5">
        <v>419</v>
      </c>
      <c r="C41" s="5" t="s">
        <v>824</v>
      </c>
      <c r="D41" s="5" t="s">
        <v>825</v>
      </c>
      <c r="E41" s="5" t="s">
        <v>132</v>
      </c>
      <c r="F41" s="5" t="s">
        <v>826</v>
      </c>
      <c r="G41" s="5" t="s">
        <v>827</v>
      </c>
      <c r="H41" s="5" t="s">
        <v>135</v>
      </c>
      <c r="I41" s="5" t="s">
        <v>804</v>
      </c>
      <c r="J41" s="5" t="s">
        <v>30</v>
      </c>
      <c r="K41" s="5" t="s">
        <v>30</v>
      </c>
      <c r="L41" s="3" t="s">
        <v>137</v>
      </c>
      <c r="M41" s="3" t="s">
        <v>31</v>
      </c>
      <c r="N41" s="5" t="s">
        <v>828</v>
      </c>
      <c r="O41" s="5" t="s">
        <v>139</v>
      </c>
      <c r="P41" s="5" t="s">
        <v>34</v>
      </c>
      <c r="Q41" s="158">
        <v>19898</v>
      </c>
      <c r="R41" s="170">
        <v>1</v>
      </c>
      <c r="S41" s="172">
        <v>17410</v>
      </c>
      <c r="U41" s="158">
        <v>3464.2420000000002</v>
      </c>
      <c r="V41" s="169">
        <v>7.3899999999999997E-4</v>
      </c>
      <c r="W41" s="169">
        <v>1.3414649467116801E-2</v>
      </c>
      <c r="X41" s="169">
        <v>2.9300265018495498E-3</v>
      </c>
    </row>
    <row r="42" spans="1:24">
      <c r="A42" s="5">
        <v>419</v>
      </c>
      <c r="B42" s="5">
        <v>419</v>
      </c>
      <c r="C42" s="5" t="s">
        <v>918</v>
      </c>
      <c r="D42" s="5" t="s">
        <v>919</v>
      </c>
      <c r="E42" s="5" t="s">
        <v>132</v>
      </c>
      <c r="F42" s="5" t="s">
        <v>920</v>
      </c>
      <c r="G42" s="5" t="s">
        <v>921</v>
      </c>
      <c r="H42" s="5" t="s">
        <v>135</v>
      </c>
      <c r="I42" s="5" t="s">
        <v>804</v>
      </c>
      <c r="J42" s="5" t="s">
        <v>30</v>
      </c>
      <c r="K42" s="5" t="s">
        <v>30</v>
      </c>
      <c r="L42" s="3" t="s">
        <v>137</v>
      </c>
      <c r="M42" s="3" t="s">
        <v>31</v>
      </c>
      <c r="N42" s="5" t="s">
        <v>556</v>
      </c>
      <c r="O42" s="5" t="s">
        <v>139</v>
      </c>
      <c r="P42" s="5" t="s">
        <v>34</v>
      </c>
      <c r="Q42" s="158">
        <v>355586</v>
      </c>
      <c r="R42" s="170">
        <v>1</v>
      </c>
      <c r="S42" s="172">
        <v>745.1</v>
      </c>
      <c r="U42" s="158">
        <v>2649.471</v>
      </c>
      <c r="V42" s="169">
        <v>3.869E-3</v>
      </c>
      <c r="W42" s="169">
        <v>1.02595980958607E-2</v>
      </c>
      <c r="X42" s="169">
        <v>2.2409004717480799E-3</v>
      </c>
    </row>
    <row r="43" spans="1:24">
      <c r="A43" s="5">
        <v>419</v>
      </c>
      <c r="B43" s="5">
        <v>419</v>
      </c>
      <c r="C43" s="5" t="s">
        <v>374</v>
      </c>
      <c r="D43" s="5" t="s">
        <v>375</v>
      </c>
      <c r="E43" s="5" t="s">
        <v>132</v>
      </c>
      <c r="F43" s="5" t="s">
        <v>922</v>
      </c>
      <c r="G43" s="5" t="s">
        <v>923</v>
      </c>
      <c r="H43" s="5" t="s">
        <v>135</v>
      </c>
      <c r="I43" s="5" t="s">
        <v>804</v>
      </c>
      <c r="J43" s="5" t="s">
        <v>30</v>
      </c>
      <c r="K43" s="5" t="s">
        <v>30</v>
      </c>
      <c r="L43" s="3" t="s">
        <v>137</v>
      </c>
      <c r="M43" s="3" t="s">
        <v>31</v>
      </c>
      <c r="N43" s="5" t="s">
        <v>185</v>
      </c>
      <c r="O43" s="5" t="s">
        <v>139</v>
      </c>
      <c r="P43" s="5" t="s">
        <v>34</v>
      </c>
      <c r="Q43" s="158">
        <v>60134</v>
      </c>
      <c r="R43" s="170">
        <v>1</v>
      </c>
      <c r="S43" s="172">
        <v>12400</v>
      </c>
      <c r="U43" s="158">
        <v>7456.616</v>
      </c>
      <c r="V43" s="169">
        <v>2.2800000000000001E-4</v>
      </c>
      <c r="W43" s="169">
        <v>2.88743960802317E-2</v>
      </c>
      <c r="X43" s="169">
        <v>6.3067429340860001E-3</v>
      </c>
    </row>
    <row r="44" spans="1:24">
      <c r="A44" s="5">
        <v>419</v>
      </c>
      <c r="B44" s="5">
        <v>419</v>
      </c>
      <c r="C44" s="5" t="s">
        <v>924</v>
      </c>
      <c r="D44" s="5" t="s">
        <v>925</v>
      </c>
      <c r="E44" s="5" t="s">
        <v>132</v>
      </c>
      <c r="F44" s="5" t="s">
        <v>926</v>
      </c>
      <c r="G44" s="5" t="s">
        <v>927</v>
      </c>
      <c r="H44" s="5" t="s">
        <v>135</v>
      </c>
      <c r="I44" s="5" t="s">
        <v>804</v>
      </c>
      <c r="J44" s="5" t="s">
        <v>30</v>
      </c>
      <c r="K44" s="5" t="s">
        <v>30</v>
      </c>
      <c r="L44" s="3" t="s">
        <v>137</v>
      </c>
      <c r="M44" s="3" t="s">
        <v>31</v>
      </c>
      <c r="N44" s="5" t="s">
        <v>726</v>
      </c>
      <c r="O44" s="5" t="s">
        <v>139</v>
      </c>
      <c r="P44" s="5" t="s">
        <v>34</v>
      </c>
      <c r="Q44" s="158">
        <v>25402</v>
      </c>
      <c r="R44" s="170">
        <v>1</v>
      </c>
      <c r="S44" s="172">
        <v>1427</v>
      </c>
      <c r="U44" s="158">
        <v>362.48700000000002</v>
      </c>
      <c r="V44" s="169">
        <v>6.9099999999999999E-4</v>
      </c>
      <c r="W44" s="169">
        <v>1.4036635291012399E-3</v>
      </c>
      <c r="X44" s="169">
        <v>3.0658805882538201E-4</v>
      </c>
    </row>
    <row r="45" spans="1:24">
      <c r="A45" s="5">
        <v>419</v>
      </c>
      <c r="B45" s="5">
        <v>419</v>
      </c>
      <c r="C45" s="5" t="s">
        <v>829</v>
      </c>
      <c r="D45" s="5" t="s">
        <v>830</v>
      </c>
      <c r="E45" s="5" t="s">
        <v>132</v>
      </c>
      <c r="F45" s="5" t="s">
        <v>831</v>
      </c>
      <c r="G45" s="5" t="s">
        <v>832</v>
      </c>
      <c r="H45" s="5" t="s">
        <v>135</v>
      </c>
      <c r="I45" s="5" t="s">
        <v>804</v>
      </c>
      <c r="J45" s="5" t="s">
        <v>30</v>
      </c>
      <c r="K45" s="5" t="s">
        <v>833</v>
      </c>
      <c r="L45" s="3" t="s">
        <v>137</v>
      </c>
      <c r="M45" s="3" t="s">
        <v>31</v>
      </c>
      <c r="N45" s="5" t="s">
        <v>834</v>
      </c>
      <c r="O45" s="5" t="s">
        <v>139</v>
      </c>
      <c r="P45" s="5" t="s">
        <v>34</v>
      </c>
      <c r="Q45" s="158">
        <v>10000</v>
      </c>
      <c r="R45" s="170">
        <v>1</v>
      </c>
      <c r="S45" s="172">
        <v>23540</v>
      </c>
      <c r="U45" s="158">
        <v>2354</v>
      </c>
      <c r="V45" s="169">
        <v>8.8999999999999995E-5</v>
      </c>
      <c r="W45" s="169">
        <v>9.1154390105196992E-3</v>
      </c>
      <c r="X45" s="169">
        <v>1.99099334964258E-3</v>
      </c>
    </row>
    <row r="46" spans="1:24">
      <c r="A46" s="5">
        <v>419</v>
      </c>
      <c r="B46" s="5">
        <v>419</v>
      </c>
      <c r="C46" s="5" t="s">
        <v>737</v>
      </c>
      <c r="D46" s="5" t="s">
        <v>738</v>
      </c>
      <c r="E46" s="5" t="s">
        <v>132</v>
      </c>
      <c r="F46" s="5" t="s">
        <v>835</v>
      </c>
      <c r="G46" s="5" t="s">
        <v>836</v>
      </c>
      <c r="H46" s="5" t="s">
        <v>135</v>
      </c>
      <c r="I46" s="5" t="s">
        <v>804</v>
      </c>
      <c r="J46" s="5" t="s">
        <v>30</v>
      </c>
      <c r="K46" s="5" t="s">
        <v>168</v>
      </c>
      <c r="L46" s="3" t="s">
        <v>137</v>
      </c>
      <c r="M46" s="3" t="s">
        <v>31</v>
      </c>
      <c r="N46" s="5" t="s">
        <v>837</v>
      </c>
      <c r="O46" s="5" t="s">
        <v>139</v>
      </c>
      <c r="P46" s="5" t="s">
        <v>34</v>
      </c>
      <c r="Q46" s="158">
        <v>109852</v>
      </c>
      <c r="R46" s="170">
        <v>1</v>
      </c>
      <c r="S46" s="172">
        <v>6440</v>
      </c>
      <c r="U46" s="158">
        <v>7074.4690000000001</v>
      </c>
      <c r="V46" s="169">
        <v>8.7999999999999998E-5</v>
      </c>
      <c r="W46" s="169">
        <v>2.7394600203153999E-2</v>
      </c>
      <c r="X46" s="169">
        <v>5.98352605482324E-3</v>
      </c>
    </row>
    <row r="47" spans="1:24">
      <c r="A47" s="5">
        <v>419</v>
      </c>
      <c r="B47" s="5">
        <v>419</v>
      </c>
      <c r="C47" s="5" t="s">
        <v>928</v>
      </c>
      <c r="D47" s="5" t="s">
        <v>929</v>
      </c>
      <c r="E47" s="5" t="s">
        <v>132</v>
      </c>
      <c r="F47" s="5" t="s">
        <v>930</v>
      </c>
      <c r="G47" s="5" t="s">
        <v>931</v>
      </c>
      <c r="H47" s="5" t="s">
        <v>135</v>
      </c>
      <c r="I47" s="5" t="s">
        <v>804</v>
      </c>
      <c r="J47" s="5" t="s">
        <v>30</v>
      </c>
      <c r="K47" s="5" t="s">
        <v>30</v>
      </c>
      <c r="L47" s="3" t="s">
        <v>137</v>
      </c>
      <c r="M47" s="3" t="s">
        <v>31</v>
      </c>
      <c r="N47" s="5" t="s">
        <v>787</v>
      </c>
      <c r="O47" s="5" t="s">
        <v>139</v>
      </c>
      <c r="P47" s="5" t="s">
        <v>34</v>
      </c>
      <c r="Q47" s="158">
        <v>253138</v>
      </c>
      <c r="R47" s="170">
        <v>1</v>
      </c>
      <c r="S47" s="172">
        <v>862.4</v>
      </c>
      <c r="U47" s="158">
        <v>2183.0619999999999</v>
      </c>
      <c r="V47" s="169">
        <v>2.3270000000000001E-3</v>
      </c>
      <c r="W47" s="169">
        <v>8.4535129728599504E-3</v>
      </c>
      <c r="X47" s="169">
        <v>1.84641552542425E-3</v>
      </c>
    </row>
    <row r="48" spans="1:24">
      <c r="A48" s="5">
        <v>419</v>
      </c>
      <c r="B48" s="5">
        <v>419</v>
      </c>
      <c r="C48" s="5" t="s">
        <v>932</v>
      </c>
      <c r="D48" s="5" t="s">
        <v>933</v>
      </c>
      <c r="E48" s="5" t="s">
        <v>132</v>
      </c>
      <c r="F48" s="5" t="s">
        <v>934</v>
      </c>
      <c r="G48" s="5" t="s">
        <v>935</v>
      </c>
      <c r="H48" s="5" t="s">
        <v>135</v>
      </c>
      <c r="I48" s="5" t="s">
        <v>804</v>
      </c>
      <c r="J48" s="5" t="s">
        <v>30</v>
      </c>
      <c r="K48" s="5" t="s">
        <v>30</v>
      </c>
      <c r="L48" s="3" t="s">
        <v>137</v>
      </c>
      <c r="M48" s="3" t="s">
        <v>31</v>
      </c>
      <c r="N48" s="5" t="s">
        <v>936</v>
      </c>
      <c r="O48" s="5" t="s">
        <v>139</v>
      </c>
      <c r="P48" s="5" t="s">
        <v>34</v>
      </c>
      <c r="Q48" s="158">
        <v>138070</v>
      </c>
      <c r="R48" s="170">
        <v>1</v>
      </c>
      <c r="S48" s="172">
        <v>27.6</v>
      </c>
      <c r="U48" s="158">
        <v>38.106999999999999</v>
      </c>
      <c r="V48" s="169">
        <v>5.1599999999999997E-3</v>
      </c>
      <c r="W48" s="169">
        <v>1.47563700643312E-4</v>
      </c>
      <c r="X48" s="169">
        <v>3.2230849911937799E-5</v>
      </c>
    </row>
    <row r="49" spans="1:24">
      <c r="A49" s="5">
        <v>419</v>
      </c>
      <c r="B49" s="5">
        <v>419</v>
      </c>
      <c r="C49" s="5" t="s">
        <v>937</v>
      </c>
      <c r="D49" s="5" t="s">
        <v>938</v>
      </c>
      <c r="E49" s="5" t="s">
        <v>132</v>
      </c>
      <c r="F49" s="5" t="s">
        <v>939</v>
      </c>
      <c r="G49" s="5" t="s">
        <v>940</v>
      </c>
      <c r="H49" s="5" t="s">
        <v>135</v>
      </c>
      <c r="I49" s="5" t="s">
        <v>804</v>
      </c>
      <c r="J49" s="5" t="s">
        <v>30</v>
      </c>
      <c r="K49" s="5" t="s">
        <v>30</v>
      </c>
      <c r="L49" s="3" t="s">
        <v>137</v>
      </c>
      <c r="M49" s="3" t="s">
        <v>240</v>
      </c>
      <c r="N49" s="5" t="s">
        <v>705</v>
      </c>
      <c r="O49" s="5" t="s">
        <v>139</v>
      </c>
      <c r="P49" s="5" t="s">
        <v>34</v>
      </c>
      <c r="Q49" s="158">
        <v>37000</v>
      </c>
      <c r="R49" s="170">
        <v>1</v>
      </c>
      <c r="S49" s="172">
        <v>2875</v>
      </c>
      <c r="U49" s="158">
        <v>1063.75</v>
      </c>
      <c r="V49" s="169">
        <v>2.9399999999999999E-4</v>
      </c>
      <c r="W49" s="169">
        <v>4.1191793744436399E-3</v>
      </c>
      <c r="X49" s="169">
        <v>8.9971077981405802E-4</v>
      </c>
    </row>
    <row r="50" spans="1:24">
      <c r="A50" s="5">
        <v>419</v>
      </c>
      <c r="B50" s="5">
        <v>419</v>
      </c>
      <c r="C50" s="5" t="s">
        <v>941</v>
      </c>
      <c r="D50" s="5" t="s">
        <v>942</v>
      </c>
      <c r="E50" s="5" t="s">
        <v>132</v>
      </c>
      <c r="F50" s="5" t="s">
        <v>943</v>
      </c>
      <c r="G50" s="5" t="s">
        <v>944</v>
      </c>
      <c r="H50" s="5" t="s">
        <v>135</v>
      </c>
      <c r="I50" s="5" t="s">
        <v>804</v>
      </c>
      <c r="J50" s="5" t="s">
        <v>30</v>
      </c>
      <c r="K50" s="5" t="s">
        <v>30</v>
      </c>
      <c r="L50" s="3" t="s">
        <v>137</v>
      </c>
      <c r="M50" s="3" t="s">
        <v>31</v>
      </c>
      <c r="N50" s="5" t="s">
        <v>467</v>
      </c>
      <c r="O50" s="5" t="s">
        <v>139</v>
      </c>
      <c r="P50" s="5" t="s">
        <v>34</v>
      </c>
      <c r="Q50" s="158">
        <v>230125.72</v>
      </c>
      <c r="R50" s="170">
        <v>1</v>
      </c>
      <c r="S50" s="172">
        <v>1338</v>
      </c>
      <c r="U50" s="158">
        <v>3079.0819999999999</v>
      </c>
      <c r="V50" s="169">
        <v>7.0699999999999995E-4</v>
      </c>
      <c r="W50" s="169">
        <v>1.1923188359053399E-2</v>
      </c>
      <c r="X50" s="169">
        <v>2.6042617039086198E-3</v>
      </c>
    </row>
    <row r="51" spans="1:24">
      <c r="A51" s="5">
        <v>419</v>
      </c>
      <c r="B51" s="5">
        <v>419</v>
      </c>
      <c r="C51" s="5" t="s">
        <v>454</v>
      </c>
      <c r="D51" s="5" t="s">
        <v>455</v>
      </c>
      <c r="E51" s="5" t="s">
        <v>132</v>
      </c>
      <c r="F51" s="5" t="s">
        <v>838</v>
      </c>
      <c r="G51" s="5" t="s">
        <v>839</v>
      </c>
      <c r="H51" s="5" t="s">
        <v>135</v>
      </c>
      <c r="I51" s="5" t="s">
        <v>804</v>
      </c>
      <c r="J51" s="5" t="s">
        <v>30</v>
      </c>
      <c r="K51" s="5" t="s">
        <v>30</v>
      </c>
      <c r="L51" s="3" t="s">
        <v>137</v>
      </c>
      <c r="M51" s="3" t="s">
        <v>31</v>
      </c>
      <c r="N51" s="5" t="s">
        <v>185</v>
      </c>
      <c r="O51" s="5" t="s">
        <v>139</v>
      </c>
      <c r="P51" s="5" t="s">
        <v>34</v>
      </c>
      <c r="Q51" s="158">
        <v>34440</v>
      </c>
      <c r="R51" s="170">
        <v>1</v>
      </c>
      <c r="S51" s="172">
        <v>16970</v>
      </c>
      <c r="U51" s="158">
        <v>5844.4679999999998</v>
      </c>
      <c r="V51" s="169">
        <v>4.2999999999999999E-4</v>
      </c>
      <c r="W51" s="169">
        <v>2.2631644691135998E-2</v>
      </c>
      <c r="X51" s="169">
        <v>4.9432017502968797E-3</v>
      </c>
    </row>
    <row r="52" spans="1:24">
      <c r="A52" s="5">
        <v>419</v>
      </c>
      <c r="B52" s="5">
        <v>419</v>
      </c>
      <c r="C52" s="5" t="s">
        <v>469</v>
      </c>
      <c r="D52" s="5" t="s">
        <v>470</v>
      </c>
      <c r="E52" s="5" t="s">
        <v>132</v>
      </c>
      <c r="F52" s="5" t="s">
        <v>840</v>
      </c>
      <c r="G52" s="5" t="s">
        <v>841</v>
      </c>
      <c r="H52" s="5" t="s">
        <v>135</v>
      </c>
      <c r="I52" s="5" t="s">
        <v>804</v>
      </c>
      <c r="J52" s="5" t="s">
        <v>30</v>
      </c>
      <c r="K52" s="5" t="s">
        <v>30</v>
      </c>
      <c r="L52" s="3" t="s">
        <v>137</v>
      </c>
      <c r="M52" s="3" t="s">
        <v>31</v>
      </c>
      <c r="N52" s="5" t="s">
        <v>309</v>
      </c>
      <c r="O52" s="5" t="s">
        <v>139</v>
      </c>
      <c r="P52" s="5" t="s">
        <v>34</v>
      </c>
      <c r="Q52" s="158">
        <v>240320</v>
      </c>
      <c r="R52" s="170">
        <v>1</v>
      </c>
      <c r="S52" s="172">
        <v>6529</v>
      </c>
      <c r="U52" s="158">
        <v>15690.493</v>
      </c>
      <c r="V52" s="169">
        <v>1.4899999999999999E-4</v>
      </c>
      <c r="W52" s="169">
        <v>6.0758593952165797E-2</v>
      </c>
      <c r="X52" s="169">
        <v>1.3270886498477E-2</v>
      </c>
    </row>
    <row r="53" spans="1:24">
      <c r="A53" s="5">
        <v>419</v>
      </c>
      <c r="B53" s="5">
        <v>419</v>
      </c>
      <c r="C53" s="5" t="s">
        <v>945</v>
      </c>
      <c r="D53" s="5" t="s">
        <v>946</v>
      </c>
      <c r="E53" s="5" t="s">
        <v>132</v>
      </c>
      <c r="F53" s="5" t="s">
        <v>947</v>
      </c>
      <c r="G53" s="5" t="s">
        <v>948</v>
      </c>
      <c r="H53" s="5" t="s">
        <v>135</v>
      </c>
      <c r="I53" s="5" t="s">
        <v>804</v>
      </c>
      <c r="J53" s="5" t="s">
        <v>30</v>
      </c>
      <c r="K53" s="5" t="s">
        <v>30</v>
      </c>
      <c r="L53" s="3" t="s">
        <v>137</v>
      </c>
      <c r="M53" s="3" t="s">
        <v>31</v>
      </c>
      <c r="N53" s="5" t="s">
        <v>178</v>
      </c>
      <c r="O53" s="5" t="s">
        <v>139</v>
      </c>
      <c r="P53" s="5" t="s">
        <v>34</v>
      </c>
      <c r="Q53" s="158">
        <v>85229</v>
      </c>
      <c r="R53" s="170">
        <v>1</v>
      </c>
      <c r="S53" s="172">
        <v>343.3</v>
      </c>
      <c r="U53" s="158">
        <v>292.59100000000001</v>
      </c>
      <c r="V53" s="169">
        <v>1.673E-3</v>
      </c>
      <c r="W53" s="169">
        <v>1.13300630698848E-3</v>
      </c>
      <c r="X53" s="169">
        <v>2.47471133284294E-4</v>
      </c>
    </row>
    <row r="54" spans="1:24">
      <c r="A54" s="5">
        <v>419</v>
      </c>
      <c r="B54" s="5">
        <v>419</v>
      </c>
      <c r="C54" s="5" t="s">
        <v>486</v>
      </c>
      <c r="D54" s="5" t="s">
        <v>487</v>
      </c>
      <c r="E54" s="5" t="s">
        <v>132</v>
      </c>
      <c r="F54" s="5" t="s">
        <v>949</v>
      </c>
      <c r="G54" s="5" t="s">
        <v>950</v>
      </c>
      <c r="H54" s="5" t="s">
        <v>135</v>
      </c>
      <c r="I54" s="5" t="s">
        <v>804</v>
      </c>
      <c r="J54" s="5" t="s">
        <v>30</v>
      </c>
      <c r="K54" s="5" t="s">
        <v>30</v>
      </c>
      <c r="L54" s="3" t="s">
        <v>137</v>
      </c>
      <c r="M54" s="3" t="s">
        <v>31</v>
      </c>
      <c r="N54" s="5" t="s">
        <v>204</v>
      </c>
      <c r="O54" s="5" t="s">
        <v>139</v>
      </c>
      <c r="P54" s="5" t="s">
        <v>34</v>
      </c>
      <c r="Q54" s="158">
        <v>175210.82</v>
      </c>
      <c r="R54" s="170">
        <v>1</v>
      </c>
      <c r="S54" s="172">
        <v>1292</v>
      </c>
      <c r="U54" s="158">
        <v>2263.7240000000002</v>
      </c>
      <c r="V54" s="169">
        <v>2.42E-4</v>
      </c>
      <c r="W54" s="169">
        <v>8.76586074108557E-3</v>
      </c>
      <c r="X54" s="169">
        <v>1.91463849620988E-3</v>
      </c>
    </row>
    <row r="55" spans="1:24">
      <c r="A55" s="5">
        <v>419</v>
      </c>
      <c r="B55" s="5">
        <v>419</v>
      </c>
      <c r="C55" s="5" t="s">
        <v>499</v>
      </c>
      <c r="D55" s="5" t="s">
        <v>500</v>
      </c>
      <c r="E55" s="5" t="s">
        <v>132</v>
      </c>
      <c r="F55" s="5" t="s">
        <v>951</v>
      </c>
      <c r="G55" s="5" t="s">
        <v>952</v>
      </c>
      <c r="H55" s="5" t="s">
        <v>135</v>
      </c>
      <c r="I55" s="5" t="s">
        <v>804</v>
      </c>
      <c r="J55" s="5" t="s">
        <v>30</v>
      </c>
      <c r="K55" s="5" t="s">
        <v>30</v>
      </c>
      <c r="L55" s="3" t="s">
        <v>137</v>
      </c>
      <c r="M55" s="3" t="s">
        <v>31</v>
      </c>
      <c r="N55" s="5" t="s">
        <v>204</v>
      </c>
      <c r="O55" s="5" t="s">
        <v>139</v>
      </c>
      <c r="P55" s="5" t="s">
        <v>34</v>
      </c>
      <c r="Q55" s="158">
        <v>129424</v>
      </c>
      <c r="R55" s="170">
        <v>1</v>
      </c>
      <c r="S55" s="172">
        <v>1357</v>
      </c>
      <c r="U55" s="158">
        <v>1756.2840000000001</v>
      </c>
      <c r="V55" s="169">
        <v>8.5800000000000004E-4</v>
      </c>
      <c r="W55" s="169">
        <v>6.80089072651278E-3</v>
      </c>
      <c r="X55" s="169">
        <v>1.4854499264935401E-3</v>
      </c>
    </row>
    <row r="56" spans="1:24">
      <c r="A56" s="5">
        <v>419</v>
      </c>
      <c r="B56" s="5">
        <v>419</v>
      </c>
      <c r="C56" s="5" t="s">
        <v>953</v>
      </c>
      <c r="D56" s="5" t="s">
        <v>954</v>
      </c>
      <c r="E56" s="5" t="s">
        <v>132</v>
      </c>
      <c r="F56" s="5" t="s">
        <v>955</v>
      </c>
      <c r="G56" s="5" t="s">
        <v>956</v>
      </c>
      <c r="H56" s="5" t="s">
        <v>135</v>
      </c>
      <c r="I56" s="5" t="s">
        <v>804</v>
      </c>
      <c r="J56" s="5" t="s">
        <v>30</v>
      </c>
      <c r="K56" s="5" t="s">
        <v>30</v>
      </c>
      <c r="L56" s="3" t="s">
        <v>137</v>
      </c>
      <c r="M56" s="3" t="s">
        <v>31</v>
      </c>
      <c r="N56" s="5" t="s">
        <v>787</v>
      </c>
      <c r="O56" s="5" t="s">
        <v>139</v>
      </c>
      <c r="P56" s="5" t="s">
        <v>34</v>
      </c>
      <c r="Q56" s="158">
        <v>16226</v>
      </c>
      <c r="R56" s="170">
        <v>1</v>
      </c>
      <c r="S56" s="172">
        <v>966.1</v>
      </c>
      <c r="U56" s="158">
        <v>156.75899999999999</v>
      </c>
      <c r="V56" s="169">
        <v>5.9299999999999999E-4</v>
      </c>
      <c r="W56" s="169">
        <v>6.0702235446453501E-4</v>
      </c>
      <c r="X56" s="169">
        <v>1.3258576678846801E-4</v>
      </c>
    </row>
    <row r="57" spans="1:24">
      <c r="A57" s="5">
        <v>419</v>
      </c>
      <c r="B57" s="5">
        <v>419</v>
      </c>
      <c r="C57" s="5" t="s">
        <v>957</v>
      </c>
      <c r="D57" s="5" t="s">
        <v>958</v>
      </c>
      <c r="E57" s="5" t="s">
        <v>132</v>
      </c>
      <c r="F57" s="5" t="s">
        <v>959</v>
      </c>
      <c r="G57" s="5" t="s">
        <v>960</v>
      </c>
      <c r="H57" s="5" t="s">
        <v>135</v>
      </c>
      <c r="I57" s="5" t="s">
        <v>804</v>
      </c>
      <c r="J57" s="5" t="s">
        <v>30</v>
      </c>
      <c r="K57" s="5" t="s">
        <v>30</v>
      </c>
      <c r="L57" s="3" t="s">
        <v>137</v>
      </c>
      <c r="M57" s="3" t="s">
        <v>31</v>
      </c>
      <c r="N57" s="5" t="s">
        <v>309</v>
      </c>
      <c r="O57" s="5" t="s">
        <v>139</v>
      </c>
      <c r="P57" s="5" t="s">
        <v>34</v>
      </c>
      <c r="Q57" s="158">
        <v>8075</v>
      </c>
      <c r="R57" s="170">
        <v>1</v>
      </c>
      <c r="S57" s="172">
        <v>21790</v>
      </c>
      <c r="U57" s="158">
        <v>1759.5429999999999</v>
      </c>
      <c r="V57" s="169">
        <v>3.1000000000000001E-5</v>
      </c>
      <c r="W57" s="169">
        <v>6.8135099172333697E-3</v>
      </c>
      <c r="X57" s="169">
        <v>1.48820620896919E-3</v>
      </c>
    </row>
    <row r="58" spans="1:24">
      <c r="A58" s="5">
        <v>419</v>
      </c>
      <c r="B58" s="5">
        <v>419</v>
      </c>
      <c r="C58" s="5" t="s">
        <v>961</v>
      </c>
      <c r="D58" s="5" t="s">
        <v>962</v>
      </c>
      <c r="E58" s="5" t="s">
        <v>132</v>
      </c>
      <c r="F58" s="5" t="s">
        <v>963</v>
      </c>
      <c r="G58" s="5" t="s">
        <v>964</v>
      </c>
      <c r="H58" s="5" t="s">
        <v>135</v>
      </c>
      <c r="I58" s="5" t="s">
        <v>804</v>
      </c>
      <c r="J58" s="5" t="s">
        <v>30</v>
      </c>
      <c r="K58" s="5" t="s">
        <v>30</v>
      </c>
      <c r="L58" s="3" t="s">
        <v>137</v>
      </c>
      <c r="M58" s="3" t="s">
        <v>31</v>
      </c>
      <c r="N58" s="5" t="s">
        <v>965</v>
      </c>
      <c r="O58" s="5" t="s">
        <v>139</v>
      </c>
      <c r="P58" s="5" t="s">
        <v>34</v>
      </c>
      <c r="Q58" s="158">
        <v>17893</v>
      </c>
      <c r="R58" s="170">
        <v>1</v>
      </c>
      <c r="S58" s="172">
        <v>11650</v>
      </c>
      <c r="T58" s="157">
        <v>15.209</v>
      </c>
      <c r="U58" s="158">
        <v>2099.7440000000001</v>
      </c>
      <c r="V58" s="169">
        <v>2.7799999999999998E-4</v>
      </c>
      <c r="W58" s="169">
        <v>8.1308769191831397E-3</v>
      </c>
      <c r="X58" s="169">
        <v>1.77594538827736E-3</v>
      </c>
    </row>
    <row r="59" spans="1:24">
      <c r="A59" s="5">
        <v>419</v>
      </c>
      <c r="B59" s="5">
        <v>419</v>
      </c>
      <c r="C59" s="5" t="s">
        <v>541</v>
      </c>
      <c r="D59" s="5" t="s">
        <v>542</v>
      </c>
      <c r="E59" s="5" t="s">
        <v>132</v>
      </c>
      <c r="F59" s="5" t="s">
        <v>966</v>
      </c>
      <c r="G59" s="5" t="s">
        <v>967</v>
      </c>
      <c r="H59" s="5" t="s">
        <v>135</v>
      </c>
      <c r="I59" s="5" t="s">
        <v>804</v>
      </c>
      <c r="J59" s="5" t="s">
        <v>30</v>
      </c>
      <c r="K59" s="5" t="s">
        <v>30</v>
      </c>
      <c r="L59" s="3" t="s">
        <v>137</v>
      </c>
      <c r="M59" s="3" t="s">
        <v>31</v>
      </c>
      <c r="N59" s="5" t="s">
        <v>204</v>
      </c>
      <c r="O59" s="5" t="s">
        <v>139</v>
      </c>
      <c r="P59" s="5" t="s">
        <v>34</v>
      </c>
      <c r="Q59" s="158">
        <v>4448</v>
      </c>
      <c r="R59" s="170">
        <v>1</v>
      </c>
      <c r="S59" s="172">
        <v>40000</v>
      </c>
      <c r="U59" s="158">
        <v>1779.2</v>
      </c>
      <c r="V59" s="169">
        <v>9.2999999999999997E-5</v>
      </c>
      <c r="W59" s="169">
        <v>6.8896300286816698E-3</v>
      </c>
      <c r="X59" s="169">
        <v>1.5048323567052201E-3</v>
      </c>
    </row>
    <row r="60" spans="1:24">
      <c r="A60" s="5">
        <v>419</v>
      </c>
      <c r="B60" s="5">
        <v>419</v>
      </c>
      <c r="C60" s="5" t="s">
        <v>770</v>
      </c>
      <c r="D60" s="5" t="s">
        <v>771</v>
      </c>
      <c r="E60" s="5" t="s">
        <v>132</v>
      </c>
      <c r="F60" s="5" t="s">
        <v>968</v>
      </c>
      <c r="G60" s="5" t="s">
        <v>969</v>
      </c>
      <c r="H60" s="5" t="s">
        <v>135</v>
      </c>
      <c r="I60" s="5" t="s">
        <v>804</v>
      </c>
      <c r="J60" s="5" t="s">
        <v>30</v>
      </c>
      <c r="K60" s="5" t="s">
        <v>30</v>
      </c>
      <c r="L60" s="3" t="s">
        <v>137</v>
      </c>
      <c r="M60" s="3" t="s">
        <v>31</v>
      </c>
      <c r="N60" s="5" t="s">
        <v>185</v>
      </c>
      <c r="O60" s="5" t="s">
        <v>139</v>
      </c>
      <c r="P60" s="5" t="s">
        <v>34</v>
      </c>
      <c r="Q60" s="158">
        <v>10027</v>
      </c>
      <c r="R60" s="170">
        <v>1</v>
      </c>
      <c r="S60" s="172">
        <v>32500</v>
      </c>
      <c r="U60" s="158">
        <v>3258.7750000000001</v>
      </c>
      <c r="V60" s="169">
        <v>1.5799999999999999E-4</v>
      </c>
      <c r="W60" s="169">
        <v>1.26190164662304E-2</v>
      </c>
      <c r="X60" s="169">
        <v>2.75624441503037E-3</v>
      </c>
    </row>
    <row r="61" spans="1:24">
      <c r="A61" s="5">
        <v>419</v>
      </c>
      <c r="B61" s="5">
        <v>419</v>
      </c>
      <c r="C61" s="5" t="s">
        <v>970</v>
      </c>
      <c r="D61" s="5" t="s">
        <v>971</v>
      </c>
      <c r="E61" s="5" t="s">
        <v>132</v>
      </c>
      <c r="F61" s="5" t="s">
        <v>972</v>
      </c>
      <c r="G61" s="5" t="s">
        <v>973</v>
      </c>
      <c r="H61" s="5" t="s">
        <v>135</v>
      </c>
      <c r="I61" s="5" t="s">
        <v>804</v>
      </c>
      <c r="J61" s="5" t="s">
        <v>30</v>
      </c>
      <c r="K61" s="5" t="s">
        <v>30</v>
      </c>
      <c r="L61" s="3" t="s">
        <v>137</v>
      </c>
      <c r="M61" s="3" t="s">
        <v>31</v>
      </c>
      <c r="N61" s="5" t="s">
        <v>787</v>
      </c>
      <c r="O61" s="5" t="s">
        <v>139</v>
      </c>
      <c r="P61" s="5" t="s">
        <v>34</v>
      </c>
      <c r="Q61" s="158">
        <v>66408</v>
      </c>
      <c r="R61" s="170">
        <v>1</v>
      </c>
      <c r="S61" s="172">
        <v>2066</v>
      </c>
      <c r="U61" s="158">
        <v>1371.989</v>
      </c>
      <c r="V61" s="169">
        <v>4.64E-4</v>
      </c>
      <c r="W61" s="169">
        <v>5.3127802060012001E-3</v>
      </c>
      <c r="X61" s="169">
        <v>1.1604169635772801E-3</v>
      </c>
    </row>
    <row r="62" spans="1:24">
      <c r="A62" s="5">
        <v>419</v>
      </c>
      <c r="B62" s="5">
        <v>419</v>
      </c>
      <c r="C62" s="5" t="s">
        <v>585</v>
      </c>
      <c r="D62" s="5" t="s">
        <v>586</v>
      </c>
      <c r="E62" s="5" t="s">
        <v>441</v>
      </c>
      <c r="F62" s="5" t="s">
        <v>974</v>
      </c>
      <c r="G62" s="5" t="s">
        <v>975</v>
      </c>
      <c r="H62" s="5" t="s">
        <v>135</v>
      </c>
      <c r="I62" s="5" t="s">
        <v>804</v>
      </c>
      <c r="J62" s="5" t="s">
        <v>30</v>
      </c>
      <c r="K62" s="5" t="s">
        <v>168</v>
      </c>
      <c r="L62" s="3" t="s">
        <v>137</v>
      </c>
      <c r="M62" s="3" t="s">
        <v>31</v>
      </c>
      <c r="N62" s="5" t="s">
        <v>357</v>
      </c>
      <c r="O62" s="5" t="s">
        <v>139</v>
      </c>
      <c r="P62" s="5" t="s">
        <v>34</v>
      </c>
      <c r="Q62" s="158">
        <v>2900</v>
      </c>
      <c r="R62" s="170">
        <v>1</v>
      </c>
      <c r="S62" s="172">
        <v>11190</v>
      </c>
      <c r="U62" s="158">
        <v>324.51</v>
      </c>
      <c r="V62" s="169">
        <v>2.5000000000000001E-5</v>
      </c>
      <c r="W62" s="169">
        <v>1.25660625034144E-3</v>
      </c>
      <c r="X62" s="169">
        <v>2.74467821534628E-4</v>
      </c>
    </row>
    <row r="63" spans="1:24">
      <c r="A63" s="5">
        <v>419</v>
      </c>
      <c r="B63" s="5">
        <v>419</v>
      </c>
      <c r="C63" s="5" t="s">
        <v>842</v>
      </c>
      <c r="D63" s="5" t="s">
        <v>843</v>
      </c>
      <c r="E63" s="5" t="s">
        <v>441</v>
      </c>
      <c r="F63" s="5" t="s">
        <v>844</v>
      </c>
      <c r="G63" s="5" t="s">
        <v>845</v>
      </c>
      <c r="H63" s="5" t="s">
        <v>135</v>
      </c>
      <c r="I63" s="5" t="s">
        <v>804</v>
      </c>
      <c r="J63" s="5" t="s">
        <v>30</v>
      </c>
      <c r="K63" s="5" t="s">
        <v>30</v>
      </c>
      <c r="L63" s="3" t="s">
        <v>137</v>
      </c>
      <c r="M63" s="3" t="s">
        <v>31</v>
      </c>
      <c r="N63" s="5" t="s">
        <v>357</v>
      </c>
      <c r="O63" s="5" t="s">
        <v>139</v>
      </c>
      <c r="P63" s="5" t="s">
        <v>34</v>
      </c>
      <c r="Q63" s="158">
        <v>229900.38</v>
      </c>
      <c r="R63" s="170">
        <v>1</v>
      </c>
      <c r="S63" s="172">
        <v>1744</v>
      </c>
      <c r="U63" s="158">
        <v>4009.4630000000002</v>
      </c>
      <c r="V63" s="169">
        <v>1.9599999999999999E-4</v>
      </c>
      <c r="W63" s="169">
        <v>1.5525918455055099E-2</v>
      </c>
      <c r="X63" s="169">
        <v>3.3911696798622202E-3</v>
      </c>
    </row>
    <row r="64" spans="1:24">
      <c r="A64" s="5">
        <v>419</v>
      </c>
      <c r="B64" s="5">
        <v>419</v>
      </c>
      <c r="C64" s="5" t="s">
        <v>846</v>
      </c>
      <c r="D64" s="5" t="s">
        <v>847</v>
      </c>
      <c r="E64" s="5" t="s">
        <v>132</v>
      </c>
      <c r="F64" s="5" t="s">
        <v>848</v>
      </c>
      <c r="G64" s="5" t="s">
        <v>849</v>
      </c>
      <c r="H64" s="5" t="s">
        <v>135</v>
      </c>
      <c r="I64" s="5" t="s">
        <v>804</v>
      </c>
      <c r="J64" s="5" t="s">
        <v>30</v>
      </c>
      <c r="K64" s="5" t="s">
        <v>168</v>
      </c>
      <c r="L64" s="3" t="s">
        <v>137</v>
      </c>
      <c r="M64" s="3" t="s">
        <v>31</v>
      </c>
      <c r="N64" s="5" t="s">
        <v>597</v>
      </c>
      <c r="O64" s="5" t="s">
        <v>139</v>
      </c>
      <c r="P64" s="5" t="s">
        <v>34</v>
      </c>
      <c r="Q64" s="158">
        <v>10599</v>
      </c>
      <c r="R64" s="170">
        <v>1</v>
      </c>
      <c r="S64" s="172">
        <v>48800</v>
      </c>
      <c r="U64" s="158">
        <v>5172.3119999999999</v>
      </c>
      <c r="V64" s="169">
        <v>1.4200000000000001E-4</v>
      </c>
      <c r="W64" s="169">
        <v>2.0028842217238399E-2</v>
      </c>
      <c r="X64" s="169">
        <v>4.3746978735244302E-3</v>
      </c>
    </row>
    <row r="65" spans="1:24">
      <c r="A65" s="5">
        <v>419</v>
      </c>
      <c r="B65" s="5">
        <v>419</v>
      </c>
      <c r="C65" s="5" t="s">
        <v>635</v>
      </c>
      <c r="D65" s="5" t="s">
        <v>636</v>
      </c>
      <c r="E65" s="5" t="s">
        <v>132</v>
      </c>
      <c r="F65" s="5" t="s">
        <v>976</v>
      </c>
      <c r="G65" s="5" t="s">
        <v>977</v>
      </c>
      <c r="H65" s="5" t="s">
        <v>135</v>
      </c>
      <c r="I65" s="5" t="s">
        <v>804</v>
      </c>
      <c r="J65" s="5" t="s">
        <v>30</v>
      </c>
      <c r="K65" s="5" t="s">
        <v>30</v>
      </c>
      <c r="L65" s="3" t="s">
        <v>137</v>
      </c>
      <c r="M65" s="3" t="s">
        <v>31</v>
      </c>
      <c r="N65" s="5" t="s">
        <v>204</v>
      </c>
      <c r="O65" s="5" t="s">
        <v>139</v>
      </c>
      <c r="P65" s="5" t="s">
        <v>34</v>
      </c>
      <c r="Q65" s="158">
        <v>10617</v>
      </c>
      <c r="R65" s="170">
        <v>1</v>
      </c>
      <c r="S65" s="172">
        <v>32870</v>
      </c>
      <c r="U65" s="158">
        <v>3489.808</v>
      </c>
      <c r="V65" s="169">
        <v>8.7999999999999998E-5</v>
      </c>
      <c r="W65" s="169">
        <v>1.3513649562820701E-2</v>
      </c>
      <c r="X65" s="169">
        <v>2.95165009364067E-3</v>
      </c>
    </row>
    <row r="66" spans="1:24">
      <c r="A66" s="5">
        <v>419</v>
      </c>
      <c r="B66" s="5">
        <v>419</v>
      </c>
      <c r="C66" s="5" t="s">
        <v>647</v>
      </c>
      <c r="D66" s="5" t="s">
        <v>648</v>
      </c>
      <c r="E66" s="5" t="s">
        <v>132</v>
      </c>
      <c r="F66" s="5" t="s">
        <v>850</v>
      </c>
      <c r="G66" s="5" t="s">
        <v>851</v>
      </c>
      <c r="H66" s="5" t="s">
        <v>135</v>
      </c>
      <c r="I66" s="5" t="s">
        <v>804</v>
      </c>
      <c r="J66" s="5" t="s">
        <v>30</v>
      </c>
      <c r="K66" s="5" t="s">
        <v>30</v>
      </c>
      <c r="L66" s="3" t="s">
        <v>137</v>
      </c>
      <c r="M66" s="3" t="s">
        <v>31</v>
      </c>
      <c r="N66" s="5" t="s">
        <v>309</v>
      </c>
      <c r="O66" s="5" t="s">
        <v>139</v>
      </c>
      <c r="P66" s="5" t="s">
        <v>34</v>
      </c>
      <c r="Q66" s="158">
        <v>193874</v>
      </c>
      <c r="R66" s="170">
        <v>1</v>
      </c>
      <c r="S66" s="172">
        <v>6732</v>
      </c>
      <c r="U66" s="158">
        <v>13051.598</v>
      </c>
      <c r="V66" s="169">
        <v>1.45E-4</v>
      </c>
      <c r="W66" s="169">
        <v>5.0539950145233797E-2</v>
      </c>
      <c r="X66" s="169">
        <v>1.1038931258747E-2</v>
      </c>
    </row>
    <row r="67" spans="1:24">
      <c r="A67" s="5">
        <v>419</v>
      </c>
      <c r="B67" s="5">
        <v>419</v>
      </c>
      <c r="C67" s="5" t="s">
        <v>978</v>
      </c>
      <c r="D67" s="5" t="s">
        <v>979</v>
      </c>
      <c r="E67" s="5" t="s">
        <v>132</v>
      </c>
      <c r="F67" s="5" t="s">
        <v>980</v>
      </c>
      <c r="G67" s="5" t="s">
        <v>981</v>
      </c>
      <c r="H67" s="5" t="s">
        <v>135</v>
      </c>
      <c r="I67" s="5" t="s">
        <v>804</v>
      </c>
      <c r="J67" s="5" t="s">
        <v>30</v>
      </c>
      <c r="K67" s="5" t="s">
        <v>30</v>
      </c>
      <c r="L67" s="3" t="s">
        <v>137</v>
      </c>
      <c r="M67" s="3" t="s">
        <v>31</v>
      </c>
      <c r="N67" s="5" t="s">
        <v>965</v>
      </c>
      <c r="O67" s="5" t="s">
        <v>139</v>
      </c>
      <c r="P67" s="5" t="s">
        <v>34</v>
      </c>
      <c r="Q67" s="158">
        <v>5344</v>
      </c>
      <c r="R67" s="170">
        <v>1</v>
      </c>
      <c r="S67" s="172">
        <v>46080</v>
      </c>
      <c r="U67" s="158">
        <v>2462.5149999999999</v>
      </c>
      <c r="V67" s="169">
        <v>3.3599999999999998E-4</v>
      </c>
      <c r="W67" s="169">
        <v>9.5356444851646995E-3</v>
      </c>
      <c r="X67" s="169">
        <v>2.0827745907365199E-3</v>
      </c>
    </row>
    <row r="68" spans="1:24">
      <c r="A68" s="5">
        <v>419</v>
      </c>
      <c r="B68" s="5">
        <v>419</v>
      </c>
      <c r="C68" s="5" t="s">
        <v>982</v>
      </c>
      <c r="D68" s="5" t="s">
        <v>983</v>
      </c>
      <c r="E68" s="5" t="s">
        <v>132</v>
      </c>
      <c r="F68" s="5" t="s">
        <v>984</v>
      </c>
      <c r="G68" s="5" t="s">
        <v>985</v>
      </c>
      <c r="H68" s="5" t="s">
        <v>135</v>
      </c>
      <c r="I68" s="5" t="s">
        <v>804</v>
      </c>
      <c r="J68" s="5" t="s">
        <v>30</v>
      </c>
      <c r="K68" s="5" t="s">
        <v>30</v>
      </c>
      <c r="L68" s="3" t="s">
        <v>137</v>
      </c>
      <c r="M68" s="3" t="s">
        <v>31</v>
      </c>
      <c r="N68" s="5" t="s">
        <v>633</v>
      </c>
      <c r="O68" s="5" t="s">
        <v>139</v>
      </c>
      <c r="P68" s="5" t="s">
        <v>34</v>
      </c>
      <c r="Q68" s="158">
        <v>64626</v>
      </c>
      <c r="R68" s="170">
        <v>1</v>
      </c>
      <c r="S68" s="172">
        <v>3170</v>
      </c>
      <c r="U68" s="158">
        <v>2048.6439999999998</v>
      </c>
      <c r="V68" s="169">
        <v>3.3700000000000001E-4</v>
      </c>
      <c r="W68" s="169">
        <v>7.9330039334557807E-3</v>
      </c>
      <c r="X68" s="169">
        <v>1.7327259889481101E-3</v>
      </c>
    </row>
    <row r="69" spans="1:24">
      <c r="A69" s="5">
        <v>419</v>
      </c>
      <c r="B69" s="5">
        <v>419</v>
      </c>
      <c r="C69" s="5" t="s">
        <v>986</v>
      </c>
      <c r="D69" s="5" t="s">
        <v>987</v>
      </c>
      <c r="E69" s="5" t="s">
        <v>132</v>
      </c>
      <c r="F69" s="5" t="s">
        <v>988</v>
      </c>
      <c r="G69" s="5" t="s">
        <v>989</v>
      </c>
      <c r="H69" s="5" t="s">
        <v>135</v>
      </c>
      <c r="I69" s="5" t="s">
        <v>804</v>
      </c>
      <c r="J69" s="5" t="s">
        <v>30</v>
      </c>
      <c r="K69" s="5" t="s">
        <v>30</v>
      </c>
      <c r="L69" s="3" t="s">
        <v>137</v>
      </c>
      <c r="M69" s="3" t="s">
        <v>31</v>
      </c>
      <c r="N69" s="5" t="s">
        <v>705</v>
      </c>
      <c r="O69" s="5" t="s">
        <v>139</v>
      </c>
      <c r="P69" s="5" t="s">
        <v>34</v>
      </c>
      <c r="Q69" s="158">
        <v>19785</v>
      </c>
      <c r="R69" s="170">
        <v>1</v>
      </c>
      <c r="S69" s="172">
        <v>1297</v>
      </c>
      <c r="U69" s="158">
        <v>256.61099999999999</v>
      </c>
      <c r="V69" s="169">
        <v>1.3600000000000001E-3</v>
      </c>
      <c r="W69" s="169">
        <v>9.9368140266611004E-4</v>
      </c>
      <c r="X69" s="169">
        <v>2.1703980050643101E-4</v>
      </c>
    </row>
    <row r="70" spans="1:24">
      <c r="A70" s="5">
        <v>419</v>
      </c>
      <c r="B70" s="5">
        <v>419</v>
      </c>
      <c r="C70" s="5" t="s">
        <v>688</v>
      </c>
      <c r="D70" s="5" t="s">
        <v>689</v>
      </c>
      <c r="E70" s="5" t="s">
        <v>132</v>
      </c>
      <c r="F70" s="5" t="s">
        <v>990</v>
      </c>
      <c r="G70" s="5" t="s">
        <v>991</v>
      </c>
      <c r="H70" s="5" t="s">
        <v>135</v>
      </c>
      <c r="I70" s="5" t="s">
        <v>804</v>
      </c>
      <c r="J70" s="5" t="s">
        <v>30</v>
      </c>
      <c r="K70" s="5" t="s">
        <v>30</v>
      </c>
      <c r="L70" s="3" t="s">
        <v>137</v>
      </c>
      <c r="M70" s="3" t="s">
        <v>31</v>
      </c>
      <c r="N70" s="5" t="s">
        <v>692</v>
      </c>
      <c r="O70" s="5" t="s">
        <v>139</v>
      </c>
      <c r="P70" s="5" t="s">
        <v>34</v>
      </c>
      <c r="Q70" s="158">
        <v>2463</v>
      </c>
      <c r="R70" s="170">
        <v>1</v>
      </c>
      <c r="S70" s="172">
        <v>55350</v>
      </c>
      <c r="U70" s="158">
        <v>1363.271</v>
      </c>
      <c r="V70" s="169">
        <v>1.4899999999999999E-4</v>
      </c>
      <c r="W70" s="169">
        <v>5.2790183082373401E-3</v>
      </c>
      <c r="X70" s="169">
        <v>1.1530426929753201E-3</v>
      </c>
    </row>
    <row r="71" spans="1:24">
      <c r="A71" s="5">
        <v>419</v>
      </c>
      <c r="B71" s="5">
        <v>419</v>
      </c>
      <c r="C71" s="5" t="s">
        <v>992</v>
      </c>
      <c r="D71" s="5" t="s">
        <v>993</v>
      </c>
      <c r="E71" s="5" t="s">
        <v>132</v>
      </c>
      <c r="F71" s="5" t="s">
        <v>994</v>
      </c>
      <c r="G71" s="5" t="s">
        <v>995</v>
      </c>
      <c r="H71" s="5" t="s">
        <v>135</v>
      </c>
      <c r="I71" s="5" t="s">
        <v>804</v>
      </c>
      <c r="J71" s="5" t="s">
        <v>30</v>
      </c>
      <c r="K71" s="5" t="s">
        <v>30</v>
      </c>
      <c r="L71" s="3" t="s">
        <v>137</v>
      </c>
      <c r="M71" s="3" t="s">
        <v>31</v>
      </c>
      <c r="N71" s="5" t="s">
        <v>726</v>
      </c>
      <c r="O71" s="5" t="s">
        <v>139</v>
      </c>
      <c r="P71" s="5" t="s">
        <v>34</v>
      </c>
      <c r="Q71" s="158">
        <v>320232</v>
      </c>
      <c r="R71" s="170">
        <v>1</v>
      </c>
      <c r="S71" s="172">
        <v>875.3</v>
      </c>
      <c r="U71" s="158">
        <v>2802.991</v>
      </c>
      <c r="V71" s="169">
        <v>1.1100000000000001E-3</v>
      </c>
      <c r="W71" s="169">
        <v>1.08540742295846E-2</v>
      </c>
      <c r="X71" s="169">
        <v>2.3707458941571902E-3</v>
      </c>
    </row>
    <row r="72" spans="1:24">
      <c r="A72" s="5">
        <v>419</v>
      </c>
      <c r="B72" s="5">
        <v>419</v>
      </c>
      <c r="C72" s="5" t="s">
        <v>996</v>
      </c>
      <c r="D72" s="5" t="s">
        <v>997</v>
      </c>
      <c r="E72" s="5" t="s">
        <v>132</v>
      </c>
      <c r="F72" s="5" t="s">
        <v>998</v>
      </c>
      <c r="G72" s="5" t="s">
        <v>999</v>
      </c>
      <c r="H72" s="5" t="s">
        <v>135</v>
      </c>
      <c r="I72" s="5" t="s">
        <v>804</v>
      </c>
      <c r="J72" s="5" t="s">
        <v>30</v>
      </c>
      <c r="K72" s="5" t="s">
        <v>30</v>
      </c>
      <c r="L72" s="3" t="s">
        <v>137</v>
      </c>
      <c r="M72" s="3" t="s">
        <v>31</v>
      </c>
      <c r="N72" s="5" t="s">
        <v>204</v>
      </c>
      <c r="O72" s="5" t="s">
        <v>139</v>
      </c>
      <c r="P72" s="5" t="s">
        <v>34</v>
      </c>
      <c r="Q72" s="158">
        <v>8969.41</v>
      </c>
      <c r="R72" s="170">
        <v>1</v>
      </c>
      <c r="S72" s="172">
        <v>30.2</v>
      </c>
      <c r="U72" s="158">
        <v>2.7090000000000001</v>
      </c>
      <c r="V72" s="169">
        <v>0</v>
      </c>
      <c r="W72" s="169">
        <v>1.0489189959317901E-5</v>
      </c>
      <c r="X72" s="169">
        <v>2.2910479054314898E-6</v>
      </c>
    </row>
    <row r="73" spans="1:24">
      <c r="A73" s="5">
        <v>419</v>
      </c>
      <c r="B73" s="5">
        <v>419</v>
      </c>
      <c r="C73" s="5" t="s">
        <v>996</v>
      </c>
      <c r="D73" s="5" t="s">
        <v>997</v>
      </c>
      <c r="E73" s="5" t="s">
        <v>132</v>
      </c>
      <c r="F73" s="5" t="s">
        <v>1000</v>
      </c>
      <c r="G73" s="5" t="s">
        <v>1001</v>
      </c>
      <c r="H73" s="5" t="s">
        <v>135</v>
      </c>
      <c r="I73" s="5" t="s">
        <v>804</v>
      </c>
      <c r="J73" s="5" t="s">
        <v>30</v>
      </c>
      <c r="K73" s="5" t="s">
        <v>30</v>
      </c>
      <c r="L73" s="3" t="s">
        <v>137</v>
      </c>
      <c r="M73" s="3" t="s">
        <v>31</v>
      </c>
      <c r="N73" s="5" t="s">
        <v>204</v>
      </c>
      <c r="O73" s="5" t="s">
        <v>139</v>
      </c>
      <c r="P73" s="5" t="s">
        <v>34</v>
      </c>
      <c r="Q73" s="158">
        <v>290088</v>
      </c>
      <c r="R73" s="170">
        <v>1</v>
      </c>
      <c r="S73" s="172">
        <v>560.9</v>
      </c>
      <c r="U73" s="158">
        <v>1627.104</v>
      </c>
      <c r="V73" s="169">
        <v>2.6909999999999998E-3</v>
      </c>
      <c r="W73" s="169">
        <v>6.3006642126905398E-3</v>
      </c>
      <c r="X73" s="169">
        <v>1.37619049738808E-3</v>
      </c>
    </row>
    <row r="74" spans="1:24">
      <c r="A74" s="5">
        <v>419</v>
      </c>
      <c r="B74" s="5">
        <v>419</v>
      </c>
      <c r="C74" s="5" t="s">
        <v>852</v>
      </c>
      <c r="D74" s="5" t="s">
        <v>853</v>
      </c>
      <c r="E74" s="5" t="s">
        <v>132</v>
      </c>
      <c r="F74" s="5" t="s">
        <v>854</v>
      </c>
      <c r="G74" s="5" t="s">
        <v>855</v>
      </c>
      <c r="H74" s="5" t="s">
        <v>135</v>
      </c>
      <c r="I74" s="5" t="s">
        <v>804</v>
      </c>
      <c r="J74" s="5" t="s">
        <v>30</v>
      </c>
      <c r="K74" s="5" t="s">
        <v>30</v>
      </c>
      <c r="L74" s="3" t="s">
        <v>137</v>
      </c>
      <c r="M74" s="3" t="s">
        <v>31</v>
      </c>
      <c r="N74" s="5" t="s">
        <v>787</v>
      </c>
      <c r="O74" s="5" t="s">
        <v>139</v>
      </c>
      <c r="P74" s="5" t="s">
        <v>34</v>
      </c>
      <c r="Q74" s="158">
        <v>9272</v>
      </c>
      <c r="R74" s="170">
        <v>1</v>
      </c>
      <c r="S74" s="172">
        <v>30530</v>
      </c>
      <c r="U74" s="158">
        <v>2830.7420000000002</v>
      </c>
      <c r="V74" s="169">
        <v>6.7299999999999999E-4</v>
      </c>
      <c r="W74" s="169">
        <v>1.0961534583407401E-2</v>
      </c>
      <c r="X74" s="169">
        <v>2.3942173747479199E-3</v>
      </c>
    </row>
    <row r="75" spans="1:24">
      <c r="A75" s="5">
        <v>419</v>
      </c>
      <c r="B75" s="5">
        <v>419</v>
      </c>
      <c r="C75" s="5" t="s">
        <v>1002</v>
      </c>
      <c r="D75" s="5" t="s">
        <v>1003</v>
      </c>
      <c r="E75" s="5" t="s">
        <v>441</v>
      </c>
      <c r="F75" s="5" t="s">
        <v>1004</v>
      </c>
      <c r="G75" s="5" t="s">
        <v>1005</v>
      </c>
      <c r="H75" s="5" t="s">
        <v>135</v>
      </c>
      <c r="I75" s="5" t="s">
        <v>804</v>
      </c>
      <c r="J75" s="5" t="s">
        <v>30</v>
      </c>
      <c r="K75" s="5" t="s">
        <v>30</v>
      </c>
      <c r="L75" s="3" t="s">
        <v>137</v>
      </c>
      <c r="M75" s="3" t="s">
        <v>31</v>
      </c>
      <c r="N75" s="5" t="s">
        <v>357</v>
      </c>
      <c r="O75" s="5" t="s">
        <v>139</v>
      </c>
      <c r="P75" s="5" t="s">
        <v>34</v>
      </c>
      <c r="Q75" s="158">
        <v>241958</v>
      </c>
      <c r="R75" s="170">
        <v>1</v>
      </c>
      <c r="S75" s="172">
        <v>454.7</v>
      </c>
      <c r="U75" s="158">
        <v>1100.183</v>
      </c>
      <c r="V75" s="169">
        <v>2.1499999999999999E-4</v>
      </c>
      <c r="W75" s="169">
        <v>4.2602596745590499E-3</v>
      </c>
      <c r="X75" s="169">
        <v>9.3052552597946005E-4</v>
      </c>
    </row>
    <row r="76" spans="1:24">
      <c r="A76" s="5">
        <v>419</v>
      </c>
      <c r="B76" s="5">
        <v>419</v>
      </c>
      <c r="C76" s="5" t="s">
        <v>789</v>
      </c>
      <c r="D76" s="5" t="s">
        <v>790</v>
      </c>
      <c r="E76" s="5" t="s">
        <v>132</v>
      </c>
      <c r="F76" s="5" t="s">
        <v>1006</v>
      </c>
      <c r="G76" s="5" t="s">
        <v>1007</v>
      </c>
      <c r="H76" s="5" t="s">
        <v>135</v>
      </c>
      <c r="I76" s="5" t="s">
        <v>804</v>
      </c>
      <c r="J76" s="5" t="s">
        <v>30</v>
      </c>
      <c r="K76" s="5" t="s">
        <v>30</v>
      </c>
      <c r="L76" s="3" t="s">
        <v>137</v>
      </c>
      <c r="M76" s="3" t="s">
        <v>31</v>
      </c>
      <c r="N76" s="5" t="s">
        <v>793</v>
      </c>
      <c r="O76" s="5" t="s">
        <v>139</v>
      </c>
      <c r="P76" s="5" t="s">
        <v>34</v>
      </c>
      <c r="Q76" s="158">
        <v>29431</v>
      </c>
      <c r="R76" s="170">
        <v>1</v>
      </c>
      <c r="S76" s="172">
        <v>9361</v>
      </c>
      <c r="U76" s="158">
        <v>2755.0360000000001</v>
      </c>
      <c r="V76" s="169">
        <v>2.5000000000000001E-4</v>
      </c>
      <c r="W76" s="169">
        <v>1.0668377998894101E-2</v>
      </c>
      <c r="X76" s="169">
        <v>2.3301861405422598E-3</v>
      </c>
    </row>
    <row r="77" spans="1:24">
      <c r="A77" s="5">
        <v>419</v>
      </c>
      <c r="B77" s="5">
        <v>419</v>
      </c>
      <c r="C77" s="5" t="s">
        <v>722</v>
      </c>
      <c r="D77" s="5" t="s">
        <v>723</v>
      </c>
      <c r="E77" s="5" t="s">
        <v>132</v>
      </c>
      <c r="F77" s="5" t="s">
        <v>1008</v>
      </c>
      <c r="G77" s="5" t="s">
        <v>1009</v>
      </c>
      <c r="H77" s="5" t="s">
        <v>135</v>
      </c>
      <c r="I77" s="5" t="s">
        <v>804</v>
      </c>
      <c r="J77" s="5" t="s">
        <v>30</v>
      </c>
      <c r="K77" s="5" t="s">
        <v>30</v>
      </c>
      <c r="L77" s="3" t="s">
        <v>137</v>
      </c>
      <c r="M77" s="3" t="s">
        <v>31</v>
      </c>
      <c r="N77" s="5" t="s">
        <v>726</v>
      </c>
      <c r="O77" s="5" t="s">
        <v>139</v>
      </c>
      <c r="P77" s="5" t="s">
        <v>34</v>
      </c>
      <c r="Q77" s="158">
        <v>106427</v>
      </c>
      <c r="R77" s="170">
        <v>1</v>
      </c>
      <c r="S77" s="172">
        <v>2708</v>
      </c>
      <c r="U77" s="158">
        <v>2882.0430000000001</v>
      </c>
      <c r="V77" s="169">
        <v>2.9799999999999998E-4</v>
      </c>
      <c r="W77" s="169">
        <v>1.1160190590767E-2</v>
      </c>
      <c r="X77" s="169">
        <v>2.4376078015900101E-3</v>
      </c>
    </row>
    <row r="78" spans="1:24">
      <c r="A78" s="5">
        <v>419</v>
      </c>
      <c r="B78" s="5">
        <v>419</v>
      </c>
      <c r="C78" s="5" t="s">
        <v>856</v>
      </c>
      <c r="D78" s="5" t="s">
        <v>857</v>
      </c>
      <c r="E78" s="5" t="s">
        <v>132</v>
      </c>
      <c r="F78" s="5" t="s">
        <v>858</v>
      </c>
      <c r="G78" s="5" t="s">
        <v>859</v>
      </c>
      <c r="H78" s="5" t="s">
        <v>135</v>
      </c>
      <c r="I78" s="5" t="s">
        <v>804</v>
      </c>
      <c r="J78" s="5" t="s">
        <v>30</v>
      </c>
      <c r="K78" s="5" t="s">
        <v>833</v>
      </c>
      <c r="L78" s="3" t="s">
        <v>137</v>
      </c>
      <c r="M78" s="3" t="s">
        <v>31</v>
      </c>
      <c r="N78" s="5" t="s">
        <v>860</v>
      </c>
      <c r="O78" s="5" t="s">
        <v>139</v>
      </c>
      <c r="P78" s="5" t="s">
        <v>34</v>
      </c>
      <c r="Q78" s="158">
        <v>21000</v>
      </c>
      <c r="R78" s="170">
        <v>1</v>
      </c>
      <c r="S78" s="172">
        <v>13500</v>
      </c>
      <c r="U78" s="158">
        <v>2835</v>
      </c>
      <c r="V78" s="169">
        <v>1.5939999999999999E-3</v>
      </c>
      <c r="W78" s="169">
        <v>1.09780244667899E-2</v>
      </c>
      <c r="X78" s="169">
        <v>2.3978190935585002E-3</v>
      </c>
    </row>
    <row r="79" spans="1:24">
      <c r="A79" s="5">
        <v>419</v>
      </c>
      <c r="B79" s="5">
        <v>419</v>
      </c>
      <c r="C79" s="5" t="s">
        <v>728</v>
      </c>
      <c r="D79" s="5" t="s">
        <v>729</v>
      </c>
      <c r="E79" s="5" t="s">
        <v>132</v>
      </c>
      <c r="F79" s="5" t="s">
        <v>1010</v>
      </c>
      <c r="G79" s="5" t="s">
        <v>1011</v>
      </c>
      <c r="H79" s="5" t="s">
        <v>135</v>
      </c>
      <c r="I79" s="5" t="s">
        <v>804</v>
      </c>
      <c r="J79" s="5" t="s">
        <v>30</v>
      </c>
      <c r="K79" s="5" t="s">
        <v>30</v>
      </c>
      <c r="L79" s="3" t="s">
        <v>137</v>
      </c>
      <c r="M79" s="3" t="s">
        <v>31</v>
      </c>
      <c r="N79" s="5" t="s">
        <v>705</v>
      </c>
      <c r="O79" s="5" t="s">
        <v>139</v>
      </c>
      <c r="P79" s="5" t="s">
        <v>34</v>
      </c>
      <c r="Q79" s="158">
        <v>7086</v>
      </c>
      <c r="R79" s="170">
        <v>1</v>
      </c>
      <c r="S79" s="172">
        <v>16620</v>
      </c>
      <c r="U79" s="158">
        <v>1177.693</v>
      </c>
      <c r="V79" s="169">
        <v>8.25E-4</v>
      </c>
      <c r="W79" s="169">
        <v>4.56040379681554E-3</v>
      </c>
      <c r="X79" s="169">
        <v>9.960829775358059E-4</v>
      </c>
    </row>
    <row r="80" spans="1:24">
      <c r="A80" s="5">
        <v>419</v>
      </c>
      <c r="B80" s="5">
        <v>419</v>
      </c>
      <c r="C80" s="5" t="s">
        <v>1012</v>
      </c>
      <c r="D80" s="5" t="s">
        <v>1013</v>
      </c>
      <c r="E80" s="5" t="s">
        <v>809</v>
      </c>
      <c r="F80" s="5" t="s">
        <v>1014</v>
      </c>
      <c r="G80" s="5" t="s">
        <v>1015</v>
      </c>
      <c r="H80" s="5" t="s">
        <v>135</v>
      </c>
      <c r="I80" s="5" t="s">
        <v>804</v>
      </c>
      <c r="J80" s="5" t="s">
        <v>741</v>
      </c>
      <c r="K80" s="5" t="s">
        <v>168</v>
      </c>
      <c r="L80" s="3" t="s">
        <v>137</v>
      </c>
      <c r="M80" s="3" t="s">
        <v>1016</v>
      </c>
      <c r="N80" s="5" t="s">
        <v>1017</v>
      </c>
      <c r="O80" s="5" t="s">
        <v>139</v>
      </c>
      <c r="P80" s="5" t="s">
        <v>427</v>
      </c>
      <c r="Q80" s="158">
        <v>3800</v>
      </c>
      <c r="R80" s="170">
        <v>3.306</v>
      </c>
      <c r="S80" s="172">
        <v>12142</v>
      </c>
      <c r="U80" s="158">
        <v>1525.375</v>
      </c>
      <c r="V80" s="169">
        <v>9.0000000000000002E-6</v>
      </c>
      <c r="W80" s="169">
        <v>5.9067393309213002E-3</v>
      </c>
      <c r="X80" s="169">
        <v>1.2901494609710599E-3</v>
      </c>
    </row>
    <row r="81" spans="1:24">
      <c r="A81" s="5">
        <v>419</v>
      </c>
      <c r="B81" s="5">
        <v>419</v>
      </c>
      <c r="C81" s="5" t="s">
        <v>1018</v>
      </c>
      <c r="D81" s="5" t="s">
        <v>1019</v>
      </c>
      <c r="E81" s="5" t="s">
        <v>809</v>
      </c>
      <c r="F81" s="5" t="s">
        <v>1020</v>
      </c>
      <c r="G81" s="5" t="s">
        <v>1021</v>
      </c>
      <c r="H81" s="5" t="s">
        <v>135</v>
      </c>
      <c r="I81" s="5" t="s">
        <v>804</v>
      </c>
      <c r="J81" s="5" t="s">
        <v>741</v>
      </c>
      <c r="K81" s="5" t="s">
        <v>168</v>
      </c>
      <c r="L81" s="3" t="s">
        <v>137</v>
      </c>
      <c r="M81" s="3" t="s">
        <v>1016</v>
      </c>
      <c r="N81" s="5" t="s">
        <v>1022</v>
      </c>
      <c r="O81" s="5" t="s">
        <v>139</v>
      </c>
      <c r="P81" s="5" t="s">
        <v>427</v>
      </c>
      <c r="Q81" s="158">
        <v>6681</v>
      </c>
      <c r="R81" s="170">
        <v>3.306</v>
      </c>
      <c r="S81" s="172">
        <v>24355</v>
      </c>
      <c r="U81" s="158">
        <v>5379.3829999999998</v>
      </c>
      <c r="V81" s="169">
        <v>9.9999999999999995E-7</v>
      </c>
      <c r="W81" s="169">
        <v>2.08306866513592E-2</v>
      </c>
      <c r="X81" s="169">
        <v>4.5498366610189399E-3</v>
      </c>
    </row>
    <row r="82" spans="1:24">
      <c r="A82" s="5">
        <v>419</v>
      </c>
      <c r="B82" s="5">
        <v>419</v>
      </c>
      <c r="C82" s="5" t="s">
        <v>1023</v>
      </c>
      <c r="D82" s="5" t="s">
        <v>1024</v>
      </c>
      <c r="E82" s="5" t="s">
        <v>809</v>
      </c>
      <c r="F82" s="5" t="s">
        <v>1025</v>
      </c>
      <c r="G82" s="5" t="s">
        <v>1026</v>
      </c>
      <c r="H82" s="5" t="s">
        <v>135</v>
      </c>
      <c r="I82" s="5" t="s">
        <v>804</v>
      </c>
      <c r="J82" s="5" t="s">
        <v>741</v>
      </c>
      <c r="K82" s="5" t="s">
        <v>168</v>
      </c>
      <c r="L82" s="3" t="s">
        <v>137</v>
      </c>
      <c r="M82" s="3" t="s">
        <v>1016</v>
      </c>
      <c r="N82" s="5" t="s">
        <v>1027</v>
      </c>
      <c r="O82" s="5" t="s">
        <v>139</v>
      </c>
      <c r="P82" s="5" t="s">
        <v>427</v>
      </c>
      <c r="Q82" s="158">
        <v>6400</v>
      </c>
      <c r="R82" s="170">
        <v>3.306</v>
      </c>
      <c r="S82" s="172">
        <v>21957</v>
      </c>
      <c r="U82" s="158">
        <v>4645.75</v>
      </c>
      <c r="V82" s="169">
        <v>9.9999999999999995E-7</v>
      </c>
      <c r="W82" s="169">
        <v>1.7989825727354601E-2</v>
      </c>
      <c r="X82" s="169">
        <v>3.9293360794862998E-3</v>
      </c>
    </row>
    <row r="83" spans="1:24">
      <c r="A83" s="5">
        <v>419</v>
      </c>
      <c r="B83" s="5">
        <v>419</v>
      </c>
      <c r="C83" s="5" t="s">
        <v>1028</v>
      </c>
      <c r="D83" s="5" t="s">
        <v>1029</v>
      </c>
      <c r="E83" s="5" t="s">
        <v>33</v>
      </c>
      <c r="F83" s="5" t="s">
        <v>1028</v>
      </c>
      <c r="G83" s="5" t="s">
        <v>1030</v>
      </c>
      <c r="H83" s="5" t="s">
        <v>135</v>
      </c>
      <c r="I83" s="5" t="s">
        <v>804</v>
      </c>
      <c r="J83" s="5" t="s">
        <v>741</v>
      </c>
      <c r="K83" s="5" t="s">
        <v>168</v>
      </c>
      <c r="L83" s="3" t="s">
        <v>137</v>
      </c>
      <c r="M83" s="3" t="s">
        <v>1016</v>
      </c>
      <c r="N83" s="5" t="s">
        <v>1031</v>
      </c>
      <c r="O83" s="5" t="s">
        <v>139</v>
      </c>
      <c r="P83" s="5" t="s">
        <v>427</v>
      </c>
      <c r="Q83" s="158">
        <v>11610</v>
      </c>
      <c r="R83" s="170">
        <v>3.306</v>
      </c>
      <c r="S83" s="172">
        <v>105</v>
      </c>
      <c r="U83" s="158">
        <v>40.302</v>
      </c>
      <c r="V83" s="169">
        <v>1.513E-3</v>
      </c>
      <c r="W83" s="169">
        <v>1.5606140021499101E-4</v>
      </c>
      <c r="X83" s="169">
        <v>3.4086916670208901E-5</v>
      </c>
    </row>
    <row r="84" spans="1:24">
      <c r="A84" s="5">
        <v>419</v>
      </c>
      <c r="B84" s="5">
        <v>419</v>
      </c>
      <c r="C84" s="5" t="s">
        <v>1032</v>
      </c>
      <c r="D84" s="5" t="s">
        <v>1033</v>
      </c>
      <c r="E84" s="5" t="s">
        <v>809</v>
      </c>
      <c r="F84" s="5" t="s">
        <v>1034</v>
      </c>
      <c r="G84" s="5" t="s">
        <v>1035</v>
      </c>
      <c r="H84" s="5" t="s">
        <v>135</v>
      </c>
      <c r="I84" s="5" t="s">
        <v>804</v>
      </c>
      <c r="J84" s="5" t="s">
        <v>741</v>
      </c>
      <c r="K84" s="5" t="s">
        <v>168</v>
      </c>
      <c r="L84" s="3" t="s">
        <v>137</v>
      </c>
      <c r="M84" s="3" t="s">
        <v>1036</v>
      </c>
      <c r="N84" s="5" t="s">
        <v>1037</v>
      </c>
      <c r="O84" s="5" t="s">
        <v>139</v>
      </c>
      <c r="P84" s="5" t="s">
        <v>427</v>
      </c>
      <c r="Q84" s="158">
        <v>2073</v>
      </c>
      <c r="R84" s="170">
        <v>3.306</v>
      </c>
      <c r="S84" s="172">
        <v>50274</v>
      </c>
      <c r="U84" s="158">
        <v>3445.4470000000001</v>
      </c>
      <c r="V84" s="169">
        <v>9.9999999999999995E-7</v>
      </c>
      <c r="W84" s="169">
        <v>1.3341870571123999E-2</v>
      </c>
      <c r="X84" s="169">
        <v>2.9141301420857798E-3</v>
      </c>
    </row>
    <row r="85" spans="1:24">
      <c r="A85" s="5">
        <v>419</v>
      </c>
      <c r="B85" s="5">
        <v>419</v>
      </c>
      <c r="C85" s="5" t="s">
        <v>1038</v>
      </c>
      <c r="D85" s="5" t="s">
        <v>1039</v>
      </c>
      <c r="E85" s="5" t="s">
        <v>809</v>
      </c>
      <c r="F85" s="5" t="s">
        <v>1040</v>
      </c>
      <c r="G85" s="5" t="s">
        <v>1041</v>
      </c>
      <c r="H85" s="5" t="s">
        <v>135</v>
      </c>
      <c r="I85" s="5" t="s">
        <v>804</v>
      </c>
      <c r="J85" s="5" t="s">
        <v>741</v>
      </c>
      <c r="K85" s="5" t="s">
        <v>168</v>
      </c>
      <c r="L85" s="3" t="s">
        <v>137</v>
      </c>
      <c r="M85" s="3" t="s">
        <v>1016</v>
      </c>
      <c r="N85" s="5" t="s">
        <v>742</v>
      </c>
      <c r="O85" s="5" t="s">
        <v>139</v>
      </c>
      <c r="P85" s="5" t="s">
        <v>427</v>
      </c>
      <c r="Q85" s="158">
        <v>4161</v>
      </c>
      <c r="R85" s="170">
        <v>3.306</v>
      </c>
      <c r="S85" s="172">
        <v>14008</v>
      </c>
      <c r="U85" s="158">
        <v>1926.9780000000001</v>
      </c>
      <c r="V85" s="169">
        <v>2.5000000000000001E-5</v>
      </c>
      <c r="W85" s="169">
        <v>7.4618725893232096E-3</v>
      </c>
      <c r="X85" s="169">
        <v>1.6298215241281899E-3</v>
      </c>
    </row>
    <row r="86" spans="1:24">
      <c r="A86" s="5">
        <v>419</v>
      </c>
      <c r="B86" s="5">
        <v>419</v>
      </c>
      <c r="C86" s="5" t="s">
        <v>1042</v>
      </c>
      <c r="D86" s="5" t="s">
        <v>1043</v>
      </c>
      <c r="E86" s="5" t="s">
        <v>809</v>
      </c>
      <c r="F86" s="5" t="s">
        <v>1044</v>
      </c>
      <c r="G86" s="5" t="s">
        <v>1045</v>
      </c>
      <c r="H86" s="5" t="s">
        <v>135</v>
      </c>
      <c r="I86" s="5" t="s">
        <v>804</v>
      </c>
      <c r="J86" s="5" t="s">
        <v>741</v>
      </c>
      <c r="K86" s="5" t="s">
        <v>168</v>
      </c>
      <c r="L86" s="3" t="s">
        <v>137</v>
      </c>
      <c r="M86" s="3" t="s">
        <v>1016</v>
      </c>
      <c r="N86" s="5" t="s">
        <v>1046</v>
      </c>
      <c r="O86" s="5" t="s">
        <v>139</v>
      </c>
      <c r="P86" s="5" t="s">
        <v>427</v>
      </c>
      <c r="Q86" s="158">
        <v>506</v>
      </c>
      <c r="R86" s="170">
        <v>3.306</v>
      </c>
      <c r="S86" s="172">
        <v>92563</v>
      </c>
      <c r="U86" s="158">
        <v>1548.4269999999999</v>
      </c>
      <c r="V86" s="169">
        <v>9.9999999999999995E-7</v>
      </c>
      <c r="W86" s="169">
        <v>5.9960040706933402E-3</v>
      </c>
      <c r="X86" s="169">
        <v>1.30964665721565E-3</v>
      </c>
    </row>
    <row r="87" spans="1:24">
      <c r="A87" s="5">
        <v>419</v>
      </c>
      <c r="B87" s="5">
        <v>419</v>
      </c>
      <c r="C87" s="5" t="s">
        <v>1047</v>
      </c>
      <c r="D87" s="5" t="s">
        <v>1048</v>
      </c>
      <c r="E87" s="5" t="s">
        <v>809</v>
      </c>
      <c r="F87" s="5" t="s">
        <v>1049</v>
      </c>
      <c r="G87" s="5" t="s">
        <v>1050</v>
      </c>
      <c r="H87" s="5" t="s">
        <v>135</v>
      </c>
      <c r="I87" s="5" t="s">
        <v>804</v>
      </c>
      <c r="J87" s="5" t="s">
        <v>741</v>
      </c>
      <c r="K87" s="5" t="s">
        <v>833</v>
      </c>
      <c r="L87" s="3" t="s">
        <v>137</v>
      </c>
      <c r="M87" s="3" t="s">
        <v>1036</v>
      </c>
      <c r="N87" s="5" t="s">
        <v>742</v>
      </c>
      <c r="O87" s="5" t="s">
        <v>139</v>
      </c>
      <c r="P87" s="5" t="s">
        <v>427</v>
      </c>
      <c r="Q87" s="158">
        <v>1623</v>
      </c>
      <c r="R87" s="170">
        <v>3.306</v>
      </c>
      <c r="S87" s="172">
        <v>76300</v>
      </c>
      <c r="U87" s="158">
        <v>4093.982</v>
      </c>
      <c r="V87" s="169">
        <v>1.9999999999999999E-6</v>
      </c>
      <c r="W87" s="169">
        <v>1.5853203633553501E-2</v>
      </c>
      <c r="X87" s="169">
        <v>3.4626552784247202E-3</v>
      </c>
    </row>
    <row r="88" spans="1:24">
      <c r="A88" s="5">
        <v>419</v>
      </c>
      <c r="B88" s="5">
        <v>419</v>
      </c>
      <c r="C88" s="5" t="s">
        <v>1051</v>
      </c>
      <c r="D88" s="5" t="s">
        <v>1052</v>
      </c>
      <c r="E88" s="5" t="s">
        <v>809</v>
      </c>
      <c r="F88" s="5" t="s">
        <v>1053</v>
      </c>
      <c r="G88" s="5" t="s">
        <v>1054</v>
      </c>
      <c r="H88" s="5" t="s">
        <v>135</v>
      </c>
      <c r="I88" s="5" t="s">
        <v>804</v>
      </c>
      <c r="J88" s="5" t="s">
        <v>741</v>
      </c>
      <c r="K88" s="5" t="s">
        <v>168</v>
      </c>
      <c r="L88" s="3" t="s">
        <v>137</v>
      </c>
      <c r="M88" s="3" t="s">
        <v>1016</v>
      </c>
      <c r="N88" s="5" t="s">
        <v>1055</v>
      </c>
      <c r="O88" s="5" t="s">
        <v>139</v>
      </c>
      <c r="P88" s="5" t="s">
        <v>427</v>
      </c>
      <c r="Q88" s="158">
        <v>19000</v>
      </c>
      <c r="R88" s="170">
        <v>3.306</v>
      </c>
      <c r="S88" s="172">
        <v>5797</v>
      </c>
      <c r="U88" s="158">
        <v>3641.328</v>
      </c>
      <c r="V88" s="169">
        <v>4.6999999999999997E-5</v>
      </c>
      <c r="W88" s="169">
        <v>1.4100382103998801E-2</v>
      </c>
      <c r="X88" s="169">
        <v>3.0798041612787202E-3</v>
      </c>
    </row>
    <row r="89" spans="1:24">
      <c r="A89" s="5">
        <v>419</v>
      </c>
      <c r="B89" s="5">
        <v>419</v>
      </c>
      <c r="C89" s="5" t="s">
        <v>1056</v>
      </c>
      <c r="D89" s="5" t="s">
        <v>1057</v>
      </c>
      <c r="E89" s="5" t="s">
        <v>809</v>
      </c>
      <c r="F89" s="5" t="s">
        <v>1058</v>
      </c>
      <c r="G89" s="5" t="s">
        <v>1059</v>
      </c>
      <c r="H89" s="5" t="s">
        <v>135</v>
      </c>
      <c r="I89" s="5" t="s">
        <v>804</v>
      </c>
      <c r="J89" s="5" t="s">
        <v>741</v>
      </c>
      <c r="K89" s="5" t="s">
        <v>168</v>
      </c>
      <c r="L89" s="3" t="s">
        <v>137</v>
      </c>
      <c r="M89" s="3" t="s">
        <v>1016</v>
      </c>
      <c r="N89" s="5" t="s">
        <v>1060</v>
      </c>
      <c r="O89" s="5" t="s">
        <v>139</v>
      </c>
      <c r="P89" s="5" t="s">
        <v>427</v>
      </c>
      <c r="Q89" s="158">
        <v>1512</v>
      </c>
      <c r="R89" s="170">
        <v>3.306</v>
      </c>
      <c r="S89" s="172">
        <v>21050</v>
      </c>
      <c r="U89" s="158">
        <v>1052.22</v>
      </c>
      <c r="V89" s="169">
        <v>1.9999999999999999E-6</v>
      </c>
      <c r="W89" s="169">
        <v>4.0745333017371396E-3</v>
      </c>
      <c r="X89" s="169">
        <v>8.8995918872297405E-4</v>
      </c>
    </row>
    <row r="90" spans="1:24">
      <c r="A90" s="5">
        <v>419</v>
      </c>
      <c r="B90" s="5">
        <v>419</v>
      </c>
      <c r="C90" s="5" t="s">
        <v>1061</v>
      </c>
      <c r="D90" s="5" t="s">
        <v>1062</v>
      </c>
      <c r="E90" s="5" t="s">
        <v>809</v>
      </c>
      <c r="F90" s="5" t="s">
        <v>1061</v>
      </c>
      <c r="G90" s="5" t="s">
        <v>1063</v>
      </c>
      <c r="H90" s="5" t="s">
        <v>135</v>
      </c>
      <c r="I90" s="5" t="s">
        <v>804</v>
      </c>
      <c r="J90" s="5" t="s">
        <v>741</v>
      </c>
      <c r="K90" s="5" t="s">
        <v>168</v>
      </c>
      <c r="L90" s="3" t="s">
        <v>137</v>
      </c>
      <c r="M90" s="3" t="s">
        <v>1016</v>
      </c>
      <c r="N90" s="5" t="s">
        <v>1064</v>
      </c>
      <c r="O90" s="5" t="s">
        <v>139</v>
      </c>
      <c r="P90" s="5" t="s">
        <v>427</v>
      </c>
      <c r="Q90" s="158">
        <v>29975</v>
      </c>
      <c r="R90" s="170">
        <v>3.306</v>
      </c>
      <c r="S90" s="172">
        <v>3355</v>
      </c>
      <c r="U90" s="158">
        <v>3324.7159999999999</v>
      </c>
      <c r="V90" s="169">
        <v>6.9999999999999999E-6</v>
      </c>
      <c r="W90" s="169">
        <v>1.2874361413966501E-2</v>
      </c>
      <c r="X90" s="169">
        <v>2.81201683501154E-3</v>
      </c>
    </row>
    <row r="91" spans="1:24">
      <c r="A91" s="5">
        <v>419</v>
      </c>
      <c r="B91" s="5">
        <v>419</v>
      </c>
      <c r="C91" s="5" t="s">
        <v>861</v>
      </c>
      <c r="D91" s="5" t="s">
        <v>862</v>
      </c>
      <c r="E91" s="5" t="s">
        <v>809</v>
      </c>
      <c r="F91" s="5" t="s">
        <v>863</v>
      </c>
      <c r="G91" s="5" t="s">
        <v>864</v>
      </c>
      <c r="H91" s="5" t="s">
        <v>135</v>
      </c>
      <c r="I91" s="5" t="s">
        <v>804</v>
      </c>
      <c r="J91" s="5" t="s">
        <v>741</v>
      </c>
      <c r="K91" s="5" t="s">
        <v>833</v>
      </c>
      <c r="L91" s="3" t="s">
        <v>137</v>
      </c>
      <c r="M91" s="3" t="s">
        <v>240</v>
      </c>
      <c r="N91" s="5" t="s">
        <v>865</v>
      </c>
      <c r="O91" s="5" t="s">
        <v>139</v>
      </c>
      <c r="P91" s="5" t="s">
        <v>427</v>
      </c>
      <c r="Q91" s="158">
        <v>15323</v>
      </c>
      <c r="R91" s="170">
        <v>3.306</v>
      </c>
      <c r="S91" s="172">
        <v>4800</v>
      </c>
      <c r="U91" s="158">
        <v>2431.576</v>
      </c>
      <c r="V91" s="169">
        <v>0</v>
      </c>
      <c r="W91" s="169">
        <v>9.4158388994484993E-3</v>
      </c>
      <c r="X91" s="169">
        <v>2.0566066657319499E-3</v>
      </c>
    </row>
    <row r="92" spans="1:24">
      <c r="A92" s="5">
        <v>419</v>
      </c>
      <c r="B92" s="5">
        <v>419</v>
      </c>
      <c r="C92" s="5" t="s">
        <v>1065</v>
      </c>
      <c r="D92" s="5" t="s">
        <v>1066</v>
      </c>
      <c r="E92" s="5" t="s">
        <v>809</v>
      </c>
      <c r="F92" s="5" t="s">
        <v>1067</v>
      </c>
      <c r="G92" s="5" t="s">
        <v>1068</v>
      </c>
      <c r="H92" s="5" t="s">
        <v>135</v>
      </c>
      <c r="I92" s="5" t="s">
        <v>804</v>
      </c>
      <c r="J92" s="5" t="s">
        <v>741</v>
      </c>
      <c r="K92" s="5" t="s">
        <v>168</v>
      </c>
      <c r="L92" s="3" t="s">
        <v>137</v>
      </c>
      <c r="M92" s="3" t="s">
        <v>1036</v>
      </c>
      <c r="N92" s="5" t="s">
        <v>1069</v>
      </c>
      <c r="O92" s="5" t="s">
        <v>139</v>
      </c>
      <c r="P92" s="5" t="s">
        <v>427</v>
      </c>
      <c r="Q92" s="158">
        <v>2396</v>
      </c>
      <c r="R92" s="170">
        <v>3.306</v>
      </c>
      <c r="S92" s="172">
        <v>56881</v>
      </c>
      <c r="U92" s="158">
        <v>4505.6440000000002</v>
      </c>
      <c r="V92" s="169">
        <v>1.9999999999999999E-6</v>
      </c>
      <c r="W92" s="169">
        <v>1.7447291497056601E-2</v>
      </c>
      <c r="X92" s="169">
        <v>3.8108358028424599E-3</v>
      </c>
    </row>
    <row r="93" spans="1:24">
      <c r="A93" s="5">
        <v>419</v>
      </c>
      <c r="B93" s="5">
        <v>419</v>
      </c>
      <c r="C93" s="5" t="s">
        <v>1070</v>
      </c>
      <c r="D93" s="5" t="s">
        <v>1071</v>
      </c>
      <c r="E93" s="5" t="s">
        <v>809</v>
      </c>
      <c r="F93" s="5" t="s">
        <v>1072</v>
      </c>
      <c r="G93" s="5" t="s">
        <v>1073</v>
      </c>
      <c r="H93" s="5" t="s">
        <v>135</v>
      </c>
      <c r="I93" s="5" t="s">
        <v>804</v>
      </c>
      <c r="J93" s="5" t="s">
        <v>741</v>
      </c>
      <c r="K93" s="5" t="s">
        <v>1074</v>
      </c>
      <c r="L93" s="3" t="s">
        <v>137</v>
      </c>
      <c r="M93" s="3" t="s">
        <v>1016</v>
      </c>
      <c r="N93" s="5" t="s">
        <v>1031</v>
      </c>
      <c r="O93" s="5" t="s">
        <v>139</v>
      </c>
      <c r="P93" s="5" t="s">
        <v>427</v>
      </c>
      <c r="Q93" s="158">
        <v>352</v>
      </c>
      <c r="R93" s="170">
        <v>3.306</v>
      </c>
      <c r="S93" s="172">
        <v>233694</v>
      </c>
      <c r="U93" s="158">
        <v>2719.5250000000001</v>
      </c>
      <c r="V93" s="169">
        <v>6.9999999999999999E-6</v>
      </c>
      <c r="W93" s="169">
        <v>1.05308688957536E-2</v>
      </c>
      <c r="X93" s="169">
        <v>2.3001514148914201E-3</v>
      </c>
    </row>
    <row r="94" spans="1:24">
      <c r="A94" s="5">
        <v>419</v>
      </c>
      <c r="B94" s="5">
        <v>419</v>
      </c>
      <c r="C94" s="5" t="s">
        <v>1075</v>
      </c>
      <c r="D94" s="5" t="s">
        <v>1076</v>
      </c>
      <c r="E94" s="5" t="s">
        <v>809</v>
      </c>
      <c r="F94" s="5" t="s">
        <v>1077</v>
      </c>
      <c r="G94" s="5" t="s">
        <v>1078</v>
      </c>
      <c r="H94" s="5" t="s">
        <v>135</v>
      </c>
      <c r="I94" s="5" t="s">
        <v>804</v>
      </c>
      <c r="J94" s="5" t="s">
        <v>741</v>
      </c>
      <c r="K94" s="5" t="s">
        <v>168</v>
      </c>
      <c r="L94" s="3" t="s">
        <v>137</v>
      </c>
      <c r="M94" s="3" t="s">
        <v>1016</v>
      </c>
      <c r="N94" s="5" t="s">
        <v>1079</v>
      </c>
      <c r="O94" s="5" t="s">
        <v>139</v>
      </c>
      <c r="P94" s="5" t="s">
        <v>427</v>
      </c>
      <c r="Q94" s="158">
        <v>2824</v>
      </c>
      <c r="R94" s="170">
        <v>3.306</v>
      </c>
      <c r="S94" s="172">
        <v>51795</v>
      </c>
      <c r="U94" s="158">
        <v>4835.6559999999999</v>
      </c>
      <c r="V94" s="169">
        <v>0</v>
      </c>
      <c r="W94" s="169">
        <v>1.87252019465638E-2</v>
      </c>
      <c r="X94" s="169">
        <v>4.0899568855979002E-3</v>
      </c>
    </row>
    <row r="95" spans="1:24">
      <c r="A95" s="5">
        <v>419</v>
      </c>
      <c r="B95" s="5">
        <v>419</v>
      </c>
      <c r="C95" s="5" t="s">
        <v>1080</v>
      </c>
      <c r="D95" s="5" t="s">
        <v>1081</v>
      </c>
      <c r="E95" s="5" t="s">
        <v>809</v>
      </c>
      <c r="F95" s="5" t="s">
        <v>1080</v>
      </c>
      <c r="G95" s="5" t="s">
        <v>1082</v>
      </c>
      <c r="H95" s="5" t="s">
        <v>135</v>
      </c>
      <c r="I95" s="5" t="s">
        <v>804</v>
      </c>
      <c r="J95" s="5" t="s">
        <v>741</v>
      </c>
      <c r="K95" s="5" t="s">
        <v>168</v>
      </c>
      <c r="L95" s="3" t="s">
        <v>137</v>
      </c>
      <c r="M95" s="3" t="s">
        <v>1016</v>
      </c>
      <c r="N95" s="5" t="s">
        <v>742</v>
      </c>
      <c r="O95" s="5" t="s">
        <v>139</v>
      </c>
      <c r="P95" s="5" t="s">
        <v>427</v>
      </c>
      <c r="Q95" s="158">
        <v>5480</v>
      </c>
      <c r="R95" s="170">
        <v>3.306</v>
      </c>
      <c r="S95" s="172">
        <v>2583</v>
      </c>
      <c r="U95" s="158">
        <v>467.959</v>
      </c>
      <c r="V95" s="169">
        <v>1.4E-5</v>
      </c>
      <c r="W95" s="169">
        <v>1.8120865839950501E-3</v>
      </c>
      <c r="X95" s="169">
        <v>3.95795784881785E-4</v>
      </c>
    </row>
    <row r="96" spans="1:24">
      <c r="A96" s="5">
        <v>419</v>
      </c>
      <c r="B96" s="5">
        <v>419</v>
      </c>
      <c r="C96" s="5" t="s">
        <v>866</v>
      </c>
      <c r="D96" s="5" t="s">
        <v>867</v>
      </c>
      <c r="E96" s="5" t="s">
        <v>809</v>
      </c>
      <c r="F96" s="5" t="s">
        <v>868</v>
      </c>
      <c r="G96" s="5" t="s">
        <v>869</v>
      </c>
      <c r="H96" s="5" t="s">
        <v>135</v>
      </c>
      <c r="I96" s="5" t="s">
        <v>804</v>
      </c>
      <c r="J96" s="5" t="s">
        <v>741</v>
      </c>
      <c r="K96" s="5" t="s">
        <v>168</v>
      </c>
      <c r="L96" s="3" t="s">
        <v>137</v>
      </c>
      <c r="M96" s="3" t="s">
        <v>240</v>
      </c>
      <c r="N96" s="5" t="s">
        <v>870</v>
      </c>
      <c r="O96" s="5" t="s">
        <v>139</v>
      </c>
      <c r="P96" s="5" t="s">
        <v>427</v>
      </c>
      <c r="Q96" s="158">
        <v>3748</v>
      </c>
      <c r="R96" s="170">
        <v>3.306</v>
      </c>
      <c r="S96" s="172">
        <v>14216</v>
      </c>
      <c r="U96" s="158">
        <v>1761.489</v>
      </c>
      <c r="V96" s="169">
        <v>0</v>
      </c>
      <c r="W96" s="169">
        <v>6.8210459847670504E-3</v>
      </c>
      <c r="X96" s="169">
        <v>1.48985223614624E-3</v>
      </c>
    </row>
    <row r="97" spans="1:24">
      <c r="A97" s="5">
        <v>419</v>
      </c>
      <c r="B97" s="5">
        <v>419</v>
      </c>
      <c r="C97" s="5" t="s">
        <v>1083</v>
      </c>
      <c r="D97" s="5" t="s">
        <v>1084</v>
      </c>
      <c r="E97" s="5" t="s">
        <v>809</v>
      </c>
      <c r="F97" s="5" t="s">
        <v>1085</v>
      </c>
      <c r="G97" s="5" t="s">
        <v>1086</v>
      </c>
      <c r="H97" s="5" t="s">
        <v>135</v>
      </c>
      <c r="I97" s="5" t="s">
        <v>804</v>
      </c>
      <c r="J97" s="5" t="s">
        <v>741</v>
      </c>
      <c r="K97" s="5" t="s">
        <v>168</v>
      </c>
      <c r="L97" s="3" t="s">
        <v>137</v>
      </c>
      <c r="M97" s="3" t="s">
        <v>1016</v>
      </c>
      <c r="N97" s="5" t="s">
        <v>1064</v>
      </c>
      <c r="O97" s="5" t="s">
        <v>139</v>
      </c>
      <c r="P97" s="5" t="s">
        <v>427</v>
      </c>
      <c r="Q97" s="158">
        <v>6801</v>
      </c>
      <c r="R97" s="170">
        <v>3.306</v>
      </c>
      <c r="S97" s="172">
        <v>8407</v>
      </c>
      <c r="U97" s="158">
        <v>1890.239</v>
      </c>
      <c r="V97" s="169">
        <v>7.9999999999999996E-6</v>
      </c>
      <c r="W97" s="169">
        <v>7.3196076544211801E-3</v>
      </c>
      <c r="X97" s="169">
        <v>1.5987480301417399E-3</v>
      </c>
    </row>
    <row r="98" spans="1:24">
      <c r="A98" s="5">
        <v>419</v>
      </c>
      <c r="B98" s="5">
        <v>419</v>
      </c>
      <c r="C98" s="5" t="s">
        <v>1087</v>
      </c>
      <c r="D98" s="5" t="s">
        <v>1088</v>
      </c>
      <c r="E98" s="5" t="s">
        <v>809</v>
      </c>
      <c r="F98" s="5" t="s">
        <v>1089</v>
      </c>
      <c r="G98" s="5" t="s">
        <v>1090</v>
      </c>
      <c r="H98" s="5" t="s">
        <v>135</v>
      </c>
      <c r="I98" s="5" t="s">
        <v>804</v>
      </c>
      <c r="J98" s="5" t="s">
        <v>741</v>
      </c>
      <c r="K98" s="5" t="s">
        <v>168</v>
      </c>
      <c r="L98" s="3" t="s">
        <v>137</v>
      </c>
      <c r="M98" s="3" t="s">
        <v>1036</v>
      </c>
      <c r="N98" s="5" t="s">
        <v>1031</v>
      </c>
      <c r="O98" s="5" t="s">
        <v>139</v>
      </c>
      <c r="P98" s="5" t="s">
        <v>427</v>
      </c>
      <c r="Q98" s="158">
        <v>14035</v>
      </c>
      <c r="R98" s="170">
        <v>3.306</v>
      </c>
      <c r="S98" s="172">
        <v>6973</v>
      </c>
      <c r="T98" s="157">
        <v>5.6139999999999999</v>
      </c>
      <c r="U98" s="158">
        <v>3254.0120000000002</v>
      </c>
      <c r="V98" s="169">
        <v>1.2E-5</v>
      </c>
      <c r="W98" s="169">
        <v>1.26005713029802E-2</v>
      </c>
      <c r="X98" s="169">
        <v>2.75221562417107E-3</v>
      </c>
    </row>
    <row r="99" spans="1:24">
      <c r="A99" s="5">
        <v>419</v>
      </c>
      <c r="B99" s="5">
        <v>419</v>
      </c>
      <c r="C99" s="5" t="s">
        <v>1091</v>
      </c>
      <c r="D99" s="5" t="s">
        <v>1092</v>
      </c>
      <c r="E99" s="5" t="s">
        <v>809</v>
      </c>
      <c r="F99" s="5" t="s">
        <v>1093</v>
      </c>
      <c r="G99" s="5" t="s">
        <v>1094</v>
      </c>
      <c r="H99" s="5" t="s">
        <v>135</v>
      </c>
      <c r="I99" s="5" t="s">
        <v>804</v>
      </c>
      <c r="J99" s="5" t="s">
        <v>741</v>
      </c>
      <c r="K99" s="5" t="s">
        <v>168</v>
      </c>
      <c r="L99" s="3" t="s">
        <v>137</v>
      </c>
      <c r="M99" s="3" t="s">
        <v>1036</v>
      </c>
      <c r="N99" s="5" t="s">
        <v>1095</v>
      </c>
      <c r="O99" s="5" t="s">
        <v>139</v>
      </c>
      <c r="P99" s="5" t="s">
        <v>427</v>
      </c>
      <c r="Q99" s="158">
        <v>1376</v>
      </c>
      <c r="R99" s="170">
        <v>3.306</v>
      </c>
      <c r="S99" s="172">
        <v>60932</v>
      </c>
      <c r="U99" s="158">
        <v>2771.8310000000001</v>
      </c>
      <c r="V99" s="169">
        <v>9.0000000000000002E-6</v>
      </c>
      <c r="W99" s="169">
        <v>1.0733413178581799E-2</v>
      </c>
      <c r="X99" s="169">
        <v>2.34439111850347E-3</v>
      </c>
    </row>
    <row r="100" spans="1:24">
      <c r="A100" s="5">
        <v>419</v>
      </c>
      <c r="B100" s="5">
        <v>419</v>
      </c>
      <c r="C100" s="5" t="s">
        <v>1096</v>
      </c>
      <c r="D100" s="5" t="s">
        <v>1097</v>
      </c>
      <c r="E100" s="5" t="s">
        <v>809</v>
      </c>
      <c r="F100" s="5" t="s">
        <v>1098</v>
      </c>
      <c r="G100" s="5" t="s">
        <v>1099</v>
      </c>
      <c r="H100" s="5" t="s">
        <v>135</v>
      </c>
      <c r="I100" s="5" t="s">
        <v>804</v>
      </c>
      <c r="J100" s="5" t="s">
        <v>741</v>
      </c>
      <c r="K100" s="5" t="s">
        <v>168</v>
      </c>
      <c r="L100" s="3" t="s">
        <v>137</v>
      </c>
      <c r="M100" s="3" t="s">
        <v>1016</v>
      </c>
      <c r="N100" s="5" t="s">
        <v>1064</v>
      </c>
      <c r="O100" s="5" t="s">
        <v>139</v>
      </c>
      <c r="P100" s="5" t="s">
        <v>427</v>
      </c>
      <c r="Q100" s="158">
        <v>9452</v>
      </c>
      <c r="R100" s="170">
        <v>3.306</v>
      </c>
      <c r="S100" s="172">
        <v>18658</v>
      </c>
      <c r="T100" s="157">
        <v>9.5000000000000001E-2</v>
      </c>
      <c r="U100" s="158">
        <v>5830.6229999999996</v>
      </c>
      <c r="V100" s="169">
        <v>0</v>
      </c>
      <c r="W100" s="169">
        <v>2.2578030637637601E-2</v>
      </c>
      <c r="X100" s="169">
        <v>4.9314913736667101E-3</v>
      </c>
    </row>
    <row r="101" spans="1:24">
      <c r="A101" s="5">
        <v>419</v>
      </c>
      <c r="B101" s="5">
        <v>419</v>
      </c>
      <c r="C101" s="5" t="s">
        <v>1100</v>
      </c>
      <c r="D101" s="5" t="s">
        <v>1101</v>
      </c>
      <c r="E101" s="5" t="s">
        <v>809</v>
      </c>
      <c r="F101" s="5" t="s">
        <v>1102</v>
      </c>
      <c r="G101" s="5" t="s">
        <v>1103</v>
      </c>
      <c r="H101" s="5" t="s">
        <v>135</v>
      </c>
      <c r="I101" s="5" t="s">
        <v>804</v>
      </c>
      <c r="J101" s="5" t="s">
        <v>741</v>
      </c>
      <c r="K101" s="5" t="s">
        <v>168</v>
      </c>
      <c r="L101" s="3" t="s">
        <v>137</v>
      </c>
      <c r="M101" s="3" t="s">
        <v>1036</v>
      </c>
      <c r="N101" s="5" t="s">
        <v>1079</v>
      </c>
      <c r="O101" s="5" t="s">
        <v>139</v>
      </c>
      <c r="P101" s="5" t="s">
        <v>427</v>
      </c>
      <c r="Q101" s="158">
        <v>3170</v>
      </c>
      <c r="R101" s="170">
        <v>3.306</v>
      </c>
      <c r="S101" s="172">
        <v>28124</v>
      </c>
      <c r="U101" s="158">
        <v>2947.4009999999998</v>
      </c>
      <c r="V101" s="169">
        <v>9.9999999999999995E-7</v>
      </c>
      <c r="W101" s="169">
        <v>1.1413276320314299E-2</v>
      </c>
      <c r="X101" s="169">
        <v>2.49288676334233E-3</v>
      </c>
    </row>
    <row r="102" spans="1:24">
      <c r="A102" s="5">
        <v>419</v>
      </c>
      <c r="B102" s="5">
        <v>419</v>
      </c>
      <c r="C102" s="5" t="s">
        <v>1104</v>
      </c>
      <c r="D102" s="5" t="s">
        <v>1105</v>
      </c>
      <c r="E102" s="5" t="s">
        <v>809</v>
      </c>
      <c r="F102" s="5" t="s">
        <v>1106</v>
      </c>
      <c r="G102" s="5" t="s">
        <v>1107</v>
      </c>
      <c r="H102" s="5" t="s">
        <v>135</v>
      </c>
      <c r="I102" s="5" t="s">
        <v>804</v>
      </c>
      <c r="J102" s="5" t="s">
        <v>741</v>
      </c>
      <c r="K102" s="5" t="s">
        <v>168</v>
      </c>
      <c r="L102" s="3" t="s">
        <v>137</v>
      </c>
      <c r="M102" s="3" t="s">
        <v>1036</v>
      </c>
      <c r="N102" s="5" t="s">
        <v>1108</v>
      </c>
      <c r="O102" s="5" t="s">
        <v>139</v>
      </c>
      <c r="P102" s="5" t="s">
        <v>427</v>
      </c>
      <c r="Q102" s="158">
        <v>4647</v>
      </c>
      <c r="R102" s="170">
        <v>3.306</v>
      </c>
      <c r="S102" s="172">
        <v>11452</v>
      </c>
      <c r="U102" s="158">
        <v>1759.3689999999999</v>
      </c>
      <c r="V102" s="169">
        <v>5.0000000000000004E-6</v>
      </c>
      <c r="W102" s="169">
        <v>6.8128369029185802E-3</v>
      </c>
      <c r="X102" s="169">
        <v>1.4880592092444999E-3</v>
      </c>
    </row>
    <row r="103" spans="1:24">
      <c r="A103" s="5">
        <v>419</v>
      </c>
      <c r="B103" s="5">
        <v>419</v>
      </c>
      <c r="C103" s="5" t="s">
        <v>1109</v>
      </c>
      <c r="D103" s="5" t="s">
        <v>1110</v>
      </c>
      <c r="E103" s="5" t="s">
        <v>809</v>
      </c>
      <c r="F103" s="5" t="s">
        <v>1111</v>
      </c>
      <c r="G103" s="5" t="s">
        <v>1112</v>
      </c>
      <c r="H103" s="5" t="s">
        <v>135</v>
      </c>
      <c r="I103" s="5" t="s">
        <v>804</v>
      </c>
      <c r="J103" s="5" t="s">
        <v>741</v>
      </c>
      <c r="K103" s="5" t="s">
        <v>1113</v>
      </c>
      <c r="L103" s="3" t="s">
        <v>137</v>
      </c>
      <c r="M103" s="3" t="s">
        <v>1114</v>
      </c>
      <c r="N103" s="5" t="s">
        <v>1055</v>
      </c>
      <c r="O103" s="5" t="s">
        <v>139</v>
      </c>
      <c r="P103" s="5" t="s">
        <v>427</v>
      </c>
      <c r="Q103" s="158">
        <v>0</v>
      </c>
      <c r="R103" s="170">
        <v>3.306</v>
      </c>
      <c r="S103" s="172">
        <v>0</v>
      </c>
      <c r="T103" s="157">
        <v>4.0000000000000001E-3</v>
      </c>
      <c r="U103" s="158">
        <v>1.2999999999999999E-2</v>
      </c>
      <c r="V103" s="169">
        <v>0</v>
      </c>
      <c r="W103" s="169">
        <v>5.1207546930803902E-8</v>
      </c>
      <c r="X103" s="169">
        <v>1.1184747687202E-8</v>
      </c>
    </row>
    <row r="104" spans="1:24">
      <c r="A104" s="5">
        <v>419</v>
      </c>
      <c r="B104" s="5">
        <v>419</v>
      </c>
      <c r="C104" s="5" t="s">
        <v>1115</v>
      </c>
      <c r="D104" s="5" t="s">
        <v>1116</v>
      </c>
      <c r="E104" s="5" t="s">
        <v>809</v>
      </c>
      <c r="F104" s="5" t="s">
        <v>1117</v>
      </c>
      <c r="G104" s="5" t="s">
        <v>1118</v>
      </c>
      <c r="H104" s="5" t="s">
        <v>135</v>
      </c>
      <c r="I104" s="5" t="s">
        <v>804</v>
      </c>
      <c r="J104" s="5" t="s">
        <v>741</v>
      </c>
      <c r="K104" s="5" t="s">
        <v>168</v>
      </c>
      <c r="L104" s="3" t="s">
        <v>137</v>
      </c>
      <c r="M104" s="3" t="s">
        <v>1016</v>
      </c>
      <c r="N104" s="5" t="s">
        <v>1055</v>
      </c>
      <c r="O104" s="5" t="s">
        <v>139</v>
      </c>
      <c r="P104" s="5" t="s">
        <v>427</v>
      </c>
      <c r="Q104" s="158">
        <v>21978</v>
      </c>
      <c r="R104" s="170">
        <v>3.306</v>
      </c>
      <c r="S104" s="172">
        <v>450</v>
      </c>
      <c r="U104" s="158">
        <v>326.96699999999998</v>
      </c>
      <c r="V104" s="169">
        <v>2.104E-3</v>
      </c>
      <c r="W104" s="169">
        <v>1.26611939975086E-3</v>
      </c>
      <c r="X104" s="169">
        <v>2.7654568275299097E-4</v>
      </c>
    </row>
    <row r="105" spans="1:24">
      <c r="A105" s="5">
        <v>419</v>
      </c>
      <c r="B105" s="5">
        <v>419</v>
      </c>
      <c r="C105" s="5" t="s">
        <v>1119</v>
      </c>
      <c r="D105" s="5" t="s">
        <v>1120</v>
      </c>
      <c r="E105" s="5" t="s">
        <v>809</v>
      </c>
      <c r="F105" s="5" t="s">
        <v>1121</v>
      </c>
      <c r="G105" s="5" t="s">
        <v>1122</v>
      </c>
      <c r="H105" s="5" t="s">
        <v>135</v>
      </c>
      <c r="I105" s="5" t="s">
        <v>804</v>
      </c>
      <c r="J105" s="5" t="s">
        <v>741</v>
      </c>
      <c r="K105" s="5" t="s">
        <v>168</v>
      </c>
      <c r="L105" s="3" t="s">
        <v>137</v>
      </c>
      <c r="M105" s="3" t="s">
        <v>1036</v>
      </c>
      <c r="N105" s="5" t="s">
        <v>1079</v>
      </c>
      <c r="O105" s="5" t="s">
        <v>139</v>
      </c>
      <c r="P105" s="5" t="s">
        <v>427</v>
      </c>
      <c r="Q105" s="158">
        <v>75</v>
      </c>
      <c r="R105" s="170">
        <v>3.306</v>
      </c>
      <c r="S105" s="172">
        <v>1761</v>
      </c>
      <c r="U105" s="158">
        <v>4.3659999999999997</v>
      </c>
      <c r="V105" s="169">
        <v>0</v>
      </c>
      <c r="W105" s="169">
        <v>1.69080919022148E-5</v>
      </c>
      <c r="X105" s="169">
        <v>3.6930638769679999E-6</v>
      </c>
    </row>
    <row r="106" spans="1:24">
      <c r="A106" s="5">
        <v>419</v>
      </c>
      <c r="B106" s="5">
        <v>419</v>
      </c>
      <c r="C106" s="5" t="s">
        <v>1123</v>
      </c>
      <c r="D106" s="5" t="s">
        <v>1124</v>
      </c>
      <c r="E106" s="5" t="s">
        <v>809</v>
      </c>
      <c r="F106" s="5" t="s">
        <v>1125</v>
      </c>
      <c r="G106" s="5" t="s">
        <v>1126</v>
      </c>
      <c r="H106" s="5" t="s">
        <v>135</v>
      </c>
      <c r="I106" s="5" t="s">
        <v>804</v>
      </c>
      <c r="J106" s="5" t="s">
        <v>741</v>
      </c>
      <c r="K106" s="5" t="s">
        <v>1127</v>
      </c>
      <c r="L106" s="3" t="s">
        <v>137</v>
      </c>
      <c r="M106" s="3" t="s">
        <v>1036</v>
      </c>
      <c r="N106" s="5" t="s">
        <v>1064</v>
      </c>
      <c r="O106" s="5" t="s">
        <v>139</v>
      </c>
      <c r="P106" s="5" t="s">
        <v>427</v>
      </c>
      <c r="Q106" s="158">
        <v>11274</v>
      </c>
      <c r="R106" s="170">
        <v>3.306</v>
      </c>
      <c r="S106" s="172">
        <v>27929</v>
      </c>
      <c r="T106" s="157">
        <v>7.327</v>
      </c>
      <c r="U106" s="158">
        <v>10433.876</v>
      </c>
      <c r="V106" s="169">
        <v>1.9999999999999999E-6</v>
      </c>
      <c r="W106" s="169">
        <v>4.0403295664156499E-2</v>
      </c>
      <c r="X106" s="169">
        <v>8.82488412002355E-3</v>
      </c>
    </row>
    <row r="107" spans="1:24">
      <c r="A107" s="5">
        <v>419</v>
      </c>
      <c r="B107" s="5">
        <v>419</v>
      </c>
      <c r="C107" s="5" t="s">
        <v>856</v>
      </c>
      <c r="D107" s="5" t="s">
        <v>857</v>
      </c>
      <c r="E107" s="5" t="s">
        <v>132</v>
      </c>
      <c r="F107" s="5" t="s">
        <v>1128</v>
      </c>
      <c r="G107" s="5" t="s">
        <v>859</v>
      </c>
      <c r="H107" s="5" t="s">
        <v>135</v>
      </c>
      <c r="I107" s="5" t="s">
        <v>804</v>
      </c>
      <c r="J107" s="5" t="s">
        <v>741</v>
      </c>
      <c r="K107" s="5" t="s">
        <v>833</v>
      </c>
      <c r="L107" s="3" t="s">
        <v>137</v>
      </c>
      <c r="M107" s="3" t="s">
        <v>240</v>
      </c>
      <c r="N107" s="5" t="s">
        <v>1095</v>
      </c>
      <c r="O107" s="5" t="s">
        <v>139</v>
      </c>
      <c r="P107" s="5" t="s">
        <v>427</v>
      </c>
      <c r="Q107" s="158">
        <v>13938</v>
      </c>
      <c r="R107" s="170">
        <v>3.306</v>
      </c>
      <c r="S107" s="172">
        <v>4403</v>
      </c>
      <c r="U107" s="158">
        <v>2028.86</v>
      </c>
      <c r="V107" s="169">
        <v>1.9999999999999999E-6</v>
      </c>
      <c r="W107" s="169">
        <v>7.8563916612554106E-3</v>
      </c>
      <c r="X107" s="169">
        <v>1.7159923435059201E-3</v>
      </c>
    </row>
    <row r="108" spans="1:24">
      <c r="A108" s="5">
        <v>419</v>
      </c>
      <c r="B108" s="5">
        <v>419</v>
      </c>
      <c r="C108" s="5" t="s">
        <v>1129</v>
      </c>
      <c r="D108" s="5" t="s">
        <v>1130</v>
      </c>
      <c r="E108" s="5" t="s">
        <v>809</v>
      </c>
      <c r="F108" s="5" t="s">
        <v>1129</v>
      </c>
      <c r="G108" s="5" t="s">
        <v>1131</v>
      </c>
      <c r="H108" s="5" t="s">
        <v>135</v>
      </c>
      <c r="I108" s="5" t="s">
        <v>804</v>
      </c>
      <c r="J108" s="5" t="s">
        <v>741</v>
      </c>
      <c r="K108" s="5" t="s">
        <v>168</v>
      </c>
      <c r="L108" s="3" t="s">
        <v>137</v>
      </c>
      <c r="M108" s="3" t="s">
        <v>240</v>
      </c>
      <c r="N108" s="5" t="s">
        <v>1132</v>
      </c>
      <c r="O108" s="5" t="s">
        <v>139</v>
      </c>
      <c r="P108" s="5" t="s">
        <v>427</v>
      </c>
      <c r="Q108" s="158">
        <v>6520</v>
      </c>
      <c r="R108" s="170">
        <v>3.306</v>
      </c>
      <c r="S108" s="172">
        <v>9797</v>
      </c>
      <c r="U108" s="158">
        <v>2111.7550000000001</v>
      </c>
      <c r="V108" s="169">
        <v>3.0000000000000001E-6</v>
      </c>
      <c r="W108" s="169">
        <v>8.1773894976816999E-3</v>
      </c>
      <c r="X108" s="169">
        <v>1.7861046613917399E-3</v>
      </c>
    </row>
    <row r="109" spans="1:24">
      <c r="A109" s="5">
        <v>419</v>
      </c>
      <c r="B109" s="5">
        <v>419</v>
      </c>
      <c r="C109" s="5" t="s">
        <v>1133</v>
      </c>
      <c r="D109" s="5" t="s">
        <v>1134</v>
      </c>
      <c r="E109" s="5" t="s">
        <v>809</v>
      </c>
      <c r="F109" s="5" t="s">
        <v>1135</v>
      </c>
      <c r="G109" s="5" t="s">
        <v>1136</v>
      </c>
      <c r="H109" s="5" t="s">
        <v>135</v>
      </c>
      <c r="I109" s="5" t="s">
        <v>804</v>
      </c>
      <c r="J109" s="5" t="s">
        <v>741</v>
      </c>
      <c r="K109" s="5" t="s">
        <v>168</v>
      </c>
      <c r="L109" s="3" t="s">
        <v>137</v>
      </c>
      <c r="M109" s="3" t="s">
        <v>1036</v>
      </c>
      <c r="N109" s="5" t="s">
        <v>1037</v>
      </c>
      <c r="O109" s="5" t="s">
        <v>139</v>
      </c>
      <c r="P109" s="5" t="s">
        <v>427</v>
      </c>
      <c r="Q109" s="158">
        <v>3511</v>
      </c>
      <c r="R109" s="170">
        <v>3.306</v>
      </c>
      <c r="S109" s="172">
        <v>34138</v>
      </c>
      <c r="U109" s="158">
        <v>3962.5230000000001</v>
      </c>
      <c r="V109" s="169">
        <v>1.9999999999999999E-6</v>
      </c>
      <c r="W109" s="169">
        <v>1.5344151713854001E-2</v>
      </c>
      <c r="X109" s="169">
        <v>3.3514682049798901E-3</v>
      </c>
    </row>
    <row r="110" spans="1:24">
      <c r="A110" s="5">
        <v>419</v>
      </c>
      <c r="B110" s="5">
        <v>12435</v>
      </c>
      <c r="C110" s="5" t="s">
        <v>153</v>
      </c>
      <c r="D110" s="5" t="s">
        <v>154</v>
      </c>
      <c r="E110" s="5" t="s">
        <v>132</v>
      </c>
      <c r="F110" s="5" t="s">
        <v>871</v>
      </c>
      <c r="G110" s="5" t="s">
        <v>872</v>
      </c>
      <c r="H110" s="5" t="s">
        <v>135</v>
      </c>
      <c r="I110" s="5" t="s">
        <v>804</v>
      </c>
      <c r="J110" s="5" t="s">
        <v>30</v>
      </c>
      <c r="K110" s="5" t="s">
        <v>30</v>
      </c>
      <c r="L110" s="3" t="s">
        <v>137</v>
      </c>
      <c r="M110" s="3" t="s">
        <v>31</v>
      </c>
      <c r="N110" s="5" t="s">
        <v>157</v>
      </c>
      <c r="O110" s="5" t="s">
        <v>139</v>
      </c>
      <c r="P110" s="5" t="s">
        <v>34</v>
      </c>
      <c r="Q110" s="158">
        <v>818</v>
      </c>
      <c r="R110" s="170">
        <v>1</v>
      </c>
      <c r="S110" s="172">
        <v>5239</v>
      </c>
      <c r="U110" s="158">
        <v>42.854999999999997</v>
      </c>
      <c r="V110" s="169">
        <v>3.0000000000000001E-6</v>
      </c>
      <c r="W110" s="169">
        <v>7.3457034642041997E-3</v>
      </c>
      <c r="X110" s="169">
        <v>2.4299828364753198E-3</v>
      </c>
    </row>
    <row r="111" spans="1:24">
      <c r="A111" s="5">
        <v>419</v>
      </c>
      <c r="B111" s="5">
        <v>12435</v>
      </c>
      <c r="C111" s="5" t="s">
        <v>873</v>
      </c>
      <c r="D111" s="5" t="s">
        <v>874</v>
      </c>
      <c r="E111" s="5" t="s">
        <v>809</v>
      </c>
      <c r="F111" s="5" t="s">
        <v>875</v>
      </c>
      <c r="G111" s="5" t="s">
        <v>876</v>
      </c>
      <c r="H111" s="5" t="s">
        <v>135</v>
      </c>
      <c r="I111" s="5" t="s">
        <v>804</v>
      </c>
      <c r="J111" s="5" t="s">
        <v>30</v>
      </c>
      <c r="K111" s="5" t="s">
        <v>168</v>
      </c>
      <c r="L111" s="3" t="s">
        <v>137</v>
      </c>
      <c r="M111" s="3" t="s">
        <v>31</v>
      </c>
      <c r="N111" s="5" t="s">
        <v>241</v>
      </c>
      <c r="O111" s="5" t="s">
        <v>139</v>
      </c>
      <c r="P111" s="5" t="s">
        <v>34</v>
      </c>
      <c r="Q111" s="158">
        <v>426</v>
      </c>
      <c r="R111" s="170">
        <v>1</v>
      </c>
      <c r="S111" s="172">
        <v>31800</v>
      </c>
      <c r="U111" s="158">
        <v>135.46799999999999</v>
      </c>
      <c r="V111" s="169">
        <v>6.9999999999999999E-6</v>
      </c>
      <c r="W111" s="169">
        <v>2.32203311744765E-2</v>
      </c>
      <c r="X111" s="169">
        <v>7.68136183092759E-3</v>
      </c>
    </row>
    <row r="112" spans="1:24">
      <c r="A112" s="5">
        <v>419</v>
      </c>
      <c r="B112" s="5">
        <v>12435</v>
      </c>
      <c r="C112" s="5" t="s">
        <v>194</v>
      </c>
      <c r="D112" s="5" t="s">
        <v>195</v>
      </c>
      <c r="E112" s="5" t="s">
        <v>132</v>
      </c>
      <c r="F112" s="5" t="s">
        <v>802</v>
      </c>
      <c r="G112" s="5" t="s">
        <v>803</v>
      </c>
      <c r="H112" s="5" t="s">
        <v>135</v>
      </c>
      <c r="I112" s="5" t="s">
        <v>804</v>
      </c>
      <c r="J112" s="5" t="s">
        <v>30</v>
      </c>
      <c r="K112" s="5" t="s">
        <v>30</v>
      </c>
      <c r="L112" s="3" t="s">
        <v>137</v>
      </c>
      <c r="M112" s="3" t="s">
        <v>31</v>
      </c>
      <c r="N112" s="5" t="s">
        <v>150</v>
      </c>
      <c r="O112" s="5" t="s">
        <v>139</v>
      </c>
      <c r="P112" s="5" t="s">
        <v>34</v>
      </c>
      <c r="Q112" s="158">
        <v>8056</v>
      </c>
      <c r="R112" s="170">
        <v>1</v>
      </c>
      <c r="S112" s="172">
        <v>2070</v>
      </c>
      <c r="U112" s="158">
        <v>166.75899999999999</v>
      </c>
      <c r="V112" s="169">
        <v>6.0000000000000002E-6</v>
      </c>
      <c r="W112" s="169">
        <v>2.85839006288626E-2</v>
      </c>
      <c r="X112" s="169">
        <v>9.4556482256770696E-3</v>
      </c>
    </row>
    <row r="113" spans="1:24">
      <c r="A113" s="5">
        <v>419</v>
      </c>
      <c r="B113" s="5">
        <v>12435</v>
      </c>
      <c r="C113" s="5" t="s">
        <v>877</v>
      </c>
      <c r="D113" s="5" t="s">
        <v>878</v>
      </c>
      <c r="E113" s="5" t="s">
        <v>132</v>
      </c>
      <c r="F113" s="5" t="s">
        <v>879</v>
      </c>
      <c r="G113" s="5" t="s">
        <v>880</v>
      </c>
      <c r="H113" s="5" t="s">
        <v>135</v>
      </c>
      <c r="I113" s="5" t="s">
        <v>804</v>
      </c>
      <c r="J113" s="5" t="s">
        <v>30</v>
      </c>
      <c r="K113" s="5" t="s">
        <v>30</v>
      </c>
      <c r="L113" s="3" t="s">
        <v>137</v>
      </c>
      <c r="M113" s="3" t="s">
        <v>31</v>
      </c>
      <c r="N113" s="5" t="s">
        <v>185</v>
      </c>
      <c r="O113" s="5" t="s">
        <v>139</v>
      </c>
      <c r="P113" s="5" t="s">
        <v>34</v>
      </c>
      <c r="Q113" s="158">
        <v>331</v>
      </c>
      <c r="R113" s="170">
        <v>1</v>
      </c>
      <c r="S113" s="172">
        <v>20440</v>
      </c>
      <c r="U113" s="158">
        <v>67.656000000000006</v>
      </c>
      <c r="V113" s="169">
        <v>2.1999999999999999E-5</v>
      </c>
      <c r="W113" s="169">
        <v>1.1596864307975701E-2</v>
      </c>
      <c r="X113" s="169">
        <v>3.8362808085892599E-3</v>
      </c>
    </row>
    <row r="114" spans="1:24">
      <c r="A114" s="5">
        <v>419</v>
      </c>
      <c r="B114" s="5">
        <v>12435</v>
      </c>
      <c r="C114" s="5" t="s">
        <v>881</v>
      </c>
      <c r="D114" s="5" t="s">
        <v>882</v>
      </c>
      <c r="E114" s="5" t="s">
        <v>132</v>
      </c>
      <c r="F114" s="5" t="s">
        <v>883</v>
      </c>
      <c r="G114" s="5" t="s">
        <v>884</v>
      </c>
      <c r="H114" s="5" t="s">
        <v>135</v>
      </c>
      <c r="I114" s="5" t="s">
        <v>804</v>
      </c>
      <c r="J114" s="5" t="s">
        <v>30</v>
      </c>
      <c r="K114" s="5" t="s">
        <v>30</v>
      </c>
      <c r="L114" s="3" t="s">
        <v>137</v>
      </c>
      <c r="M114" s="3" t="s">
        <v>31</v>
      </c>
      <c r="N114" s="5" t="s">
        <v>726</v>
      </c>
      <c r="O114" s="5" t="s">
        <v>139</v>
      </c>
      <c r="P114" s="5" t="s">
        <v>34</v>
      </c>
      <c r="Q114" s="158">
        <v>1144</v>
      </c>
      <c r="R114" s="170">
        <v>1</v>
      </c>
      <c r="S114" s="172">
        <v>2180</v>
      </c>
      <c r="U114" s="158">
        <v>24.939</v>
      </c>
      <c r="V114" s="169">
        <v>7.9999999999999996E-6</v>
      </c>
      <c r="W114" s="169">
        <v>4.2747843271215696E-3</v>
      </c>
      <c r="X114" s="169">
        <v>1.4141126980088999E-3</v>
      </c>
    </row>
    <row r="115" spans="1:24">
      <c r="A115" s="5">
        <v>419</v>
      </c>
      <c r="B115" s="5">
        <v>12435</v>
      </c>
      <c r="C115" s="5" t="s">
        <v>885</v>
      </c>
      <c r="D115" s="5" t="s">
        <v>886</v>
      </c>
      <c r="E115" s="5" t="s">
        <v>132</v>
      </c>
      <c r="F115" s="5" t="s">
        <v>887</v>
      </c>
      <c r="G115" s="5" t="s">
        <v>888</v>
      </c>
      <c r="H115" s="5" t="s">
        <v>135</v>
      </c>
      <c r="I115" s="5" t="s">
        <v>804</v>
      </c>
      <c r="J115" s="5" t="s">
        <v>30</v>
      </c>
      <c r="K115" s="5" t="s">
        <v>30</v>
      </c>
      <c r="L115" s="3" t="s">
        <v>137</v>
      </c>
      <c r="M115" s="3" t="s">
        <v>31</v>
      </c>
      <c r="N115" s="5" t="s">
        <v>889</v>
      </c>
      <c r="O115" s="5" t="s">
        <v>139</v>
      </c>
      <c r="P115" s="5" t="s">
        <v>34</v>
      </c>
      <c r="Q115" s="158">
        <v>68</v>
      </c>
      <c r="R115" s="170">
        <v>1</v>
      </c>
      <c r="S115" s="172">
        <v>167700</v>
      </c>
      <c r="U115" s="158">
        <v>114.036</v>
      </c>
      <c r="V115" s="169">
        <v>9.9999999999999995E-7</v>
      </c>
      <c r="W115" s="169">
        <v>1.95467098193862E-2</v>
      </c>
      <c r="X115" s="169">
        <v>6.4661158188772201E-3</v>
      </c>
    </row>
    <row r="116" spans="1:24">
      <c r="A116" s="5">
        <v>419</v>
      </c>
      <c r="B116" s="5">
        <v>12435</v>
      </c>
      <c r="C116" s="5" t="s">
        <v>213</v>
      </c>
      <c r="D116" s="5" t="s">
        <v>214</v>
      </c>
      <c r="E116" s="5" t="s">
        <v>132</v>
      </c>
      <c r="F116" s="5" t="s">
        <v>890</v>
      </c>
      <c r="G116" s="5" t="s">
        <v>891</v>
      </c>
      <c r="H116" s="5" t="s">
        <v>135</v>
      </c>
      <c r="I116" s="5" t="s">
        <v>804</v>
      </c>
      <c r="J116" s="5" t="s">
        <v>30</v>
      </c>
      <c r="K116" s="5" t="s">
        <v>30</v>
      </c>
      <c r="L116" s="3" t="s">
        <v>137</v>
      </c>
      <c r="M116" s="3" t="s">
        <v>31</v>
      </c>
      <c r="N116" s="5" t="s">
        <v>217</v>
      </c>
      <c r="O116" s="5" t="s">
        <v>139</v>
      </c>
      <c r="P116" s="5" t="s">
        <v>34</v>
      </c>
      <c r="Q116" s="158">
        <v>42</v>
      </c>
      <c r="R116" s="170">
        <v>1</v>
      </c>
      <c r="S116" s="172">
        <v>192960</v>
      </c>
      <c r="T116" s="157">
        <v>0.39300000000000002</v>
      </c>
      <c r="U116" s="158">
        <v>81.436000000000007</v>
      </c>
      <c r="V116" s="169">
        <v>1.0000000000000001E-5</v>
      </c>
      <c r="W116" s="169">
        <v>1.39587704097282E-2</v>
      </c>
      <c r="X116" s="169">
        <v>4.6176071058721601E-3</v>
      </c>
    </row>
    <row r="117" spans="1:24">
      <c r="A117" s="5">
        <v>419</v>
      </c>
      <c r="B117" s="5">
        <v>12435</v>
      </c>
      <c r="C117" s="5" t="s">
        <v>892</v>
      </c>
      <c r="D117" s="5" t="s">
        <v>893</v>
      </c>
      <c r="E117" s="5" t="s">
        <v>132</v>
      </c>
      <c r="F117" s="5" t="s">
        <v>894</v>
      </c>
      <c r="G117" s="5" t="s">
        <v>895</v>
      </c>
      <c r="H117" s="5" t="s">
        <v>135</v>
      </c>
      <c r="I117" s="5" t="s">
        <v>804</v>
      </c>
      <c r="J117" s="5" t="s">
        <v>30</v>
      </c>
      <c r="K117" s="5" t="s">
        <v>30</v>
      </c>
      <c r="L117" s="3" t="s">
        <v>137</v>
      </c>
      <c r="M117" s="3" t="s">
        <v>31</v>
      </c>
      <c r="N117" s="5" t="s">
        <v>787</v>
      </c>
      <c r="O117" s="5" t="s">
        <v>139</v>
      </c>
      <c r="P117" s="5" t="s">
        <v>34</v>
      </c>
      <c r="Q117" s="158">
        <v>289</v>
      </c>
      <c r="R117" s="170">
        <v>1</v>
      </c>
      <c r="S117" s="172">
        <v>11550</v>
      </c>
      <c r="U117" s="158">
        <v>33.380000000000003</v>
      </c>
      <c r="V117" s="169">
        <v>1.1E-5</v>
      </c>
      <c r="W117" s="169">
        <v>5.7215212776333801E-3</v>
      </c>
      <c r="X117" s="169">
        <v>1.89269803374559E-3</v>
      </c>
    </row>
    <row r="118" spans="1:24">
      <c r="A118" s="5">
        <v>419</v>
      </c>
      <c r="B118" s="5">
        <v>12435</v>
      </c>
      <c r="C118" s="5" t="s">
        <v>236</v>
      </c>
      <c r="D118" s="5" t="s">
        <v>237</v>
      </c>
      <c r="E118" s="5" t="s">
        <v>132</v>
      </c>
      <c r="F118" s="5" t="s">
        <v>805</v>
      </c>
      <c r="G118" s="5" t="s">
        <v>806</v>
      </c>
      <c r="H118" s="5" t="s">
        <v>135</v>
      </c>
      <c r="I118" s="5" t="s">
        <v>804</v>
      </c>
      <c r="J118" s="5" t="s">
        <v>30</v>
      </c>
      <c r="K118" s="5" t="s">
        <v>168</v>
      </c>
      <c r="L118" s="3" t="s">
        <v>137</v>
      </c>
      <c r="M118" s="3" t="s">
        <v>31</v>
      </c>
      <c r="N118" s="5" t="s">
        <v>241</v>
      </c>
      <c r="O118" s="5" t="s">
        <v>139</v>
      </c>
      <c r="P118" s="5" t="s">
        <v>34</v>
      </c>
      <c r="Q118" s="158">
        <v>1149.8</v>
      </c>
      <c r="R118" s="170">
        <v>1</v>
      </c>
      <c r="S118" s="172">
        <v>10190</v>
      </c>
      <c r="U118" s="158">
        <v>117.16500000000001</v>
      </c>
      <c r="V118" s="169">
        <v>9.0000000000000002E-6</v>
      </c>
      <c r="W118" s="169">
        <v>2.0082981060705801E-2</v>
      </c>
      <c r="X118" s="169">
        <v>6.6435161071480798E-3</v>
      </c>
    </row>
    <row r="119" spans="1:24">
      <c r="A119" s="5">
        <v>419</v>
      </c>
      <c r="B119" s="5">
        <v>12435</v>
      </c>
      <c r="C119" s="5" t="s">
        <v>807</v>
      </c>
      <c r="D119" s="5" t="s">
        <v>808</v>
      </c>
      <c r="E119" s="5" t="s">
        <v>809</v>
      </c>
      <c r="F119" s="5" t="s">
        <v>810</v>
      </c>
      <c r="G119" s="5" t="s">
        <v>811</v>
      </c>
      <c r="H119" s="5" t="s">
        <v>135</v>
      </c>
      <c r="I119" s="5" t="s">
        <v>804</v>
      </c>
      <c r="J119" s="5" t="s">
        <v>30</v>
      </c>
      <c r="K119" s="5" t="s">
        <v>720</v>
      </c>
      <c r="L119" s="3" t="s">
        <v>137</v>
      </c>
      <c r="M119" s="3" t="s">
        <v>31</v>
      </c>
      <c r="N119" s="5" t="s">
        <v>357</v>
      </c>
      <c r="O119" s="5" t="s">
        <v>139</v>
      </c>
      <c r="P119" s="5" t="s">
        <v>34</v>
      </c>
      <c r="Q119" s="158">
        <v>1318</v>
      </c>
      <c r="R119" s="170">
        <v>1</v>
      </c>
      <c r="S119" s="172">
        <v>3825</v>
      </c>
      <c r="T119" s="157">
        <v>1.3140000000000001</v>
      </c>
      <c r="U119" s="158">
        <v>51.726999999999997</v>
      </c>
      <c r="V119" s="169">
        <v>6.9999999999999999E-6</v>
      </c>
      <c r="W119" s="169">
        <v>8.8665042002386407E-3</v>
      </c>
      <c r="X119" s="169">
        <v>2.9330687157612298E-3</v>
      </c>
    </row>
    <row r="120" spans="1:24">
      <c r="A120" s="5">
        <v>419</v>
      </c>
      <c r="B120" s="5">
        <v>12435</v>
      </c>
      <c r="C120" s="5" t="s">
        <v>252</v>
      </c>
      <c r="D120" s="5" t="s">
        <v>253</v>
      </c>
      <c r="E120" s="5" t="s">
        <v>132</v>
      </c>
      <c r="F120" s="5" t="s">
        <v>896</v>
      </c>
      <c r="G120" s="5" t="s">
        <v>897</v>
      </c>
      <c r="H120" s="5" t="s">
        <v>135</v>
      </c>
      <c r="I120" s="5" t="s">
        <v>804</v>
      </c>
      <c r="J120" s="5" t="s">
        <v>30</v>
      </c>
      <c r="K120" s="5" t="s">
        <v>30</v>
      </c>
      <c r="L120" s="3" t="s">
        <v>137</v>
      </c>
      <c r="M120" s="3" t="s">
        <v>31</v>
      </c>
      <c r="N120" s="5" t="s">
        <v>170</v>
      </c>
      <c r="O120" s="5" t="s">
        <v>139</v>
      </c>
      <c r="P120" s="5" t="s">
        <v>34</v>
      </c>
      <c r="Q120" s="158">
        <v>165</v>
      </c>
      <c r="R120" s="170">
        <v>1</v>
      </c>
      <c r="S120" s="172">
        <v>21010</v>
      </c>
      <c r="U120" s="158">
        <v>34.665999999999997</v>
      </c>
      <c r="V120" s="169">
        <v>3.9999999999999998E-6</v>
      </c>
      <c r="W120" s="169">
        <v>5.9421236798357603E-3</v>
      </c>
      <c r="X120" s="169">
        <v>1.9656740330694401E-3</v>
      </c>
    </row>
    <row r="121" spans="1:24">
      <c r="A121" s="5">
        <v>419</v>
      </c>
      <c r="B121" s="5">
        <v>12435</v>
      </c>
      <c r="C121" s="5" t="s">
        <v>902</v>
      </c>
      <c r="D121" s="5" t="s">
        <v>903</v>
      </c>
      <c r="E121" s="5" t="s">
        <v>165</v>
      </c>
      <c r="F121" s="5" t="s">
        <v>902</v>
      </c>
      <c r="G121" s="5" t="s">
        <v>904</v>
      </c>
      <c r="H121" s="5" t="s">
        <v>135</v>
      </c>
      <c r="I121" s="5" t="s">
        <v>804</v>
      </c>
      <c r="J121" s="5" t="s">
        <v>30</v>
      </c>
      <c r="K121" s="5" t="s">
        <v>905</v>
      </c>
      <c r="L121" s="3" t="s">
        <v>137</v>
      </c>
      <c r="M121" s="3" t="s">
        <v>31</v>
      </c>
      <c r="N121" s="5" t="s">
        <v>170</v>
      </c>
      <c r="O121" s="5" t="s">
        <v>139</v>
      </c>
      <c r="P121" s="5" t="s">
        <v>34</v>
      </c>
      <c r="Q121" s="158">
        <v>240</v>
      </c>
      <c r="R121" s="170">
        <v>1</v>
      </c>
      <c r="S121" s="172">
        <v>11110</v>
      </c>
      <c r="U121" s="158">
        <v>26.664000000000001</v>
      </c>
      <c r="V121" s="169">
        <v>1.1E-5</v>
      </c>
      <c r="W121" s="169">
        <v>4.5704292558851004E-3</v>
      </c>
      <c r="X121" s="169">
        <v>1.51191301163266E-3</v>
      </c>
    </row>
    <row r="122" spans="1:24">
      <c r="A122" s="5">
        <v>419</v>
      </c>
      <c r="B122" s="5">
        <v>12435</v>
      </c>
      <c r="C122" s="5" t="s">
        <v>282</v>
      </c>
      <c r="D122" s="5" t="s">
        <v>283</v>
      </c>
      <c r="E122" s="5" t="s">
        <v>132</v>
      </c>
      <c r="F122" s="5" t="s">
        <v>906</v>
      </c>
      <c r="G122" s="5" t="s">
        <v>907</v>
      </c>
      <c r="H122" s="5" t="s">
        <v>135</v>
      </c>
      <c r="I122" s="5" t="s">
        <v>804</v>
      </c>
      <c r="J122" s="5" t="s">
        <v>30</v>
      </c>
      <c r="K122" s="5" t="s">
        <v>30</v>
      </c>
      <c r="L122" s="3" t="s">
        <v>137</v>
      </c>
      <c r="M122" s="3" t="s">
        <v>31</v>
      </c>
      <c r="N122" s="5" t="s">
        <v>178</v>
      </c>
      <c r="O122" s="5" t="s">
        <v>139</v>
      </c>
      <c r="P122" s="5" t="s">
        <v>34</v>
      </c>
      <c r="Q122" s="158">
        <v>1173</v>
      </c>
      <c r="R122" s="170">
        <v>1</v>
      </c>
      <c r="S122" s="172">
        <v>6966</v>
      </c>
      <c r="U122" s="158">
        <v>81.710999999999999</v>
      </c>
      <c r="V122" s="169">
        <v>1.1E-5</v>
      </c>
      <c r="W122" s="169">
        <v>1.4005969382121701E-2</v>
      </c>
      <c r="X122" s="169">
        <v>4.63322068098779E-3</v>
      </c>
    </row>
    <row r="123" spans="1:24">
      <c r="A123" s="5">
        <v>419</v>
      </c>
      <c r="B123" s="5">
        <v>12435</v>
      </c>
      <c r="C123" s="5" t="s">
        <v>750</v>
      </c>
      <c r="D123" s="5" t="s">
        <v>751</v>
      </c>
      <c r="E123" s="5" t="s">
        <v>132</v>
      </c>
      <c r="F123" s="5" t="s">
        <v>908</v>
      </c>
      <c r="G123" s="5" t="s">
        <v>909</v>
      </c>
      <c r="H123" s="5" t="s">
        <v>135</v>
      </c>
      <c r="I123" s="5" t="s">
        <v>804</v>
      </c>
      <c r="J123" s="5" t="s">
        <v>30</v>
      </c>
      <c r="K123" s="5" t="s">
        <v>30</v>
      </c>
      <c r="L123" s="3" t="s">
        <v>137</v>
      </c>
      <c r="M123" s="3" t="s">
        <v>31</v>
      </c>
      <c r="N123" s="5" t="s">
        <v>633</v>
      </c>
      <c r="O123" s="5" t="s">
        <v>139</v>
      </c>
      <c r="P123" s="5" t="s">
        <v>34</v>
      </c>
      <c r="Q123" s="158">
        <v>17593</v>
      </c>
      <c r="R123" s="170">
        <v>1</v>
      </c>
      <c r="S123" s="172">
        <v>634.70000000000005</v>
      </c>
      <c r="T123" s="157">
        <v>3.6989999999999998</v>
      </c>
      <c r="U123" s="158">
        <v>115.36199999999999</v>
      </c>
      <c r="V123" s="169">
        <v>6.0000000000000002E-6</v>
      </c>
      <c r="W123" s="169">
        <v>1.97739287509805E-2</v>
      </c>
      <c r="X123" s="169">
        <v>6.5412805878591199E-3</v>
      </c>
    </row>
    <row r="124" spans="1:24">
      <c r="A124" s="5">
        <v>419</v>
      </c>
      <c r="B124" s="5">
        <v>12435</v>
      </c>
      <c r="C124" s="5" t="s">
        <v>294</v>
      </c>
      <c r="D124" s="5" t="s">
        <v>295</v>
      </c>
      <c r="E124" s="5" t="s">
        <v>132</v>
      </c>
      <c r="F124" s="5" t="s">
        <v>812</v>
      </c>
      <c r="G124" s="5" t="s">
        <v>813</v>
      </c>
      <c r="H124" s="5" t="s">
        <v>135</v>
      </c>
      <c r="I124" s="5" t="s">
        <v>804</v>
      </c>
      <c r="J124" s="5" t="s">
        <v>30</v>
      </c>
      <c r="K124" s="5" t="s">
        <v>30</v>
      </c>
      <c r="L124" s="3" t="s">
        <v>137</v>
      </c>
      <c r="M124" s="3" t="s">
        <v>31</v>
      </c>
      <c r="N124" s="5" t="s">
        <v>204</v>
      </c>
      <c r="O124" s="5" t="s">
        <v>139</v>
      </c>
      <c r="P124" s="5" t="s">
        <v>34</v>
      </c>
      <c r="Q124" s="158">
        <v>110</v>
      </c>
      <c r="R124" s="170">
        <v>1</v>
      </c>
      <c r="S124" s="172">
        <v>68050</v>
      </c>
      <c r="U124" s="158">
        <v>74.855000000000004</v>
      </c>
      <c r="V124" s="169">
        <v>3.9999999999999998E-6</v>
      </c>
      <c r="W124" s="169">
        <v>1.28307636494629E-2</v>
      </c>
      <c r="X124" s="169">
        <v>4.2444587640925197E-3</v>
      </c>
    </row>
    <row r="125" spans="1:24">
      <c r="A125" s="5">
        <v>419</v>
      </c>
      <c r="B125" s="5">
        <v>12435</v>
      </c>
      <c r="C125" s="5" t="s">
        <v>1137</v>
      </c>
      <c r="D125" s="5" t="s">
        <v>1138</v>
      </c>
      <c r="E125" s="5" t="s">
        <v>132</v>
      </c>
      <c r="F125" s="5" t="s">
        <v>1139</v>
      </c>
      <c r="G125" s="5" t="s">
        <v>1140</v>
      </c>
      <c r="H125" s="5" t="s">
        <v>135</v>
      </c>
      <c r="I125" s="5" t="s">
        <v>804</v>
      </c>
      <c r="J125" s="5" t="s">
        <v>30</v>
      </c>
      <c r="K125" s="5" t="s">
        <v>30</v>
      </c>
      <c r="L125" s="3" t="s">
        <v>137</v>
      </c>
      <c r="M125" s="3" t="s">
        <v>31</v>
      </c>
      <c r="N125" s="5" t="s">
        <v>309</v>
      </c>
      <c r="O125" s="5" t="s">
        <v>139</v>
      </c>
      <c r="P125" s="5" t="s">
        <v>34</v>
      </c>
      <c r="Q125" s="158">
        <v>286</v>
      </c>
      <c r="R125" s="170">
        <v>1</v>
      </c>
      <c r="S125" s="172">
        <v>23710</v>
      </c>
      <c r="U125" s="158">
        <v>67.811000000000007</v>
      </c>
      <c r="V125" s="169">
        <v>3.0000000000000001E-6</v>
      </c>
      <c r="W125" s="169">
        <v>1.16232954582629E-2</v>
      </c>
      <c r="X125" s="169">
        <v>3.8450243199301599E-3</v>
      </c>
    </row>
    <row r="126" spans="1:24">
      <c r="A126" s="5">
        <v>419</v>
      </c>
      <c r="B126" s="5">
        <v>12435</v>
      </c>
      <c r="C126" s="5" t="s">
        <v>814</v>
      </c>
      <c r="D126" s="5" t="s">
        <v>815</v>
      </c>
      <c r="E126" s="5" t="s">
        <v>132</v>
      </c>
      <c r="F126" s="5" t="s">
        <v>816</v>
      </c>
      <c r="G126" s="5" t="s">
        <v>817</v>
      </c>
      <c r="H126" s="5" t="s">
        <v>135</v>
      </c>
      <c r="I126" s="5" t="s">
        <v>804</v>
      </c>
      <c r="J126" s="5" t="s">
        <v>30</v>
      </c>
      <c r="K126" s="5" t="s">
        <v>30</v>
      </c>
      <c r="L126" s="3" t="s">
        <v>137</v>
      </c>
      <c r="M126" s="3" t="s">
        <v>31</v>
      </c>
      <c r="N126" s="5" t="s">
        <v>726</v>
      </c>
      <c r="O126" s="5" t="s">
        <v>139</v>
      </c>
      <c r="P126" s="5" t="s">
        <v>34</v>
      </c>
      <c r="Q126" s="158">
        <v>119</v>
      </c>
      <c r="R126" s="170">
        <v>1</v>
      </c>
      <c r="S126" s="172">
        <v>67920</v>
      </c>
      <c r="U126" s="158">
        <v>80.825000000000003</v>
      </c>
      <c r="V126" s="169">
        <v>1.2999999999999999E-5</v>
      </c>
      <c r="W126" s="169">
        <v>1.3854036548194599E-2</v>
      </c>
      <c r="X126" s="169">
        <v>4.58296080042782E-3</v>
      </c>
    </row>
    <row r="127" spans="1:24">
      <c r="A127" s="5">
        <v>419</v>
      </c>
      <c r="B127" s="5">
        <v>12435</v>
      </c>
      <c r="C127" s="5" t="s">
        <v>818</v>
      </c>
      <c r="D127" s="5" t="s">
        <v>819</v>
      </c>
      <c r="E127" s="5" t="s">
        <v>132</v>
      </c>
      <c r="F127" s="5" t="s">
        <v>820</v>
      </c>
      <c r="G127" s="5" t="s">
        <v>821</v>
      </c>
      <c r="H127" s="5" t="s">
        <v>135</v>
      </c>
      <c r="I127" s="5" t="s">
        <v>804</v>
      </c>
      <c r="J127" s="5" t="s">
        <v>30</v>
      </c>
      <c r="K127" s="5" t="s">
        <v>30</v>
      </c>
      <c r="L127" s="3" t="s">
        <v>137</v>
      </c>
      <c r="M127" s="3" t="s">
        <v>31</v>
      </c>
      <c r="N127" s="5" t="s">
        <v>309</v>
      </c>
      <c r="O127" s="5" t="s">
        <v>139</v>
      </c>
      <c r="P127" s="5" t="s">
        <v>34</v>
      </c>
      <c r="Q127" s="158">
        <v>2560</v>
      </c>
      <c r="R127" s="170">
        <v>1</v>
      </c>
      <c r="S127" s="172">
        <v>3274</v>
      </c>
      <c r="U127" s="158">
        <v>83.813999999999993</v>
      </c>
      <c r="V127" s="169">
        <v>1.9999999999999999E-6</v>
      </c>
      <c r="W127" s="169">
        <v>1.43664786162787E-2</v>
      </c>
      <c r="X127" s="169">
        <v>4.7524783199139097E-3</v>
      </c>
    </row>
    <row r="128" spans="1:24">
      <c r="A128" s="5">
        <v>419</v>
      </c>
      <c r="B128" s="5">
        <v>12435</v>
      </c>
      <c r="C128" s="5" t="s">
        <v>824</v>
      </c>
      <c r="D128" s="5" t="s">
        <v>825</v>
      </c>
      <c r="E128" s="5" t="s">
        <v>132</v>
      </c>
      <c r="F128" s="5" t="s">
        <v>826</v>
      </c>
      <c r="G128" s="5" t="s">
        <v>827</v>
      </c>
      <c r="H128" s="5" t="s">
        <v>135</v>
      </c>
      <c r="I128" s="5" t="s">
        <v>804</v>
      </c>
      <c r="J128" s="5" t="s">
        <v>30</v>
      </c>
      <c r="K128" s="5" t="s">
        <v>30</v>
      </c>
      <c r="L128" s="3" t="s">
        <v>137</v>
      </c>
      <c r="M128" s="3" t="s">
        <v>31</v>
      </c>
      <c r="N128" s="5" t="s">
        <v>828</v>
      </c>
      <c r="O128" s="5" t="s">
        <v>139</v>
      </c>
      <c r="P128" s="5" t="s">
        <v>34</v>
      </c>
      <c r="Q128" s="158">
        <v>513</v>
      </c>
      <c r="R128" s="170">
        <v>1</v>
      </c>
      <c r="S128" s="172">
        <v>17410</v>
      </c>
      <c r="U128" s="158">
        <v>89.313000000000002</v>
      </c>
      <c r="V128" s="169">
        <v>1.9000000000000001E-5</v>
      </c>
      <c r="W128" s="169">
        <v>1.53090353757742E-2</v>
      </c>
      <c r="X128" s="169">
        <v>5.06427919223865E-3</v>
      </c>
    </row>
    <row r="129" spans="1:24">
      <c r="A129" s="5">
        <v>419</v>
      </c>
      <c r="B129" s="5">
        <v>12435</v>
      </c>
      <c r="C129" s="5" t="s">
        <v>918</v>
      </c>
      <c r="D129" s="5" t="s">
        <v>919</v>
      </c>
      <c r="E129" s="5" t="s">
        <v>132</v>
      </c>
      <c r="F129" s="5" t="s">
        <v>920</v>
      </c>
      <c r="G129" s="5" t="s">
        <v>921</v>
      </c>
      <c r="H129" s="5" t="s">
        <v>135</v>
      </c>
      <c r="I129" s="5" t="s">
        <v>804</v>
      </c>
      <c r="J129" s="5" t="s">
        <v>30</v>
      </c>
      <c r="K129" s="5" t="s">
        <v>30</v>
      </c>
      <c r="L129" s="3" t="s">
        <v>137</v>
      </c>
      <c r="M129" s="3" t="s">
        <v>31</v>
      </c>
      <c r="N129" s="5" t="s">
        <v>556</v>
      </c>
      <c r="O129" s="5" t="s">
        <v>139</v>
      </c>
      <c r="P129" s="5" t="s">
        <v>34</v>
      </c>
      <c r="Q129" s="158">
        <v>8958</v>
      </c>
      <c r="R129" s="170">
        <v>1</v>
      </c>
      <c r="S129" s="172">
        <v>745.1</v>
      </c>
      <c r="U129" s="158">
        <v>66.745999999999995</v>
      </c>
      <c r="V129" s="169">
        <v>9.7E-5</v>
      </c>
      <c r="W129" s="169">
        <v>1.14408241898516E-2</v>
      </c>
      <c r="X129" s="169">
        <v>3.7846622249245502E-3</v>
      </c>
    </row>
    <row r="130" spans="1:24">
      <c r="A130" s="5">
        <v>419</v>
      </c>
      <c r="B130" s="5">
        <v>12435</v>
      </c>
      <c r="C130" s="5" t="s">
        <v>374</v>
      </c>
      <c r="D130" s="5" t="s">
        <v>375</v>
      </c>
      <c r="E130" s="5" t="s">
        <v>132</v>
      </c>
      <c r="F130" s="5" t="s">
        <v>922</v>
      </c>
      <c r="G130" s="5" t="s">
        <v>923</v>
      </c>
      <c r="H130" s="5" t="s">
        <v>135</v>
      </c>
      <c r="I130" s="5" t="s">
        <v>804</v>
      </c>
      <c r="J130" s="5" t="s">
        <v>30</v>
      </c>
      <c r="K130" s="5" t="s">
        <v>30</v>
      </c>
      <c r="L130" s="3" t="s">
        <v>137</v>
      </c>
      <c r="M130" s="3" t="s">
        <v>31</v>
      </c>
      <c r="N130" s="5" t="s">
        <v>185</v>
      </c>
      <c r="O130" s="5" t="s">
        <v>139</v>
      </c>
      <c r="P130" s="5" t="s">
        <v>34</v>
      </c>
      <c r="Q130" s="158">
        <v>1077</v>
      </c>
      <c r="R130" s="170">
        <v>1</v>
      </c>
      <c r="S130" s="172">
        <v>12400</v>
      </c>
      <c r="U130" s="158">
        <v>133.548</v>
      </c>
      <c r="V130" s="169">
        <v>3.9999999999999998E-6</v>
      </c>
      <c r="W130" s="169">
        <v>2.2891227357671101E-2</v>
      </c>
      <c r="X130" s="169">
        <v>7.5724932072276704E-3</v>
      </c>
    </row>
    <row r="131" spans="1:24">
      <c r="A131" s="5">
        <v>419</v>
      </c>
      <c r="B131" s="5">
        <v>12435</v>
      </c>
      <c r="C131" s="5" t="s">
        <v>1141</v>
      </c>
      <c r="D131" s="5" t="s">
        <v>1142</v>
      </c>
      <c r="E131" s="5" t="s">
        <v>132</v>
      </c>
      <c r="F131" s="5" t="s">
        <v>1143</v>
      </c>
      <c r="G131" s="5" t="s">
        <v>1144</v>
      </c>
      <c r="H131" s="5" t="s">
        <v>135</v>
      </c>
      <c r="I131" s="5" t="s">
        <v>804</v>
      </c>
      <c r="J131" s="5" t="s">
        <v>30</v>
      </c>
      <c r="K131" s="5" t="s">
        <v>30</v>
      </c>
      <c r="L131" s="3" t="s">
        <v>137</v>
      </c>
      <c r="M131" s="3" t="s">
        <v>31</v>
      </c>
      <c r="N131" s="5" t="s">
        <v>965</v>
      </c>
      <c r="O131" s="5" t="s">
        <v>139</v>
      </c>
      <c r="P131" s="5" t="s">
        <v>34</v>
      </c>
      <c r="Q131" s="158">
        <v>133</v>
      </c>
      <c r="R131" s="170">
        <v>1</v>
      </c>
      <c r="S131" s="172">
        <v>8089</v>
      </c>
      <c r="U131" s="158">
        <v>10.757999999999999</v>
      </c>
      <c r="V131" s="169">
        <v>1.9999999999999999E-6</v>
      </c>
      <c r="W131" s="169">
        <v>1.84407324458583E-3</v>
      </c>
      <c r="X131" s="169">
        <v>6.1002548705964895E-4</v>
      </c>
    </row>
    <row r="132" spans="1:24">
      <c r="A132" s="5">
        <v>419</v>
      </c>
      <c r="B132" s="5">
        <v>12435</v>
      </c>
      <c r="C132" s="5" t="s">
        <v>829</v>
      </c>
      <c r="D132" s="5" t="s">
        <v>830</v>
      </c>
      <c r="E132" s="5" t="s">
        <v>132</v>
      </c>
      <c r="F132" s="5" t="s">
        <v>831</v>
      </c>
      <c r="G132" s="5" t="s">
        <v>832</v>
      </c>
      <c r="H132" s="5" t="s">
        <v>135</v>
      </c>
      <c r="I132" s="5" t="s">
        <v>804</v>
      </c>
      <c r="J132" s="5" t="s">
        <v>30</v>
      </c>
      <c r="K132" s="5" t="s">
        <v>833</v>
      </c>
      <c r="L132" s="3" t="s">
        <v>137</v>
      </c>
      <c r="M132" s="3" t="s">
        <v>31</v>
      </c>
      <c r="N132" s="5" t="s">
        <v>834</v>
      </c>
      <c r="O132" s="5" t="s">
        <v>139</v>
      </c>
      <c r="P132" s="5" t="s">
        <v>34</v>
      </c>
      <c r="Q132" s="158">
        <v>282</v>
      </c>
      <c r="R132" s="170">
        <v>1</v>
      </c>
      <c r="S132" s="172">
        <v>23540</v>
      </c>
      <c r="U132" s="158">
        <v>66.382999999999996</v>
      </c>
      <c r="V132" s="169">
        <v>3.0000000000000001E-6</v>
      </c>
      <c r="W132" s="169">
        <v>1.13785587761615E-2</v>
      </c>
      <c r="X132" s="169">
        <v>3.7640646215349799E-3</v>
      </c>
    </row>
    <row r="133" spans="1:24">
      <c r="A133" s="5">
        <v>419</v>
      </c>
      <c r="B133" s="5">
        <v>12435</v>
      </c>
      <c r="C133" s="5" t="s">
        <v>737</v>
      </c>
      <c r="D133" s="5" t="s">
        <v>738</v>
      </c>
      <c r="E133" s="5" t="s">
        <v>132</v>
      </c>
      <c r="F133" s="5" t="s">
        <v>835</v>
      </c>
      <c r="G133" s="5" t="s">
        <v>836</v>
      </c>
      <c r="H133" s="5" t="s">
        <v>135</v>
      </c>
      <c r="I133" s="5" t="s">
        <v>804</v>
      </c>
      <c r="J133" s="5" t="s">
        <v>30</v>
      </c>
      <c r="K133" s="5" t="s">
        <v>168</v>
      </c>
      <c r="L133" s="3" t="s">
        <v>137</v>
      </c>
      <c r="M133" s="3" t="s">
        <v>31</v>
      </c>
      <c r="N133" s="5" t="s">
        <v>837</v>
      </c>
      <c r="O133" s="5" t="s">
        <v>139</v>
      </c>
      <c r="P133" s="5" t="s">
        <v>34</v>
      </c>
      <c r="Q133" s="158">
        <v>3464</v>
      </c>
      <c r="R133" s="170">
        <v>1</v>
      </c>
      <c r="S133" s="172">
        <v>6440</v>
      </c>
      <c r="U133" s="158">
        <v>223.08199999999999</v>
      </c>
      <c r="V133" s="169">
        <v>3.0000000000000001E-6</v>
      </c>
      <c r="W133" s="169">
        <v>3.82380239682589E-2</v>
      </c>
      <c r="X133" s="169">
        <v>1.26492639399877E-2</v>
      </c>
    </row>
    <row r="134" spans="1:24">
      <c r="A134" s="5">
        <v>419</v>
      </c>
      <c r="B134" s="5">
        <v>12435</v>
      </c>
      <c r="C134" s="5" t="s">
        <v>928</v>
      </c>
      <c r="D134" s="5" t="s">
        <v>929</v>
      </c>
      <c r="E134" s="5" t="s">
        <v>132</v>
      </c>
      <c r="F134" s="5" t="s">
        <v>930</v>
      </c>
      <c r="G134" s="5" t="s">
        <v>931</v>
      </c>
      <c r="H134" s="5" t="s">
        <v>135</v>
      </c>
      <c r="I134" s="5" t="s">
        <v>804</v>
      </c>
      <c r="J134" s="5" t="s">
        <v>30</v>
      </c>
      <c r="K134" s="5" t="s">
        <v>30</v>
      </c>
      <c r="L134" s="3" t="s">
        <v>137</v>
      </c>
      <c r="M134" s="3" t="s">
        <v>31</v>
      </c>
      <c r="N134" s="5" t="s">
        <v>787</v>
      </c>
      <c r="O134" s="5" t="s">
        <v>139</v>
      </c>
      <c r="P134" s="5" t="s">
        <v>34</v>
      </c>
      <c r="Q134" s="158">
        <v>3082</v>
      </c>
      <c r="R134" s="170">
        <v>1</v>
      </c>
      <c r="S134" s="172">
        <v>862.4</v>
      </c>
      <c r="U134" s="158">
        <v>26.579000000000001</v>
      </c>
      <c r="V134" s="169">
        <v>2.8E-5</v>
      </c>
      <c r="W134" s="169">
        <v>4.5558883522459096E-3</v>
      </c>
      <c r="X134" s="169">
        <v>1.50710283294219E-3</v>
      </c>
    </row>
    <row r="135" spans="1:24">
      <c r="A135" s="5">
        <v>419</v>
      </c>
      <c r="B135" s="5">
        <v>12435</v>
      </c>
      <c r="C135" s="5" t="s">
        <v>937</v>
      </c>
      <c r="D135" s="5" t="s">
        <v>938</v>
      </c>
      <c r="E135" s="5" t="s">
        <v>132</v>
      </c>
      <c r="F135" s="5" t="s">
        <v>939</v>
      </c>
      <c r="G135" s="5" t="s">
        <v>940</v>
      </c>
      <c r="H135" s="5" t="s">
        <v>135</v>
      </c>
      <c r="I135" s="5" t="s">
        <v>804</v>
      </c>
      <c r="J135" s="5" t="s">
        <v>30</v>
      </c>
      <c r="K135" s="5" t="s">
        <v>30</v>
      </c>
      <c r="L135" s="3" t="s">
        <v>137</v>
      </c>
      <c r="M135" s="3" t="s">
        <v>240</v>
      </c>
      <c r="N135" s="5" t="s">
        <v>705</v>
      </c>
      <c r="O135" s="5" t="s">
        <v>139</v>
      </c>
      <c r="P135" s="5" t="s">
        <v>34</v>
      </c>
      <c r="Q135" s="158">
        <v>1000</v>
      </c>
      <c r="R135" s="170">
        <v>1</v>
      </c>
      <c r="S135" s="172">
        <v>2875</v>
      </c>
      <c r="U135" s="158">
        <v>28.75</v>
      </c>
      <c r="V135" s="169">
        <v>7.9999999999999996E-6</v>
      </c>
      <c r="W135" s="169">
        <v>4.9279868401851399E-3</v>
      </c>
      <c r="X135" s="169">
        <v>1.63019423508997E-3</v>
      </c>
    </row>
    <row r="136" spans="1:24">
      <c r="A136" s="5">
        <v>419</v>
      </c>
      <c r="B136" s="5">
        <v>12435</v>
      </c>
      <c r="C136" s="5" t="s">
        <v>941</v>
      </c>
      <c r="D136" s="5" t="s">
        <v>942</v>
      </c>
      <c r="E136" s="5" t="s">
        <v>132</v>
      </c>
      <c r="F136" s="5" t="s">
        <v>943</v>
      </c>
      <c r="G136" s="5" t="s">
        <v>944</v>
      </c>
      <c r="H136" s="5" t="s">
        <v>135</v>
      </c>
      <c r="I136" s="5" t="s">
        <v>804</v>
      </c>
      <c r="J136" s="5" t="s">
        <v>30</v>
      </c>
      <c r="K136" s="5" t="s">
        <v>30</v>
      </c>
      <c r="L136" s="3" t="s">
        <v>137</v>
      </c>
      <c r="M136" s="3" t="s">
        <v>31</v>
      </c>
      <c r="N136" s="5" t="s">
        <v>467</v>
      </c>
      <c r="O136" s="5" t="s">
        <v>139</v>
      </c>
      <c r="P136" s="5" t="s">
        <v>34</v>
      </c>
      <c r="Q136" s="158">
        <v>7758</v>
      </c>
      <c r="R136" s="170">
        <v>1</v>
      </c>
      <c r="S136" s="172">
        <v>1338</v>
      </c>
      <c r="U136" s="158">
        <v>103.80200000000001</v>
      </c>
      <c r="V136" s="169">
        <v>2.4000000000000001E-5</v>
      </c>
      <c r="W136" s="169">
        <v>1.7792524768847701E-2</v>
      </c>
      <c r="X136" s="169">
        <v>5.88582564168969E-3</v>
      </c>
    </row>
    <row r="137" spans="1:24">
      <c r="A137" s="5">
        <v>419</v>
      </c>
      <c r="B137" s="5">
        <v>12435</v>
      </c>
      <c r="C137" s="5" t="s">
        <v>454</v>
      </c>
      <c r="D137" s="5" t="s">
        <v>455</v>
      </c>
      <c r="E137" s="5" t="s">
        <v>132</v>
      </c>
      <c r="F137" s="5" t="s">
        <v>838</v>
      </c>
      <c r="G137" s="5" t="s">
        <v>839</v>
      </c>
      <c r="H137" s="5" t="s">
        <v>135</v>
      </c>
      <c r="I137" s="5" t="s">
        <v>804</v>
      </c>
      <c r="J137" s="5" t="s">
        <v>30</v>
      </c>
      <c r="K137" s="5" t="s">
        <v>30</v>
      </c>
      <c r="L137" s="3" t="s">
        <v>137</v>
      </c>
      <c r="M137" s="3" t="s">
        <v>31</v>
      </c>
      <c r="N137" s="5" t="s">
        <v>185</v>
      </c>
      <c r="O137" s="5" t="s">
        <v>139</v>
      </c>
      <c r="P137" s="5" t="s">
        <v>34</v>
      </c>
      <c r="Q137" s="158">
        <v>902</v>
      </c>
      <c r="R137" s="170">
        <v>1</v>
      </c>
      <c r="S137" s="172">
        <v>16970</v>
      </c>
      <c r="U137" s="158">
        <v>153.06899999999999</v>
      </c>
      <c r="V137" s="169">
        <v>1.1E-5</v>
      </c>
      <c r="W137" s="169">
        <v>2.6237356133392498E-2</v>
      </c>
      <c r="X137" s="169">
        <v>8.6794035982149902E-3</v>
      </c>
    </row>
    <row r="138" spans="1:24">
      <c r="A138" s="5">
        <v>419</v>
      </c>
      <c r="B138" s="5">
        <v>12435</v>
      </c>
      <c r="C138" s="5" t="s">
        <v>469</v>
      </c>
      <c r="D138" s="5" t="s">
        <v>470</v>
      </c>
      <c r="E138" s="5" t="s">
        <v>132</v>
      </c>
      <c r="F138" s="5" t="s">
        <v>840</v>
      </c>
      <c r="G138" s="5" t="s">
        <v>841</v>
      </c>
      <c r="H138" s="5" t="s">
        <v>135</v>
      </c>
      <c r="I138" s="5" t="s">
        <v>804</v>
      </c>
      <c r="J138" s="5" t="s">
        <v>30</v>
      </c>
      <c r="K138" s="5" t="s">
        <v>30</v>
      </c>
      <c r="L138" s="3" t="s">
        <v>137</v>
      </c>
      <c r="M138" s="3" t="s">
        <v>31</v>
      </c>
      <c r="N138" s="5" t="s">
        <v>309</v>
      </c>
      <c r="O138" s="5" t="s">
        <v>139</v>
      </c>
      <c r="P138" s="5" t="s">
        <v>34</v>
      </c>
      <c r="Q138" s="158">
        <v>3323</v>
      </c>
      <c r="R138" s="170">
        <v>1</v>
      </c>
      <c r="S138" s="172">
        <v>6529</v>
      </c>
      <c r="U138" s="158">
        <v>216.959</v>
      </c>
      <c r="V138" s="169">
        <v>1.9999999999999999E-6</v>
      </c>
      <c r="W138" s="169">
        <v>3.7188503326054598E-2</v>
      </c>
      <c r="X138" s="169">
        <v>1.23020790638883E-2</v>
      </c>
    </row>
    <row r="139" spans="1:24">
      <c r="A139" s="5">
        <v>419</v>
      </c>
      <c r="B139" s="5">
        <v>12435</v>
      </c>
      <c r="C139" s="5" t="s">
        <v>486</v>
      </c>
      <c r="D139" s="5" t="s">
        <v>487</v>
      </c>
      <c r="E139" s="5" t="s">
        <v>132</v>
      </c>
      <c r="F139" s="5" t="s">
        <v>949</v>
      </c>
      <c r="G139" s="5" t="s">
        <v>950</v>
      </c>
      <c r="H139" s="5" t="s">
        <v>135</v>
      </c>
      <c r="I139" s="5" t="s">
        <v>804</v>
      </c>
      <c r="J139" s="5" t="s">
        <v>30</v>
      </c>
      <c r="K139" s="5" t="s">
        <v>30</v>
      </c>
      <c r="L139" s="3" t="s">
        <v>137</v>
      </c>
      <c r="M139" s="3" t="s">
        <v>31</v>
      </c>
      <c r="N139" s="5" t="s">
        <v>204</v>
      </c>
      <c r="O139" s="5" t="s">
        <v>139</v>
      </c>
      <c r="P139" s="5" t="s">
        <v>34</v>
      </c>
      <c r="Q139" s="158">
        <v>6157</v>
      </c>
      <c r="R139" s="170">
        <v>1</v>
      </c>
      <c r="S139" s="172">
        <v>1292</v>
      </c>
      <c r="U139" s="158">
        <v>79.548000000000002</v>
      </c>
      <c r="V139" s="169">
        <v>9.0000000000000002E-6</v>
      </c>
      <c r="W139" s="169">
        <v>1.36352579296437E-2</v>
      </c>
      <c r="X139" s="169">
        <v>4.5105881147269799E-3</v>
      </c>
    </row>
    <row r="140" spans="1:24">
      <c r="A140" s="5">
        <v>419</v>
      </c>
      <c r="B140" s="5">
        <v>12435</v>
      </c>
      <c r="C140" s="5" t="s">
        <v>957</v>
      </c>
      <c r="D140" s="5" t="s">
        <v>958</v>
      </c>
      <c r="E140" s="5" t="s">
        <v>132</v>
      </c>
      <c r="F140" s="5" t="s">
        <v>959</v>
      </c>
      <c r="G140" s="5" t="s">
        <v>960</v>
      </c>
      <c r="H140" s="5" t="s">
        <v>135</v>
      </c>
      <c r="I140" s="5" t="s">
        <v>804</v>
      </c>
      <c r="J140" s="5" t="s">
        <v>30</v>
      </c>
      <c r="K140" s="5" t="s">
        <v>30</v>
      </c>
      <c r="L140" s="3" t="s">
        <v>137</v>
      </c>
      <c r="M140" s="3" t="s">
        <v>31</v>
      </c>
      <c r="N140" s="5" t="s">
        <v>309</v>
      </c>
      <c r="O140" s="5" t="s">
        <v>139</v>
      </c>
      <c r="P140" s="5" t="s">
        <v>34</v>
      </c>
      <c r="Q140" s="158">
        <v>400</v>
      </c>
      <c r="R140" s="170">
        <v>1</v>
      </c>
      <c r="S140" s="172">
        <v>21790</v>
      </c>
      <c r="U140" s="158">
        <v>87.16</v>
      </c>
      <c r="V140" s="169">
        <v>1.9999999999999999E-6</v>
      </c>
      <c r="W140" s="169">
        <v>1.4939942017062099E-2</v>
      </c>
      <c r="X140" s="169">
        <v>4.94218189671102E-3</v>
      </c>
    </row>
    <row r="141" spans="1:24">
      <c r="A141" s="5">
        <v>419</v>
      </c>
      <c r="B141" s="5">
        <v>12435</v>
      </c>
      <c r="C141" s="5" t="s">
        <v>961</v>
      </c>
      <c r="D141" s="5" t="s">
        <v>962</v>
      </c>
      <c r="E141" s="5" t="s">
        <v>132</v>
      </c>
      <c r="F141" s="5" t="s">
        <v>963</v>
      </c>
      <c r="G141" s="5" t="s">
        <v>964</v>
      </c>
      <c r="H141" s="5" t="s">
        <v>135</v>
      </c>
      <c r="I141" s="5" t="s">
        <v>804</v>
      </c>
      <c r="J141" s="5" t="s">
        <v>30</v>
      </c>
      <c r="K141" s="5" t="s">
        <v>30</v>
      </c>
      <c r="L141" s="3" t="s">
        <v>137</v>
      </c>
      <c r="M141" s="3" t="s">
        <v>31</v>
      </c>
      <c r="N141" s="5" t="s">
        <v>965</v>
      </c>
      <c r="O141" s="5" t="s">
        <v>139</v>
      </c>
      <c r="P141" s="5" t="s">
        <v>34</v>
      </c>
      <c r="Q141" s="158">
        <v>90</v>
      </c>
      <c r="R141" s="170">
        <v>1</v>
      </c>
      <c r="S141" s="172">
        <v>11650</v>
      </c>
      <c r="T141" s="157">
        <v>7.5999999999999998E-2</v>
      </c>
      <c r="U141" s="158">
        <v>10.561999999999999</v>
      </c>
      <c r="V141" s="169">
        <v>9.9999999999999995E-7</v>
      </c>
      <c r="W141" s="169">
        <v>1.8103281047866201E-3</v>
      </c>
      <c r="X141" s="169">
        <v>5.9886248396183396E-4</v>
      </c>
    </row>
    <row r="142" spans="1:24">
      <c r="A142" s="5">
        <v>419</v>
      </c>
      <c r="B142" s="5">
        <v>12435</v>
      </c>
      <c r="C142" s="5" t="s">
        <v>541</v>
      </c>
      <c r="D142" s="5" t="s">
        <v>542</v>
      </c>
      <c r="E142" s="5" t="s">
        <v>132</v>
      </c>
      <c r="F142" s="5" t="s">
        <v>966</v>
      </c>
      <c r="G142" s="5" t="s">
        <v>967</v>
      </c>
      <c r="H142" s="5" t="s">
        <v>135</v>
      </c>
      <c r="I142" s="5" t="s">
        <v>804</v>
      </c>
      <c r="J142" s="5" t="s">
        <v>30</v>
      </c>
      <c r="K142" s="5" t="s">
        <v>30</v>
      </c>
      <c r="L142" s="3" t="s">
        <v>137</v>
      </c>
      <c r="M142" s="3" t="s">
        <v>31</v>
      </c>
      <c r="N142" s="5" t="s">
        <v>204</v>
      </c>
      <c r="O142" s="5" t="s">
        <v>139</v>
      </c>
      <c r="P142" s="5" t="s">
        <v>34</v>
      </c>
      <c r="Q142" s="158">
        <v>127</v>
      </c>
      <c r="R142" s="170">
        <v>1</v>
      </c>
      <c r="S142" s="172">
        <v>40000</v>
      </c>
      <c r="U142" s="158">
        <v>50.8</v>
      </c>
      <c r="V142" s="169">
        <v>3.0000000000000001E-6</v>
      </c>
      <c r="W142" s="169">
        <v>8.7075384863097398E-3</v>
      </c>
      <c r="X142" s="169">
        <v>2.8804823353937598E-3</v>
      </c>
    </row>
    <row r="143" spans="1:24">
      <c r="A143" s="5">
        <v>419</v>
      </c>
      <c r="B143" s="5">
        <v>12435</v>
      </c>
      <c r="C143" s="5" t="s">
        <v>770</v>
      </c>
      <c r="D143" s="5" t="s">
        <v>771</v>
      </c>
      <c r="E143" s="5" t="s">
        <v>132</v>
      </c>
      <c r="F143" s="5" t="s">
        <v>968</v>
      </c>
      <c r="G143" s="5" t="s">
        <v>969</v>
      </c>
      <c r="H143" s="5" t="s">
        <v>135</v>
      </c>
      <c r="I143" s="5" t="s">
        <v>804</v>
      </c>
      <c r="J143" s="5" t="s">
        <v>30</v>
      </c>
      <c r="K143" s="5" t="s">
        <v>30</v>
      </c>
      <c r="L143" s="3" t="s">
        <v>137</v>
      </c>
      <c r="M143" s="3" t="s">
        <v>31</v>
      </c>
      <c r="N143" s="5" t="s">
        <v>185</v>
      </c>
      <c r="O143" s="5" t="s">
        <v>139</v>
      </c>
      <c r="P143" s="5" t="s">
        <v>34</v>
      </c>
      <c r="Q143" s="158">
        <v>296</v>
      </c>
      <c r="R143" s="170">
        <v>1</v>
      </c>
      <c r="S143" s="172">
        <v>32500</v>
      </c>
      <c r="U143" s="158">
        <v>96.2</v>
      </c>
      <c r="V143" s="169">
        <v>5.0000000000000004E-6</v>
      </c>
      <c r="W143" s="169">
        <v>1.64894724878543E-2</v>
      </c>
      <c r="X143" s="169">
        <v>5.4547716666314902E-3</v>
      </c>
    </row>
    <row r="144" spans="1:24">
      <c r="A144" s="5">
        <v>419</v>
      </c>
      <c r="B144" s="5">
        <v>12435</v>
      </c>
      <c r="C144" s="5" t="s">
        <v>970</v>
      </c>
      <c r="D144" s="5" t="s">
        <v>971</v>
      </c>
      <c r="E144" s="5" t="s">
        <v>132</v>
      </c>
      <c r="F144" s="5" t="s">
        <v>972</v>
      </c>
      <c r="G144" s="5" t="s">
        <v>973</v>
      </c>
      <c r="H144" s="5" t="s">
        <v>135</v>
      </c>
      <c r="I144" s="5" t="s">
        <v>804</v>
      </c>
      <c r="J144" s="5" t="s">
        <v>30</v>
      </c>
      <c r="K144" s="5" t="s">
        <v>30</v>
      </c>
      <c r="L144" s="3" t="s">
        <v>137</v>
      </c>
      <c r="M144" s="3" t="s">
        <v>31</v>
      </c>
      <c r="N144" s="5" t="s">
        <v>787</v>
      </c>
      <c r="O144" s="5" t="s">
        <v>139</v>
      </c>
      <c r="P144" s="5" t="s">
        <v>34</v>
      </c>
      <c r="Q144" s="158">
        <v>1000</v>
      </c>
      <c r="R144" s="170">
        <v>1</v>
      </c>
      <c r="S144" s="172">
        <v>2066</v>
      </c>
      <c r="U144" s="158">
        <v>20.66</v>
      </c>
      <c r="V144" s="169">
        <v>6.9999999999999999E-6</v>
      </c>
      <c r="W144" s="169">
        <v>3.5412941954165202E-3</v>
      </c>
      <c r="X144" s="169">
        <v>1.1714717529376999E-3</v>
      </c>
    </row>
    <row r="145" spans="1:24">
      <c r="A145" s="5">
        <v>419</v>
      </c>
      <c r="B145" s="5">
        <v>12435</v>
      </c>
      <c r="C145" s="5" t="s">
        <v>585</v>
      </c>
      <c r="D145" s="5" t="s">
        <v>586</v>
      </c>
      <c r="E145" s="5" t="s">
        <v>441</v>
      </c>
      <c r="F145" s="5" t="s">
        <v>974</v>
      </c>
      <c r="G145" s="5" t="s">
        <v>975</v>
      </c>
      <c r="H145" s="5" t="s">
        <v>135</v>
      </c>
      <c r="I145" s="5" t="s">
        <v>804</v>
      </c>
      <c r="J145" s="5" t="s">
        <v>30</v>
      </c>
      <c r="K145" s="5" t="s">
        <v>168</v>
      </c>
      <c r="L145" s="3" t="s">
        <v>137</v>
      </c>
      <c r="M145" s="3" t="s">
        <v>31</v>
      </c>
      <c r="N145" s="5" t="s">
        <v>357</v>
      </c>
      <c r="O145" s="5" t="s">
        <v>139</v>
      </c>
      <c r="P145" s="5" t="s">
        <v>34</v>
      </c>
      <c r="Q145" s="158">
        <v>100</v>
      </c>
      <c r="R145" s="170">
        <v>1</v>
      </c>
      <c r="S145" s="172">
        <v>11190</v>
      </c>
      <c r="U145" s="158">
        <v>11.19</v>
      </c>
      <c r="V145" s="169">
        <v>9.9999999999999995E-7</v>
      </c>
      <c r="W145" s="169">
        <v>1.91805818231901E-3</v>
      </c>
      <c r="X145" s="169">
        <v>6.3449994750110596E-4</v>
      </c>
    </row>
    <row r="146" spans="1:24">
      <c r="A146" s="5">
        <v>419</v>
      </c>
      <c r="B146" s="5">
        <v>12435</v>
      </c>
      <c r="C146" s="5" t="s">
        <v>842</v>
      </c>
      <c r="D146" s="5" t="s">
        <v>843</v>
      </c>
      <c r="E146" s="5" t="s">
        <v>441</v>
      </c>
      <c r="F146" s="5" t="s">
        <v>844</v>
      </c>
      <c r="G146" s="5" t="s">
        <v>845</v>
      </c>
      <c r="H146" s="5" t="s">
        <v>135</v>
      </c>
      <c r="I146" s="5" t="s">
        <v>804</v>
      </c>
      <c r="J146" s="5" t="s">
        <v>30</v>
      </c>
      <c r="K146" s="5" t="s">
        <v>30</v>
      </c>
      <c r="L146" s="3" t="s">
        <v>137</v>
      </c>
      <c r="M146" s="3" t="s">
        <v>31</v>
      </c>
      <c r="N146" s="5" t="s">
        <v>357</v>
      </c>
      <c r="O146" s="5" t="s">
        <v>139</v>
      </c>
      <c r="P146" s="5" t="s">
        <v>34</v>
      </c>
      <c r="Q146" s="158">
        <v>4926</v>
      </c>
      <c r="R146" s="170">
        <v>1</v>
      </c>
      <c r="S146" s="172">
        <v>1744</v>
      </c>
      <c r="U146" s="158">
        <v>85.909000000000006</v>
      </c>
      <c r="V146" s="169">
        <v>3.9999999999999998E-6</v>
      </c>
      <c r="W146" s="169">
        <v>1.47255857310496E-2</v>
      </c>
      <c r="X146" s="169">
        <v>4.8712721331411399E-3</v>
      </c>
    </row>
    <row r="147" spans="1:24">
      <c r="A147" s="5">
        <v>419</v>
      </c>
      <c r="B147" s="5">
        <v>12435</v>
      </c>
      <c r="C147" s="5" t="s">
        <v>846</v>
      </c>
      <c r="D147" s="5" t="s">
        <v>847</v>
      </c>
      <c r="E147" s="5" t="s">
        <v>132</v>
      </c>
      <c r="F147" s="5" t="s">
        <v>848</v>
      </c>
      <c r="G147" s="5" t="s">
        <v>849</v>
      </c>
      <c r="H147" s="5" t="s">
        <v>135</v>
      </c>
      <c r="I147" s="5" t="s">
        <v>804</v>
      </c>
      <c r="J147" s="5" t="s">
        <v>30</v>
      </c>
      <c r="K147" s="5" t="s">
        <v>168</v>
      </c>
      <c r="L147" s="3" t="s">
        <v>137</v>
      </c>
      <c r="M147" s="3" t="s">
        <v>31</v>
      </c>
      <c r="N147" s="5" t="s">
        <v>597</v>
      </c>
      <c r="O147" s="5" t="s">
        <v>139</v>
      </c>
      <c r="P147" s="5" t="s">
        <v>34</v>
      </c>
      <c r="Q147" s="158">
        <v>289</v>
      </c>
      <c r="R147" s="170">
        <v>1</v>
      </c>
      <c r="S147" s="172">
        <v>48800</v>
      </c>
      <c r="U147" s="158">
        <v>141.03200000000001</v>
      </c>
      <c r="V147" s="169">
        <v>3.9999999999999998E-6</v>
      </c>
      <c r="W147" s="169">
        <v>2.41740466102605E-2</v>
      </c>
      <c r="X147" s="169">
        <v>7.9968540300246593E-3</v>
      </c>
    </row>
    <row r="148" spans="1:24">
      <c r="A148" s="5">
        <v>419</v>
      </c>
      <c r="B148" s="5">
        <v>12435</v>
      </c>
      <c r="C148" s="5" t="s">
        <v>635</v>
      </c>
      <c r="D148" s="5" t="s">
        <v>636</v>
      </c>
      <c r="E148" s="5" t="s">
        <v>132</v>
      </c>
      <c r="F148" s="5" t="s">
        <v>976</v>
      </c>
      <c r="G148" s="5" t="s">
        <v>977</v>
      </c>
      <c r="H148" s="5" t="s">
        <v>135</v>
      </c>
      <c r="I148" s="5" t="s">
        <v>804</v>
      </c>
      <c r="J148" s="5" t="s">
        <v>30</v>
      </c>
      <c r="K148" s="5" t="s">
        <v>30</v>
      </c>
      <c r="L148" s="3" t="s">
        <v>137</v>
      </c>
      <c r="M148" s="3" t="s">
        <v>31</v>
      </c>
      <c r="N148" s="5" t="s">
        <v>204</v>
      </c>
      <c r="O148" s="5" t="s">
        <v>139</v>
      </c>
      <c r="P148" s="5" t="s">
        <v>34</v>
      </c>
      <c r="Q148" s="158">
        <v>298</v>
      </c>
      <c r="R148" s="170">
        <v>1</v>
      </c>
      <c r="S148" s="172">
        <v>32870</v>
      </c>
      <c r="U148" s="158">
        <v>97.953000000000003</v>
      </c>
      <c r="V148" s="169">
        <v>1.9999999999999999E-6</v>
      </c>
      <c r="W148" s="169">
        <v>1.6789882565631999E-2</v>
      </c>
      <c r="X148" s="169">
        <v>5.5541483072025699E-3</v>
      </c>
    </row>
    <row r="149" spans="1:24">
      <c r="A149" s="5">
        <v>419</v>
      </c>
      <c r="B149" s="5">
        <v>12435</v>
      </c>
      <c r="C149" s="5" t="s">
        <v>647</v>
      </c>
      <c r="D149" s="5" t="s">
        <v>648</v>
      </c>
      <c r="E149" s="5" t="s">
        <v>132</v>
      </c>
      <c r="F149" s="5" t="s">
        <v>850</v>
      </c>
      <c r="G149" s="5" t="s">
        <v>851</v>
      </c>
      <c r="H149" s="5" t="s">
        <v>135</v>
      </c>
      <c r="I149" s="5" t="s">
        <v>804</v>
      </c>
      <c r="J149" s="5" t="s">
        <v>30</v>
      </c>
      <c r="K149" s="5" t="s">
        <v>30</v>
      </c>
      <c r="L149" s="3" t="s">
        <v>137</v>
      </c>
      <c r="M149" s="3" t="s">
        <v>31</v>
      </c>
      <c r="N149" s="5" t="s">
        <v>309</v>
      </c>
      <c r="O149" s="5" t="s">
        <v>139</v>
      </c>
      <c r="P149" s="5" t="s">
        <v>34</v>
      </c>
      <c r="Q149" s="158">
        <v>4308</v>
      </c>
      <c r="R149" s="170">
        <v>1</v>
      </c>
      <c r="S149" s="172">
        <v>6732</v>
      </c>
      <c r="U149" s="158">
        <v>290.01499999999999</v>
      </c>
      <c r="V149" s="169">
        <v>3.0000000000000001E-6</v>
      </c>
      <c r="W149" s="169">
        <v>4.9710884700594198E-2</v>
      </c>
      <c r="X149" s="169">
        <v>1.6444523958405399E-2</v>
      </c>
    </row>
    <row r="150" spans="1:24">
      <c r="A150" s="5">
        <v>419</v>
      </c>
      <c r="B150" s="5">
        <v>12435</v>
      </c>
      <c r="C150" s="5" t="s">
        <v>978</v>
      </c>
      <c r="D150" s="5" t="s">
        <v>979</v>
      </c>
      <c r="E150" s="5" t="s">
        <v>132</v>
      </c>
      <c r="F150" s="5" t="s">
        <v>980</v>
      </c>
      <c r="G150" s="5" t="s">
        <v>981</v>
      </c>
      <c r="H150" s="5" t="s">
        <v>135</v>
      </c>
      <c r="I150" s="5" t="s">
        <v>804</v>
      </c>
      <c r="J150" s="5" t="s">
        <v>30</v>
      </c>
      <c r="K150" s="5" t="s">
        <v>30</v>
      </c>
      <c r="L150" s="3" t="s">
        <v>137</v>
      </c>
      <c r="M150" s="3" t="s">
        <v>31</v>
      </c>
      <c r="N150" s="5" t="s">
        <v>965</v>
      </c>
      <c r="O150" s="5" t="s">
        <v>139</v>
      </c>
      <c r="P150" s="5" t="s">
        <v>34</v>
      </c>
      <c r="Q150" s="158">
        <v>25</v>
      </c>
      <c r="R150" s="170">
        <v>1</v>
      </c>
      <c r="S150" s="172">
        <v>46080</v>
      </c>
      <c r="U150" s="158">
        <v>11.52</v>
      </c>
      <c r="V150" s="169">
        <v>1.9999999999999999E-6</v>
      </c>
      <c r="W150" s="169">
        <v>1.97462290083244E-3</v>
      </c>
      <c r="X150" s="169">
        <v>6.5321174219953003E-4</v>
      </c>
    </row>
    <row r="151" spans="1:24">
      <c r="A151" s="5">
        <v>419</v>
      </c>
      <c r="B151" s="5">
        <v>12435</v>
      </c>
      <c r="C151" s="5" t="s">
        <v>1145</v>
      </c>
      <c r="D151" s="5" t="s">
        <v>1146</v>
      </c>
      <c r="E151" s="5" t="s">
        <v>132</v>
      </c>
      <c r="F151" s="5" t="s">
        <v>1147</v>
      </c>
      <c r="G151" s="5" t="s">
        <v>1148</v>
      </c>
      <c r="H151" s="5" t="s">
        <v>135</v>
      </c>
      <c r="I151" s="5" t="s">
        <v>804</v>
      </c>
      <c r="J151" s="5" t="s">
        <v>30</v>
      </c>
      <c r="K151" s="5" t="s">
        <v>30</v>
      </c>
      <c r="L151" s="3" t="s">
        <v>137</v>
      </c>
      <c r="M151" s="3" t="s">
        <v>31</v>
      </c>
      <c r="N151" s="5" t="s">
        <v>309</v>
      </c>
      <c r="O151" s="5" t="s">
        <v>139</v>
      </c>
      <c r="P151" s="5" t="s">
        <v>34</v>
      </c>
      <c r="Q151" s="158">
        <v>22</v>
      </c>
      <c r="R151" s="170">
        <v>1</v>
      </c>
      <c r="S151" s="172">
        <v>25140</v>
      </c>
      <c r="U151" s="158">
        <v>5.5309999999999997</v>
      </c>
      <c r="V151" s="169">
        <v>9.9999999999999995E-7</v>
      </c>
      <c r="W151" s="169">
        <v>9.4802468228507696E-4</v>
      </c>
      <c r="X151" s="169">
        <v>3.13609679145587E-4</v>
      </c>
    </row>
    <row r="152" spans="1:24">
      <c r="A152" s="5">
        <v>419</v>
      </c>
      <c r="B152" s="5">
        <v>12435</v>
      </c>
      <c r="C152" s="5" t="s">
        <v>982</v>
      </c>
      <c r="D152" s="5" t="s">
        <v>983</v>
      </c>
      <c r="E152" s="5" t="s">
        <v>132</v>
      </c>
      <c r="F152" s="5" t="s">
        <v>984</v>
      </c>
      <c r="G152" s="5" t="s">
        <v>985</v>
      </c>
      <c r="H152" s="5" t="s">
        <v>135</v>
      </c>
      <c r="I152" s="5" t="s">
        <v>804</v>
      </c>
      <c r="J152" s="5" t="s">
        <v>30</v>
      </c>
      <c r="K152" s="5" t="s">
        <v>30</v>
      </c>
      <c r="L152" s="3" t="s">
        <v>137</v>
      </c>
      <c r="M152" s="3" t="s">
        <v>31</v>
      </c>
      <c r="N152" s="5" t="s">
        <v>633</v>
      </c>
      <c r="O152" s="5" t="s">
        <v>139</v>
      </c>
      <c r="P152" s="5" t="s">
        <v>34</v>
      </c>
      <c r="Q152" s="158">
        <v>2846</v>
      </c>
      <c r="R152" s="170">
        <v>1</v>
      </c>
      <c r="S152" s="172">
        <v>3170</v>
      </c>
      <c r="U152" s="158">
        <v>90.218000000000004</v>
      </c>
      <c r="V152" s="169">
        <v>1.5E-5</v>
      </c>
      <c r="W152" s="169">
        <v>1.54641426902675E-2</v>
      </c>
      <c r="X152" s="169">
        <v>5.1155892013980599E-3</v>
      </c>
    </row>
    <row r="153" spans="1:24">
      <c r="A153" s="5">
        <v>419</v>
      </c>
      <c r="B153" s="5">
        <v>12435</v>
      </c>
      <c r="C153" s="5" t="s">
        <v>688</v>
      </c>
      <c r="D153" s="5" t="s">
        <v>689</v>
      </c>
      <c r="E153" s="5" t="s">
        <v>132</v>
      </c>
      <c r="F153" s="5" t="s">
        <v>990</v>
      </c>
      <c r="G153" s="5" t="s">
        <v>991</v>
      </c>
      <c r="H153" s="5" t="s">
        <v>135</v>
      </c>
      <c r="I153" s="5" t="s">
        <v>804</v>
      </c>
      <c r="J153" s="5" t="s">
        <v>30</v>
      </c>
      <c r="K153" s="5" t="s">
        <v>30</v>
      </c>
      <c r="L153" s="3" t="s">
        <v>137</v>
      </c>
      <c r="M153" s="3" t="s">
        <v>31</v>
      </c>
      <c r="N153" s="5" t="s">
        <v>692</v>
      </c>
      <c r="O153" s="5" t="s">
        <v>139</v>
      </c>
      <c r="P153" s="5" t="s">
        <v>34</v>
      </c>
      <c r="Q153" s="158">
        <v>83</v>
      </c>
      <c r="R153" s="170">
        <v>1</v>
      </c>
      <c r="S153" s="172">
        <v>55350</v>
      </c>
      <c r="U153" s="158">
        <v>45.941000000000003</v>
      </c>
      <c r="V153" s="169">
        <v>5.0000000000000004E-6</v>
      </c>
      <c r="W153" s="169">
        <v>7.8745801541400106E-3</v>
      </c>
      <c r="X153" s="169">
        <v>2.60493698285742E-3</v>
      </c>
    </row>
    <row r="154" spans="1:24">
      <c r="A154" s="5">
        <v>419</v>
      </c>
      <c r="B154" s="5">
        <v>12435</v>
      </c>
      <c r="C154" s="5" t="s">
        <v>992</v>
      </c>
      <c r="D154" s="5" t="s">
        <v>993</v>
      </c>
      <c r="E154" s="5" t="s">
        <v>132</v>
      </c>
      <c r="F154" s="5" t="s">
        <v>994</v>
      </c>
      <c r="G154" s="5" t="s">
        <v>995</v>
      </c>
      <c r="H154" s="5" t="s">
        <v>135</v>
      </c>
      <c r="I154" s="5" t="s">
        <v>804</v>
      </c>
      <c r="J154" s="5" t="s">
        <v>30</v>
      </c>
      <c r="K154" s="5" t="s">
        <v>30</v>
      </c>
      <c r="L154" s="3" t="s">
        <v>137</v>
      </c>
      <c r="M154" s="3" t="s">
        <v>31</v>
      </c>
      <c r="N154" s="5" t="s">
        <v>726</v>
      </c>
      <c r="O154" s="5" t="s">
        <v>139</v>
      </c>
      <c r="P154" s="5" t="s">
        <v>34</v>
      </c>
      <c r="Q154" s="158">
        <v>5121</v>
      </c>
      <c r="R154" s="170">
        <v>1</v>
      </c>
      <c r="S154" s="172">
        <v>875.3</v>
      </c>
      <c r="U154" s="158">
        <v>44.823999999999998</v>
      </c>
      <c r="V154" s="169">
        <v>1.8E-5</v>
      </c>
      <c r="W154" s="169">
        <v>7.6832222256337903E-3</v>
      </c>
      <c r="X154" s="169">
        <v>2.5416351514998799E-3</v>
      </c>
    </row>
    <row r="155" spans="1:24">
      <c r="A155" s="5">
        <v>419</v>
      </c>
      <c r="B155" s="5">
        <v>12435</v>
      </c>
      <c r="C155" s="5" t="s">
        <v>996</v>
      </c>
      <c r="D155" s="5" t="s">
        <v>997</v>
      </c>
      <c r="E155" s="5" t="s">
        <v>132</v>
      </c>
      <c r="F155" s="5" t="s">
        <v>998</v>
      </c>
      <c r="G155" s="5" t="s">
        <v>999</v>
      </c>
      <c r="H155" s="5" t="s">
        <v>135</v>
      </c>
      <c r="I155" s="5" t="s">
        <v>804</v>
      </c>
      <c r="J155" s="5" t="s">
        <v>30</v>
      </c>
      <c r="K155" s="5" t="s">
        <v>30</v>
      </c>
      <c r="L155" s="3" t="s">
        <v>137</v>
      </c>
      <c r="M155" s="3" t="s">
        <v>31</v>
      </c>
      <c r="N155" s="5" t="s">
        <v>204</v>
      </c>
      <c r="O155" s="5" t="s">
        <v>139</v>
      </c>
      <c r="P155" s="5" t="s">
        <v>34</v>
      </c>
      <c r="Q155" s="158">
        <v>59.85</v>
      </c>
      <c r="R155" s="170">
        <v>1</v>
      </c>
      <c r="S155" s="172">
        <v>30.2</v>
      </c>
      <c r="U155" s="158">
        <v>1.7999999999999999E-2</v>
      </c>
      <c r="V155" s="169">
        <v>0</v>
      </c>
      <c r="W155" s="169">
        <v>3.09815247792328E-6</v>
      </c>
      <c r="X155" s="169">
        <v>1.0248790170775901E-6</v>
      </c>
    </row>
    <row r="156" spans="1:24">
      <c r="A156" s="5">
        <v>419</v>
      </c>
      <c r="B156" s="5">
        <v>12435</v>
      </c>
      <c r="C156" s="5" t="s">
        <v>996</v>
      </c>
      <c r="D156" s="5" t="s">
        <v>997</v>
      </c>
      <c r="E156" s="5" t="s">
        <v>132</v>
      </c>
      <c r="F156" s="5" t="s">
        <v>1000</v>
      </c>
      <c r="G156" s="5" t="s">
        <v>1001</v>
      </c>
      <c r="H156" s="5" t="s">
        <v>135</v>
      </c>
      <c r="I156" s="5" t="s">
        <v>804</v>
      </c>
      <c r="J156" s="5" t="s">
        <v>30</v>
      </c>
      <c r="K156" s="5" t="s">
        <v>30</v>
      </c>
      <c r="L156" s="3" t="s">
        <v>137</v>
      </c>
      <c r="M156" s="3" t="s">
        <v>31</v>
      </c>
      <c r="N156" s="5" t="s">
        <v>204</v>
      </c>
      <c r="O156" s="5" t="s">
        <v>139</v>
      </c>
      <c r="P156" s="5" t="s">
        <v>34</v>
      </c>
      <c r="Q156" s="158">
        <v>2214</v>
      </c>
      <c r="R156" s="170">
        <v>1</v>
      </c>
      <c r="S156" s="172">
        <v>560.9</v>
      </c>
      <c r="U156" s="158">
        <v>12.417999999999999</v>
      </c>
      <c r="V156" s="169">
        <v>2.0999999999999999E-5</v>
      </c>
      <c r="W156" s="169">
        <v>2.1286033775697001E-3</v>
      </c>
      <c r="X156" s="169">
        <v>7.0414898972757998E-4</v>
      </c>
    </row>
    <row r="157" spans="1:24">
      <c r="A157" s="5">
        <v>419</v>
      </c>
      <c r="B157" s="5">
        <v>12435</v>
      </c>
      <c r="C157" s="5" t="s">
        <v>852</v>
      </c>
      <c r="D157" s="5" t="s">
        <v>853</v>
      </c>
      <c r="E157" s="5" t="s">
        <v>132</v>
      </c>
      <c r="F157" s="5" t="s">
        <v>854</v>
      </c>
      <c r="G157" s="5" t="s">
        <v>855</v>
      </c>
      <c r="H157" s="5" t="s">
        <v>135</v>
      </c>
      <c r="I157" s="5" t="s">
        <v>804</v>
      </c>
      <c r="J157" s="5" t="s">
        <v>30</v>
      </c>
      <c r="K157" s="5" t="s">
        <v>30</v>
      </c>
      <c r="L157" s="3" t="s">
        <v>137</v>
      </c>
      <c r="M157" s="3" t="s">
        <v>31</v>
      </c>
      <c r="N157" s="5" t="s">
        <v>787</v>
      </c>
      <c r="O157" s="5" t="s">
        <v>139</v>
      </c>
      <c r="P157" s="5" t="s">
        <v>34</v>
      </c>
      <c r="Q157" s="158">
        <v>285</v>
      </c>
      <c r="R157" s="170">
        <v>1</v>
      </c>
      <c r="S157" s="172">
        <v>30530</v>
      </c>
      <c r="U157" s="158">
        <v>87.01</v>
      </c>
      <c r="V157" s="169">
        <v>2.0999999999999999E-5</v>
      </c>
      <c r="W157" s="169">
        <v>1.49143164854932E-2</v>
      </c>
      <c r="X157" s="169">
        <v>4.9337048866885599E-3</v>
      </c>
    </row>
    <row r="158" spans="1:24">
      <c r="A158" s="5">
        <v>419</v>
      </c>
      <c r="B158" s="5">
        <v>12435</v>
      </c>
      <c r="C158" s="5" t="s">
        <v>1002</v>
      </c>
      <c r="D158" s="5" t="s">
        <v>1003</v>
      </c>
      <c r="E158" s="5" t="s">
        <v>441</v>
      </c>
      <c r="F158" s="5" t="s">
        <v>1004</v>
      </c>
      <c r="G158" s="5" t="s">
        <v>1005</v>
      </c>
      <c r="H158" s="5" t="s">
        <v>135</v>
      </c>
      <c r="I158" s="5" t="s">
        <v>804</v>
      </c>
      <c r="J158" s="5" t="s">
        <v>30</v>
      </c>
      <c r="K158" s="5" t="s">
        <v>30</v>
      </c>
      <c r="L158" s="3" t="s">
        <v>137</v>
      </c>
      <c r="M158" s="3" t="s">
        <v>31</v>
      </c>
      <c r="N158" s="5" t="s">
        <v>357</v>
      </c>
      <c r="O158" s="5" t="s">
        <v>139</v>
      </c>
      <c r="P158" s="5" t="s">
        <v>34</v>
      </c>
      <c r="Q158" s="158">
        <v>6440</v>
      </c>
      <c r="R158" s="170">
        <v>1</v>
      </c>
      <c r="S158" s="172">
        <v>454.7</v>
      </c>
      <c r="U158" s="158">
        <v>29.283000000000001</v>
      </c>
      <c r="V158" s="169">
        <v>6.0000000000000002E-6</v>
      </c>
      <c r="W158" s="169">
        <v>5.0192925803600897E-3</v>
      </c>
      <c r="X158" s="169">
        <v>1.66039847387772E-3</v>
      </c>
    </row>
    <row r="159" spans="1:24">
      <c r="A159" s="5">
        <v>419</v>
      </c>
      <c r="B159" s="5">
        <v>12435</v>
      </c>
      <c r="C159" s="5" t="s">
        <v>789</v>
      </c>
      <c r="D159" s="5" t="s">
        <v>790</v>
      </c>
      <c r="E159" s="5" t="s">
        <v>132</v>
      </c>
      <c r="F159" s="5" t="s">
        <v>1006</v>
      </c>
      <c r="G159" s="5" t="s">
        <v>1007</v>
      </c>
      <c r="H159" s="5" t="s">
        <v>135</v>
      </c>
      <c r="I159" s="5" t="s">
        <v>804</v>
      </c>
      <c r="J159" s="5" t="s">
        <v>30</v>
      </c>
      <c r="K159" s="5" t="s">
        <v>30</v>
      </c>
      <c r="L159" s="3" t="s">
        <v>137</v>
      </c>
      <c r="M159" s="3" t="s">
        <v>31</v>
      </c>
      <c r="N159" s="5" t="s">
        <v>793</v>
      </c>
      <c r="O159" s="5" t="s">
        <v>139</v>
      </c>
      <c r="P159" s="5" t="s">
        <v>34</v>
      </c>
      <c r="Q159" s="158">
        <v>1051</v>
      </c>
      <c r="R159" s="170">
        <v>1</v>
      </c>
      <c r="S159" s="172">
        <v>9361</v>
      </c>
      <c r="U159" s="158">
        <v>98.384</v>
      </c>
      <c r="V159" s="169">
        <v>9.0000000000000002E-6</v>
      </c>
      <c r="W159" s="169">
        <v>1.6863846934376599E-2</v>
      </c>
      <c r="X159" s="169">
        <v>5.5786159633550497E-3</v>
      </c>
    </row>
    <row r="160" spans="1:24">
      <c r="A160" s="5">
        <v>419</v>
      </c>
      <c r="B160" s="5">
        <v>12435</v>
      </c>
      <c r="C160" s="5" t="s">
        <v>722</v>
      </c>
      <c r="D160" s="5" t="s">
        <v>723</v>
      </c>
      <c r="E160" s="5" t="s">
        <v>132</v>
      </c>
      <c r="F160" s="5" t="s">
        <v>1008</v>
      </c>
      <c r="G160" s="5" t="s">
        <v>1009</v>
      </c>
      <c r="H160" s="5" t="s">
        <v>135</v>
      </c>
      <c r="I160" s="5" t="s">
        <v>804</v>
      </c>
      <c r="J160" s="5" t="s">
        <v>30</v>
      </c>
      <c r="K160" s="5" t="s">
        <v>30</v>
      </c>
      <c r="L160" s="3" t="s">
        <v>137</v>
      </c>
      <c r="M160" s="3" t="s">
        <v>31</v>
      </c>
      <c r="N160" s="5" t="s">
        <v>726</v>
      </c>
      <c r="O160" s="5" t="s">
        <v>139</v>
      </c>
      <c r="P160" s="5" t="s">
        <v>34</v>
      </c>
      <c r="Q160" s="158">
        <v>2112</v>
      </c>
      <c r="R160" s="170">
        <v>1</v>
      </c>
      <c r="S160" s="172">
        <v>2708</v>
      </c>
      <c r="U160" s="158">
        <v>57.192999999999998</v>
      </c>
      <c r="V160" s="169">
        <v>6.0000000000000002E-6</v>
      </c>
      <c r="W160" s="169">
        <v>9.8033444949994705E-3</v>
      </c>
      <c r="X160" s="169">
        <v>3.2429785627732599E-3</v>
      </c>
    </row>
    <row r="161" spans="1:24">
      <c r="A161" s="5">
        <v>419</v>
      </c>
      <c r="B161" s="5">
        <v>12435</v>
      </c>
      <c r="C161" s="5" t="s">
        <v>856</v>
      </c>
      <c r="D161" s="5" t="s">
        <v>857</v>
      </c>
      <c r="E161" s="5" t="s">
        <v>132</v>
      </c>
      <c r="F161" s="5" t="s">
        <v>858</v>
      </c>
      <c r="G161" s="5" t="s">
        <v>859</v>
      </c>
      <c r="H161" s="5" t="s">
        <v>135</v>
      </c>
      <c r="I161" s="5" t="s">
        <v>804</v>
      </c>
      <c r="J161" s="5" t="s">
        <v>30</v>
      </c>
      <c r="K161" s="5" t="s">
        <v>833</v>
      </c>
      <c r="L161" s="3" t="s">
        <v>137</v>
      </c>
      <c r="M161" s="3" t="s">
        <v>31</v>
      </c>
      <c r="N161" s="5" t="s">
        <v>860</v>
      </c>
      <c r="O161" s="5" t="s">
        <v>139</v>
      </c>
      <c r="P161" s="5" t="s">
        <v>34</v>
      </c>
      <c r="Q161" s="158">
        <v>450</v>
      </c>
      <c r="R161" s="170">
        <v>1</v>
      </c>
      <c r="S161" s="172">
        <v>13500</v>
      </c>
      <c r="U161" s="158">
        <v>60.75</v>
      </c>
      <c r="V161" s="169">
        <v>3.4E-5</v>
      </c>
      <c r="W161" s="169">
        <v>1.04130504536086E-2</v>
      </c>
      <c r="X161" s="169">
        <v>3.4446712967553298E-3</v>
      </c>
    </row>
    <row r="162" spans="1:24">
      <c r="A162" s="5">
        <v>419</v>
      </c>
      <c r="B162" s="5">
        <v>12435</v>
      </c>
      <c r="C162" s="5" t="s">
        <v>728</v>
      </c>
      <c r="D162" s="5" t="s">
        <v>729</v>
      </c>
      <c r="E162" s="5" t="s">
        <v>132</v>
      </c>
      <c r="F162" s="5" t="s">
        <v>1010</v>
      </c>
      <c r="G162" s="5" t="s">
        <v>1011</v>
      </c>
      <c r="H162" s="5" t="s">
        <v>135</v>
      </c>
      <c r="I162" s="5" t="s">
        <v>804</v>
      </c>
      <c r="J162" s="5" t="s">
        <v>30</v>
      </c>
      <c r="K162" s="5" t="s">
        <v>30</v>
      </c>
      <c r="L162" s="3" t="s">
        <v>137</v>
      </c>
      <c r="M162" s="3" t="s">
        <v>31</v>
      </c>
      <c r="N162" s="5" t="s">
        <v>705</v>
      </c>
      <c r="O162" s="5" t="s">
        <v>139</v>
      </c>
      <c r="P162" s="5" t="s">
        <v>34</v>
      </c>
      <c r="Q162" s="158">
        <v>126</v>
      </c>
      <c r="R162" s="170">
        <v>1</v>
      </c>
      <c r="S162" s="172">
        <v>16620</v>
      </c>
      <c r="U162" s="158">
        <v>20.940999999999999</v>
      </c>
      <c r="V162" s="169">
        <v>1.5E-5</v>
      </c>
      <c r="W162" s="169">
        <v>3.5894941919194798E-3</v>
      </c>
      <c r="X162" s="169">
        <v>1.18741647011708E-3</v>
      </c>
    </row>
    <row r="163" spans="1:24">
      <c r="A163" s="5">
        <v>419</v>
      </c>
      <c r="B163" s="5">
        <v>12435</v>
      </c>
      <c r="C163" s="5" t="s">
        <v>1012</v>
      </c>
      <c r="D163" s="5" t="s">
        <v>1013</v>
      </c>
      <c r="E163" s="5" t="s">
        <v>809</v>
      </c>
      <c r="F163" s="5" t="s">
        <v>1014</v>
      </c>
      <c r="G163" s="5" t="s">
        <v>1015</v>
      </c>
      <c r="H163" s="5" t="s">
        <v>135</v>
      </c>
      <c r="I163" s="5" t="s">
        <v>804</v>
      </c>
      <c r="J163" s="5" t="s">
        <v>741</v>
      </c>
      <c r="K163" s="5" t="s">
        <v>168</v>
      </c>
      <c r="L163" s="3" t="s">
        <v>137</v>
      </c>
      <c r="M163" s="3" t="s">
        <v>1016</v>
      </c>
      <c r="N163" s="5" t="s">
        <v>1017</v>
      </c>
      <c r="O163" s="5" t="s">
        <v>139</v>
      </c>
      <c r="P163" s="5" t="s">
        <v>427</v>
      </c>
      <c r="Q163" s="158">
        <v>100</v>
      </c>
      <c r="R163" s="170">
        <v>3.306</v>
      </c>
      <c r="S163" s="172">
        <v>12142</v>
      </c>
      <c r="U163" s="158">
        <v>40.140999999999998</v>
      </c>
      <c r="V163" s="169">
        <v>0</v>
      </c>
      <c r="W163" s="169">
        <v>6.88057555484951E-3</v>
      </c>
      <c r="X163" s="169">
        <v>2.27611699612316E-3</v>
      </c>
    </row>
    <row r="164" spans="1:24">
      <c r="A164" s="5">
        <v>419</v>
      </c>
      <c r="B164" s="5">
        <v>12435</v>
      </c>
      <c r="C164" s="5" t="s">
        <v>1018</v>
      </c>
      <c r="D164" s="5" t="s">
        <v>1019</v>
      </c>
      <c r="E164" s="5" t="s">
        <v>809</v>
      </c>
      <c r="F164" s="5" t="s">
        <v>1020</v>
      </c>
      <c r="G164" s="5" t="s">
        <v>1021</v>
      </c>
      <c r="H164" s="5" t="s">
        <v>135</v>
      </c>
      <c r="I164" s="5" t="s">
        <v>804</v>
      </c>
      <c r="J164" s="5" t="s">
        <v>741</v>
      </c>
      <c r="K164" s="5" t="s">
        <v>168</v>
      </c>
      <c r="L164" s="3" t="s">
        <v>137</v>
      </c>
      <c r="M164" s="3" t="s">
        <v>1016</v>
      </c>
      <c r="N164" s="5" t="s">
        <v>1022</v>
      </c>
      <c r="O164" s="5" t="s">
        <v>139</v>
      </c>
      <c r="P164" s="5" t="s">
        <v>427</v>
      </c>
      <c r="Q164" s="158">
        <v>45</v>
      </c>
      <c r="R164" s="170">
        <v>3.306</v>
      </c>
      <c r="S164" s="172">
        <v>24355</v>
      </c>
      <c r="U164" s="158">
        <v>36.232999999999997</v>
      </c>
      <c r="V164" s="169">
        <v>0</v>
      </c>
      <c r="W164" s="169">
        <v>6.2106232858888102E-3</v>
      </c>
      <c r="X164" s="169">
        <v>2.0544945847686398E-3</v>
      </c>
    </row>
    <row r="165" spans="1:24">
      <c r="A165" s="5">
        <v>419</v>
      </c>
      <c r="B165" s="5">
        <v>12435</v>
      </c>
      <c r="C165" s="5" t="s">
        <v>1018</v>
      </c>
      <c r="D165" s="5" t="s">
        <v>1019</v>
      </c>
      <c r="E165" s="5" t="s">
        <v>809</v>
      </c>
      <c r="F165" s="5" t="s">
        <v>1149</v>
      </c>
      <c r="G165" s="5" t="s">
        <v>1150</v>
      </c>
      <c r="H165" s="5" t="s">
        <v>135</v>
      </c>
      <c r="I165" s="5" t="s">
        <v>804</v>
      </c>
      <c r="J165" s="5" t="s">
        <v>741</v>
      </c>
      <c r="K165" s="5" t="s">
        <v>168</v>
      </c>
      <c r="L165" s="3" t="s">
        <v>137</v>
      </c>
      <c r="M165" s="3" t="s">
        <v>1016</v>
      </c>
      <c r="N165" s="5" t="s">
        <v>1079</v>
      </c>
      <c r="O165" s="5" t="s">
        <v>139</v>
      </c>
      <c r="P165" s="5" t="s">
        <v>427</v>
      </c>
      <c r="Q165" s="158">
        <v>65</v>
      </c>
      <c r="R165" s="170">
        <v>3.306</v>
      </c>
      <c r="S165" s="172">
        <v>24310</v>
      </c>
      <c r="U165" s="158">
        <v>52.24</v>
      </c>
      <c r="V165" s="169">
        <v>0</v>
      </c>
      <c r="W165" s="169">
        <v>8.9543250395284508E-3</v>
      </c>
      <c r="X165" s="169">
        <v>2.96212013788833E-3</v>
      </c>
    </row>
    <row r="166" spans="1:24">
      <c r="A166" s="5">
        <v>419</v>
      </c>
      <c r="B166" s="5">
        <v>12435</v>
      </c>
      <c r="C166" s="5" t="s">
        <v>1023</v>
      </c>
      <c r="D166" s="5" t="s">
        <v>1024</v>
      </c>
      <c r="E166" s="5" t="s">
        <v>809</v>
      </c>
      <c r="F166" s="5" t="s">
        <v>1025</v>
      </c>
      <c r="G166" s="5" t="s">
        <v>1026</v>
      </c>
      <c r="H166" s="5" t="s">
        <v>135</v>
      </c>
      <c r="I166" s="5" t="s">
        <v>804</v>
      </c>
      <c r="J166" s="5" t="s">
        <v>741</v>
      </c>
      <c r="K166" s="5" t="s">
        <v>168</v>
      </c>
      <c r="L166" s="3" t="s">
        <v>137</v>
      </c>
      <c r="M166" s="3" t="s">
        <v>1016</v>
      </c>
      <c r="N166" s="5" t="s">
        <v>1027</v>
      </c>
      <c r="O166" s="5" t="s">
        <v>139</v>
      </c>
      <c r="P166" s="5" t="s">
        <v>427</v>
      </c>
      <c r="Q166" s="158">
        <v>119</v>
      </c>
      <c r="R166" s="170">
        <v>3.306</v>
      </c>
      <c r="S166" s="172">
        <v>21957</v>
      </c>
      <c r="U166" s="158">
        <v>86.382000000000005</v>
      </c>
      <c r="V166" s="169">
        <v>0</v>
      </c>
      <c r="W166" s="169">
        <v>1.4806571320607699E-2</v>
      </c>
      <c r="X166" s="169">
        <v>4.8980624322033199E-3</v>
      </c>
    </row>
    <row r="167" spans="1:24">
      <c r="A167" s="5">
        <v>419</v>
      </c>
      <c r="B167" s="5">
        <v>12435</v>
      </c>
      <c r="C167" s="5" t="s">
        <v>1032</v>
      </c>
      <c r="D167" s="5" t="s">
        <v>1033</v>
      </c>
      <c r="E167" s="5" t="s">
        <v>809</v>
      </c>
      <c r="F167" s="5" t="s">
        <v>1034</v>
      </c>
      <c r="G167" s="5" t="s">
        <v>1035</v>
      </c>
      <c r="H167" s="5" t="s">
        <v>135</v>
      </c>
      <c r="I167" s="5" t="s">
        <v>804</v>
      </c>
      <c r="J167" s="5" t="s">
        <v>741</v>
      </c>
      <c r="K167" s="5" t="s">
        <v>168</v>
      </c>
      <c r="L167" s="3" t="s">
        <v>137</v>
      </c>
      <c r="M167" s="3" t="s">
        <v>1036</v>
      </c>
      <c r="N167" s="5" t="s">
        <v>1037</v>
      </c>
      <c r="O167" s="5" t="s">
        <v>139</v>
      </c>
      <c r="P167" s="5" t="s">
        <v>427</v>
      </c>
      <c r="Q167" s="158">
        <v>46</v>
      </c>
      <c r="R167" s="170">
        <v>3.306</v>
      </c>
      <c r="S167" s="172">
        <v>50274</v>
      </c>
      <c r="U167" s="158">
        <v>76.454999999999998</v>
      </c>
      <c r="V167" s="169">
        <v>0</v>
      </c>
      <c r="W167" s="169">
        <v>1.31049633919018E-2</v>
      </c>
      <c r="X167" s="169">
        <v>4.3351649396330101E-3</v>
      </c>
    </row>
    <row r="168" spans="1:24">
      <c r="A168" s="5">
        <v>419</v>
      </c>
      <c r="B168" s="5">
        <v>12435</v>
      </c>
      <c r="C168" s="5" t="s">
        <v>1038</v>
      </c>
      <c r="D168" s="5" t="s">
        <v>1039</v>
      </c>
      <c r="E168" s="5" t="s">
        <v>809</v>
      </c>
      <c r="F168" s="5" t="s">
        <v>1040</v>
      </c>
      <c r="G168" s="5" t="s">
        <v>1041</v>
      </c>
      <c r="H168" s="5" t="s">
        <v>135</v>
      </c>
      <c r="I168" s="5" t="s">
        <v>804</v>
      </c>
      <c r="J168" s="5" t="s">
        <v>741</v>
      </c>
      <c r="K168" s="5" t="s">
        <v>168</v>
      </c>
      <c r="L168" s="3" t="s">
        <v>137</v>
      </c>
      <c r="M168" s="3" t="s">
        <v>1016</v>
      </c>
      <c r="N168" s="5" t="s">
        <v>742</v>
      </c>
      <c r="O168" s="5" t="s">
        <v>139</v>
      </c>
      <c r="P168" s="5" t="s">
        <v>427</v>
      </c>
      <c r="Q168" s="158">
        <v>62</v>
      </c>
      <c r="R168" s="170">
        <v>3.306</v>
      </c>
      <c r="S168" s="172">
        <v>14008</v>
      </c>
      <c r="U168" s="158">
        <v>28.712</v>
      </c>
      <c r="V168" s="169">
        <v>0</v>
      </c>
      <c r="W168" s="169">
        <v>4.9215552191439402E-3</v>
      </c>
      <c r="X168" s="169">
        <v>1.62806663372178E-3</v>
      </c>
    </row>
    <row r="169" spans="1:24">
      <c r="A169" s="5">
        <v>419</v>
      </c>
      <c r="B169" s="5">
        <v>12435</v>
      </c>
      <c r="C169" s="5" t="s">
        <v>1042</v>
      </c>
      <c r="D169" s="5" t="s">
        <v>1043</v>
      </c>
      <c r="E169" s="5" t="s">
        <v>809</v>
      </c>
      <c r="F169" s="5" t="s">
        <v>1044</v>
      </c>
      <c r="G169" s="5" t="s">
        <v>1045</v>
      </c>
      <c r="H169" s="5" t="s">
        <v>135</v>
      </c>
      <c r="I169" s="5" t="s">
        <v>804</v>
      </c>
      <c r="J169" s="5" t="s">
        <v>741</v>
      </c>
      <c r="K169" s="5" t="s">
        <v>168</v>
      </c>
      <c r="L169" s="3" t="s">
        <v>137</v>
      </c>
      <c r="M169" s="3" t="s">
        <v>1016</v>
      </c>
      <c r="N169" s="5" t="s">
        <v>1046</v>
      </c>
      <c r="O169" s="5" t="s">
        <v>139</v>
      </c>
      <c r="P169" s="5" t="s">
        <v>427</v>
      </c>
      <c r="Q169" s="158">
        <v>12</v>
      </c>
      <c r="R169" s="170">
        <v>3.306</v>
      </c>
      <c r="S169" s="172">
        <v>92563</v>
      </c>
      <c r="U169" s="158">
        <v>36.722000000000001</v>
      </c>
      <c r="V169" s="169">
        <v>0</v>
      </c>
      <c r="W169" s="169">
        <v>6.2943836114333898E-3</v>
      </c>
      <c r="X169" s="169">
        <v>2.0822027756100901E-3</v>
      </c>
    </row>
    <row r="170" spans="1:24">
      <c r="A170" s="5">
        <v>419</v>
      </c>
      <c r="B170" s="5">
        <v>12435</v>
      </c>
      <c r="C170" s="5" t="s">
        <v>1047</v>
      </c>
      <c r="D170" s="5" t="s">
        <v>1048</v>
      </c>
      <c r="E170" s="5" t="s">
        <v>809</v>
      </c>
      <c r="F170" s="5" t="s">
        <v>1049</v>
      </c>
      <c r="G170" s="5" t="s">
        <v>1050</v>
      </c>
      <c r="H170" s="5" t="s">
        <v>135</v>
      </c>
      <c r="I170" s="5" t="s">
        <v>804</v>
      </c>
      <c r="J170" s="5" t="s">
        <v>741</v>
      </c>
      <c r="K170" s="5" t="s">
        <v>833</v>
      </c>
      <c r="L170" s="3" t="s">
        <v>137</v>
      </c>
      <c r="M170" s="3" t="s">
        <v>1036</v>
      </c>
      <c r="N170" s="5" t="s">
        <v>742</v>
      </c>
      <c r="O170" s="5" t="s">
        <v>139</v>
      </c>
      <c r="P170" s="5" t="s">
        <v>427</v>
      </c>
      <c r="Q170" s="158">
        <v>38</v>
      </c>
      <c r="R170" s="170">
        <v>3.306</v>
      </c>
      <c r="S170" s="172">
        <v>76300</v>
      </c>
      <c r="U170" s="158">
        <v>95.853999999999999</v>
      </c>
      <c r="V170" s="169">
        <v>0</v>
      </c>
      <c r="W170" s="169">
        <v>1.6430193348485101E-2</v>
      </c>
      <c r="X170" s="169">
        <v>5.4351619325971696E-3</v>
      </c>
    </row>
    <row r="171" spans="1:24">
      <c r="A171" s="5">
        <v>419</v>
      </c>
      <c r="B171" s="5">
        <v>12435</v>
      </c>
      <c r="C171" s="5" t="s">
        <v>1051</v>
      </c>
      <c r="D171" s="5" t="s">
        <v>1052</v>
      </c>
      <c r="E171" s="5" t="s">
        <v>809</v>
      </c>
      <c r="F171" s="5" t="s">
        <v>1053</v>
      </c>
      <c r="G171" s="5" t="s">
        <v>1054</v>
      </c>
      <c r="H171" s="5" t="s">
        <v>135</v>
      </c>
      <c r="I171" s="5" t="s">
        <v>804</v>
      </c>
      <c r="J171" s="5" t="s">
        <v>741</v>
      </c>
      <c r="K171" s="5" t="s">
        <v>168</v>
      </c>
      <c r="L171" s="3" t="s">
        <v>137</v>
      </c>
      <c r="M171" s="3" t="s">
        <v>1016</v>
      </c>
      <c r="N171" s="5" t="s">
        <v>1055</v>
      </c>
      <c r="O171" s="5" t="s">
        <v>139</v>
      </c>
      <c r="P171" s="5" t="s">
        <v>427</v>
      </c>
      <c r="Q171" s="158">
        <v>368</v>
      </c>
      <c r="R171" s="170">
        <v>3.306</v>
      </c>
      <c r="S171" s="172">
        <v>5797</v>
      </c>
      <c r="U171" s="158">
        <v>70.527000000000001</v>
      </c>
      <c r="V171" s="169">
        <v>9.9999999999999995E-7</v>
      </c>
      <c r="W171" s="169">
        <v>1.2088868645081701E-2</v>
      </c>
      <c r="X171" s="169">
        <v>3.99903745953018E-3</v>
      </c>
    </row>
    <row r="172" spans="1:24">
      <c r="A172" s="5">
        <v>419</v>
      </c>
      <c r="B172" s="5">
        <v>12435</v>
      </c>
      <c r="C172" s="5" t="s">
        <v>1061</v>
      </c>
      <c r="D172" s="5" t="s">
        <v>1062</v>
      </c>
      <c r="E172" s="5" t="s">
        <v>809</v>
      </c>
      <c r="F172" s="5" t="s">
        <v>1061</v>
      </c>
      <c r="G172" s="5" t="s">
        <v>1063</v>
      </c>
      <c r="H172" s="5" t="s">
        <v>135</v>
      </c>
      <c r="I172" s="5" t="s">
        <v>804</v>
      </c>
      <c r="J172" s="5" t="s">
        <v>741</v>
      </c>
      <c r="K172" s="5" t="s">
        <v>168</v>
      </c>
      <c r="L172" s="3" t="s">
        <v>137</v>
      </c>
      <c r="M172" s="3" t="s">
        <v>1016</v>
      </c>
      <c r="N172" s="5" t="s">
        <v>1064</v>
      </c>
      <c r="O172" s="5" t="s">
        <v>139</v>
      </c>
      <c r="P172" s="5" t="s">
        <v>427</v>
      </c>
      <c r="Q172" s="158">
        <v>599</v>
      </c>
      <c r="R172" s="170">
        <v>3.306</v>
      </c>
      <c r="S172" s="172">
        <v>3355</v>
      </c>
      <c r="U172" s="158">
        <v>66.438999999999993</v>
      </c>
      <c r="V172" s="169">
        <v>0</v>
      </c>
      <c r="W172" s="169">
        <v>1.1388168556189701E-2</v>
      </c>
      <c r="X172" s="169">
        <v>3.7672435683362899E-3</v>
      </c>
    </row>
    <row r="173" spans="1:24">
      <c r="A173" s="5">
        <v>419</v>
      </c>
      <c r="B173" s="5">
        <v>12435</v>
      </c>
      <c r="C173" s="5" t="s">
        <v>861</v>
      </c>
      <c r="D173" s="5" t="s">
        <v>862</v>
      </c>
      <c r="E173" s="5" t="s">
        <v>809</v>
      </c>
      <c r="F173" s="5" t="s">
        <v>863</v>
      </c>
      <c r="G173" s="5" t="s">
        <v>864</v>
      </c>
      <c r="H173" s="5" t="s">
        <v>135</v>
      </c>
      <c r="I173" s="5" t="s">
        <v>804</v>
      </c>
      <c r="J173" s="5" t="s">
        <v>741</v>
      </c>
      <c r="K173" s="5" t="s">
        <v>833</v>
      </c>
      <c r="L173" s="3" t="s">
        <v>137</v>
      </c>
      <c r="M173" s="3" t="s">
        <v>240</v>
      </c>
      <c r="N173" s="5" t="s">
        <v>865</v>
      </c>
      <c r="O173" s="5" t="s">
        <v>139</v>
      </c>
      <c r="P173" s="5" t="s">
        <v>427</v>
      </c>
      <c r="Q173" s="158">
        <v>354</v>
      </c>
      <c r="R173" s="170">
        <v>3.306</v>
      </c>
      <c r="S173" s="172">
        <v>4800</v>
      </c>
      <c r="U173" s="158">
        <v>56.176000000000002</v>
      </c>
      <c r="V173" s="169">
        <v>0</v>
      </c>
      <c r="W173" s="169">
        <v>9.6289523824742897E-3</v>
      </c>
      <c r="X173" s="169">
        <v>3.18528907907468E-3</v>
      </c>
    </row>
    <row r="174" spans="1:24">
      <c r="A174" s="5">
        <v>419</v>
      </c>
      <c r="B174" s="5">
        <v>12435</v>
      </c>
      <c r="C174" s="5" t="s">
        <v>1065</v>
      </c>
      <c r="D174" s="5" t="s">
        <v>1066</v>
      </c>
      <c r="E174" s="5" t="s">
        <v>809</v>
      </c>
      <c r="F174" s="5" t="s">
        <v>1067</v>
      </c>
      <c r="G174" s="5" t="s">
        <v>1068</v>
      </c>
      <c r="H174" s="5" t="s">
        <v>135</v>
      </c>
      <c r="I174" s="5" t="s">
        <v>804</v>
      </c>
      <c r="J174" s="5" t="s">
        <v>741</v>
      </c>
      <c r="K174" s="5" t="s">
        <v>168</v>
      </c>
      <c r="L174" s="3" t="s">
        <v>137</v>
      </c>
      <c r="M174" s="3" t="s">
        <v>1036</v>
      </c>
      <c r="N174" s="5" t="s">
        <v>1069</v>
      </c>
      <c r="O174" s="5" t="s">
        <v>139</v>
      </c>
      <c r="P174" s="5" t="s">
        <v>427</v>
      </c>
      <c r="Q174" s="158">
        <v>21</v>
      </c>
      <c r="R174" s="170">
        <v>3.306</v>
      </c>
      <c r="S174" s="172">
        <v>56881</v>
      </c>
      <c r="U174" s="158">
        <v>39.49</v>
      </c>
      <c r="V174" s="169">
        <v>0</v>
      </c>
      <c r="W174" s="169">
        <v>6.7689461215971799E-3</v>
      </c>
      <c r="X174" s="169">
        <v>2.2391896129024102E-3</v>
      </c>
    </row>
    <row r="175" spans="1:24">
      <c r="A175" s="5">
        <v>419</v>
      </c>
      <c r="B175" s="5">
        <v>12435</v>
      </c>
      <c r="C175" s="5" t="s">
        <v>1070</v>
      </c>
      <c r="D175" s="5" t="s">
        <v>1071</v>
      </c>
      <c r="E175" s="5" t="s">
        <v>809</v>
      </c>
      <c r="F175" s="5" t="s">
        <v>1072</v>
      </c>
      <c r="G175" s="5" t="s">
        <v>1073</v>
      </c>
      <c r="H175" s="5" t="s">
        <v>135</v>
      </c>
      <c r="I175" s="5" t="s">
        <v>804</v>
      </c>
      <c r="J175" s="5" t="s">
        <v>741</v>
      </c>
      <c r="K175" s="5" t="s">
        <v>1074</v>
      </c>
      <c r="L175" s="3" t="s">
        <v>137</v>
      </c>
      <c r="M175" s="3" t="s">
        <v>1016</v>
      </c>
      <c r="N175" s="5" t="s">
        <v>1031</v>
      </c>
      <c r="O175" s="5" t="s">
        <v>139</v>
      </c>
      <c r="P175" s="5" t="s">
        <v>427</v>
      </c>
      <c r="Q175" s="158">
        <v>11</v>
      </c>
      <c r="R175" s="170">
        <v>3.306</v>
      </c>
      <c r="S175" s="172">
        <v>233694</v>
      </c>
      <c r="U175" s="158">
        <v>84.984999999999999</v>
      </c>
      <c r="V175" s="169">
        <v>0</v>
      </c>
      <c r="W175" s="169">
        <v>1.45671565317617E-2</v>
      </c>
      <c r="X175" s="169">
        <v>4.8188632335793603E-3</v>
      </c>
    </row>
    <row r="176" spans="1:24">
      <c r="A176" s="5">
        <v>419</v>
      </c>
      <c r="B176" s="5">
        <v>12435</v>
      </c>
      <c r="C176" s="5" t="s">
        <v>1075</v>
      </c>
      <c r="D176" s="5" t="s">
        <v>1076</v>
      </c>
      <c r="E176" s="5" t="s">
        <v>809</v>
      </c>
      <c r="F176" s="5" t="s">
        <v>1077</v>
      </c>
      <c r="G176" s="5" t="s">
        <v>1078</v>
      </c>
      <c r="H176" s="5" t="s">
        <v>135</v>
      </c>
      <c r="I176" s="5" t="s">
        <v>804</v>
      </c>
      <c r="J176" s="5" t="s">
        <v>741</v>
      </c>
      <c r="K176" s="5" t="s">
        <v>168</v>
      </c>
      <c r="L176" s="3" t="s">
        <v>137</v>
      </c>
      <c r="M176" s="3" t="s">
        <v>1016</v>
      </c>
      <c r="N176" s="5" t="s">
        <v>1079</v>
      </c>
      <c r="O176" s="5" t="s">
        <v>139</v>
      </c>
      <c r="P176" s="5" t="s">
        <v>427</v>
      </c>
      <c r="Q176" s="158">
        <v>37</v>
      </c>
      <c r="R176" s="170">
        <v>3.306</v>
      </c>
      <c r="S176" s="172">
        <v>51795</v>
      </c>
      <c r="U176" s="158">
        <v>63.356999999999999</v>
      </c>
      <c r="V176" s="169">
        <v>0</v>
      </c>
      <c r="W176" s="169">
        <v>1.0859856862087699E-2</v>
      </c>
      <c r="X176" s="169">
        <v>3.5924763244320301E-3</v>
      </c>
    </row>
    <row r="177" spans="1:24">
      <c r="A177" s="5">
        <v>419</v>
      </c>
      <c r="B177" s="5">
        <v>12435</v>
      </c>
      <c r="C177" s="5" t="s">
        <v>1080</v>
      </c>
      <c r="D177" s="5" t="s">
        <v>1081</v>
      </c>
      <c r="E177" s="5" t="s">
        <v>809</v>
      </c>
      <c r="F177" s="5" t="s">
        <v>1080</v>
      </c>
      <c r="G177" s="5" t="s">
        <v>1082</v>
      </c>
      <c r="H177" s="5" t="s">
        <v>135</v>
      </c>
      <c r="I177" s="5" t="s">
        <v>804</v>
      </c>
      <c r="J177" s="5" t="s">
        <v>741</v>
      </c>
      <c r="K177" s="5" t="s">
        <v>168</v>
      </c>
      <c r="L177" s="3" t="s">
        <v>137</v>
      </c>
      <c r="M177" s="3" t="s">
        <v>1016</v>
      </c>
      <c r="N177" s="5" t="s">
        <v>742</v>
      </c>
      <c r="O177" s="5" t="s">
        <v>139</v>
      </c>
      <c r="P177" s="5" t="s">
        <v>427</v>
      </c>
      <c r="Q177" s="158">
        <v>108</v>
      </c>
      <c r="R177" s="170">
        <v>3.306</v>
      </c>
      <c r="S177" s="172">
        <v>2583</v>
      </c>
      <c r="U177" s="158">
        <v>9.2230000000000008</v>
      </c>
      <c r="V177" s="169">
        <v>0</v>
      </c>
      <c r="W177" s="169">
        <v>1.5808210171990101E-3</v>
      </c>
      <c r="X177" s="169">
        <v>5.2294078546079802E-4</v>
      </c>
    </row>
    <row r="178" spans="1:24">
      <c r="A178" s="5">
        <v>419</v>
      </c>
      <c r="B178" s="5">
        <v>12435</v>
      </c>
      <c r="C178" s="5" t="s">
        <v>866</v>
      </c>
      <c r="D178" s="5" t="s">
        <v>867</v>
      </c>
      <c r="E178" s="5" t="s">
        <v>809</v>
      </c>
      <c r="F178" s="5" t="s">
        <v>868</v>
      </c>
      <c r="G178" s="5" t="s">
        <v>869</v>
      </c>
      <c r="H178" s="5" t="s">
        <v>135</v>
      </c>
      <c r="I178" s="5" t="s">
        <v>804</v>
      </c>
      <c r="J178" s="5" t="s">
        <v>741</v>
      </c>
      <c r="K178" s="5" t="s">
        <v>168</v>
      </c>
      <c r="L178" s="3" t="s">
        <v>137</v>
      </c>
      <c r="M178" s="3" t="s">
        <v>240</v>
      </c>
      <c r="N178" s="5" t="s">
        <v>870</v>
      </c>
      <c r="O178" s="5" t="s">
        <v>139</v>
      </c>
      <c r="P178" s="5" t="s">
        <v>427</v>
      </c>
      <c r="Q178" s="158">
        <v>112</v>
      </c>
      <c r="R178" s="170">
        <v>3.306</v>
      </c>
      <c r="S178" s="172">
        <v>14216</v>
      </c>
      <c r="U178" s="158">
        <v>52.637999999999998</v>
      </c>
      <c r="V178" s="169">
        <v>0</v>
      </c>
      <c r="W178" s="169">
        <v>9.0225641194423903E-3</v>
      </c>
      <c r="X178" s="169">
        <v>2.9846938496881298E-3</v>
      </c>
    </row>
    <row r="179" spans="1:24">
      <c r="A179" s="5">
        <v>419</v>
      </c>
      <c r="B179" s="5">
        <v>12435</v>
      </c>
      <c r="C179" s="5" t="s">
        <v>1083</v>
      </c>
      <c r="D179" s="5" t="s">
        <v>1084</v>
      </c>
      <c r="E179" s="5" t="s">
        <v>809</v>
      </c>
      <c r="F179" s="5" t="s">
        <v>1085</v>
      </c>
      <c r="G179" s="5" t="s">
        <v>1086</v>
      </c>
      <c r="H179" s="5" t="s">
        <v>135</v>
      </c>
      <c r="I179" s="5" t="s">
        <v>804</v>
      </c>
      <c r="J179" s="5" t="s">
        <v>741</v>
      </c>
      <c r="K179" s="5" t="s">
        <v>168</v>
      </c>
      <c r="L179" s="3" t="s">
        <v>137</v>
      </c>
      <c r="M179" s="3" t="s">
        <v>1016</v>
      </c>
      <c r="N179" s="5" t="s">
        <v>1064</v>
      </c>
      <c r="O179" s="5" t="s">
        <v>139</v>
      </c>
      <c r="P179" s="5" t="s">
        <v>427</v>
      </c>
      <c r="Q179" s="158">
        <v>189</v>
      </c>
      <c r="R179" s="170">
        <v>3.306</v>
      </c>
      <c r="S179" s="172">
        <v>8407</v>
      </c>
      <c r="U179" s="158">
        <v>52.53</v>
      </c>
      <c r="V179" s="169">
        <v>0</v>
      </c>
      <c r="W179" s="169">
        <v>9.0040394929485606E-3</v>
      </c>
      <c r="X179" s="169">
        <v>2.97856584239087E-3</v>
      </c>
    </row>
    <row r="180" spans="1:24">
      <c r="A180" s="5">
        <v>419</v>
      </c>
      <c r="B180" s="5">
        <v>12435</v>
      </c>
      <c r="C180" s="5" t="s">
        <v>1087</v>
      </c>
      <c r="D180" s="5" t="s">
        <v>1088</v>
      </c>
      <c r="E180" s="5" t="s">
        <v>809</v>
      </c>
      <c r="F180" s="5" t="s">
        <v>1089</v>
      </c>
      <c r="G180" s="5" t="s">
        <v>1090</v>
      </c>
      <c r="H180" s="5" t="s">
        <v>135</v>
      </c>
      <c r="I180" s="5" t="s">
        <v>804</v>
      </c>
      <c r="J180" s="5" t="s">
        <v>741</v>
      </c>
      <c r="K180" s="5" t="s">
        <v>168</v>
      </c>
      <c r="L180" s="3" t="s">
        <v>137</v>
      </c>
      <c r="M180" s="3" t="s">
        <v>1036</v>
      </c>
      <c r="N180" s="5" t="s">
        <v>1031</v>
      </c>
      <c r="O180" s="5" t="s">
        <v>139</v>
      </c>
      <c r="P180" s="5" t="s">
        <v>427</v>
      </c>
      <c r="Q180" s="158">
        <v>285</v>
      </c>
      <c r="R180" s="170">
        <v>3.306</v>
      </c>
      <c r="S180" s="172">
        <v>6973</v>
      </c>
      <c r="T180" s="157">
        <v>0.114</v>
      </c>
      <c r="U180" s="158">
        <v>66.076999999999998</v>
      </c>
      <c r="V180" s="169">
        <v>0</v>
      </c>
      <c r="W180" s="169">
        <v>1.13261742417686E-2</v>
      </c>
      <c r="X180" s="169">
        <v>3.7467356454754901E-3</v>
      </c>
    </row>
    <row r="181" spans="1:24">
      <c r="A181" s="5">
        <v>419</v>
      </c>
      <c r="B181" s="5">
        <v>12435</v>
      </c>
      <c r="C181" s="5" t="s">
        <v>1091</v>
      </c>
      <c r="D181" s="5" t="s">
        <v>1092</v>
      </c>
      <c r="E181" s="5" t="s">
        <v>809</v>
      </c>
      <c r="F181" s="5" t="s">
        <v>1093</v>
      </c>
      <c r="G181" s="5" t="s">
        <v>1094</v>
      </c>
      <c r="H181" s="5" t="s">
        <v>135</v>
      </c>
      <c r="I181" s="5" t="s">
        <v>804</v>
      </c>
      <c r="J181" s="5" t="s">
        <v>741</v>
      </c>
      <c r="K181" s="5" t="s">
        <v>168</v>
      </c>
      <c r="L181" s="3" t="s">
        <v>137</v>
      </c>
      <c r="M181" s="3" t="s">
        <v>1036</v>
      </c>
      <c r="N181" s="5" t="s">
        <v>1095</v>
      </c>
      <c r="O181" s="5" t="s">
        <v>139</v>
      </c>
      <c r="P181" s="5" t="s">
        <v>427</v>
      </c>
      <c r="Q181" s="158">
        <v>35</v>
      </c>
      <c r="R181" s="170">
        <v>3.306</v>
      </c>
      <c r="S181" s="172">
        <v>60932</v>
      </c>
      <c r="U181" s="158">
        <v>70.504000000000005</v>
      </c>
      <c r="V181" s="169">
        <v>0</v>
      </c>
      <c r="W181" s="169">
        <v>1.2085037917792101E-2</v>
      </c>
      <c r="X181" s="169">
        <v>3.9977702423588998E-3</v>
      </c>
    </row>
    <row r="182" spans="1:24">
      <c r="A182" s="5">
        <v>419</v>
      </c>
      <c r="B182" s="5">
        <v>12435</v>
      </c>
      <c r="C182" s="5" t="s">
        <v>1096</v>
      </c>
      <c r="D182" s="5" t="s">
        <v>1097</v>
      </c>
      <c r="E182" s="5" t="s">
        <v>809</v>
      </c>
      <c r="F182" s="5" t="s">
        <v>1098</v>
      </c>
      <c r="G182" s="5" t="s">
        <v>1099</v>
      </c>
      <c r="H182" s="5" t="s">
        <v>135</v>
      </c>
      <c r="I182" s="5" t="s">
        <v>804</v>
      </c>
      <c r="J182" s="5" t="s">
        <v>741</v>
      </c>
      <c r="K182" s="5" t="s">
        <v>168</v>
      </c>
      <c r="L182" s="3" t="s">
        <v>137</v>
      </c>
      <c r="M182" s="3" t="s">
        <v>1016</v>
      </c>
      <c r="N182" s="5" t="s">
        <v>1064</v>
      </c>
      <c r="O182" s="5" t="s">
        <v>139</v>
      </c>
      <c r="P182" s="5" t="s">
        <v>427</v>
      </c>
      <c r="Q182" s="158">
        <v>235</v>
      </c>
      <c r="R182" s="170">
        <v>3.306</v>
      </c>
      <c r="S182" s="172">
        <v>18658</v>
      </c>
      <c r="T182" s="157">
        <v>2E-3</v>
      </c>
      <c r="U182" s="158">
        <v>144.964</v>
      </c>
      <c r="V182" s="169">
        <v>0</v>
      </c>
      <c r="W182" s="169">
        <v>2.4847961563428701E-2</v>
      </c>
      <c r="X182" s="169">
        <v>8.2197873103323806E-3</v>
      </c>
    </row>
    <row r="183" spans="1:24">
      <c r="A183" s="5">
        <v>419</v>
      </c>
      <c r="B183" s="5">
        <v>12435</v>
      </c>
      <c r="C183" s="5" t="s">
        <v>1100</v>
      </c>
      <c r="D183" s="5" t="s">
        <v>1101</v>
      </c>
      <c r="E183" s="5" t="s">
        <v>809</v>
      </c>
      <c r="F183" s="5" t="s">
        <v>1102</v>
      </c>
      <c r="G183" s="5" t="s">
        <v>1103</v>
      </c>
      <c r="H183" s="5" t="s">
        <v>135</v>
      </c>
      <c r="I183" s="5" t="s">
        <v>804</v>
      </c>
      <c r="J183" s="5" t="s">
        <v>741</v>
      </c>
      <c r="K183" s="5" t="s">
        <v>168</v>
      </c>
      <c r="L183" s="3" t="s">
        <v>137</v>
      </c>
      <c r="M183" s="3" t="s">
        <v>1036</v>
      </c>
      <c r="N183" s="5" t="s">
        <v>1079</v>
      </c>
      <c r="O183" s="5" t="s">
        <v>139</v>
      </c>
      <c r="P183" s="5" t="s">
        <v>427</v>
      </c>
      <c r="Q183" s="158">
        <v>71</v>
      </c>
      <c r="R183" s="170">
        <v>3.306</v>
      </c>
      <c r="S183" s="172">
        <v>28124</v>
      </c>
      <c r="U183" s="158">
        <v>66.013999999999996</v>
      </c>
      <c r="V183" s="169">
        <v>0</v>
      </c>
      <c r="W183" s="169">
        <v>1.13154017379556E-2</v>
      </c>
      <c r="X183" s="169">
        <v>3.7431720658266401E-3</v>
      </c>
    </row>
    <row r="184" spans="1:24">
      <c r="A184" s="5">
        <v>419</v>
      </c>
      <c r="B184" s="5">
        <v>12435</v>
      </c>
      <c r="C184" s="5" t="s">
        <v>1104</v>
      </c>
      <c r="D184" s="5" t="s">
        <v>1105</v>
      </c>
      <c r="E184" s="5" t="s">
        <v>809</v>
      </c>
      <c r="F184" s="5" t="s">
        <v>1106</v>
      </c>
      <c r="G184" s="5" t="s">
        <v>1107</v>
      </c>
      <c r="H184" s="5" t="s">
        <v>135</v>
      </c>
      <c r="I184" s="5" t="s">
        <v>804</v>
      </c>
      <c r="J184" s="5" t="s">
        <v>741</v>
      </c>
      <c r="K184" s="5" t="s">
        <v>168</v>
      </c>
      <c r="L184" s="3" t="s">
        <v>137</v>
      </c>
      <c r="M184" s="3" t="s">
        <v>1036</v>
      </c>
      <c r="N184" s="5" t="s">
        <v>1108</v>
      </c>
      <c r="O184" s="5" t="s">
        <v>139</v>
      </c>
      <c r="P184" s="5" t="s">
        <v>427</v>
      </c>
      <c r="Q184" s="158">
        <v>131</v>
      </c>
      <c r="R184" s="170">
        <v>3.306</v>
      </c>
      <c r="S184" s="172">
        <v>11452</v>
      </c>
      <c r="U184" s="158">
        <v>49.597000000000001</v>
      </c>
      <c r="V184" s="169">
        <v>0</v>
      </c>
      <c r="W184" s="169">
        <v>8.5013358707724303E-3</v>
      </c>
      <c r="X184" s="169">
        <v>2.8122698328017798E-3</v>
      </c>
    </row>
    <row r="185" spans="1:24">
      <c r="A185" s="5">
        <v>419</v>
      </c>
      <c r="B185" s="5">
        <v>12435</v>
      </c>
      <c r="C185" s="5" t="s">
        <v>1151</v>
      </c>
      <c r="D185" s="5" t="s">
        <v>1152</v>
      </c>
      <c r="E185" s="5" t="s">
        <v>809</v>
      </c>
      <c r="F185" s="5" t="s">
        <v>1151</v>
      </c>
      <c r="G185" s="5" t="s">
        <v>1153</v>
      </c>
      <c r="H185" s="5" t="s">
        <v>135</v>
      </c>
      <c r="I185" s="5" t="s">
        <v>804</v>
      </c>
      <c r="J185" s="5" t="s">
        <v>741</v>
      </c>
      <c r="K185" s="5" t="s">
        <v>168</v>
      </c>
      <c r="L185" s="3" t="s">
        <v>137</v>
      </c>
      <c r="M185" s="3" t="s">
        <v>1016</v>
      </c>
      <c r="N185" s="5" t="s">
        <v>1031</v>
      </c>
      <c r="O185" s="5" t="s">
        <v>139</v>
      </c>
      <c r="P185" s="5" t="s">
        <v>427</v>
      </c>
      <c r="Q185" s="158">
        <v>460</v>
      </c>
      <c r="R185" s="170">
        <v>3.306</v>
      </c>
      <c r="S185" s="172">
        <v>1580</v>
      </c>
      <c r="U185" s="158">
        <v>24.027999999999999</v>
      </c>
      <c r="V185" s="169">
        <v>3.9999999999999998E-6</v>
      </c>
      <c r="W185" s="169">
        <v>4.1185985119952398E-3</v>
      </c>
      <c r="X185" s="169">
        <v>1.36244591729724E-3</v>
      </c>
    </row>
    <row r="186" spans="1:24">
      <c r="A186" s="5">
        <v>419</v>
      </c>
      <c r="B186" s="5">
        <v>12435</v>
      </c>
      <c r="C186" s="5" t="s">
        <v>1123</v>
      </c>
      <c r="D186" s="5" t="s">
        <v>1124</v>
      </c>
      <c r="E186" s="5" t="s">
        <v>809</v>
      </c>
      <c r="F186" s="5" t="s">
        <v>1125</v>
      </c>
      <c r="G186" s="5" t="s">
        <v>1126</v>
      </c>
      <c r="H186" s="5" t="s">
        <v>135</v>
      </c>
      <c r="I186" s="5" t="s">
        <v>804</v>
      </c>
      <c r="J186" s="5" t="s">
        <v>741</v>
      </c>
      <c r="K186" s="5" t="s">
        <v>1127</v>
      </c>
      <c r="L186" s="3" t="s">
        <v>137</v>
      </c>
      <c r="M186" s="3" t="s">
        <v>1036</v>
      </c>
      <c r="N186" s="5" t="s">
        <v>1064</v>
      </c>
      <c r="O186" s="5" t="s">
        <v>139</v>
      </c>
      <c r="P186" s="5" t="s">
        <v>427</v>
      </c>
      <c r="Q186" s="158">
        <v>279</v>
      </c>
      <c r="R186" s="170">
        <v>3.306</v>
      </c>
      <c r="S186" s="172">
        <v>27929</v>
      </c>
      <c r="T186" s="157">
        <v>0.18099999999999999</v>
      </c>
      <c r="U186" s="158">
        <v>258.209</v>
      </c>
      <c r="V186" s="169">
        <v>0</v>
      </c>
      <c r="W186" s="169">
        <v>4.42591974215771E-2</v>
      </c>
      <c r="X186" s="169">
        <v>1.4641087897802401E-2</v>
      </c>
    </row>
    <row r="187" spans="1:24">
      <c r="A187" s="5">
        <v>419</v>
      </c>
      <c r="B187" s="5">
        <v>12435</v>
      </c>
      <c r="C187" s="5" t="s">
        <v>856</v>
      </c>
      <c r="D187" s="5" t="s">
        <v>857</v>
      </c>
      <c r="E187" s="5" t="s">
        <v>132</v>
      </c>
      <c r="F187" s="5" t="s">
        <v>1128</v>
      </c>
      <c r="G187" s="5" t="s">
        <v>859</v>
      </c>
      <c r="H187" s="5" t="s">
        <v>135</v>
      </c>
      <c r="I187" s="5" t="s">
        <v>804</v>
      </c>
      <c r="J187" s="5" t="s">
        <v>741</v>
      </c>
      <c r="K187" s="5" t="s">
        <v>833</v>
      </c>
      <c r="L187" s="3" t="s">
        <v>137</v>
      </c>
      <c r="M187" s="3" t="s">
        <v>240</v>
      </c>
      <c r="N187" s="5" t="s">
        <v>1095</v>
      </c>
      <c r="O187" s="5" t="s">
        <v>139</v>
      </c>
      <c r="P187" s="5" t="s">
        <v>427</v>
      </c>
      <c r="Q187" s="158">
        <v>438</v>
      </c>
      <c r="R187" s="170">
        <v>3.306</v>
      </c>
      <c r="S187" s="172">
        <v>4403</v>
      </c>
      <c r="U187" s="158">
        <v>63.756999999999998</v>
      </c>
      <c r="V187" s="169">
        <v>0</v>
      </c>
      <c r="W187" s="169">
        <v>1.09284189471134E-2</v>
      </c>
      <c r="X187" s="169">
        <v>3.61515688738384E-3</v>
      </c>
    </row>
    <row r="188" spans="1:24">
      <c r="A188" s="5">
        <v>419</v>
      </c>
      <c r="B188" s="5">
        <v>12435</v>
      </c>
      <c r="C188" s="5" t="s">
        <v>1129</v>
      </c>
      <c r="D188" s="5" t="s">
        <v>1130</v>
      </c>
      <c r="E188" s="5" t="s">
        <v>809</v>
      </c>
      <c r="F188" s="5" t="s">
        <v>1129</v>
      </c>
      <c r="G188" s="5" t="s">
        <v>1131</v>
      </c>
      <c r="H188" s="5" t="s">
        <v>135</v>
      </c>
      <c r="I188" s="5" t="s">
        <v>804</v>
      </c>
      <c r="J188" s="5" t="s">
        <v>741</v>
      </c>
      <c r="K188" s="5" t="s">
        <v>168</v>
      </c>
      <c r="L188" s="3" t="s">
        <v>137</v>
      </c>
      <c r="M188" s="3" t="s">
        <v>240</v>
      </c>
      <c r="N188" s="5" t="s">
        <v>1132</v>
      </c>
      <c r="O188" s="5" t="s">
        <v>139</v>
      </c>
      <c r="P188" s="5" t="s">
        <v>427</v>
      </c>
      <c r="Q188" s="158">
        <v>145</v>
      </c>
      <c r="R188" s="170">
        <v>3.306</v>
      </c>
      <c r="S188" s="172">
        <v>9797</v>
      </c>
      <c r="U188" s="158">
        <v>46.963999999999999</v>
      </c>
      <c r="V188" s="169">
        <v>0</v>
      </c>
      <c r="W188" s="169">
        <v>8.0499957281129908E-3</v>
      </c>
      <c r="X188" s="169">
        <v>2.6629650309649899E-3</v>
      </c>
    </row>
    <row r="189" spans="1:24">
      <c r="A189" s="5">
        <v>419</v>
      </c>
      <c r="B189" s="5">
        <v>12435</v>
      </c>
      <c r="C189" s="5" t="s">
        <v>1133</v>
      </c>
      <c r="D189" s="5" t="s">
        <v>1134</v>
      </c>
      <c r="E189" s="5" t="s">
        <v>809</v>
      </c>
      <c r="F189" s="5" t="s">
        <v>1135</v>
      </c>
      <c r="G189" s="5" t="s">
        <v>1136</v>
      </c>
      <c r="H189" s="5" t="s">
        <v>135</v>
      </c>
      <c r="I189" s="5" t="s">
        <v>804</v>
      </c>
      <c r="J189" s="5" t="s">
        <v>741</v>
      </c>
      <c r="K189" s="5" t="s">
        <v>168</v>
      </c>
      <c r="L189" s="3" t="s">
        <v>137</v>
      </c>
      <c r="M189" s="3" t="s">
        <v>1036</v>
      </c>
      <c r="N189" s="5" t="s">
        <v>1037</v>
      </c>
      <c r="O189" s="5" t="s">
        <v>139</v>
      </c>
      <c r="P189" s="5" t="s">
        <v>427</v>
      </c>
      <c r="Q189" s="158">
        <v>36</v>
      </c>
      <c r="R189" s="170">
        <v>3.306</v>
      </c>
      <c r="S189" s="172">
        <v>34138</v>
      </c>
      <c r="U189" s="158">
        <v>40.630000000000003</v>
      </c>
      <c r="V189" s="169">
        <v>0</v>
      </c>
      <c r="W189" s="169">
        <v>6.9642622125616E-3</v>
      </c>
      <c r="X189" s="169">
        <v>2.30380081740363E-3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43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1154</v>
      </c>
      <c r="N1" s="22" t="s">
        <v>123</v>
      </c>
      <c r="O1" s="22" t="s">
        <v>11</v>
      </c>
      <c r="P1" s="22" t="s">
        <v>17</v>
      </c>
      <c r="Q1" s="165" t="s">
        <v>18</v>
      </c>
      <c r="R1" s="171" t="s">
        <v>19</v>
      </c>
      <c r="S1" s="22" t="s">
        <v>16</v>
      </c>
      <c r="T1" s="22" t="s">
        <v>20</v>
      </c>
      <c r="U1" s="167" t="s">
        <v>23</v>
      </c>
      <c r="V1" s="167" t="s">
        <v>24</v>
      </c>
      <c r="W1" s="167" t="s">
        <v>25</v>
      </c>
    </row>
    <row r="2" spans="1:23">
      <c r="A2" s="23">
        <v>14947</v>
      </c>
      <c r="B2" s="23">
        <v>14948</v>
      </c>
      <c r="C2" s="23" t="s">
        <v>1155</v>
      </c>
      <c r="D2" s="23" t="s">
        <v>1156</v>
      </c>
      <c r="E2" s="21" t="s">
        <v>132</v>
      </c>
      <c r="F2" s="23" t="s">
        <v>1157</v>
      </c>
      <c r="G2" s="23" t="s">
        <v>1158</v>
      </c>
      <c r="H2" s="21" t="s">
        <v>135</v>
      </c>
      <c r="I2" s="23" t="s">
        <v>1159</v>
      </c>
      <c r="J2" s="21" t="s">
        <v>30</v>
      </c>
      <c r="K2" s="21" t="s">
        <v>30</v>
      </c>
      <c r="L2" s="21" t="s">
        <v>31</v>
      </c>
      <c r="M2" s="23" t="s">
        <v>1160</v>
      </c>
      <c r="N2" s="23" t="s">
        <v>139</v>
      </c>
      <c r="O2" s="21" t="s">
        <v>34</v>
      </c>
      <c r="P2" s="160">
        <v>691</v>
      </c>
      <c r="Q2" s="174">
        <v>1</v>
      </c>
      <c r="R2" s="175">
        <v>4301</v>
      </c>
      <c r="S2" s="23"/>
      <c r="T2" s="159">
        <v>29.72</v>
      </c>
      <c r="U2" s="173">
        <v>1.0000000000000001E-5</v>
      </c>
      <c r="V2" s="173">
        <v>0.104503449138851</v>
      </c>
      <c r="W2" s="173">
        <v>7.3887610111137203E-2</v>
      </c>
    </row>
    <row r="3" spans="1:23">
      <c r="A3" s="23">
        <v>14947</v>
      </c>
      <c r="B3" s="23">
        <v>14948</v>
      </c>
      <c r="C3" s="23" t="s">
        <v>1155</v>
      </c>
      <c r="D3" s="23" t="s">
        <v>1156</v>
      </c>
      <c r="E3" s="21" t="s">
        <v>132</v>
      </c>
      <c r="F3" s="23" t="s">
        <v>1161</v>
      </c>
      <c r="G3" s="23" t="s">
        <v>1162</v>
      </c>
      <c r="H3" s="21" t="s">
        <v>135</v>
      </c>
      <c r="I3" s="23" t="s">
        <v>1163</v>
      </c>
      <c r="J3" s="21" t="s">
        <v>30</v>
      </c>
      <c r="K3" s="21" t="s">
        <v>30</v>
      </c>
      <c r="L3" s="21" t="s">
        <v>31</v>
      </c>
      <c r="M3" s="23" t="s">
        <v>1164</v>
      </c>
      <c r="N3" s="23" t="s">
        <v>139</v>
      </c>
      <c r="O3" s="21" t="s">
        <v>34</v>
      </c>
      <c r="P3" s="160">
        <v>1460</v>
      </c>
      <c r="Q3" s="174">
        <v>1</v>
      </c>
      <c r="R3" s="175">
        <v>499.28</v>
      </c>
      <c r="S3" s="23"/>
      <c r="T3" s="159">
        <v>7.2889999999999997</v>
      </c>
      <c r="U3" s="173">
        <v>6.9999999999999999E-6</v>
      </c>
      <c r="V3" s="173">
        <v>2.5631862224894501E-2</v>
      </c>
      <c r="W3" s="173">
        <v>1.8122627129551001E-2</v>
      </c>
    </row>
    <row r="4" spans="1:23">
      <c r="A4" s="23">
        <v>14947</v>
      </c>
      <c r="B4" s="23">
        <v>14948</v>
      </c>
      <c r="C4" s="23" t="s">
        <v>1155</v>
      </c>
      <c r="D4" s="23" t="s">
        <v>1156</v>
      </c>
      <c r="E4" s="21" t="s">
        <v>132</v>
      </c>
      <c r="F4" s="23" t="s">
        <v>1165</v>
      </c>
      <c r="G4" s="23" t="s">
        <v>1166</v>
      </c>
      <c r="H4" s="21" t="s">
        <v>135</v>
      </c>
      <c r="I4" s="23" t="s">
        <v>1163</v>
      </c>
      <c r="J4" s="21" t="s">
        <v>30</v>
      </c>
      <c r="K4" s="21" t="s">
        <v>30</v>
      </c>
      <c r="L4" s="21" t="s">
        <v>31</v>
      </c>
      <c r="M4" s="23" t="s">
        <v>1167</v>
      </c>
      <c r="N4" s="23" t="s">
        <v>139</v>
      </c>
      <c r="O4" s="21" t="s">
        <v>34</v>
      </c>
      <c r="P4" s="160">
        <v>620</v>
      </c>
      <c r="Q4" s="174">
        <v>1</v>
      </c>
      <c r="R4" s="175">
        <v>487.71</v>
      </c>
      <c r="S4" s="23"/>
      <c r="T4" s="159">
        <v>3.024</v>
      </c>
      <c r="U4" s="173">
        <v>3.0000000000000001E-6</v>
      </c>
      <c r="V4" s="173">
        <v>1.06325267644806E-2</v>
      </c>
      <c r="W4" s="173">
        <v>7.5175699801674004E-3</v>
      </c>
    </row>
    <row r="5" spans="1:23">
      <c r="A5" s="23">
        <v>14947</v>
      </c>
      <c r="B5" s="23">
        <v>14948</v>
      </c>
      <c r="C5" s="23" t="s">
        <v>1168</v>
      </c>
      <c r="D5" s="23" t="s">
        <v>1169</v>
      </c>
      <c r="E5" s="21" t="s">
        <v>132</v>
      </c>
      <c r="F5" s="23" t="s">
        <v>1170</v>
      </c>
      <c r="G5" s="23" t="s">
        <v>1171</v>
      </c>
      <c r="H5" s="21" t="s">
        <v>135</v>
      </c>
      <c r="I5" s="23" t="s">
        <v>1163</v>
      </c>
      <c r="J5" s="21" t="s">
        <v>30</v>
      </c>
      <c r="K5" s="21" t="s">
        <v>30</v>
      </c>
      <c r="L5" s="21" t="s">
        <v>31</v>
      </c>
      <c r="M5" s="23" t="s">
        <v>1164</v>
      </c>
      <c r="N5" s="23" t="s">
        <v>139</v>
      </c>
      <c r="O5" s="21" t="s">
        <v>34</v>
      </c>
      <c r="P5" s="160">
        <v>6557</v>
      </c>
      <c r="Q5" s="174">
        <v>1</v>
      </c>
      <c r="R5" s="175">
        <v>392.58</v>
      </c>
      <c r="S5" s="23"/>
      <c r="T5" s="159">
        <v>25.741</v>
      </c>
      <c r="U5" s="173">
        <v>5.0000000000000004E-6</v>
      </c>
      <c r="V5" s="173">
        <v>9.0514152418574897E-2</v>
      </c>
      <c r="W5" s="173">
        <v>6.3996685837208106E-2</v>
      </c>
    </row>
    <row r="6" spans="1:23">
      <c r="A6" s="23">
        <v>14947</v>
      </c>
      <c r="B6" s="23">
        <v>14948</v>
      </c>
      <c r="C6" s="23" t="s">
        <v>1168</v>
      </c>
      <c r="D6" s="23" t="s">
        <v>1169</v>
      </c>
      <c r="E6" s="21" t="s">
        <v>132</v>
      </c>
      <c r="F6" s="23" t="s">
        <v>1172</v>
      </c>
      <c r="G6" s="23" t="s">
        <v>1173</v>
      </c>
      <c r="H6" s="21" t="s">
        <v>135</v>
      </c>
      <c r="I6" s="23" t="s">
        <v>1159</v>
      </c>
      <c r="J6" s="21" t="s">
        <v>30</v>
      </c>
      <c r="K6" s="21" t="s">
        <v>30</v>
      </c>
      <c r="L6" s="21" t="s">
        <v>31</v>
      </c>
      <c r="M6" s="23" t="s">
        <v>1174</v>
      </c>
      <c r="N6" s="23" t="s">
        <v>139</v>
      </c>
      <c r="O6" s="21" t="s">
        <v>34</v>
      </c>
      <c r="P6" s="160">
        <v>603</v>
      </c>
      <c r="Q6" s="174">
        <v>1</v>
      </c>
      <c r="R6" s="175">
        <v>3172</v>
      </c>
      <c r="S6" s="23"/>
      <c r="T6" s="159">
        <v>19.126999999999999</v>
      </c>
      <c r="U6" s="173">
        <v>1.9999999999999999E-6</v>
      </c>
      <c r="V6" s="173">
        <v>6.7256401255275197E-2</v>
      </c>
      <c r="W6" s="173">
        <v>4.7552638638991097E-2</v>
      </c>
    </row>
    <row r="7" spans="1:23">
      <c r="A7" s="23">
        <v>14947</v>
      </c>
      <c r="B7" s="23">
        <v>14948</v>
      </c>
      <c r="C7" s="23" t="s">
        <v>1175</v>
      </c>
      <c r="D7" s="23" t="s">
        <v>1176</v>
      </c>
      <c r="E7" s="21" t="s">
        <v>132</v>
      </c>
      <c r="F7" s="23" t="s">
        <v>1177</v>
      </c>
      <c r="G7" s="23" t="s">
        <v>1178</v>
      </c>
      <c r="H7" s="21" t="s">
        <v>135</v>
      </c>
      <c r="I7" s="23" t="s">
        <v>1159</v>
      </c>
      <c r="J7" s="21" t="s">
        <v>30</v>
      </c>
      <c r="K7" s="21" t="s">
        <v>30</v>
      </c>
      <c r="L7" s="21" t="s">
        <v>31</v>
      </c>
      <c r="M7" s="23" t="s">
        <v>1179</v>
      </c>
      <c r="N7" s="23" t="s">
        <v>139</v>
      </c>
      <c r="O7" s="21" t="s">
        <v>34</v>
      </c>
      <c r="P7" s="160">
        <v>595</v>
      </c>
      <c r="Q7" s="174">
        <v>1</v>
      </c>
      <c r="R7" s="175">
        <v>3165</v>
      </c>
      <c r="S7" s="23"/>
      <c r="T7" s="159">
        <v>18.832000000000001</v>
      </c>
      <c r="U7" s="173">
        <v>1.9999999999999999E-6</v>
      </c>
      <c r="V7" s="173">
        <v>6.6217657735859803E-2</v>
      </c>
      <c r="W7" s="173">
        <v>4.6818210476088501E-2</v>
      </c>
    </row>
    <row r="8" spans="1:23">
      <c r="A8" s="23">
        <v>14947</v>
      </c>
      <c r="B8" s="23">
        <v>14948</v>
      </c>
      <c r="C8" s="23" t="s">
        <v>1175</v>
      </c>
      <c r="D8" s="23" t="s">
        <v>1176</v>
      </c>
      <c r="E8" s="21" t="s">
        <v>132</v>
      </c>
      <c r="F8" s="23" t="s">
        <v>1180</v>
      </c>
      <c r="G8" s="23" t="s">
        <v>1181</v>
      </c>
      <c r="H8" s="21" t="s">
        <v>135</v>
      </c>
      <c r="I8" s="23" t="s">
        <v>1163</v>
      </c>
      <c r="J8" s="21" t="s">
        <v>30</v>
      </c>
      <c r="K8" s="21" t="s">
        <v>30</v>
      </c>
      <c r="L8" s="21" t="s">
        <v>31</v>
      </c>
      <c r="M8" s="23" t="s">
        <v>1164</v>
      </c>
      <c r="N8" s="23" t="s">
        <v>139</v>
      </c>
      <c r="O8" s="21" t="s">
        <v>34</v>
      </c>
      <c r="P8" s="160">
        <v>6590</v>
      </c>
      <c r="Q8" s="174">
        <v>1</v>
      </c>
      <c r="R8" s="175">
        <v>390.79</v>
      </c>
      <c r="S8" s="23"/>
      <c r="T8" s="159">
        <v>25.753</v>
      </c>
      <c r="U8" s="173">
        <v>2.0999999999999999E-5</v>
      </c>
      <c r="V8" s="173">
        <v>9.0554907480649399E-2</v>
      </c>
      <c r="W8" s="173">
        <v>6.4025501097961998E-2</v>
      </c>
    </row>
    <row r="9" spans="1:23">
      <c r="A9" s="23">
        <v>14947</v>
      </c>
      <c r="B9" s="23">
        <v>14948</v>
      </c>
      <c r="C9" s="23" t="s">
        <v>1182</v>
      </c>
      <c r="D9" s="23" t="s">
        <v>1183</v>
      </c>
      <c r="E9" s="21" t="s">
        <v>132</v>
      </c>
      <c r="F9" s="23" t="s">
        <v>1184</v>
      </c>
      <c r="G9" s="23" t="s">
        <v>1185</v>
      </c>
      <c r="H9" s="21" t="s">
        <v>135</v>
      </c>
      <c r="I9" s="23" t="s">
        <v>1186</v>
      </c>
      <c r="J9" s="21" t="s">
        <v>30</v>
      </c>
      <c r="K9" s="21" t="s">
        <v>168</v>
      </c>
      <c r="L9" s="21" t="s">
        <v>31</v>
      </c>
      <c r="M9" s="23" t="s">
        <v>1187</v>
      </c>
      <c r="N9" s="23" t="s">
        <v>139</v>
      </c>
      <c r="O9" s="21" t="s">
        <v>34</v>
      </c>
      <c r="P9" s="160">
        <v>520</v>
      </c>
      <c r="Q9" s="174">
        <v>1</v>
      </c>
      <c r="R9" s="175">
        <v>6185</v>
      </c>
      <c r="S9" s="23"/>
      <c r="T9" s="159">
        <v>32.161999999999999</v>
      </c>
      <c r="U9" s="173">
        <v>4.6999999999999997E-5</v>
      </c>
      <c r="V9" s="173">
        <v>0.11309051511945099</v>
      </c>
      <c r="W9" s="173">
        <v>7.9958967452942994E-2</v>
      </c>
    </row>
    <row r="10" spans="1:23">
      <c r="A10" s="23">
        <v>14947</v>
      </c>
      <c r="B10" s="23">
        <v>14948</v>
      </c>
      <c r="C10" s="23" t="s">
        <v>1188</v>
      </c>
      <c r="D10" s="23" t="s">
        <v>1189</v>
      </c>
      <c r="E10" s="21" t="s">
        <v>132</v>
      </c>
      <c r="F10" s="23" t="s">
        <v>1190</v>
      </c>
      <c r="G10" s="23" t="s">
        <v>1191</v>
      </c>
      <c r="H10" s="21" t="s">
        <v>135</v>
      </c>
      <c r="I10" s="23" t="s">
        <v>1163</v>
      </c>
      <c r="J10" s="21" t="s">
        <v>30</v>
      </c>
      <c r="K10" s="21" t="s">
        <v>30</v>
      </c>
      <c r="L10" s="21" t="s">
        <v>31</v>
      </c>
      <c r="M10" s="23" t="s">
        <v>1164</v>
      </c>
      <c r="N10" s="23" t="s">
        <v>139</v>
      </c>
      <c r="O10" s="21" t="s">
        <v>34</v>
      </c>
      <c r="P10" s="160">
        <v>336</v>
      </c>
      <c r="Q10" s="174">
        <v>1</v>
      </c>
      <c r="R10" s="175">
        <v>5713.57</v>
      </c>
      <c r="S10" s="23"/>
      <c r="T10" s="159">
        <v>19.198</v>
      </c>
      <c r="U10" s="173">
        <v>5.5999999999999999E-5</v>
      </c>
      <c r="V10" s="173">
        <v>6.7504070960223303E-2</v>
      </c>
      <c r="W10" s="173">
        <v>4.7727749821888397E-2</v>
      </c>
    </row>
    <row r="11" spans="1:23">
      <c r="A11" s="23">
        <v>14947</v>
      </c>
      <c r="B11" s="23">
        <v>14948</v>
      </c>
      <c r="C11" s="23" t="s">
        <v>1188</v>
      </c>
      <c r="D11" s="23" t="s">
        <v>1189</v>
      </c>
      <c r="E11" s="21" t="s">
        <v>132</v>
      </c>
      <c r="F11" s="23" t="s">
        <v>1192</v>
      </c>
      <c r="G11" s="23" t="s">
        <v>1193</v>
      </c>
      <c r="H11" s="21" t="s">
        <v>135</v>
      </c>
      <c r="I11" s="23" t="s">
        <v>1186</v>
      </c>
      <c r="J11" s="21" t="s">
        <v>30</v>
      </c>
      <c r="K11" s="21" t="s">
        <v>168</v>
      </c>
      <c r="L11" s="21" t="s">
        <v>31</v>
      </c>
      <c r="M11" s="23" t="s">
        <v>1194</v>
      </c>
      <c r="N11" s="23" t="s">
        <v>139</v>
      </c>
      <c r="O11" s="21" t="s">
        <v>34</v>
      </c>
      <c r="P11" s="160">
        <v>204</v>
      </c>
      <c r="Q11" s="174">
        <v>1</v>
      </c>
      <c r="R11" s="175">
        <v>10950</v>
      </c>
      <c r="S11" s="23"/>
      <c r="T11" s="159">
        <v>22.338000000000001</v>
      </c>
      <c r="U11" s="173">
        <v>3.0000000000000001E-6</v>
      </c>
      <c r="V11" s="173">
        <v>7.8546605520126198E-2</v>
      </c>
      <c r="W11" s="173">
        <v>5.5535209718420499E-2</v>
      </c>
    </row>
    <row r="12" spans="1:23">
      <c r="A12" s="23">
        <v>14947</v>
      </c>
      <c r="B12" s="23">
        <v>14948</v>
      </c>
      <c r="C12" s="23" t="s">
        <v>1195</v>
      </c>
      <c r="D12" s="23" t="s">
        <v>1196</v>
      </c>
      <c r="E12" s="21" t="s">
        <v>132</v>
      </c>
      <c r="F12" s="23" t="s">
        <v>1197</v>
      </c>
      <c r="G12" s="23" t="s">
        <v>1198</v>
      </c>
      <c r="H12" s="21" t="s">
        <v>135</v>
      </c>
      <c r="I12" s="23" t="s">
        <v>1186</v>
      </c>
      <c r="J12" s="21" t="s">
        <v>30</v>
      </c>
      <c r="K12" s="21" t="s">
        <v>833</v>
      </c>
      <c r="L12" s="21" t="s">
        <v>240</v>
      </c>
      <c r="M12" s="23" t="s">
        <v>1199</v>
      </c>
      <c r="N12" s="23" t="s">
        <v>139</v>
      </c>
      <c r="O12" s="21" t="s">
        <v>34</v>
      </c>
      <c r="P12" s="160">
        <v>277</v>
      </c>
      <c r="Q12" s="174">
        <v>1</v>
      </c>
      <c r="R12" s="175">
        <v>4341</v>
      </c>
      <c r="S12" s="23"/>
      <c r="T12" s="159">
        <v>12.025</v>
      </c>
      <c r="U12" s="173">
        <v>3.0000000000000001E-6</v>
      </c>
      <c r="V12" s="173">
        <v>4.2281724251909E-2</v>
      </c>
      <c r="W12" s="173">
        <v>2.9894664550265401E-2</v>
      </c>
    </row>
    <row r="13" spans="1:23">
      <c r="A13" s="23">
        <v>14947</v>
      </c>
      <c r="B13" s="23">
        <v>14948</v>
      </c>
      <c r="C13" s="23" t="s">
        <v>1195</v>
      </c>
      <c r="D13" s="23" t="s">
        <v>1196</v>
      </c>
      <c r="E13" s="21" t="s">
        <v>132</v>
      </c>
      <c r="F13" s="23" t="s">
        <v>1200</v>
      </c>
      <c r="G13" s="23" t="s">
        <v>1201</v>
      </c>
      <c r="H13" s="21" t="s">
        <v>135</v>
      </c>
      <c r="I13" s="23" t="s">
        <v>1186</v>
      </c>
      <c r="J13" s="21" t="s">
        <v>30</v>
      </c>
      <c r="K13" s="21" t="s">
        <v>168</v>
      </c>
      <c r="L13" s="21" t="s">
        <v>31</v>
      </c>
      <c r="M13" s="23" t="s">
        <v>1194</v>
      </c>
      <c r="N13" s="23" t="s">
        <v>139</v>
      </c>
      <c r="O13" s="21" t="s">
        <v>34</v>
      </c>
      <c r="P13" s="160">
        <v>162</v>
      </c>
      <c r="Q13" s="174">
        <v>1</v>
      </c>
      <c r="R13" s="175">
        <v>6309</v>
      </c>
      <c r="S13" s="23"/>
      <c r="T13" s="159">
        <v>10.221</v>
      </c>
      <c r="U13" s="173">
        <v>1.9999999999999999E-6</v>
      </c>
      <c r="V13" s="173">
        <v>3.5938394907641301E-2</v>
      </c>
      <c r="W13" s="173">
        <v>2.5409707840625601E-2</v>
      </c>
    </row>
    <row r="14" spans="1:23">
      <c r="A14" s="23">
        <v>14947</v>
      </c>
      <c r="B14" s="23">
        <v>14948</v>
      </c>
      <c r="C14" s="23" t="s">
        <v>1195</v>
      </c>
      <c r="D14" s="23" t="s">
        <v>1196</v>
      </c>
      <c r="E14" s="21" t="s">
        <v>132</v>
      </c>
      <c r="F14" s="23" t="s">
        <v>1202</v>
      </c>
      <c r="G14" s="23" t="s">
        <v>1203</v>
      </c>
      <c r="H14" s="21" t="s">
        <v>135</v>
      </c>
      <c r="I14" s="23" t="s">
        <v>1186</v>
      </c>
      <c r="J14" s="21" t="s">
        <v>30</v>
      </c>
      <c r="K14" s="21"/>
      <c r="L14" s="21" t="s">
        <v>240</v>
      </c>
      <c r="M14" s="23" t="s">
        <v>1204</v>
      </c>
      <c r="N14" s="23" t="s">
        <v>139</v>
      </c>
      <c r="O14" s="21" t="s">
        <v>34</v>
      </c>
      <c r="P14" s="160">
        <v>80</v>
      </c>
      <c r="Q14" s="174">
        <v>1</v>
      </c>
      <c r="R14" s="175">
        <v>7972</v>
      </c>
      <c r="S14" s="23"/>
      <c r="T14" s="159">
        <v>6.3780000000000001</v>
      </c>
      <c r="U14" s="173">
        <v>7.9999999999999996E-6</v>
      </c>
      <c r="V14" s="173">
        <v>2.2425411020017799E-2</v>
      </c>
      <c r="W14" s="173">
        <v>1.5855553473909899E-2</v>
      </c>
    </row>
    <row r="15" spans="1:23">
      <c r="A15" s="23">
        <v>14947</v>
      </c>
      <c r="B15" s="23">
        <v>14948</v>
      </c>
      <c r="C15" s="23" t="s">
        <v>1195</v>
      </c>
      <c r="D15" s="23" t="s">
        <v>1196</v>
      </c>
      <c r="E15" s="21" t="s">
        <v>132</v>
      </c>
      <c r="F15" s="23" t="s">
        <v>1205</v>
      </c>
      <c r="G15" s="23" t="s">
        <v>1206</v>
      </c>
      <c r="H15" s="21" t="s">
        <v>135</v>
      </c>
      <c r="I15" s="23" t="s">
        <v>1186</v>
      </c>
      <c r="J15" s="21" t="s">
        <v>30</v>
      </c>
      <c r="K15" s="21" t="s">
        <v>1113</v>
      </c>
      <c r="L15" s="21" t="s">
        <v>31</v>
      </c>
      <c r="M15" s="23" t="s">
        <v>1207</v>
      </c>
      <c r="N15" s="23" t="s">
        <v>139</v>
      </c>
      <c r="O15" s="21" t="s">
        <v>34</v>
      </c>
      <c r="P15" s="160">
        <v>58</v>
      </c>
      <c r="Q15" s="174">
        <v>1</v>
      </c>
      <c r="R15" s="175">
        <v>8678</v>
      </c>
      <c r="S15" s="23"/>
      <c r="T15" s="159">
        <v>5.0330000000000004</v>
      </c>
      <c r="U15" s="173">
        <v>5.0000000000000004E-6</v>
      </c>
      <c r="V15" s="173">
        <v>1.7698268276843E-2</v>
      </c>
      <c r="W15" s="173">
        <v>1.2513297473504501E-2</v>
      </c>
    </row>
    <row r="16" spans="1:23">
      <c r="A16" s="23">
        <v>14947</v>
      </c>
      <c r="B16" s="23">
        <v>14948</v>
      </c>
      <c r="C16" s="23" t="s">
        <v>1195</v>
      </c>
      <c r="D16" s="23" t="s">
        <v>1196</v>
      </c>
      <c r="E16" s="21" t="s">
        <v>132</v>
      </c>
      <c r="F16" s="23" t="s">
        <v>1208</v>
      </c>
      <c r="G16" s="23" t="s">
        <v>1209</v>
      </c>
      <c r="H16" s="21" t="s">
        <v>135</v>
      </c>
      <c r="I16" s="23" t="s">
        <v>1163</v>
      </c>
      <c r="J16" s="21" t="s">
        <v>30</v>
      </c>
      <c r="K16" s="21" t="s">
        <v>30</v>
      </c>
      <c r="L16" s="21" t="s">
        <v>31</v>
      </c>
      <c r="M16" s="23" t="s">
        <v>1210</v>
      </c>
      <c r="N16" s="23" t="s">
        <v>139</v>
      </c>
      <c r="O16" s="21" t="s">
        <v>34</v>
      </c>
      <c r="P16" s="160">
        <v>4</v>
      </c>
      <c r="Q16" s="174">
        <v>1</v>
      </c>
      <c r="R16" s="175">
        <v>4185.1899999999996</v>
      </c>
      <c r="S16" s="23"/>
      <c r="T16" s="159">
        <v>0.16700000000000001</v>
      </c>
      <c r="U16" s="173">
        <v>0</v>
      </c>
      <c r="V16" s="173">
        <v>5.88651567654717E-4</v>
      </c>
      <c r="W16" s="173">
        <v>4.1619733971069202E-4</v>
      </c>
    </row>
    <row r="17" spans="1:23">
      <c r="A17" s="23">
        <v>14947</v>
      </c>
      <c r="B17" s="23">
        <v>14948</v>
      </c>
      <c r="C17" s="23" t="s">
        <v>1195</v>
      </c>
      <c r="D17" s="23" t="s">
        <v>1196</v>
      </c>
      <c r="E17" s="21" t="s">
        <v>132</v>
      </c>
      <c r="F17" s="23" t="s">
        <v>1211</v>
      </c>
      <c r="G17" s="23" t="s">
        <v>1212</v>
      </c>
      <c r="H17" s="21" t="s">
        <v>135</v>
      </c>
      <c r="I17" s="23" t="s">
        <v>1186</v>
      </c>
      <c r="J17" s="21" t="s">
        <v>30</v>
      </c>
      <c r="K17" s="21" t="s">
        <v>1213</v>
      </c>
      <c r="L17" s="21" t="s">
        <v>240</v>
      </c>
      <c r="M17" s="23" t="s">
        <v>1214</v>
      </c>
      <c r="N17" s="23" t="s">
        <v>139</v>
      </c>
      <c r="O17" s="21" t="s">
        <v>34</v>
      </c>
      <c r="P17" s="160">
        <v>49</v>
      </c>
      <c r="Q17" s="174">
        <v>1</v>
      </c>
      <c r="R17" s="175">
        <v>12490</v>
      </c>
      <c r="S17" s="23"/>
      <c r="T17" s="159">
        <v>6.12</v>
      </c>
      <c r="U17" s="173">
        <v>9.0000000000000002E-6</v>
      </c>
      <c r="V17" s="173">
        <v>2.1519969578463801E-2</v>
      </c>
      <c r="W17" s="173">
        <v>1.5215374563421299E-2</v>
      </c>
    </row>
    <row r="18" spans="1:23">
      <c r="A18" s="23">
        <v>14947</v>
      </c>
      <c r="B18" s="23">
        <v>14948</v>
      </c>
      <c r="C18" s="23" t="s">
        <v>1215</v>
      </c>
      <c r="D18" s="23" t="s">
        <v>1216</v>
      </c>
      <c r="E18" s="21" t="s">
        <v>809</v>
      </c>
      <c r="F18" s="23" t="s">
        <v>1217</v>
      </c>
      <c r="G18" s="23" t="s">
        <v>1218</v>
      </c>
      <c r="H18" s="21" t="s">
        <v>135</v>
      </c>
      <c r="I18" s="23" t="s">
        <v>1186</v>
      </c>
      <c r="J18" s="21" t="s">
        <v>741</v>
      </c>
      <c r="K18" s="21" t="s">
        <v>833</v>
      </c>
      <c r="L18" s="21" t="s">
        <v>1016</v>
      </c>
      <c r="M18" s="23" t="s">
        <v>1199</v>
      </c>
      <c r="N18" s="23" t="s">
        <v>139</v>
      </c>
      <c r="O18" s="21" t="s">
        <v>427</v>
      </c>
      <c r="P18" s="160">
        <v>52</v>
      </c>
      <c r="Q18" s="174">
        <v>3.306</v>
      </c>
      <c r="R18" s="175">
        <v>15795.9</v>
      </c>
      <c r="S18" s="23"/>
      <c r="T18" s="159">
        <v>27.155000000000001</v>
      </c>
      <c r="U18" s="173">
        <v>0</v>
      </c>
      <c r="V18" s="173">
        <v>9.5484681365647001E-2</v>
      </c>
      <c r="W18" s="173">
        <v>6.7511024434773595E-2</v>
      </c>
    </row>
    <row r="19" spans="1:23">
      <c r="A19" s="23">
        <v>14947</v>
      </c>
      <c r="B19" s="23">
        <v>14948</v>
      </c>
      <c r="C19" s="23" t="s">
        <v>1219</v>
      </c>
      <c r="D19" s="23" t="s">
        <v>1220</v>
      </c>
      <c r="E19" s="21" t="s">
        <v>809</v>
      </c>
      <c r="F19" s="23" t="s">
        <v>1221</v>
      </c>
      <c r="G19" s="23" t="s">
        <v>1222</v>
      </c>
      <c r="H19" s="21" t="s">
        <v>135</v>
      </c>
      <c r="I19" s="23" t="s">
        <v>1223</v>
      </c>
      <c r="J19" s="21" t="s">
        <v>741</v>
      </c>
      <c r="K19" s="21" t="s">
        <v>833</v>
      </c>
      <c r="L19" s="21" t="s">
        <v>1114</v>
      </c>
      <c r="M19" s="23" t="s">
        <v>1224</v>
      </c>
      <c r="N19" s="23" t="s">
        <v>139</v>
      </c>
      <c r="O19" s="21" t="s">
        <v>427</v>
      </c>
      <c r="P19" s="160">
        <v>340</v>
      </c>
      <c r="Q19" s="174">
        <v>3.306</v>
      </c>
      <c r="R19" s="175">
        <v>627.5</v>
      </c>
      <c r="S19" s="23"/>
      <c r="T19" s="159">
        <v>7.0529999999999999</v>
      </c>
      <c r="U19" s="173">
        <v>9.9999999999999995E-7</v>
      </c>
      <c r="V19" s="173">
        <v>2.4801539018353799E-2</v>
      </c>
      <c r="W19" s="173">
        <v>1.7535559450381901E-2</v>
      </c>
    </row>
    <row r="20" spans="1:23">
      <c r="A20" s="3">
        <v>14947</v>
      </c>
      <c r="B20" s="3">
        <v>14948</v>
      </c>
      <c r="C20" s="3" t="s">
        <v>1225</v>
      </c>
      <c r="D20" s="3" t="s">
        <v>1226</v>
      </c>
      <c r="E20" s="21" t="s">
        <v>809</v>
      </c>
      <c r="F20" s="3" t="s">
        <v>1227</v>
      </c>
      <c r="G20" s="3" t="s">
        <v>1228</v>
      </c>
      <c r="H20" s="21" t="s">
        <v>135</v>
      </c>
      <c r="I20" s="23" t="s">
        <v>1223</v>
      </c>
      <c r="J20" s="21" t="s">
        <v>741</v>
      </c>
      <c r="K20" s="21" t="s">
        <v>168</v>
      </c>
      <c r="L20" s="21" t="s">
        <v>1229</v>
      </c>
      <c r="M20" s="23" t="s">
        <v>1224</v>
      </c>
      <c r="N20" s="23" t="s">
        <v>139</v>
      </c>
      <c r="O20" s="3" t="s">
        <v>427</v>
      </c>
      <c r="P20" s="160">
        <v>185</v>
      </c>
      <c r="Q20" s="166">
        <v>3.306</v>
      </c>
      <c r="R20" s="176">
        <v>1153.5999999999999</v>
      </c>
      <c r="T20" s="157">
        <v>7.056</v>
      </c>
      <c r="U20" s="168">
        <v>1.1E-5</v>
      </c>
      <c r="V20" s="168">
        <v>2.48092113950832E-2</v>
      </c>
      <c r="W20" s="168">
        <v>1.7540984090286899E-2</v>
      </c>
    </row>
    <row r="21" spans="1:23" s="42" customFormat="1">
      <c r="A21" s="42">
        <v>14947</v>
      </c>
      <c r="B21" s="42">
        <v>14949</v>
      </c>
      <c r="C21" s="42" t="s">
        <v>1155</v>
      </c>
      <c r="D21" s="42" t="s">
        <v>1156</v>
      </c>
      <c r="E21" s="45" t="s">
        <v>132</v>
      </c>
      <c r="F21" s="42" t="s">
        <v>1230</v>
      </c>
      <c r="G21" s="42" t="s">
        <v>1231</v>
      </c>
      <c r="H21" s="45" t="s">
        <v>135</v>
      </c>
      <c r="I21" s="42" t="s">
        <v>1186</v>
      </c>
      <c r="J21" s="42" t="s">
        <v>30</v>
      </c>
      <c r="L21" s="45" t="s">
        <v>240</v>
      </c>
      <c r="M21" s="41" t="s">
        <v>1199</v>
      </c>
      <c r="N21" s="42" t="s">
        <v>139</v>
      </c>
      <c r="O21" s="42" t="s">
        <v>34</v>
      </c>
      <c r="P21" s="158">
        <v>1896</v>
      </c>
      <c r="Q21" s="166">
        <v>1</v>
      </c>
      <c r="R21" s="176">
        <v>2914</v>
      </c>
      <c r="T21" s="157">
        <v>55.249000000000002</v>
      </c>
      <c r="U21" s="168">
        <v>2.0000000000000001E-4</v>
      </c>
      <c r="V21" s="168">
        <v>4.81991263236159E-2</v>
      </c>
      <c r="W21" s="168">
        <v>3.9053507807191197E-2</v>
      </c>
    </row>
    <row r="22" spans="1:23">
      <c r="A22" s="3">
        <v>14947</v>
      </c>
      <c r="B22" s="3">
        <v>14949</v>
      </c>
      <c r="C22" s="3" t="s">
        <v>1155</v>
      </c>
      <c r="D22" s="3" t="s">
        <v>1156</v>
      </c>
      <c r="E22" s="5" t="s">
        <v>132</v>
      </c>
      <c r="F22" s="3" t="s">
        <v>1232</v>
      </c>
      <c r="G22" s="3" t="s">
        <v>1233</v>
      </c>
      <c r="H22" s="3" t="s">
        <v>135</v>
      </c>
      <c r="I22" s="3" t="s">
        <v>1186</v>
      </c>
      <c r="J22" s="3" t="s">
        <v>30</v>
      </c>
      <c r="L22" s="5" t="s">
        <v>240</v>
      </c>
      <c r="M22" s="3" t="s">
        <v>1187</v>
      </c>
      <c r="N22" s="3" t="s">
        <v>139</v>
      </c>
      <c r="O22" s="3" t="s">
        <v>34</v>
      </c>
      <c r="P22" s="158">
        <v>598</v>
      </c>
      <c r="Q22" s="166">
        <v>1</v>
      </c>
      <c r="R22" s="176">
        <v>3543</v>
      </c>
      <c r="T22" s="157">
        <v>21.187000000000001</v>
      </c>
      <c r="U22" s="168">
        <v>0</v>
      </c>
      <c r="V22" s="168">
        <v>1.8483474896689198E-2</v>
      </c>
      <c r="W22" s="168">
        <v>1.49762990792677E-2</v>
      </c>
    </row>
    <row r="23" spans="1:23">
      <c r="A23" s="3">
        <v>14947</v>
      </c>
      <c r="B23" s="3">
        <v>14949</v>
      </c>
      <c r="C23" s="3" t="s">
        <v>1155</v>
      </c>
      <c r="D23" s="3" t="s">
        <v>1156</v>
      </c>
      <c r="E23" s="5" t="s">
        <v>132</v>
      </c>
      <c r="F23" s="3" t="s">
        <v>1234</v>
      </c>
      <c r="G23" s="3" t="s">
        <v>1235</v>
      </c>
      <c r="H23" s="3" t="s">
        <v>135</v>
      </c>
      <c r="I23" s="3" t="s">
        <v>1186</v>
      </c>
      <c r="J23" s="3" t="s">
        <v>30</v>
      </c>
      <c r="K23" s="3" t="s">
        <v>168</v>
      </c>
      <c r="L23" s="3" t="s">
        <v>31</v>
      </c>
      <c r="M23" s="3" t="s">
        <v>1194</v>
      </c>
      <c r="N23" s="3" t="s">
        <v>139</v>
      </c>
      <c r="O23" s="3" t="s">
        <v>34</v>
      </c>
      <c r="P23" s="158">
        <v>274</v>
      </c>
      <c r="Q23" s="166">
        <v>1</v>
      </c>
      <c r="R23" s="176">
        <v>8410</v>
      </c>
      <c r="T23" s="157">
        <v>23.042999999999999</v>
      </c>
      <c r="U23" s="168">
        <v>1.1E-5</v>
      </c>
      <c r="V23" s="168">
        <v>2.0102859821305202E-2</v>
      </c>
      <c r="W23" s="168">
        <v>1.6288411281711299E-2</v>
      </c>
    </row>
    <row r="24" spans="1:23">
      <c r="A24" s="3">
        <v>14947</v>
      </c>
      <c r="B24" s="3">
        <v>14949</v>
      </c>
      <c r="C24" s="3" t="s">
        <v>1168</v>
      </c>
      <c r="D24" s="3" t="s">
        <v>1169</v>
      </c>
      <c r="E24" s="5" t="s">
        <v>132</v>
      </c>
      <c r="F24" s="3" t="s">
        <v>1236</v>
      </c>
      <c r="G24" s="3" t="s">
        <v>1237</v>
      </c>
      <c r="H24" s="3" t="s">
        <v>135</v>
      </c>
      <c r="I24" s="3" t="s">
        <v>1186</v>
      </c>
      <c r="J24" s="3" t="s">
        <v>30</v>
      </c>
      <c r="L24" s="3" t="s">
        <v>240</v>
      </c>
      <c r="M24" s="3" t="s">
        <v>1187</v>
      </c>
      <c r="N24" s="3" t="s">
        <v>139</v>
      </c>
      <c r="O24" s="3" t="s">
        <v>34</v>
      </c>
      <c r="P24" s="158">
        <v>444</v>
      </c>
      <c r="Q24" s="166">
        <v>1</v>
      </c>
      <c r="R24" s="176">
        <v>6851</v>
      </c>
      <c r="T24" s="157">
        <v>30.417999999999999</v>
      </c>
      <c r="U24" s="168">
        <v>3.9999999999999998E-6</v>
      </c>
      <c r="V24" s="168">
        <v>2.6536779958807401E-2</v>
      </c>
      <c r="W24" s="168">
        <v>2.15015171922571E-2</v>
      </c>
    </row>
    <row r="25" spans="1:23">
      <c r="A25" s="3">
        <v>14947</v>
      </c>
      <c r="B25" s="3">
        <v>14949</v>
      </c>
      <c r="C25" s="3" t="s">
        <v>1238</v>
      </c>
      <c r="D25" s="3" t="s">
        <v>1239</v>
      </c>
      <c r="E25" s="5" t="s">
        <v>132</v>
      </c>
      <c r="F25" s="3" t="s">
        <v>1240</v>
      </c>
      <c r="G25" s="3" t="s">
        <v>1241</v>
      </c>
      <c r="H25" s="3" t="s">
        <v>135</v>
      </c>
      <c r="I25" s="3" t="s">
        <v>1186</v>
      </c>
      <c r="J25" s="3" t="s">
        <v>30</v>
      </c>
      <c r="L25" s="3" t="s">
        <v>240</v>
      </c>
      <c r="M25" s="3" t="s">
        <v>1242</v>
      </c>
      <c r="N25" s="3" t="s">
        <v>139</v>
      </c>
      <c r="O25" s="3" t="s">
        <v>34</v>
      </c>
      <c r="P25" s="158">
        <v>1319</v>
      </c>
      <c r="Q25" s="166">
        <v>1</v>
      </c>
      <c r="R25" s="176">
        <v>7070</v>
      </c>
      <c r="T25" s="157">
        <v>93.253</v>
      </c>
      <c r="U25" s="168">
        <v>2.6400000000000002E-4</v>
      </c>
      <c r="V25" s="168">
        <v>8.1353360084627999E-2</v>
      </c>
      <c r="W25" s="168">
        <v>6.5916839692788706E-2</v>
      </c>
    </row>
    <row r="26" spans="1:23">
      <c r="A26" s="3">
        <v>14947</v>
      </c>
      <c r="B26" s="3">
        <v>14949</v>
      </c>
      <c r="C26" s="3" t="s">
        <v>1168</v>
      </c>
      <c r="D26" s="3" t="s">
        <v>1169</v>
      </c>
      <c r="E26" s="5" t="s">
        <v>132</v>
      </c>
      <c r="F26" s="3" t="s">
        <v>1172</v>
      </c>
      <c r="G26" s="9" t="s">
        <v>1173</v>
      </c>
      <c r="H26" s="3" t="s">
        <v>135</v>
      </c>
      <c r="I26" s="3" t="s">
        <v>1159</v>
      </c>
      <c r="J26" s="3" t="s">
        <v>30</v>
      </c>
      <c r="K26" s="3" t="s">
        <v>30</v>
      </c>
      <c r="L26" s="3" t="s">
        <v>31</v>
      </c>
      <c r="M26" s="3" t="s">
        <v>1174</v>
      </c>
      <c r="N26" s="3" t="s">
        <v>139</v>
      </c>
      <c r="O26" s="3" t="s">
        <v>34</v>
      </c>
      <c r="P26" s="158">
        <v>1709</v>
      </c>
      <c r="Q26" s="166">
        <v>1</v>
      </c>
      <c r="R26" s="176">
        <v>3172</v>
      </c>
      <c r="T26" s="157">
        <v>54.209000000000003</v>
      </c>
      <c r="U26" s="168">
        <v>3.9999999999999998E-6</v>
      </c>
      <c r="V26" s="168">
        <v>4.72918743512609E-2</v>
      </c>
      <c r="W26" s="168">
        <v>3.8318403777554598E-2</v>
      </c>
    </row>
    <row r="27" spans="1:23">
      <c r="A27" s="3">
        <v>14947</v>
      </c>
      <c r="B27" s="3">
        <v>14949</v>
      </c>
      <c r="C27" s="3" t="s">
        <v>1175</v>
      </c>
      <c r="D27" s="3" t="s">
        <v>1176</v>
      </c>
      <c r="E27" s="5" t="s">
        <v>132</v>
      </c>
      <c r="F27" s="3" t="s">
        <v>1243</v>
      </c>
      <c r="G27" s="3" t="s">
        <v>1244</v>
      </c>
      <c r="H27" s="3" t="s">
        <v>135</v>
      </c>
      <c r="I27" s="3" t="s">
        <v>1186</v>
      </c>
      <c r="J27" s="3" t="s">
        <v>30</v>
      </c>
      <c r="K27" s="3" t="s">
        <v>833</v>
      </c>
      <c r="L27" s="3" t="s">
        <v>31</v>
      </c>
      <c r="M27" s="3" t="s">
        <v>1199</v>
      </c>
      <c r="N27" s="3" t="s">
        <v>139</v>
      </c>
      <c r="O27" s="3" t="s">
        <v>34</v>
      </c>
      <c r="P27" s="158">
        <v>13696</v>
      </c>
      <c r="Q27" s="166">
        <v>1</v>
      </c>
      <c r="R27" s="176">
        <v>921.9</v>
      </c>
      <c r="T27" s="157">
        <v>126.26300000000001</v>
      </c>
      <c r="U27" s="168">
        <v>2.6999999999999999E-5</v>
      </c>
      <c r="V27" s="168">
        <v>0.110151102408066</v>
      </c>
      <c r="W27" s="168">
        <v>8.9250309413936094E-2</v>
      </c>
    </row>
    <row r="28" spans="1:23">
      <c r="A28" s="3">
        <v>14947</v>
      </c>
      <c r="B28" s="3">
        <v>14949</v>
      </c>
      <c r="C28" s="3" t="s">
        <v>1175</v>
      </c>
      <c r="D28" s="3" t="s">
        <v>1176</v>
      </c>
      <c r="E28" s="5" t="s">
        <v>132</v>
      </c>
      <c r="F28" s="3" t="s">
        <v>1177</v>
      </c>
      <c r="G28" s="3" t="s">
        <v>1178</v>
      </c>
      <c r="H28" s="3" t="s">
        <v>135</v>
      </c>
      <c r="I28" s="3" t="s">
        <v>1159</v>
      </c>
      <c r="J28" s="3" t="s">
        <v>30</v>
      </c>
      <c r="K28" s="3" t="s">
        <v>30</v>
      </c>
      <c r="L28" s="3" t="s">
        <v>31</v>
      </c>
      <c r="M28" s="3" t="s">
        <v>1179</v>
      </c>
      <c r="N28" s="3" t="s">
        <v>139</v>
      </c>
      <c r="O28" s="3" t="s">
        <v>34</v>
      </c>
      <c r="P28" s="158">
        <v>763</v>
      </c>
      <c r="Q28" s="166">
        <v>1</v>
      </c>
      <c r="R28" s="176">
        <v>3165</v>
      </c>
      <c r="T28" s="157">
        <v>24.149000000000001</v>
      </c>
      <c r="U28" s="168">
        <v>3.0000000000000001E-6</v>
      </c>
      <c r="V28" s="168">
        <v>2.1067331933729699E-2</v>
      </c>
      <c r="W28" s="168">
        <v>1.7069878126556099E-2</v>
      </c>
    </row>
    <row r="29" spans="1:23">
      <c r="A29" s="3">
        <v>14947</v>
      </c>
      <c r="B29" s="3">
        <v>14949</v>
      </c>
      <c r="C29" s="3" t="s">
        <v>1175</v>
      </c>
      <c r="D29" s="3" t="s">
        <v>1176</v>
      </c>
      <c r="E29" s="5" t="s">
        <v>132</v>
      </c>
      <c r="F29" s="3" t="s">
        <v>1245</v>
      </c>
      <c r="G29" s="3" t="s">
        <v>1246</v>
      </c>
      <c r="H29" s="3" t="s">
        <v>135</v>
      </c>
      <c r="I29" s="3" t="s">
        <v>1159</v>
      </c>
      <c r="J29" s="3" t="s">
        <v>30</v>
      </c>
      <c r="K29" s="3" t="s">
        <v>30</v>
      </c>
      <c r="L29" s="3" t="s">
        <v>31</v>
      </c>
      <c r="M29" s="3" t="s">
        <v>1174</v>
      </c>
      <c r="N29" s="3" t="s">
        <v>139</v>
      </c>
      <c r="O29" s="3" t="s">
        <v>34</v>
      </c>
      <c r="P29" s="158">
        <v>472</v>
      </c>
      <c r="Q29" s="166">
        <v>1</v>
      </c>
      <c r="R29" s="176">
        <v>3192</v>
      </c>
      <c r="T29" s="157">
        <v>15.066000000000001</v>
      </c>
      <c r="U29" s="168">
        <v>1.9999999999999999E-6</v>
      </c>
      <c r="V29" s="168">
        <v>1.31436554828776E-2</v>
      </c>
      <c r="W29" s="168">
        <v>1.06496920414943E-2</v>
      </c>
    </row>
    <row r="30" spans="1:23">
      <c r="A30" s="3">
        <v>14947</v>
      </c>
      <c r="B30" s="3">
        <v>14949</v>
      </c>
      <c r="C30" s="3" t="s">
        <v>1182</v>
      </c>
      <c r="D30" s="3" t="s">
        <v>1183</v>
      </c>
      <c r="E30" s="5" t="s">
        <v>132</v>
      </c>
      <c r="F30" s="3" t="s">
        <v>1184</v>
      </c>
      <c r="G30" s="3" t="s">
        <v>1185</v>
      </c>
      <c r="H30" s="3" t="s">
        <v>135</v>
      </c>
      <c r="I30" s="3" t="s">
        <v>1186</v>
      </c>
      <c r="J30" s="3" t="s">
        <v>30</v>
      </c>
      <c r="K30" s="3" t="s">
        <v>168</v>
      </c>
      <c r="L30" s="3" t="s">
        <v>31</v>
      </c>
      <c r="M30" s="3" t="s">
        <v>1187</v>
      </c>
      <c r="N30" s="3" t="s">
        <v>139</v>
      </c>
      <c r="O30" s="3" t="s">
        <v>34</v>
      </c>
      <c r="P30" s="158">
        <v>1958</v>
      </c>
      <c r="Q30" s="166">
        <v>1</v>
      </c>
      <c r="R30" s="176">
        <v>6185</v>
      </c>
      <c r="T30" s="157">
        <v>121.102</v>
      </c>
      <c r="U30" s="168">
        <v>1.7799999999999999E-4</v>
      </c>
      <c r="V30" s="168">
        <v>0.105648583149086</v>
      </c>
      <c r="W30" s="168">
        <v>8.5602127705164399E-2</v>
      </c>
    </row>
    <row r="31" spans="1:23">
      <c r="A31" s="3">
        <v>14947</v>
      </c>
      <c r="B31" s="3">
        <v>14949</v>
      </c>
      <c r="C31" s="3" t="s">
        <v>1182</v>
      </c>
      <c r="D31" s="3" t="s">
        <v>1183</v>
      </c>
      <c r="E31" s="5" t="s">
        <v>132</v>
      </c>
      <c r="F31" s="3" t="s">
        <v>1247</v>
      </c>
      <c r="G31" s="3" t="s">
        <v>1248</v>
      </c>
      <c r="H31" s="3" t="s">
        <v>135</v>
      </c>
      <c r="I31" s="3" t="s">
        <v>1186</v>
      </c>
      <c r="J31" s="3" t="s">
        <v>30</v>
      </c>
      <c r="L31" s="3" t="s">
        <v>240</v>
      </c>
      <c r="M31" s="3" t="s">
        <v>1242</v>
      </c>
      <c r="N31" s="3" t="s">
        <v>139</v>
      </c>
      <c r="O31" s="3" t="s">
        <v>34</v>
      </c>
      <c r="P31" s="158">
        <v>905</v>
      </c>
      <c r="Q31" s="166">
        <v>1</v>
      </c>
      <c r="R31" s="176">
        <v>6877</v>
      </c>
      <c r="T31" s="157">
        <v>62.237000000000002</v>
      </c>
      <c r="U31" s="168">
        <v>1.5100000000000001E-4</v>
      </c>
      <c r="V31" s="168">
        <v>5.4294881452806303E-2</v>
      </c>
      <c r="W31" s="168">
        <v>4.3992614357177003E-2</v>
      </c>
    </row>
    <row r="32" spans="1:23">
      <c r="A32" s="3">
        <v>14947</v>
      </c>
      <c r="B32" s="3">
        <v>14949</v>
      </c>
      <c r="C32" s="3" t="s">
        <v>1188</v>
      </c>
      <c r="D32" s="3" t="s">
        <v>1189</v>
      </c>
      <c r="E32" s="5" t="s">
        <v>132</v>
      </c>
      <c r="F32" s="3" t="s">
        <v>1249</v>
      </c>
      <c r="G32" s="3" t="s">
        <v>1250</v>
      </c>
      <c r="H32" s="3" t="s">
        <v>135</v>
      </c>
      <c r="I32" s="3" t="s">
        <v>1159</v>
      </c>
      <c r="J32" s="3" t="s">
        <v>30</v>
      </c>
      <c r="K32" s="3" t="s">
        <v>30</v>
      </c>
      <c r="L32" s="3" t="s">
        <v>31</v>
      </c>
      <c r="M32" s="3" t="s">
        <v>1179</v>
      </c>
      <c r="N32" s="3" t="s">
        <v>139</v>
      </c>
      <c r="O32" s="3" t="s">
        <v>34</v>
      </c>
      <c r="P32" s="158">
        <v>1340</v>
      </c>
      <c r="Q32" s="166">
        <v>1</v>
      </c>
      <c r="R32" s="176">
        <v>8845</v>
      </c>
      <c r="T32" s="157">
        <v>118.523</v>
      </c>
      <c r="U32" s="168">
        <v>1.0900000000000001E-4</v>
      </c>
      <c r="V32" s="168">
        <v>0.103398424477315</v>
      </c>
      <c r="W32" s="168">
        <v>8.3778928905554995E-2</v>
      </c>
    </row>
    <row r="33" spans="1:23">
      <c r="A33" s="3">
        <v>14947</v>
      </c>
      <c r="B33" s="3">
        <v>14949</v>
      </c>
      <c r="C33" s="3" t="s">
        <v>1188</v>
      </c>
      <c r="D33" s="3" t="s">
        <v>1189</v>
      </c>
      <c r="E33" s="5" t="s">
        <v>132</v>
      </c>
      <c r="F33" s="3" t="s">
        <v>1251</v>
      </c>
      <c r="G33" s="3" t="s">
        <v>1252</v>
      </c>
      <c r="H33" s="3" t="s">
        <v>135</v>
      </c>
      <c r="I33" s="3" t="s">
        <v>1186</v>
      </c>
      <c r="J33" s="3" t="s">
        <v>30</v>
      </c>
      <c r="K33" s="3" t="s">
        <v>168</v>
      </c>
      <c r="L33" s="3" t="s">
        <v>31</v>
      </c>
      <c r="M33" s="3" t="s">
        <v>1242</v>
      </c>
      <c r="N33" s="3" t="s">
        <v>139</v>
      </c>
      <c r="O33" s="3" t="s">
        <v>34</v>
      </c>
      <c r="P33" s="158">
        <v>157</v>
      </c>
      <c r="Q33" s="166">
        <v>1</v>
      </c>
      <c r="R33" s="176">
        <v>12290</v>
      </c>
      <c r="T33" s="157">
        <v>19.295000000000002</v>
      </c>
      <c r="U33" s="168">
        <v>1.7E-5</v>
      </c>
      <c r="V33" s="168">
        <v>1.68330502924928E-2</v>
      </c>
      <c r="W33" s="168">
        <v>1.36390368697329E-2</v>
      </c>
    </row>
    <row r="34" spans="1:23">
      <c r="A34" s="3">
        <v>14947</v>
      </c>
      <c r="B34" s="3">
        <v>14949</v>
      </c>
      <c r="C34" s="3" t="s">
        <v>1188</v>
      </c>
      <c r="D34" s="3" t="s">
        <v>1189</v>
      </c>
      <c r="E34" s="5" t="s">
        <v>132</v>
      </c>
      <c r="F34" s="3" t="s">
        <v>1192</v>
      </c>
      <c r="G34" s="3" t="s">
        <v>1193</v>
      </c>
      <c r="H34" s="3" t="s">
        <v>135</v>
      </c>
      <c r="I34" s="3" t="s">
        <v>1186</v>
      </c>
      <c r="J34" s="3" t="s">
        <v>30</v>
      </c>
      <c r="K34" s="3" t="s">
        <v>168</v>
      </c>
      <c r="L34" s="3" t="s">
        <v>31</v>
      </c>
      <c r="M34" s="3" t="s">
        <v>1194</v>
      </c>
      <c r="N34" s="3" t="s">
        <v>139</v>
      </c>
      <c r="O34" s="3" t="s">
        <v>34</v>
      </c>
      <c r="P34" s="158">
        <v>203</v>
      </c>
      <c r="Q34" s="166">
        <v>1</v>
      </c>
      <c r="R34" s="176">
        <v>10950</v>
      </c>
      <c r="T34" s="157">
        <v>22.228999999999999</v>
      </c>
      <c r="U34" s="168">
        <v>3.0000000000000001E-6</v>
      </c>
      <c r="V34" s="168">
        <v>1.9391948216751099E-2</v>
      </c>
      <c r="W34" s="168">
        <v>1.57123927100827E-2</v>
      </c>
    </row>
    <row r="35" spans="1:23">
      <c r="A35" s="3">
        <v>14947</v>
      </c>
      <c r="B35" s="3">
        <v>14949</v>
      </c>
      <c r="C35" s="3" t="s">
        <v>1195</v>
      </c>
      <c r="D35" s="3" t="s">
        <v>1196</v>
      </c>
      <c r="E35" s="5" t="s">
        <v>132</v>
      </c>
      <c r="F35" s="3" t="s">
        <v>1197</v>
      </c>
      <c r="G35" s="3" t="s">
        <v>1198</v>
      </c>
      <c r="H35" s="3" t="s">
        <v>135</v>
      </c>
      <c r="I35" s="3" t="s">
        <v>1186</v>
      </c>
      <c r="J35" s="3" t="s">
        <v>30</v>
      </c>
      <c r="K35" s="3" t="s">
        <v>833</v>
      </c>
      <c r="L35" s="3" t="s">
        <v>240</v>
      </c>
      <c r="M35" s="3" t="s">
        <v>1199</v>
      </c>
      <c r="N35" s="3" t="s">
        <v>139</v>
      </c>
      <c r="O35" s="3" t="s">
        <v>34</v>
      </c>
      <c r="P35" s="158">
        <v>1147</v>
      </c>
      <c r="Q35" s="166">
        <v>1</v>
      </c>
      <c r="R35" s="176">
        <v>4341</v>
      </c>
      <c r="T35" s="157">
        <v>49.790999999999997</v>
      </c>
      <c r="U35" s="168">
        <v>1.1E-5</v>
      </c>
      <c r="V35" s="168">
        <v>4.3437466742527402E-2</v>
      </c>
      <c r="W35" s="168">
        <v>3.5195356761534E-2</v>
      </c>
    </row>
    <row r="36" spans="1:23">
      <c r="A36" s="3">
        <v>14947</v>
      </c>
      <c r="B36" s="3">
        <v>14949</v>
      </c>
      <c r="C36" s="3" t="s">
        <v>1195</v>
      </c>
      <c r="D36" s="3" t="s">
        <v>1196</v>
      </c>
      <c r="E36" s="5" t="s">
        <v>132</v>
      </c>
      <c r="F36" s="3" t="s">
        <v>1253</v>
      </c>
      <c r="G36" s="3" t="s">
        <v>1254</v>
      </c>
      <c r="H36" s="3" t="s">
        <v>135</v>
      </c>
      <c r="I36" s="3" t="s">
        <v>1159</v>
      </c>
      <c r="J36" s="3" t="s">
        <v>30</v>
      </c>
      <c r="K36" s="3" t="s">
        <v>30</v>
      </c>
      <c r="L36" s="3" t="s">
        <v>31</v>
      </c>
      <c r="M36" s="3" t="s">
        <v>1174</v>
      </c>
      <c r="N36" s="3" t="s">
        <v>139</v>
      </c>
      <c r="O36" s="3" t="s">
        <v>34</v>
      </c>
      <c r="P36" s="158">
        <v>118</v>
      </c>
      <c r="Q36" s="166">
        <v>1</v>
      </c>
      <c r="R36" s="176">
        <v>31750</v>
      </c>
      <c r="T36" s="157">
        <v>37.465000000000003</v>
      </c>
      <c r="U36" s="168">
        <v>3.0000000000000001E-6</v>
      </c>
      <c r="V36" s="168">
        <v>3.2684137028615501E-2</v>
      </c>
      <c r="W36" s="168">
        <v>2.64824343920304E-2</v>
      </c>
    </row>
    <row r="37" spans="1:23">
      <c r="A37" s="3">
        <v>14947</v>
      </c>
      <c r="B37" s="3">
        <v>14949</v>
      </c>
      <c r="C37" s="3" t="s">
        <v>1195</v>
      </c>
      <c r="D37" s="3" t="s">
        <v>1196</v>
      </c>
      <c r="E37" s="5" t="s">
        <v>132</v>
      </c>
      <c r="F37" s="3" t="s">
        <v>1211</v>
      </c>
      <c r="G37" s="3" t="s">
        <v>1212</v>
      </c>
      <c r="H37" s="3" t="s">
        <v>135</v>
      </c>
      <c r="I37" s="3" t="s">
        <v>1186</v>
      </c>
      <c r="J37" s="3" t="s">
        <v>30</v>
      </c>
      <c r="K37" s="3" t="s">
        <v>1213</v>
      </c>
      <c r="L37" s="3" t="s">
        <v>240</v>
      </c>
      <c r="M37" s="3" t="s">
        <v>1214</v>
      </c>
      <c r="N37" s="3" t="s">
        <v>139</v>
      </c>
      <c r="O37" s="3" t="s">
        <v>34</v>
      </c>
      <c r="P37" s="158">
        <v>140</v>
      </c>
      <c r="Q37" s="166">
        <v>1</v>
      </c>
      <c r="R37" s="176">
        <v>12490</v>
      </c>
      <c r="T37" s="157">
        <v>17.486000000000001</v>
      </c>
      <c r="U37" s="168">
        <v>2.5999999999999998E-5</v>
      </c>
      <c r="V37" s="168">
        <v>1.5254632859532101E-2</v>
      </c>
      <c r="W37" s="168">
        <v>1.2360118718244901E-2</v>
      </c>
    </row>
    <row r="38" spans="1:23">
      <c r="A38" s="3">
        <v>14947</v>
      </c>
      <c r="B38" s="3">
        <v>14949</v>
      </c>
      <c r="C38" s="3" t="s">
        <v>1225</v>
      </c>
      <c r="D38" s="3" t="s">
        <v>1226</v>
      </c>
      <c r="E38" s="5" t="s">
        <v>809</v>
      </c>
      <c r="F38" s="3" t="s">
        <v>1255</v>
      </c>
      <c r="G38" s="3" t="s">
        <v>1256</v>
      </c>
      <c r="H38" s="3" t="s">
        <v>135</v>
      </c>
      <c r="I38" s="3" t="s">
        <v>1186</v>
      </c>
      <c r="J38" s="3" t="s">
        <v>741</v>
      </c>
      <c r="K38" s="3" t="s">
        <v>168</v>
      </c>
      <c r="L38" s="3" t="s">
        <v>1036</v>
      </c>
      <c r="M38" s="3" t="s">
        <v>1257</v>
      </c>
      <c r="N38" s="3" t="s">
        <v>139</v>
      </c>
      <c r="O38" s="3" t="s">
        <v>427</v>
      </c>
      <c r="P38" s="158">
        <v>39</v>
      </c>
      <c r="Q38" s="166">
        <v>3.306</v>
      </c>
      <c r="R38" s="176">
        <v>28186</v>
      </c>
      <c r="T38" s="157">
        <v>36.341000000000001</v>
      </c>
      <c r="U38" s="168">
        <v>0</v>
      </c>
      <c r="V38" s="168">
        <v>3.1703863503410798E-2</v>
      </c>
      <c r="W38" s="168">
        <v>2.5688164398157E-2</v>
      </c>
    </row>
    <row r="39" spans="1:23">
      <c r="A39" s="3">
        <v>14947</v>
      </c>
      <c r="B39" s="3">
        <v>14949</v>
      </c>
      <c r="C39" s="3" t="s">
        <v>1215</v>
      </c>
      <c r="D39" s="3" t="s">
        <v>1216</v>
      </c>
      <c r="E39" s="5" t="s">
        <v>809</v>
      </c>
      <c r="F39" s="3" t="s">
        <v>1258</v>
      </c>
      <c r="G39" s="3" t="s">
        <v>1259</v>
      </c>
      <c r="H39" s="3" t="s">
        <v>135</v>
      </c>
      <c r="I39" s="3" t="s">
        <v>1186</v>
      </c>
      <c r="J39" s="3" t="s">
        <v>741</v>
      </c>
      <c r="K39" s="3" t="s">
        <v>1260</v>
      </c>
      <c r="L39" s="3" t="s">
        <v>240</v>
      </c>
      <c r="M39" s="3" t="s">
        <v>1261</v>
      </c>
      <c r="N39" s="3" t="s">
        <v>139</v>
      </c>
      <c r="O39" s="3" t="s">
        <v>427</v>
      </c>
      <c r="P39" s="158">
        <v>138</v>
      </c>
      <c r="Q39" s="166">
        <v>3.306</v>
      </c>
      <c r="R39" s="176">
        <v>6680</v>
      </c>
      <c r="T39" s="157">
        <v>30.475999999999999</v>
      </c>
      <c r="U39" s="168">
        <v>1.2999999999999999E-5</v>
      </c>
      <c r="V39" s="168">
        <v>2.65870213180796E-2</v>
      </c>
      <c r="W39" s="168">
        <v>2.1542225426331899E-2</v>
      </c>
    </row>
    <row r="40" spans="1:23">
      <c r="A40" s="3">
        <v>14947</v>
      </c>
      <c r="B40" s="3">
        <v>14949</v>
      </c>
      <c r="C40" s="3" t="s">
        <v>1262</v>
      </c>
      <c r="D40" s="3" t="s">
        <v>1263</v>
      </c>
      <c r="E40" s="5" t="s">
        <v>809</v>
      </c>
      <c r="F40" s="3" t="s">
        <v>1264</v>
      </c>
      <c r="G40" s="3" t="s">
        <v>1265</v>
      </c>
      <c r="H40" s="3" t="s">
        <v>135</v>
      </c>
      <c r="I40" s="3" t="s">
        <v>1186</v>
      </c>
      <c r="J40" s="3" t="s">
        <v>741</v>
      </c>
      <c r="K40" s="3" t="s">
        <v>905</v>
      </c>
      <c r="L40" s="3" t="s">
        <v>240</v>
      </c>
      <c r="M40" s="3" t="s">
        <v>1187</v>
      </c>
      <c r="N40" s="3" t="s">
        <v>139</v>
      </c>
      <c r="O40" s="3" t="s">
        <v>745</v>
      </c>
      <c r="P40" s="158">
        <v>113</v>
      </c>
      <c r="Q40" s="166">
        <v>3.8807</v>
      </c>
      <c r="R40" s="176">
        <v>10120</v>
      </c>
      <c r="T40" s="157">
        <v>44.378</v>
      </c>
      <c r="U40" s="168">
        <v>3.9999999999999998E-6</v>
      </c>
      <c r="V40" s="168">
        <v>3.8715093485423499E-2</v>
      </c>
      <c r="W40" s="168">
        <v>3.1369037594947399E-2</v>
      </c>
    </row>
    <row r="41" spans="1:23">
      <c r="A41" s="3">
        <v>14947</v>
      </c>
      <c r="B41" s="3">
        <v>14949</v>
      </c>
      <c r="C41" s="3" t="s">
        <v>1266</v>
      </c>
      <c r="D41" s="3" t="s">
        <v>1267</v>
      </c>
      <c r="E41" s="5" t="s">
        <v>809</v>
      </c>
      <c r="F41" s="3" t="s">
        <v>1268</v>
      </c>
      <c r="G41" s="3" t="s">
        <v>1269</v>
      </c>
      <c r="H41" s="3" t="s">
        <v>135</v>
      </c>
      <c r="I41" s="3" t="s">
        <v>1186</v>
      </c>
      <c r="J41" s="3" t="s">
        <v>741</v>
      </c>
      <c r="K41" s="3" t="s">
        <v>168</v>
      </c>
      <c r="L41" s="3" t="s">
        <v>1016</v>
      </c>
      <c r="M41" s="3" t="s">
        <v>1242</v>
      </c>
      <c r="N41" s="3" t="s">
        <v>139</v>
      </c>
      <c r="O41" s="3" t="s">
        <v>427</v>
      </c>
      <c r="P41" s="158">
        <v>17</v>
      </c>
      <c r="Q41" s="166">
        <v>3.306</v>
      </c>
      <c r="R41" s="176">
        <v>60037</v>
      </c>
      <c r="S41" s="157">
        <v>8.9999999999999993E-3</v>
      </c>
      <c r="T41" s="157">
        <v>33.771000000000001</v>
      </c>
      <c r="U41" s="168">
        <v>0</v>
      </c>
      <c r="V41" s="168">
        <v>2.9461744440159601E-2</v>
      </c>
      <c r="W41" s="168">
        <v>2.3871479718990299E-2</v>
      </c>
    </row>
    <row r="42" spans="1:23">
      <c r="A42" s="3">
        <v>14947</v>
      </c>
      <c r="B42" s="3">
        <v>14949</v>
      </c>
      <c r="C42" s="3" t="s">
        <v>1219</v>
      </c>
      <c r="D42" s="3" t="s">
        <v>1220</v>
      </c>
      <c r="E42" s="5" t="s">
        <v>809</v>
      </c>
      <c r="F42" s="3" t="s">
        <v>1270</v>
      </c>
      <c r="G42" s="3" t="s">
        <v>1271</v>
      </c>
      <c r="H42" s="3" t="s">
        <v>135</v>
      </c>
      <c r="I42" s="3" t="s">
        <v>1186</v>
      </c>
      <c r="J42" s="3" t="s">
        <v>741</v>
      </c>
      <c r="K42" s="3" t="s">
        <v>1272</v>
      </c>
      <c r="L42" s="3" t="s">
        <v>1036</v>
      </c>
      <c r="M42" s="3" t="s">
        <v>1204</v>
      </c>
      <c r="N42" s="3" t="s">
        <v>139</v>
      </c>
      <c r="O42" s="3" t="s">
        <v>427</v>
      </c>
      <c r="P42" s="158">
        <v>38</v>
      </c>
      <c r="Q42" s="166">
        <v>3.306</v>
      </c>
      <c r="R42" s="176">
        <v>4114</v>
      </c>
      <c r="T42" s="157">
        <v>5.1680000000000001</v>
      </c>
      <c r="U42" s="168">
        <v>0</v>
      </c>
      <c r="V42" s="168">
        <v>4.5088108746615596E-3</v>
      </c>
      <c r="W42" s="168">
        <v>3.6532795120078499E-3</v>
      </c>
    </row>
    <row r="43" spans="1:23">
      <c r="A43" s="3">
        <v>14947</v>
      </c>
      <c r="B43" s="3">
        <v>14949</v>
      </c>
      <c r="C43" s="3" t="s">
        <v>1273</v>
      </c>
      <c r="D43" s="3" t="s">
        <v>1274</v>
      </c>
      <c r="E43" s="5" t="s">
        <v>809</v>
      </c>
      <c r="F43" s="3" t="s">
        <v>1275</v>
      </c>
      <c r="G43" s="3" t="s">
        <v>1276</v>
      </c>
      <c r="H43" s="3" t="s">
        <v>135</v>
      </c>
      <c r="I43" s="3" t="s">
        <v>1186</v>
      </c>
      <c r="J43" s="3" t="s">
        <v>741</v>
      </c>
      <c r="K43" s="3" t="s">
        <v>168</v>
      </c>
      <c r="L43" s="3" t="s">
        <v>1036</v>
      </c>
      <c r="M43" s="3" t="s">
        <v>1194</v>
      </c>
      <c r="N43" s="3" t="s">
        <v>139</v>
      </c>
      <c r="O43" s="3" t="s">
        <v>427</v>
      </c>
      <c r="P43" s="158">
        <v>25</v>
      </c>
      <c r="Q43" s="166">
        <v>3.306</v>
      </c>
      <c r="R43" s="176">
        <v>61238</v>
      </c>
      <c r="S43" s="157">
        <v>4.2999999999999997E-2</v>
      </c>
      <c r="T43" s="157">
        <v>50.756999999999998</v>
      </c>
      <c r="U43" s="168">
        <v>0</v>
      </c>
      <c r="V43" s="168">
        <v>4.4279976817720598E-2</v>
      </c>
      <c r="W43" s="168">
        <v>3.5878003446419497E-2</v>
      </c>
    </row>
    <row r="44" spans="1:23">
      <c r="A44" s="3">
        <v>14947</v>
      </c>
      <c r="B44" s="3">
        <v>14949</v>
      </c>
      <c r="C44" s="3" t="s">
        <v>1273</v>
      </c>
      <c r="D44" s="3" t="s">
        <v>1274</v>
      </c>
      <c r="E44" s="5" t="s">
        <v>809</v>
      </c>
      <c r="F44" s="3" t="s">
        <v>1277</v>
      </c>
      <c r="G44" s="3" t="s">
        <v>1278</v>
      </c>
      <c r="H44" s="3" t="s">
        <v>135</v>
      </c>
      <c r="I44" s="3" t="s">
        <v>1186</v>
      </c>
      <c r="J44" s="3" t="s">
        <v>741</v>
      </c>
      <c r="K44" s="3" t="s">
        <v>833</v>
      </c>
      <c r="L44" s="3" t="s">
        <v>1036</v>
      </c>
      <c r="M44" s="3" t="s">
        <v>1199</v>
      </c>
      <c r="N44" s="3" t="s">
        <v>139</v>
      </c>
      <c r="O44" s="3" t="s">
        <v>427</v>
      </c>
      <c r="P44" s="158">
        <v>71</v>
      </c>
      <c r="Q44" s="166">
        <v>3.306</v>
      </c>
      <c r="R44" s="176">
        <v>13780</v>
      </c>
      <c r="T44" s="157">
        <v>32.344999999999999</v>
      </c>
      <c r="U44" s="168">
        <v>0</v>
      </c>
      <c r="V44" s="168">
        <v>2.8217705802723599E-2</v>
      </c>
      <c r="W44" s="168">
        <v>2.2863493136134901E-2</v>
      </c>
    </row>
    <row r="45" spans="1:23">
      <c r="A45" s="3">
        <v>14947</v>
      </c>
      <c r="B45" s="3">
        <v>14949</v>
      </c>
      <c r="C45" s="3" t="s">
        <v>1279</v>
      </c>
      <c r="D45" s="3" t="s">
        <v>1280</v>
      </c>
      <c r="E45" s="5" t="s">
        <v>809</v>
      </c>
      <c r="F45" s="3" t="s">
        <v>1281</v>
      </c>
      <c r="G45" s="3" t="s">
        <v>1282</v>
      </c>
      <c r="H45" s="3" t="s">
        <v>135</v>
      </c>
      <c r="I45" s="3" t="s">
        <v>1186</v>
      </c>
      <c r="J45" s="3" t="s">
        <v>741</v>
      </c>
      <c r="K45" s="3" t="s">
        <v>833</v>
      </c>
      <c r="L45" s="3" t="s">
        <v>1036</v>
      </c>
      <c r="M45" s="3" t="s">
        <v>1261</v>
      </c>
      <c r="N45" s="3" t="s">
        <v>139</v>
      </c>
      <c r="O45" s="3" t="s">
        <v>427</v>
      </c>
      <c r="P45" s="158">
        <v>141</v>
      </c>
      <c r="Q45" s="166">
        <v>3.306</v>
      </c>
      <c r="R45" s="176">
        <v>3794</v>
      </c>
      <c r="T45" s="157">
        <v>17.686</v>
      </c>
      <c r="U45" s="168">
        <v>1.9999999999999999E-6</v>
      </c>
      <c r="V45" s="168">
        <v>1.54287440360496E-2</v>
      </c>
      <c r="W45" s="168">
        <v>1.25011928975939E-2</v>
      </c>
    </row>
    <row r="46" spans="1:23">
      <c r="A46" s="3">
        <v>14947</v>
      </c>
      <c r="B46" s="3">
        <v>14949</v>
      </c>
      <c r="C46" s="3" t="s">
        <v>1279</v>
      </c>
      <c r="D46" s="3" t="s">
        <v>1280</v>
      </c>
      <c r="E46" s="5" t="s">
        <v>809</v>
      </c>
      <c r="F46" s="3" t="s">
        <v>1283</v>
      </c>
      <c r="G46" s="3" t="s">
        <v>1284</v>
      </c>
      <c r="H46" s="3" t="s">
        <v>135</v>
      </c>
      <c r="I46" s="3" t="s">
        <v>1186</v>
      </c>
      <c r="J46" s="3" t="s">
        <v>741</v>
      </c>
      <c r="K46" s="3" t="s">
        <v>1285</v>
      </c>
      <c r="L46" s="3" t="s">
        <v>1036</v>
      </c>
      <c r="M46" s="3" t="s">
        <v>1207</v>
      </c>
      <c r="N46" s="3" t="s">
        <v>139</v>
      </c>
      <c r="O46" s="3" t="s">
        <v>427</v>
      </c>
      <c r="P46" s="158">
        <v>30</v>
      </c>
      <c r="Q46" s="166">
        <v>3.306</v>
      </c>
      <c r="R46" s="176">
        <v>4420</v>
      </c>
      <c r="T46" s="157">
        <v>4.3840000000000003</v>
      </c>
      <c r="U46" s="168">
        <v>0</v>
      </c>
      <c r="V46" s="168">
        <v>3.82435024166596E-3</v>
      </c>
      <c r="W46" s="168">
        <v>3.09869293102014E-3</v>
      </c>
    </row>
    <row r="47" spans="1:23">
      <c r="A47" s="3">
        <v>14947</v>
      </c>
      <c r="B47" s="3">
        <v>15203</v>
      </c>
      <c r="C47" s="3" t="s">
        <v>1155</v>
      </c>
      <c r="D47" s="3" t="s">
        <v>1156</v>
      </c>
      <c r="E47" s="5" t="s">
        <v>132</v>
      </c>
      <c r="F47" s="3" t="s">
        <v>1286</v>
      </c>
      <c r="G47" s="3" t="s">
        <v>1287</v>
      </c>
      <c r="H47" s="3" t="s">
        <v>135</v>
      </c>
      <c r="I47" s="3" t="s">
        <v>1186</v>
      </c>
      <c r="J47" s="3" t="s">
        <v>30</v>
      </c>
      <c r="K47" s="3" t="s">
        <v>168</v>
      </c>
      <c r="L47" s="3" t="s">
        <v>31</v>
      </c>
      <c r="M47" s="3" t="s">
        <v>1194</v>
      </c>
      <c r="N47" s="3" t="s">
        <v>139</v>
      </c>
      <c r="O47" s="3" t="s">
        <v>34</v>
      </c>
      <c r="P47" s="158">
        <v>2930</v>
      </c>
      <c r="Q47" s="166">
        <v>1</v>
      </c>
      <c r="R47" s="176">
        <v>9467</v>
      </c>
      <c r="T47" s="157">
        <v>277.38299999999998</v>
      </c>
      <c r="U47" s="168">
        <v>3.4E-5</v>
      </c>
      <c r="V47" s="168">
        <v>0.13453688077510201</v>
      </c>
      <c r="W47" s="168">
        <v>0.129904454609859</v>
      </c>
    </row>
    <row r="48" spans="1:23">
      <c r="A48" s="3">
        <v>14947</v>
      </c>
      <c r="B48" s="3">
        <v>15203</v>
      </c>
      <c r="C48" s="3" t="s">
        <v>1168</v>
      </c>
      <c r="D48" s="3" t="s">
        <v>1169</v>
      </c>
      <c r="E48" s="5" t="s">
        <v>132</v>
      </c>
      <c r="F48" s="3" t="s">
        <v>1288</v>
      </c>
      <c r="G48" s="3" t="s">
        <v>1289</v>
      </c>
      <c r="H48" s="3" t="s">
        <v>135</v>
      </c>
      <c r="I48" s="3" t="s">
        <v>1186</v>
      </c>
      <c r="J48" s="3" t="s">
        <v>30</v>
      </c>
      <c r="K48" s="3" t="s">
        <v>168</v>
      </c>
      <c r="L48" s="3" t="s">
        <v>31</v>
      </c>
      <c r="M48" s="3" t="s">
        <v>1194</v>
      </c>
      <c r="N48" s="3" t="s">
        <v>139</v>
      </c>
      <c r="O48" s="3" t="s">
        <v>34</v>
      </c>
      <c r="P48" s="158">
        <v>1252</v>
      </c>
      <c r="Q48" s="166">
        <v>1</v>
      </c>
      <c r="R48" s="176">
        <v>21730</v>
      </c>
      <c r="T48" s="157">
        <v>272.06</v>
      </c>
      <c r="U48" s="168">
        <v>1.2999999999999999E-5</v>
      </c>
      <c r="V48" s="168">
        <v>0.131954866640837</v>
      </c>
      <c r="W48" s="168">
        <v>0.127411345389739</v>
      </c>
    </row>
    <row r="49" spans="1:23">
      <c r="A49" s="3">
        <v>14947</v>
      </c>
      <c r="B49" s="3">
        <v>15203</v>
      </c>
      <c r="C49" s="3" t="s">
        <v>1175</v>
      </c>
      <c r="D49" s="3" t="s">
        <v>1176</v>
      </c>
      <c r="E49" s="5" t="s">
        <v>132</v>
      </c>
      <c r="F49" s="3" t="s">
        <v>1290</v>
      </c>
      <c r="G49" s="3" t="s">
        <v>1291</v>
      </c>
      <c r="H49" s="3" t="s">
        <v>135</v>
      </c>
      <c r="I49" s="3" t="s">
        <v>1186</v>
      </c>
      <c r="J49" s="3" t="s">
        <v>30</v>
      </c>
      <c r="K49" s="3" t="s">
        <v>168</v>
      </c>
      <c r="L49" s="3" t="s">
        <v>31</v>
      </c>
      <c r="M49" s="3" t="s">
        <v>1194</v>
      </c>
      <c r="N49" s="3" t="s">
        <v>139</v>
      </c>
      <c r="O49" s="3" t="s">
        <v>34</v>
      </c>
      <c r="P49" s="158">
        <v>9990</v>
      </c>
      <c r="Q49" s="166">
        <v>1</v>
      </c>
      <c r="R49" s="176">
        <v>2569</v>
      </c>
      <c r="T49" s="157">
        <v>256.64299999999997</v>
      </c>
      <c r="U49" s="168">
        <v>2.5999999999999998E-5</v>
      </c>
      <c r="V49" s="168">
        <v>0.124477526375806</v>
      </c>
      <c r="W49" s="168">
        <v>0.120191467810705</v>
      </c>
    </row>
    <row r="50" spans="1:23">
      <c r="A50" s="3">
        <v>14947</v>
      </c>
      <c r="B50" s="3">
        <v>15203</v>
      </c>
      <c r="C50" s="3" t="s">
        <v>1188</v>
      </c>
      <c r="D50" s="3" t="s">
        <v>1189</v>
      </c>
      <c r="E50" s="5" t="s">
        <v>132</v>
      </c>
      <c r="F50" s="3" t="s">
        <v>1192</v>
      </c>
      <c r="G50" s="3" t="s">
        <v>1193</v>
      </c>
      <c r="H50" s="3" t="s">
        <v>135</v>
      </c>
      <c r="I50" s="3" t="s">
        <v>1186</v>
      </c>
      <c r="J50" s="3" t="s">
        <v>30</v>
      </c>
      <c r="K50" s="3" t="s">
        <v>168</v>
      </c>
      <c r="L50" s="3" t="s">
        <v>31</v>
      </c>
      <c r="M50" s="3" t="s">
        <v>1194</v>
      </c>
      <c r="N50" s="3" t="s">
        <v>139</v>
      </c>
      <c r="O50" s="3" t="s">
        <v>34</v>
      </c>
      <c r="P50" s="158">
        <v>1724</v>
      </c>
      <c r="Q50" s="166">
        <v>1</v>
      </c>
      <c r="R50" s="176">
        <v>10950</v>
      </c>
      <c r="T50" s="157">
        <v>188.77799999999999</v>
      </c>
      <c r="U50" s="168">
        <v>2.5000000000000001E-5</v>
      </c>
      <c r="V50" s="168">
        <v>9.1561465997612307E-2</v>
      </c>
      <c r="W50" s="168">
        <v>8.8408786015946803E-2</v>
      </c>
    </row>
    <row r="51" spans="1:23">
      <c r="A51" s="3">
        <v>14947</v>
      </c>
      <c r="B51" s="3">
        <v>15203</v>
      </c>
      <c r="C51" s="3" t="s">
        <v>1266</v>
      </c>
      <c r="D51" s="3" t="s">
        <v>1267</v>
      </c>
      <c r="E51" s="5" t="s">
        <v>809</v>
      </c>
      <c r="F51" s="3" t="s">
        <v>1292</v>
      </c>
      <c r="G51" s="3" t="s">
        <v>1293</v>
      </c>
      <c r="H51" s="3" t="s">
        <v>135</v>
      </c>
      <c r="I51" s="3" t="s">
        <v>1186</v>
      </c>
      <c r="J51" s="3" t="s">
        <v>741</v>
      </c>
      <c r="K51" s="3" t="s">
        <v>168</v>
      </c>
      <c r="L51" s="3" t="s">
        <v>1114</v>
      </c>
      <c r="M51" s="3" t="s">
        <v>1194</v>
      </c>
      <c r="N51" s="3" t="s">
        <v>139</v>
      </c>
      <c r="O51" s="3" t="s">
        <v>427</v>
      </c>
      <c r="P51" s="158">
        <v>53</v>
      </c>
      <c r="Q51" s="166">
        <v>3.306</v>
      </c>
      <c r="R51" s="176">
        <v>132232</v>
      </c>
      <c r="T51" s="157">
        <v>231.69399999999999</v>
      </c>
      <c r="U51" s="168">
        <v>1.9999999999999999E-6</v>
      </c>
      <c r="V51" s="168">
        <v>0.112376795157412</v>
      </c>
      <c r="W51" s="168">
        <v>0.10850739367245001</v>
      </c>
    </row>
    <row r="52" spans="1:23">
      <c r="A52" s="3">
        <v>14947</v>
      </c>
      <c r="B52" s="3">
        <v>15203</v>
      </c>
      <c r="C52" s="3" t="s">
        <v>1219</v>
      </c>
      <c r="D52" s="3" t="s">
        <v>1220</v>
      </c>
      <c r="E52" s="5" t="s">
        <v>809</v>
      </c>
      <c r="F52" s="3" t="s">
        <v>1294</v>
      </c>
      <c r="G52" s="3" t="s">
        <v>1295</v>
      </c>
      <c r="H52" s="3" t="s">
        <v>135</v>
      </c>
      <c r="I52" s="3" t="s">
        <v>1186</v>
      </c>
      <c r="J52" s="3" t="s">
        <v>741</v>
      </c>
      <c r="K52" s="3" t="s">
        <v>168</v>
      </c>
      <c r="L52" s="3" t="s">
        <v>1036</v>
      </c>
      <c r="M52" s="3" t="s">
        <v>1194</v>
      </c>
      <c r="N52" s="3" t="s">
        <v>139</v>
      </c>
      <c r="O52" s="3" t="s">
        <v>427</v>
      </c>
      <c r="P52" s="158">
        <v>133</v>
      </c>
      <c r="Q52" s="166">
        <v>3.306</v>
      </c>
      <c r="R52" s="176">
        <v>66930</v>
      </c>
      <c r="T52" s="157">
        <v>294.29000000000002</v>
      </c>
      <c r="U52" s="168">
        <v>0</v>
      </c>
      <c r="V52" s="168">
        <v>0.14273703531996701</v>
      </c>
      <c r="W52" s="168">
        <v>0.137822258246528</v>
      </c>
    </row>
    <row r="53" spans="1:23">
      <c r="A53" s="3">
        <v>14947</v>
      </c>
      <c r="B53" s="3">
        <v>15203</v>
      </c>
      <c r="C53" s="3" t="s">
        <v>1296</v>
      </c>
      <c r="D53" s="3" t="s">
        <v>1216</v>
      </c>
      <c r="E53" s="5" t="s">
        <v>809</v>
      </c>
      <c r="F53" s="3" t="s">
        <v>1297</v>
      </c>
      <c r="G53" s="3" t="s">
        <v>1298</v>
      </c>
      <c r="H53" s="3" t="s">
        <v>135</v>
      </c>
      <c r="I53" s="3" t="s">
        <v>1186</v>
      </c>
      <c r="J53" s="3" t="s">
        <v>741</v>
      </c>
      <c r="K53" s="3" t="s">
        <v>168</v>
      </c>
      <c r="L53" s="3" t="s">
        <v>1114</v>
      </c>
      <c r="M53" s="3" t="s">
        <v>1194</v>
      </c>
      <c r="N53" s="3" t="s">
        <v>139</v>
      </c>
      <c r="O53" s="3" t="s">
        <v>427</v>
      </c>
      <c r="P53" s="158">
        <v>171</v>
      </c>
      <c r="Q53" s="166">
        <v>3.306</v>
      </c>
      <c r="R53" s="176">
        <v>47917</v>
      </c>
      <c r="T53" s="157">
        <v>270.887</v>
      </c>
      <c r="U53" s="168">
        <v>1.9000000000000001E-5</v>
      </c>
      <c r="V53" s="168">
        <v>0.13138625577435301</v>
      </c>
      <c r="W53" s="168">
        <v>0.126862313153593</v>
      </c>
    </row>
    <row r="54" spans="1:23">
      <c r="A54" s="3">
        <v>14947</v>
      </c>
      <c r="B54" s="3">
        <v>15203</v>
      </c>
      <c r="C54" s="3" t="s">
        <v>1273</v>
      </c>
      <c r="D54" s="3" t="s">
        <v>1274</v>
      </c>
      <c r="E54" s="5" t="s">
        <v>809</v>
      </c>
      <c r="F54" s="3" t="s">
        <v>1275</v>
      </c>
      <c r="G54" s="3" t="s">
        <v>1276</v>
      </c>
      <c r="H54" s="3" t="s">
        <v>135</v>
      </c>
      <c r="I54" s="3" t="s">
        <v>1186</v>
      </c>
      <c r="J54" s="3" t="s">
        <v>741</v>
      </c>
      <c r="K54" s="3" t="s">
        <v>168</v>
      </c>
      <c r="L54" s="3" t="s">
        <v>1036</v>
      </c>
      <c r="M54" s="3" t="s">
        <v>1194</v>
      </c>
      <c r="N54" s="3" t="s">
        <v>139</v>
      </c>
      <c r="O54" s="3" t="s">
        <v>427</v>
      </c>
      <c r="P54" s="158">
        <v>133</v>
      </c>
      <c r="Q54" s="166">
        <v>3.306</v>
      </c>
      <c r="R54" s="176">
        <v>61238</v>
      </c>
      <c r="S54" s="157">
        <v>0.23100000000000001</v>
      </c>
      <c r="T54" s="157">
        <v>270.02699999999999</v>
      </c>
      <c r="U54" s="168">
        <v>0</v>
      </c>
      <c r="V54" s="168">
        <v>0.13096917395891</v>
      </c>
      <c r="W54" s="168">
        <v>0.126459592461315</v>
      </c>
    </row>
    <row r="55" spans="1:23">
      <c r="A55" s="3">
        <v>419</v>
      </c>
      <c r="B55" s="3">
        <v>419</v>
      </c>
      <c r="C55" s="3" t="s">
        <v>1155</v>
      </c>
      <c r="D55" s="3" t="s">
        <v>1156</v>
      </c>
      <c r="E55" s="5" t="s">
        <v>132</v>
      </c>
      <c r="F55" s="3" t="s">
        <v>1299</v>
      </c>
      <c r="G55" s="3" t="s">
        <v>1300</v>
      </c>
      <c r="H55" s="3" t="s">
        <v>135</v>
      </c>
      <c r="I55" s="3" t="s">
        <v>1163</v>
      </c>
      <c r="J55" s="3" t="s">
        <v>30</v>
      </c>
      <c r="K55" s="3" t="s">
        <v>30</v>
      </c>
      <c r="L55" s="3" t="s">
        <v>31</v>
      </c>
      <c r="M55" s="3" t="s">
        <v>1167</v>
      </c>
      <c r="N55" s="3" t="s">
        <v>139</v>
      </c>
      <c r="O55" s="3" t="s">
        <v>34</v>
      </c>
      <c r="P55" s="158">
        <v>295450</v>
      </c>
      <c r="Q55" s="166">
        <v>1</v>
      </c>
      <c r="R55" s="176">
        <v>437.08</v>
      </c>
      <c r="T55" s="157">
        <v>1291.3530000000001</v>
      </c>
      <c r="U55" s="168">
        <v>5.5750000000000001E-3</v>
      </c>
      <c r="V55" s="168">
        <v>4.6438021497500499E-3</v>
      </c>
      <c r="W55" s="168">
        <v>1.0922153595165399E-3</v>
      </c>
    </row>
    <row r="56" spans="1:23">
      <c r="A56" s="3">
        <v>419</v>
      </c>
      <c r="B56" s="3">
        <v>419</v>
      </c>
      <c r="C56" s="3" t="s">
        <v>1155</v>
      </c>
      <c r="D56" s="3" t="s">
        <v>1156</v>
      </c>
      <c r="E56" s="5" t="s">
        <v>132</v>
      </c>
      <c r="F56" s="3" t="s">
        <v>1301</v>
      </c>
      <c r="G56" s="3" t="s">
        <v>1302</v>
      </c>
      <c r="H56" s="3" t="s">
        <v>135</v>
      </c>
      <c r="I56" s="3" t="s">
        <v>1159</v>
      </c>
      <c r="J56" s="3" t="s">
        <v>30</v>
      </c>
      <c r="K56" s="3" t="s">
        <v>30</v>
      </c>
      <c r="L56" s="3" t="s">
        <v>31</v>
      </c>
      <c r="M56" s="3" t="s">
        <v>1179</v>
      </c>
      <c r="N56" s="3" t="s">
        <v>139</v>
      </c>
      <c r="O56" s="3" t="s">
        <v>34</v>
      </c>
      <c r="P56" s="158">
        <v>55452</v>
      </c>
      <c r="Q56" s="166">
        <v>1</v>
      </c>
      <c r="R56" s="176">
        <v>4757</v>
      </c>
      <c r="T56" s="157">
        <v>2637.8519999999999</v>
      </c>
      <c r="U56" s="168">
        <v>9.2400000000000002E-4</v>
      </c>
      <c r="V56" s="168">
        <v>9.48591318143183E-3</v>
      </c>
      <c r="W56" s="168">
        <v>2.2310726731451899E-3</v>
      </c>
    </row>
    <row r="57" spans="1:23">
      <c r="A57" s="3">
        <v>419</v>
      </c>
      <c r="B57" s="3">
        <v>419</v>
      </c>
      <c r="C57" s="3" t="s">
        <v>1155</v>
      </c>
      <c r="D57" s="3" t="s">
        <v>1156</v>
      </c>
      <c r="E57" s="5" t="s">
        <v>132</v>
      </c>
      <c r="F57" s="3" t="s">
        <v>1303</v>
      </c>
      <c r="G57" s="3" t="s">
        <v>1304</v>
      </c>
      <c r="H57" s="3" t="s">
        <v>135</v>
      </c>
      <c r="I57" s="3" t="s">
        <v>1186</v>
      </c>
      <c r="J57" s="3" t="s">
        <v>30</v>
      </c>
      <c r="K57" s="3" t="s">
        <v>168</v>
      </c>
      <c r="L57" s="3" t="s">
        <v>31</v>
      </c>
      <c r="M57" s="3" t="s">
        <v>1187</v>
      </c>
      <c r="N57" s="3" t="s">
        <v>139</v>
      </c>
      <c r="O57" s="3" t="s">
        <v>34</v>
      </c>
      <c r="P57" s="158">
        <v>104500</v>
      </c>
      <c r="Q57" s="166">
        <v>1</v>
      </c>
      <c r="R57" s="176">
        <v>3273</v>
      </c>
      <c r="T57" s="157">
        <v>3420.2849999999999</v>
      </c>
      <c r="U57" s="168">
        <v>5.2249999999999996E-3</v>
      </c>
      <c r="V57" s="168">
        <v>1.2299602477171E-2</v>
      </c>
      <c r="W57" s="168">
        <v>2.8928482110799798E-3</v>
      </c>
    </row>
    <row r="58" spans="1:23">
      <c r="A58" s="3">
        <v>419</v>
      </c>
      <c r="B58" s="3">
        <v>419</v>
      </c>
      <c r="C58" s="3" t="s">
        <v>1225</v>
      </c>
      <c r="D58" s="3" t="s">
        <v>1226</v>
      </c>
      <c r="E58" s="5" t="s">
        <v>809</v>
      </c>
      <c r="F58" s="3" t="s">
        <v>1305</v>
      </c>
      <c r="G58" s="3" t="s">
        <v>1306</v>
      </c>
      <c r="H58" s="3" t="s">
        <v>135</v>
      </c>
      <c r="I58" s="3" t="s">
        <v>1186</v>
      </c>
      <c r="J58" s="3" t="s">
        <v>741</v>
      </c>
      <c r="K58" s="3" t="s">
        <v>168</v>
      </c>
      <c r="L58" s="3" t="s">
        <v>1036</v>
      </c>
      <c r="M58" s="3" t="s">
        <v>1187</v>
      </c>
      <c r="N58" s="3" t="s">
        <v>139</v>
      </c>
      <c r="O58" s="3" t="s">
        <v>427</v>
      </c>
      <c r="P58" s="158">
        <v>2261</v>
      </c>
      <c r="Q58" s="166">
        <v>3.306</v>
      </c>
      <c r="R58" s="176">
        <v>23964</v>
      </c>
      <c r="T58" s="157">
        <v>1791.277</v>
      </c>
      <c r="U58" s="168">
        <v>2.3E-5</v>
      </c>
      <c r="V58" s="168">
        <v>6.4415666097696099E-3</v>
      </c>
      <c r="W58" s="168">
        <v>1.5150468869389499E-3</v>
      </c>
    </row>
    <row r="59" spans="1:23">
      <c r="A59" s="3">
        <v>419</v>
      </c>
      <c r="B59" s="3">
        <v>419</v>
      </c>
      <c r="C59" s="3" t="s">
        <v>1262</v>
      </c>
      <c r="D59" s="3" t="s">
        <v>1263</v>
      </c>
      <c r="E59" s="5" t="s">
        <v>809</v>
      </c>
      <c r="F59" s="3" t="s">
        <v>1264</v>
      </c>
      <c r="G59" s="3" t="s">
        <v>1265</v>
      </c>
      <c r="H59" s="3" t="s">
        <v>135</v>
      </c>
      <c r="I59" s="3" t="s">
        <v>1186</v>
      </c>
      <c r="J59" s="3" t="s">
        <v>741</v>
      </c>
      <c r="K59" s="3" t="s">
        <v>905</v>
      </c>
      <c r="L59" s="3" t="s">
        <v>240</v>
      </c>
      <c r="M59" s="3" t="s">
        <v>1187</v>
      </c>
      <c r="N59" s="3" t="s">
        <v>139</v>
      </c>
      <c r="O59" s="3" t="s">
        <v>745</v>
      </c>
      <c r="P59" s="158">
        <v>35047</v>
      </c>
      <c r="Q59" s="166">
        <v>3.8807</v>
      </c>
      <c r="R59" s="176">
        <v>10120</v>
      </c>
      <c r="T59" s="157">
        <v>13763.897999999999</v>
      </c>
      <c r="U59" s="168">
        <v>1.219E-3</v>
      </c>
      <c r="V59" s="168">
        <v>4.9496012333097097E-2</v>
      </c>
      <c r="W59" s="168">
        <v>1.1641388491957699E-2</v>
      </c>
    </row>
    <row r="60" spans="1:23">
      <c r="A60" s="3">
        <v>419</v>
      </c>
      <c r="B60" s="3">
        <v>419</v>
      </c>
      <c r="C60" s="3" t="s">
        <v>1225</v>
      </c>
      <c r="D60" s="3" t="s">
        <v>1226</v>
      </c>
      <c r="E60" s="5" t="s">
        <v>809</v>
      </c>
      <c r="F60" s="3" t="s">
        <v>1307</v>
      </c>
      <c r="G60" s="3" t="s">
        <v>1308</v>
      </c>
      <c r="H60" s="3" t="s">
        <v>135</v>
      </c>
      <c r="I60" s="3" t="s">
        <v>1186</v>
      </c>
      <c r="J60" s="3" t="s">
        <v>741</v>
      </c>
      <c r="K60" s="3" t="s">
        <v>168</v>
      </c>
      <c r="L60" s="3" t="s">
        <v>1036</v>
      </c>
      <c r="M60" s="3" t="s">
        <v>1309</v>
      </c>
      <c r="N60" s="3" t="s">
        <v>139</v>
      </c>
      <c r="O60" s="3" t="s">
        <v>427</v>
      </c>
      <c r="P60" s="158">
        <v>125692</v>
      </c>
      <c r="Q60" s="166">
        <v>3.306</v>
      </c>
      <c r="R60" s="176">
        <v>5387</v>
      </c>
      <c r="T60" s="157">
        <v>22385.019</v>
      </c>
      <c r="U60" s="168">
        <v>1.3999999999999999E-4</v>
      </c>
      <c r="V60" s="168">
        <v>8.0498213294211099E-2</v>
      </c>
      <c r="W60" s="168">
        <v>1.8933060052592401E-2</v>
      </c>
    </row>
    <row r="61" spans="1:23">
      <c r="A61" s="3">
        <v>419</v>
      </c>
      <c r="B61" s="3">
        <v>419</v>
      </c>
      <c r="C61" s="3" t="s">
        <v>1310</v>
      </c>
      <c r="D61" s="3" t="s">
        <v>1311</v>
      </c>
      <c r="E61" s="5" t="s">
        <v>809</v>
      </c>
      <c r="F61" s="3" t="s">
        <v>1312</v>
      </c>
      <c r="G61" s="3" t="s">
        <v>1313</v>
      </c>
      <c r="H61" s="3" t="s">
        <v>135</v>
      </c>
      <c r="I61" s="3" t="s">
        <v>1186</v>
      </c>
      <c r="J61" s="3" t="s">
        <v>741</v>
      </c>
      <c r="K61" s="3" t="s">
        <v>833</v>
      </c>
      <c r="L61" s="3" t="s">
        <v>1016</v>
      </c>
      <c r="M61" s="3" t="s">
        <v>1187</v>
      </c>
      <c r="N61" s="3" t="s">
        <v>139</v>
      </c>
      <c r="O61" s="3" t="s">
        <v>427</v>
      </c>
      <c r="P61" s="158">
        <v>4450</v>
      </c>
      <c r="Q61" s="166">
        <v>3.306</v>
      </c>
      <c r="R61" s="176">
        <v>15108</v>
      </c>
      <c r="S61" s="157">
        <v>1.0489999999999999</v>
      </c>
      <c r="T61" s="157">
        <v>2226.1109999999999</v>
      </c>
      <c r="U61" s="168">
        <v>4.0099999999999999E-4</v>
      </c>
      <c r="V61" s="168">
        <v>8.0052635475359492E-3</v>
      </c>
      <c r="W61" s="168">
        <v>1.88282608122467E-3</v>
      </c>
    </row>
    <row r="62" spans="1:23">
      <c r="A62" s="3">
        <v>419</v>
      </c>
      <c r="B62" s="3">
        <v>419</v>
      </c>
      <c r="C62" s="3" t="s">
        <v>1314</v>
      </c>
      <c r="D62" s="3" t="s">
        <v>1315</v>
      </c>
      <c r="E62" s="5" t="s">
        <v>809</v>
      </c>
      <c r="F62" s="3" t="s">
        <v>1316</v>
      </c>
      <c r="G62" s="3" t="s">
        <v>1317</v>
      </c>
      <c r="H62" s="3" t="s">
        <v>135</v>
      </c>
      <c r="I62" s="3" t="s">
        <v>1186</v>
      </c>
      <c r="J62" s="3" t="s">
        <v>741</v>
      </c>
      <c r="K62" s="3" t="s">
        <v>168</v>
      </c>
      <c r="L62" s="3" t="s">
        <v>1036</v>
      </c>
      <c r="M62" s="3" t="s">
        <v>1187</v>
      </c>
      <c r="N62" s="3" t="s">
        <v>139</v>
      </c>
      <c r="O62" s="3" t="s">
        <v>427</v>
      </c>
      <c r="P62" s="158">
        <v>24795</v>
      </c>
      <c r="Q62" s="166">
        <v>3.306</v>
      </c>
      <c r="R62" s="176">
        <v>4763</v>
      </c>
      <c r="T62" s="157">
        <v>3904.3389999999999</v>
      </c>
      <c r="U62" s="168">
        <v>1.65E-4</v>
      </c>
      <c r="V62" s="168">
        <v>1.40402979117991E-2</v>
      </c>
      <c r="W62" s="168">
        <v>3.3022571886014399E-3</v>
      </c>
    </row>
    <row r="63" spans="1:23">
      <c r="A63" s="3">
        <v>419</v>
      </c>
      <c r="B63" s="3">
        <v>419</v>
      </c>
      <c r="C63" s="3" t="s">
        <v>1225</v>
      </c>
      <c r="D63" s="3" t="s">
        <v>1226</v>
      </c>
      <c r="E63" s="5" t="s">
        <v>809</v>
      </c>
      <c r="F63" s="3" t="s">
        <v>1318</v>
      </c>
      <c r="G63" s="3" t="s">
        <v>1319</v>
      </c>
      <c r="H63" s="3" t="s">
        <v>135</v>
      </c>
      <c r="I63" s="3" t="s">
        <v>1186</v>
      </c>
      <c r="J63" s="3" t="s">
        <v>741</v>
      </c>
      <c r="K63" s="3" t="s">
        <v>833</v>
      </c>
      <c r="L63" s="3" t="s">
        <v>1036</v>
      </c>
      <c r="M63" s="3" t="s">
        <v>1320</v>
      </c>
      <c r="N63" s="3" t="s">
        <v>139</v>
      </c>
      <c r="O63" s="3" t="s">
        <v>427</v>
      </c>
      <c r="P63" s="158">
        <v>6214</v>
      </c>
      <c r="Q63" s="166">
        <v>3.306</v>
      </c>
      <c r="R63" s="176">
        <v>13917</v>
      </c>
      <c r="T63" s="157">
        <v>2859.0369999999998</v>
      </c>
      <c r="U63" s="168">
        <v>2.3E-5</v>
      </c>
      <c r="V63" s="168">
        <v>1.02813112028674E-2</v>
      </c>
      <c r="W63" s="168">
        <v>2.4181491048979398E-3</v>
      </c>
    </row>
    <row r="64" spans="1:23">
      <c r="A64" s="3">
        <v>419</v>
      </c>
      <c r="B64" s="3">
        <v>419</v>
      </c>
      <c r="C64" s="3" t="s">
        <v>1225</v>
      </c>
      <c r="D64" s="3" t="s">
        <v>1226</v>
      </c>
      <c r="E64" s="5" t="s">
        <v>809</v>
      </c>
      <c r="F64" s="3" t="s">
        <v>1321</v>
      </c>
      <c r="G64" s="3" t="s">
        <v>1322</v>
      </c>
      <c r="H64" s="3" t="s">
        <v>135</v>
      </c>
      <c r="I64" s="3" t="s">
        <v>1186</v>
      </c>
      <c r="J64" s="3" t="s">
        <v>741</v>
      </c>
      <c r="K64" s="3" t="s">
        <v>168</v>
      </c>
      <c r="L64" s="3" t="s">
        <v>1036</v>
      </c>
      <c r="M64" s="3" t="s">
        <v>1187</v>
      </c>
      <c r="N64" s="3" t="s">
        <v>139</v>
      </c>
      <c r="O64" s="3" t="s">
        <v>427</v>
      </c>
      <c r="P64" s="158">
        <v>29250</v>
      </c>
      <c r="Q64" s="166">
        <v>3.306</v>
      </c>
      <c r="R64" s="176">
        <v>15423</v>
      </c>
      <c r="T64" s="157">
        <v>14914.118</v>
      </c>
      <c r="U64" s="168">
        <v>2.1100000000000001E-4</v>
      </c>
      <c r="V64" s="168">
        <v>5.3632292078605898E-2</v>
      </c>
      <c r="W64" s="168">
        <v>1.2614235336766699E-2</v>
      </c>
    </row>
    <row r="65" spans="1:23">
      <c r="A65" s="3">
        <v>419</v>
      </c>
      <c r="B65" s="3">
        <v>419</v>
      </c>
      <c r="C65" s="3" t="s">
        <v>1266</v>
      </c>
      <c r="D65" s="3" t="s">
        <v>1267</v>
      </c>
      <c r="E65" s="5" t="s">
        <v>809</v>
      </c>
      <c r="F65" s="3" t="s">
        <v>1323</v>
      </c>
      <c r="G65" s="3" t="s">
        <v>1324</v>
      </c>
      <c r="H65" s="3" t="s">
        <v>135</v>
      </c>
      <c r="I65" s="3" t="s">
        <v>1186</v>
      </c>
      <c r="J65" s="3" t="s">
        <v>741</v>
      </c>
      <c r="K65" s="3" t="s">
        <v>168</v>
      </c>
      <c r="L65" s="3" t="s">
        <v>1036</v>
      </c>
      <c r="M65" s="3" t="s">
        <v>1187</v>
      </c>
      <c r="N65" s="3" t="s">
        <v>139</v>
      </c>
      <c r="O65" s="3" t="s">
        <v>427</v>
      </c>
      <c r="P65" s="158">
        <v>4930</v>
      </c>
      <c r="Q65" s="166">
        <v>3.306</v>
      </c>
      <c r="R65" s="176">
        <v>15545</v>
      </c>
      <c r="T65" s="157">
        <v>2533.614</v>
      </c>
      <c r="U65" s="168">
        <v>3.6499999999999998E-4</v>
      </c>
      <c r="V65" s="168">
        <v>9.1110677153486697E-3</v>
      </c>
      <c r="W65" s="168">
        <v>2.1429095769798599E-3</v>
      </c>
    </row>
    <row r="66" spans="1:23">
      <c r="A66" s="3">
        <v>419</v>
      </c>
      <c r="B66" s="3">
        <v>419</v>
      </c>
      <c r="C66" s="3" t="s">
        <v>1266</v>
      </c>
      <c r="D66" s="3" t="s">
        <v>1267</v>
      </c>
      <c r="E66" s="5" t="s">
        <v>809</v>
      </c>
      <c r="F66" s="3" t="s">
        <v>1268</v>
      </c>
      <c r="G66" s="3" t="s">
        <v>1269</v>
      </c>
      <c r="H66" s="3" t="s">
        <v>135</v>
      </c>
      <c r="I66" s="3" t="s">
        <v>1186</v>
      </c>
      <c r="J66" s="3" t="s">
        <v>741</v>
      </c>
      <c r="K66" s="3" t="s">
        <v>168</v>
      </c>
      <c r="L66" s="3" t="s">
        <v>1016</v>
      </c>
      <c r="M66" s="3" t="s">
        <v>1242</v>
      </c>
      <c r="N66" s="3" t="s">
        <v>139</v>
      </c>
      <c r="O66" s="3" t="s">
        <v>427</v>
      </c>
      <c r="P66" s="158">
        <v>8634</v>
      </c>
      <c r="Q66" s="166">
        <v>3.306</v>
      </c>
      <c r="R66" s="176">
        <v>60037</v>
      </c>
      <c r="S66" s="157">
        <v>4.4939999999999998</v>
      </c>
      <c r="T66" s="157">
        <v>17151.82</v>
      </c>
      <c r="U66" s="168">
        <v>1.5E-5</v>
      </c>
      <c r="V66" s="168">
        <v>6.1679235718789097E-2</v>
      </c>
      <c r="W66" s="168">
        <v>1.45068645137968E-2</v>
      </c>
    </row>
    <row r="67" spans="1:23">
      <c r="A67" s="3">
        <v>419</v>
      </c>
      <c r="B67" s="3">
        <v>419</v>
      </c>
      <c r="C67" s="3" t="s">
        <v>1219</v>
      </c>
      <c r="D67" s="3" t="s">
        <v>1220</v>
      </c>
      <c r="E67" s="5" t="s">
        <v>809</v>
      </c>
      <c r="F67" s="3" t="s">
        <v>1294</v>
      </c>
      <c r="G67" s="3" t="s">
        <v>1295</v>
      </c>
      <c r="H67" s="3" t="s">
        <v>135</v>
      </c>
      <c r="I67" s="3" t="s">
        <v>1186</v>
      </c>
      <c r="J67" s="3" t="s">
        <v>741</v>
      </c>
      <c r="K67" s="3" t="s">
        <v>168</v>
      </c>
      <c r="L67" s="3" t="s">
        <v>1036</v>
      </c>
      <c r="M67" s="3" t="s">
        <v>1194</v>
      </c>
      <c r="N67" s="3" t="s">
        <v>139</v>
      </c>
      <c r="O67" s="3" t="s">
        <v>427</v>
      </c>
      <c r="P67" s="158">
        <v>2463</v>
      </c>
      <c r="Q67" s="166">
        <v>3.306</v>
      </c>
      <c r="R67" s="176">
        <v>66930</v>
      </c>
      <c r="T67" s="157">
        <v>5449.8940000000002</v>
      </c>
      <c r="U67" s="168">
        <v>3.0000000000000001E-6</v>
      </c>
      <c r="V67" s="168">
        <v>1.9598230698022599E-2</v>
      </c>
      <c r="W67" s="168">
        <v>4.6094747143525204E-3</v>
      </c>
    </row>
    <row r="68" spans="1:23">
      <c r="A68" s="3">
        <v>419</v>
      </c>
      <c r="B68" s="3">
        <v>419</v>
      </c>
      <c r="C68" s="3" t="s">
        <v>1219</v>
      </c>
      <c r="D68" s="3" t="s">
        <v>1220</v>
      </c>
      <c r="E68" s="5" t="s">
        <v>809</v>
      </c>
      <c r="F68" s="3" t="s">
        <v>1325</v>
      </c>
      <c r="G68" s="3" t="s">
        <v>1326</v>
      </c>
      <c r="H68" s="3" t="s">
        <v>135</v>
      </c>
      <c r="I68" s="3" t="s">
        <v>1186</v>
      </c>
      <c r="J68" s="3" t="s">
        <v>741</v>
      </c>
      <c r="K68" s="3" t="s">
        <v>168</v>
      </c>
      <c r="L68" s="3" t="s">
        <v>1036</v>
      </c>
      <c r="M68" s="3" t="s">
        <v>1187</v>
      </c>
      <c r="N68" s="3" t="s">
        <v>139</v>
      </c>
      <c r="O68" s="3" t="s">
        <v>427</v>
      </c>
      <c r="P68" s="158">
        <v>10588</v>
      </c>
      <c r="Q68" s="166">
        <v>3.306</v>
      </c>
      <c r="R68" s="176">
        <v>10725</v>
      </c>
      <c r="T68" s="157">
        <v>3754.1709999999998</v>
      </c>
      <c r="U68" s="168">
        <v>4.1399999999999998E-4</v>
      </c>
      <c r="V68" s="168">
        <v>1.3500282681300799E-2</v>
      </c>
      <c r="W68" s="168">
        <v>3.1752464094805398E-3</v>
      </c>
    </row>
    <row r="69" spans="1:23">
      <c r="A69" s="3">
        <v>419</v>
      </c>
      <c r="B69" s="3">
        <v>419</v>
      </c>
      <c r="C69" s="3" t="s">
        <v>1219</v>
      </c>
      <c r="D69" s="3" t="s">
        <v>1220</v>
      </c>
      <c r="E69" s="5" t="s">
        <v>809</v>
      </c>
      <c r="F69" s="3" t="s">
        <v>1327</v>
      </c>
      <c r="G69" s="3" t="s">
        <v>1328</v>
      </c>
      <c r="H69" s="3" t="s">
        <v>135</v>
      </c>
      <c r="I69" s="3" t="s">
        <v>1186</v>
      </c>
      <c r="J69" s="3" t="s">
        <v>741</v>
      </c>
      <c r="K69" s="3" t="s">
        <v>720</v>
      </c>
      <c r="L69" s="3" t="s">
        <v>1114</v>
      </c>
      <c r="M69" s="3" t="s">
        <v>1329</v>
      </c>
      <c r="N69" s="3" t="s">
        <v>139</v>
      </c>
      <c r="O69" s="3" t="s">
        <v>1330</v>
      </c>
      <c r="P69" s="158">
        <v>220000</v>
      </c>
      <c r="Q69" s="166">
        <v>4.4409000000000001</v>
      </c>
      <c r="R69" s="176">
        <v>908.4</v>
      </c>
      <c r="T69" s="157">
        <v>8875.0499999999993</v>
      </c>
      <c r="U69" s="168">
        <v>3.6400000000000001E-4</v>
      </c>
      <c r="V69" s="168">
        <v>3.1915347668010997E-2</v>
      </c>
      <c r="W69" s="168">
        <v>7.5064423080962199E-3</v>
      </c>
    </row>
    <row r="70" spans="1:23">
      <c r="A70" s="3">
        <v>419</v>
      </c>
      <c r="B70" s="3">
        <v>419</v>
      </c>
      <c r="C70" s="3" t="s">
        <v>1219</v>
      </c>
      <c r="D70" s="3" t="s">
        <v>1220</v>
      </c>
      <c r="E70" s="5" t="s">
        <v>809</v>
      </c>
      <c r="F70" s="3" t="s">
        <v>1270</v>
      </c>
      <c r="G70" s="3" t="s">
        <v>1271</v>
      </c>
      <c r="H70" s="3" t="s">
        <v>135</v>
      </c>
      <c r="I70" s="3" t="s">
        <v>1186</v>
      </c>
      <c r="J70" s="3" t="s">
        <v>741</v>
      </c>
      <c r="K70" s="3" t="s">
        <v>1272</v>
      </c>
      <c r="L70" s="3" t="s">
        <v>1036</v>
      </c>
      <c r="M70" s="3" t="s">
        <v>1204</v>
      </c>
      <c r="N70" s="3" t="s">
        <v>139</v>
      </c>
      <c r="O70" s="3" t="s">
        <v>427</v>
      </c>
      <c r="P70" s="158">
        <v>15050</v>
      </c>
      <c r="Q70" s="166">
        <v>3.306</v>
      </c>
      <c r="R70" s="176">
        <v>4114</v>
      </c>
      <c r="T70" s="157">
        <v>2046.933</v>
      </c>
      <c r="U70" s="168">
        <v>8.6000000000000003E-5</v>
      </c>
      <c r="V70" s="168">
        <v>7.3609253948095999E-3</v>
      </c>
      <c r="W70" s="168">
        <v>1.7312787059412299E-3</v>
      </c>
    </row>
    <row r="71" spans="1:23">
      <c r="A71" s="3">
        <v>419</v>
      </c>
      <c r="B71" s="3">
        <v>419</v>
      </c>
      <c r="C71" s="3" t="s">
        <v>1219</v>
      </c>
      <c r="D71" s="3" t="s">
        <v>1220</v>
      </c>
      <c r="E71" s="5" t="s">
        <v>809</v>
      </c>
      <c r="F71" s="3" t="s">
        <v>1331</v>
      </c>
      <c r="G71" s="3" t="s">
        <v>1332</v>
      </c>
      <c r="H71" s="3" t="s">
        <v>135</v>
      </c>
      <c r="I71" s="3" t="s">
        <v>1186</v>
      </c>
      <c r="J71" s="3" t="s">
        <v>741</v>
      </c>
      <c r="K71" s="3" t="s">
        <v>1272</v>
      </c>
      <c r="L71" s="3" t="s">
        <v>1016</v>
      </c>
      <c r="M71" s="3" t="s">
        <v>1204</v>
      </c>
      <c r="N71" s="3" t="s">
        <v>139</v>
      </c>
      <c r="O71" s="3" t="s">
        <v>427</v>
      </c>
      <c r="P71" s="158">
        <v>66687</v>
      </c>
      <c r="Q71" s="166">
        <v>3.306</v>
      </c>
      <c r="R71" s="176">
        <v>6585</v>
      </c>
      <c r="T71" s="157">
        <v>14517.767</v>
      </c>
      <c r="U71" s="168">
        <v>4.2200000000000001E-4</v>
      </c>
      <c r="V71" s="168">
        <v>5.2206982064761501E-2</v>
      </c>
      <c r="W71" s="168">
        <v>1.22790045411831E-2</v>
      </c>
    </row>
    <row r="72" spans="1:23">
      <c r="A72" s="3">
        <v>419</v>
      </c>
      <c r="B72" s="3">
        <v>419</v>
      </c>
      <c r="C72" s="3" t="s">
        <v>1219</v>
      </c>
      <c r="D72" s="3" t="s">
        <v>1220</v>
      </c>
      <c r="E72" s="5" t="s">
        <v>809</v>
      </c>
      <c r="F72" s="3" t="s">
        <v>1333</v>
      </c>
      <c r="G72" s="3" t="s">
        <v>1334</v>
      </c>
      <c r="H72" s="3" t="s">
        <v>135</v>
      </c>
      <c r="I72" s="3" t="s">
        <v>1186</v>
      </c>
      <c r="J72" s="3" t="s">
        <v>741</v>
      </c>
      <c r="K72" s="3" t="s">
        <v>1213</v>
      </c>
      <c r="L72" s="3" t="s">
        <v>1335</v>
      </c>
      <c r="M72" s="3" t="s">
        <v>1187</v>
      </c>
      <c r="N72" s="3" t="s">
        <v>139</v>
      </c>
      <c r="O72" s="3" t="s">
        <v>745</v>
      </c>
      <c r="P72" s="158">
        <v>20510</v>
      </c>
      <c r="Q72" s="166">
        <v>3.8807</v>
      </c>
      <c r="R72" s="176">
        <v>10688</v>
      </c>
      <c r="T72" s="157">
        <v>8506.9169999999995</v>
      </c>
      <c r="U72" s="168">
        <v>8.2039999999999995E-3</v>
      </c>
      <c r="V72" s="168">
        <v>3.0591512910300399E-2</v>
      </c>
      <c r="W72" s="168">
        <v>7.1950783418447302E-3</v>
      </c>
    </row>
    <row r="73" spans="1:23">
      <c r="A73" s="3">
        <v>419</v>
      </c>
      <c r="B73" s="3">
        <v>419</v>
      </c>
      <c r="C73" s="3" t="s">
        <v>1225</v>
      </c>
      <c r="D73" s="3" t="s">
        <v>1226</v>
      </c>
      <c r="E73" s="5" t="s">
        <v>809</v>
      </c>
      <c r="F73" s="3" t="s">
        <v>1336</v>
      </c>
      <c r="G73" s="3" t="s">
        <v>1337</v>
      </c>
      <c r="H73" s="3" t="s">
        <v>135</v>
      </c>
      <c r="I73" s="3" t="s">
        <v>1186</v>
      </c>
      <c r="J73" s="3" t="s">
        <v>741</v>
      </c>
      <c r="K73" s="3" t="s">
        <v>168</v>
      </c>
      <c r="L73" s="3" t="s">
        <v>240</v>
      </c>
      <c r="M73" s="3" t="s">
        <v>1187</v>
      </c>
      <c r="N73" s="3" t="s">
        <v>139</v>
      </c>
      <c r="O73" s="3" t="s">
        <v>427</v>
      </c>
      <c r="P73" s="158">
        <v>6762</v>
      </c>
      <c r="Q73" s="166">
        <v>3.306</v>
      </c>
      <c r="R73" s="176">
        <v>15285</v>
      </c>
      <c r="T73" s="157">
        <v>3416.9879999999998</v>
      </c>
      <c r="U73" s="168">
        <v>0</v>
      </c>
      <c r="V73" s="168">
        <v>1.22877463614019E-2</v>
      </c>
      <c r="W73" s="168">
        <v>2.8900596702830998E-3</v>
      </c>
    </row>
    <row r="74" spans="1:23">
      <c r="A74" s="3">
        <v>419</v>
      </c>
      <c r="B74" s="3">
        <v>419</v>
      </c>
      <c r="C74" s="3" t="s">
        <v>1296</v>
      </c>
      <c r="D74" s="3" t="s">
        <v>1216</v>
      </c>
      <c r="E74" s="5" t="s">
        <v>809</v>
      </c>
      <c r="F74" s="3" t="s">
        <v>1338</v>
      </c>
      <c r="G74" s="3" t="s">
        <v>1339</v>
      </c>
      <c r="H74" s="3" t="s">
        <v>135</v>
      </c>
      <c r="I74" s="3" t="s">
        <v>1186</v>
      </c>
      <c r="J74" s="3" t="s">
        <v>741</v>
      </c>
      <c r="K74" s="3" t="s">
        <v>1213</v>
      </c>
      <c r="L74" s="3" t="s">
        <v>1340</v>
      </c>
      <c r="M74" s="3" t="s">
        <v>1214</v>
      </c>
      <c r="N74" s="3" t="s">
        <v>139</v>
      </c>
      <c r="O74" s="3" t="s">
        <v>745</v>
      </c>
      <c r="P74" s="158">
        <v>2698</v>
      </c>
      <c r="Q74" s="166">
        <v>3.8807</v>
      </c>
      <c r="R74" s="176">
        <v>13635.6</v>
      </c>
      <c r="T74" s="157">
        <v>1427.665</v>
      </c>
      <c r="U74" s="168">
        <v>5.2700000000000002E-4</v>
      </c>
      <c r="V74" s="168">
        <v>5.13399035221377E-3</v>
      </c>
      <c r="W74" s="168">
        <v>1.2075068957447699E-3</v>
      </c>
    </row>
    <row r="75" spans="1:23">
      <c r="A75" s="3">
        <v>419</v>
      </c>
      <c r="B75" s="3">
        <v>419</v>
      </c>
      <c r="C75" s="3" t="s">
        <v>1215</v>
      </c>
      <c r="D75" s="3" t="s">
        <v>1216</v>
      </c>
      <c r="E75" s="5" t="s">
        <v>809</v>
      </c>
      <c r="F75" s="3" t="s">
        <v>1341</v>
      </c>
      <c r="G75" s="3" t="s">
        <v>1342</v>
      </c>
      <c r="H75" s="3" t="s">
        <v>135</v>
      </c>
      <c r="I75" s="3" t="s">
        <v>1186</v>
      </c>
      <c r="J75" s="3" t="s">
        <v>741</v>
      </c>
      <c r="K75" s="3" t="s">
        <v>168</v>
      </c>
      <c r="L75" s="3" t="s">
        <v>1036</v>
      </c>
      <c r="M75" s="3" t="s">
        <v>1214</v>
      </c>
      <c r="N75" s="3" t="s">
        <v>139</v>
      </c>
      <c r="O75" s="3" t="s">
        <v>745</v>
      </c>
      <c r="P75" s="158">
        <v>9066</v>
      </c>
      <c r="Q75" s="166">
        <v>3.8807</v>
      </c>
      <c r="R75" s="176">
        <v>8096.2</v>
      </c>
      <c r="T75" s="157">
        <v>2848.44</v>
      </c>
      <c r="U75" s="168">
        <v>0</v>
      </c>
      <c r="V75" s="168">
        <v>1.0243203311212401E-2</v>
      </c>
      <c r="W75" s="168">
        <v>2.4091861854534402E-3</v>
      </c>
    </row>
    <row r="76" spans="1:23">
      <c r="A76" s="3">
        <v>419</v>
      </c>
      <c r="B76" s="3">
        <v>419</v>
      </c>
      <c r="C76" s="3" t="s">
        <v>1225</v>
      </c>
      <c r="D76" s="3" t="s">
        <v>1226</v>
      </c>
      <c r="E76" s="5" t="s">
        <v>809</v>
      </c>
      <c r="F76" s="3" t="s">
        <v>1343</v>
      </c>
      <c r="G76" s="3" t="s">
        <v>1344</v>
      </c>
      <c r="H76" s="3" t="s">
        <v>135</v>
      </c>
      <c r="I76" s="3" t="s">
        <v>1186</v>
      </c>
      <c r="J76" s="3" t="s">
        <v>741</v>
      </c>
      <c r="K76" s="3" t="s">
        <v>168</v>
      </c>
      <c r="L76" s="3" t="s">
        <v>1036</v>
      </c>
      <c r="M76" s="3" t="s">
        <v>1187</v>
      </c>
      <c r="N76" s="3" t="s">
        <v>139</v>
      </c>
      <c r="O76" s="3" t="s">
        <v>427</v>
      </c>
      <c r="P76" s="158">
        <v>12092</v>
      </c>
      <c r="Q76" s="166">
        <v>3.306</v>
      </c>
      <c r="R76" s="176">
        <v>8962</v>
      </c>
      <c r="T76" s="157">
        <v>3582.663</v>
      </c>
      <c r="U76" s="168">
        <v>2.02E-4</v>
      </c>
      <c r="V76" s="168">
        <v>1.2883525068619501E-2</v>
      </c>
      <c r="W76" s="168">
        <v>3.0301859361988501E-3</v>
      </c>
    </row>
    <row r="77" spans="1:23">
      <c r="A77" s="3">
        <v>419</v>
      </c>
      <c r="B77" s="3">
        <v>419</v>
      </c>
      <c r="C77" s="3" t="s">
        <v>1215</v>
      </c>
      <c r="D77" s="3" t="s">
        <v>1216</v>
      </c>
      <c r="E77" s="5" t="s">
        <v>809</v>
      </c>
      <c r="F77" s="3" t="s">
        <v>1345</v>
      </c>
      <c r="G77" s="3" t="s">
        <v>1346</v>
      </c>
      <c r="H77" s="3" t="s">
        <v>135</v>
      </c>
      <c r="I77" s="3" t="s">
        <v>1186</v>
      </c>
      <c r="J77" s="3" t="s">
        <v>741</v>
      </c>
      <c r="K77" s="3" t="s">
        <v>168</v>
      </c>
      <c r="L77" s="3" t="s">
        <v>1114</v>
      </c>
      <c r="M77" s="3" t="s">
        <v>1242</v>
      </c>
      <c r="N77" s="3" t="s">
        <v>139</v>
      </c>
      <c r="O77" s="3" t="s">
        <v>427</v>
      </c>
      <c r="P77" s="158">
        <v>112697</v>
      </c>
      <c r="Q77" s="166">
        <v>3.306</v>
      </c>
      <c r="R77" s="176">
        <v>9964.5</v>
      </c>
      <c r="T77" s="157">
        <v>37125.364000000001</v>
      </c>
      <c r="U77" s="168">
        <v>9.2E-5</v>
      </c>
      <c r="V77" s="168">
        <v>0.13350560387367499</v>
      </c>
      <c r="W77" s="168">
        <v>3.14003194860933E-2</v>
      </c>
    </row>
    <row r="78" spans="1:23">
      <c r="A78" s="3">
        <v>419</v>
      </c>
      <c r="B78" s="3">
        <v>419</v>
      </c>
      <c r="C78" s="3" t="s">
        <v>1225</v>
      </c>
      <c r="D78" s="3" t="s">
        <v>1226</v>
      </c>
      <c r="E78" s="5" t="s">
        <v>809</v>
      </c>
      <c r="F78" s="3" t="s">
        <v>1347</v>
      </c>
      <c r="G78" s="3" t="s">
        <v>1348</v>
      </c>
      <c r="H78" s="3" t="s">
        <v>135</v>
      </c>
      <c r="I78" s="3" t="s">
        <v>1186</v>
      </c>
      <c r="J78" s="3" t="s">
        <v>741</v>
      </c>
      <c r="K78" s="3" t="s">
        <v>168</v>
      </c>
      <c r="L78" s="3" t="s">
        <v>1036</v>
      </c>
      <c r="M78" s="3" t="s">
        <v>1349</v>
      </c>
      <c r="N78" s="3" t="s">
        <v>139</v>
      </c>
      <c r="O78" s="3" t="s">
        <v>427</v>
      </c>
      <c r="P78" s="158">
        <v>29631</v>
      </c>
      <c r="Q78" s="166">
        <v>3.306</v>
      </c>
      <c r="R78" s="176">
        <v>4213</v>
      </c>
      <c r="T78" s="157">
        <v>4127.058</v>
      </c>
      <c r="U78" s="168">
        <v>1.6799999999999999E-4</v>
      </c>
      <c r="V78" s="168">
        <v>1.4841212941370099E-2</v>
      </c>
      <c r="W78" s="168">
        <v>3.4906312124629402E-3</v>
      </c>
    </row>
    <row r="79" spans="1:23">
      <c r="A79" s="3">
        <v>419</v>
      </c>
      <c r="B79" s="3">
        <v>419</v>
      </c>
      <c r="C79" s="3" t="s">
        <v>1225</v>
      </c>
      <c r="D79" s="3" t="s">
        <v>1226</v>
      </c>
      <c r="E79" s="5" t="s">
        <v>809</v>
      </c>
      <c r="F79" s="3" t="s">
        <v>1227</v>
      </c>
      <c r="G79" s="3" t="s">
        <v>1228</v>
      </c>
      <c r="H79" s="3" t="s">
        <v>135</v>
      </c>
      <c r="I79" s="3" t="s">
        <v>1223</v>
      </c>
      <c r="J79" s="3" t="s">
        <v>741</v>
      </c>
      <c r="K79" s="3" t="s">
        <v>168</v>
      </c>
      <c r="L79" s="3" t="s">
        <v>1229</v>
      </c>
      <c r="M79" s="3" t="s">
        <v>1224</v>
      </c>
      <c r="N79" s="3" t="s">
        <v>139</v>
      </c>
      <c r="O79" s="3" t="s">
        <v>427</v>
      </c>
      <c r="P79" s="158">
        <v>709516</v>
      </c>
      <c r="Q79" s="166">
        <v>3.306</v>
      </c>
      <c r="R79" s="176">
        <v>1153.5999999999999</v>
      </c>
      <c r="T79" s="157">
        <v>27059.532999999999</v>
      </c>
      <c r="U79" s="168">
        <v>4.3528999999999998E-2</v>
      </c>
      <c r="V79" s="168">
        <v>9.7308117220995805E-2</v>
      </c>
      <c r="W79" s="168">
        <v>2.28867244570546E-2</v>
      </c>
    </row>
    <row r="80" spans="1:23">
      <c r="A80" s="3">
        <v>419</v>
      </c>
      <c r="B80" s="3">
        <v>419</v>
      </c>
      <c r="C80" s="3" t="s">
        <v>1225</v>
      </c>
      <c r="D80" s="3" t="s">
        <v>1226</v>
      </c>
      <c r="E80" s="5" t="s">
        <v>809</v>
      </c>
      <c r="F80" s="3" t="s">
        <v>1350</v>
      </c>
      <c r="G80" s="3" t="s">
        <v>1351</v>
      </c>
      <c r="H80" s="3" t="s">
        <v>135</v>
      </c>
      <c r="I80" s="3" t="s">
        <v>1186</v>
      </c>
      <c r="J80" s="3" t="s">
        <v>741</v>
      </c>
      <c r="K80" s="3" t="s">
        <v>168</v>
      </c>
      <c r="L80" s="3" t="s">
        <v>1036</v>
      </c>
      <c r="M80" s="3" t="s">
        <v>1187</v>
      </c>
      <c r="N80" s="3" t="s">
        <v>139</v>
      </c>
      <c r="O80" s="3" t="s">
        <v>427</v>
      </c>
      <c r="P80" s="158">
        <v>13120</v>
      </c>
      <c r="Q80" s="166">
        <v>3.306</v>
      </c>
      <c r="R80" s="176">
        <v>11837</v>
      </c>
      <c r="T80" s="157">
        <v>5134.2659999999996</v>
      </c>
      <c r="U80" s="168">
        <v>7.6000000000000004E-5</v>
      </c>
      <c r="V80" s="168">
        <v>1.8463205835458501E-2</v>
      </c>
      <c r="W80" s="168">
        <v>4.3425185546478399E-3</v>
      </c>
    </row>
    <row r="81" spans="1:23">
      <c r="A81" s="3">
        <v>419</v>
      </c>
      <c r="B81" s="3">
        <v>419</v>
      </c>
      <c r="C81" s="3" t="s">
        <v>1225</v>
      </c>
      <c r="D81" s="3" t="s">
        <v>1226</v>
      </c>
      <c r="E81" s="5" t="s">
        <v>809</v>
      </c>
      <c r="F81" s="3" t="s">
        <v>1352</v>
      </c>
      <c r="G81" s="3" t="s">
        <v>1353</v>
      </c>
      <c r="H81" s="3" t="s">
        <v>135</v>
      </c>
      <c r="I81" s="3" t="s">
        <v>1186</v>
      </c>
      <c r="J81" s="3" t="s">
        <v>741</v>
      </c>
      <c r="K81" s="3" t="s">
        <v>168</v>
      </c>
      <c r="L81" s="3" t="s">
        <v>1114</v>
      </c>
      <c r="M81" s="3" t="s">
        <v>1187</v>
      </c>
      <c r="N81" s="3" t="s">
        <v>139</v>
      </c>
      <c r="O81" s="3" t="s">
        <v>427</v>
      </c>
      <c r="P81" s="158">
        <v>45633</v>
      </c>
      <c r="Q81" s="166">
        <v>3.306</v>
      </c>
      <c r="R81" s="176">
        <v>3513</v>
      </c>
      <c r="T81" s="157">
        <v>5299.8069999999998</v>
      </c>
      <c r="U81" s="168">
        <v>0</v>
      </c>
      <c r="V81" s="168">
        <v>1.90585036477945E-2</v>
      </c>
      <c r="W81" s="168">
        <v>4.4825317148025996E-3</v>
      </c>
    </row>
    <row r="82" spans="1:23">
      <c r="A82" s="3">
        <v>419</v>
      </c>
      <c r="B82" s="3">
        <v>419</v>
      </c>
      <c r="C82" s="3" t="s">
        <v>1225</v>
      </c>
      <c r="D82" s="3" t="s">
        <v>1226</v>
      </c>
      <c r="E82" s="5" t="s">
        <v>809</v>
      </c>
      <c r="F82" s="3" t="s">
        <v>1354</v>
      </c>
      <c r="G82" s="3" t="s">
        <v>1355</v>
      </c>
      <c r="H82" s="3" t="s">
        <v>135</v>
      </c>
      <c r="I82" s="3" t="s">
        <v>1186</v>
      </c>
      <c r="J82" s="3" t="s">
        <v>741</v>
      </c>
      <c r="K82" s="3" t="s">
        <v>168</v>
      </c>
      <c r="L82" s="3" t="s">
        <v>1036</v>
      </c>
      <c r="M82" s="3" t="s">
        <v>1187</v>
      </c>
      <c r="N82" s="3" t="s">
        <v>139</v>
      </c>
      <c r="O82" s="3" t="s">
        <v>427</v>
      </c>
      <c r="P82" s="158">
        <v>21069</v>
      </c>
      <c r="Q82" s="166">
        <v>3.306</v>
      </c>
      <c r="R82" s="176">
        <v>8721</v>
      </c>
      <c r="T82" s="157">
        <v>6074.5349999999999</v>
      </c>
      <c r="U82" s="168">
        <v>9.2999999999999997E-5</v>
      </c>
      <c r="V82" s="168">
        <v>2.1844486410171001E-2</v>
      </c>
      <c r="W82" s="168">
        <v>5.1377907172947103E-3</v>
      </c>
    </row>
    <row r="83" spans="1:23">
      <c r="A83" s="3">
        <v>419</v>
      </c>
      <c r="B83" s="3">
        <v>419</v>
      </c>
      <c r="C83" s="3" t="s">
        <v>1356</v>
      </c>
      <c r="D83" s="3" t="s">
        <v>1357</v>
      </c>
      <c r="E83" s="5" t="s">
        <v>809</v>
      </c>
      <c r="F83" s="3" t="s">
        <v>1358</v>
      </c>
      <c r="G83" s="3" t="s">
        <v>1359</v>
      </c>
      <c r="H83" s="3" t="s">
        <v>135</v>
      </c>
      <c r="I83" s="3" t="s">
        <v>1186</v>
      </c>
      <c r="J83" s="3" t="s">
        <v>741</v>
      </c>
      <c r="K83" s="3" t="s">
        <v>833</v>
      </c>
      <c r="L83" s="3" t="s">
        <v>1036</v>
      </c>
      <c r="M83" s="3" t="s">
        <v>1360</v>
      </c>
      <c r="N83" s="3" t="s">
        <v>139</v>
      </c>
      <c r="O83" s="3" t="s">
        <v>427</v>
      </c>
      <c r="P83" s="158">
        <v>19692</v>
      </c>
      <c r="Q83" s="166">
        <v>3.306</v>
      </c>
      <c r="R83" s="176">
        <v>6492</v>
      </c>
      <c r="T83" s="157">
        <v>4226.4059999999999</v>
      </c>
      <c r="U83" s="168">
        <v>6.8099999999999996E-4</v>
      </c>
      <c r="V83" s="168">
        <v>1.51984733749573E-2</v>
      </c>
      <c r="W83" s="168">
        <v>3.5746583351370701E-3</v>
      </c>
    </row>
    <row r="84" spans="1:23">
      <c r="A84" s="3">
        <v>419</v>
      </c>
      <c r="B84" s="3">
        <v>419</v>
      </c>
      <c r="C84" s="3" t="s">
        <v>1273</v>
      </c>
      <c r="D84" s="3" t="s">
        <v>1274</v>
      </c>
      <c r="E84" s="5" t="s">
        <v>809</v>
      </c>
      <c r="F84" s="3" t="s">
        <v>1275</v>
      </c>
      <c r="G84" s="3" t="s">
        <v>1276</v>
      </c>
      <c r="H84" s="3" t="s">
        <v>135</v>
      </c>
      <c r="I84" s="3" t="s">
        <v>1186</v>
      </c>
      <c r="J84" s="3" t="s">
        <v>741</v>
      </c>
      <c r="K84" s="3" t="s">
        <v>168</v>
      </c>
      <c r="L84" s="3" t="s">
        <v>1036</v>
      </c>
      <c r="M84" s="3" t="s">
        <v>1194</v>
      </c>
      <c r="N84" s="3" t="s">
        <v>139</v>
      </c>
      <c r="O84" s="3" t="s">
        <v>427</v>
      </c>
      <c r="P84" s="158">
        <v>15241</v>
      </c>
      <c r="Q84" s="166">
        <v>3.306</v>
      </c>
      <c r="R84" s="176">
        <v>61238</v>
      </c>
      <c r="S84" s="157">
        <v>26.518999999999998</v>
      </c>
      <c r="T84" s="157">
        <v>30943.508000000002</v>
      </c>
      <c r="U84" s="168">
        <v>1.8E-5</v>
      </c>
      <c r="V84" s="168">
        <v>0.111275187075719</v>
      </c>
      <c r="W84" s="168">
        <v>2.6171758515534101E-2</v>
      </c>
    </row>
    <row r="85" spans="1:23">
      <c r="A85" s="3">
        <v>419</v>
      </c>
      <c r="B85" s="3">
        <v>419</v>
      </c>
      <c r="C85" s="3" t="s">
        <v>1273</v>
      </c>
      <c r="D85" s="3" t="s">
        <v>1274</v>
      </c>
      <c r="E85" s="5" t="s">
        <v>809</v>
      </c>
      <c r="F85" s="3" t="s">
        <v>1361</v>
      </c>
      <c r="G85" s="3" t="s">
        <v>1362</v>
      </c>
      <c r="H85" s="3" t="s">
        <v>135</v>
      </c>
      <c r="I85" s="3" t="s">
        <v>1186</v>
      </c>
      <c r="J85" s="3" t="s">
        <v>741</v>
      </c>
      <c r="K85" s="3" t="s">
        <v>168</v>
      </c>
      <c r="L85" s="3" t="s">
        <v>1036</v>
      </c>
      <c r="M85" s="3" t="s">
        <v>1187</v>
      </c>
      <c r="N85" s="3" t="s">
        <v>139</v>
      </c>
      <c r="O85" s="3" t="s">
        <v>427</v>
      </c>
      <c r="P85" s="158">
        <v>15773</v>
      </c>
      <c r="Q85" s="166">
        <v>3.306</v>
      </c>
      <c r="R85" s="176">
        <v>11038</v>
      </c>
      <c r="T85" s="157">
        <v>5755.8239999999996</v>
      </c>
      <c r="U85" s="168">
        <v>1.866E-3</v>
      </c>
      <c r="V85" s="168">
        <v>2.06983783769422E-2</v>
      </c>
      <c r="W85" s="168">
        <v>4.8682278123321904E-3</v>
      </c>
    </row>
    <row r="86" spans="1:23">
      <c r="A86" s="3">
        <v>419</v>
      </c>
      <c r="B86" s="3">
        <v>419</v>
      </c>
      <c r="C86" s="3" t="s">
        <v>1279</v>
      </c>
      <c r="D86" s="3" t="s">
        <v>1280</v>
      </c>
      <c r="E86" s="5" t="s">
        <v>809</v>
      </c>
      <c r="F86" s="3" t="s">
        <v>1281</v>
      </c>
      <c r="G86" s="3" t="s">
        <v>1282</v>
      </c>
      <c r="H86" s="3" t="s">
        <v>135</v>
      </c>
      <c r="I86" s="3" t="s">
        <v>1186</v>
      </c>
      <c r="J86" s="3" t="s">
        <v>741</v>
      </c>
      <c r="K86" s="3" t="s">
        <v>833</v>
      </c>
      <c r="L86" s="3" t="s">
        <v>1036</v>
      </c>
      <c r="M86" s="3" t="s">
        <v>1261</v>
      </c>
      <c r="N86" s="3" t="s">
        <v>139</v>
      </c>
      <c r="O86" s="3" t="s">
        <v>427</v>
      </c>
      <c r="P86" s="158">
        <v>71988</v>
      </c>
      <c r="Q86" s="166">
        <v>3.306</v>
      </c>
      <c r="R86" s="176">
        <v>3794</v>
      </c>
      <c r="T86" s="157">
        <v>9029.4290000000001</v>
      </c>
      <c r="U86" s="168">
        <v>8.2299999999999995E-4</v>
      </c>
      <c r="V86" s="168">
        <v>3.2470506511885898E-2</v>
      </c>
      <c r="W86" s="168">
        <v>7.6370148425622198E-3</v>
      </c>
    </row>
    <row r="87" spans="1:23">
      <c r="A87" s="3">
        <v>419</v>
      </c>
      <c r="B87" s="3">
        <v>1472</v>
      </c>
      <c r="C87" s="3" t="s">
        <v>1219</v>
      </c>
      <c r="D87" s="3" t="s">
        <v>1220</v>
      </c>
      <c r="E87" s="5" t="s">
        <v>809</v>
      </c>
      <c r="F87" s="3" t="s">
        <v>1221</v>
      </c>
      <c r="G87" s="3" t="s">
        <v>1222</v>
      </c>
      <c r="H87" s="3" t="s">
        <v>135</v>
      </c>
      <c r="I87" s="3" t="s">
        <v>1223</v>
      </c>
      <c r="J87" s="3" t="s">
        <v>741</v>
      </c>
      <c r="K87" s="3" t="s">
        <v>833</v>
      </c>
      <c r="L87" s="3" t="s">
        <v>1114</v>
      </c>
      <c r="M87" s="3" t="s">
        <v>1224</v>
      </c>
      <c r="N87" s="3" t="s">
        <v>139</v>
      </c>
      <c r="O87" s="3" t="s">
        <v>427</v>
      </c>
      <c r="P87" s="158">
        <v>5000</v>
      </c>
      <c r="Q87" s="166">
        <v>3.306</v>
      </c>
      <c r="R87" s="176">
        <v>627.5</v>
      </c>
      <c r="T87" s="157">
        <v>103.726</v>
      </c>
      <c r="U87" s="168">
        <v>1.5E-5</v>
      </c>
      <c r="V87" s="168">
        <v>0.60174760931188898</v>
      </c>
      <c r="W87" s="168">
        <v>1.25404262268888E-2</v>
      </c>
    </row>
    <row r="88" spans="1:23">
      <c r="A88" s="3">
        <v>419</v>
      </c>
      <c r="B88" s="3">
        <v>1472</v>
      </c>
      <c r="C88" s="3" t="s">
        <v>1225</v>
      </c>
      <c r="D88" s="3" t="s">
        <v>1226</v>
      </c>
      <c r="E88" s="5" t="s">
        <v>809</v>
      </c>
      <c r="F88" s="3" t="s">
        <v>1227</v>
      </c>
      <c r="G88" s="3" t="s">
        <v>1228</v>
      </c>
      <c r="H88" s="3" t="s">
        <v>135</v>
      </c>
      <c r="I88" s="3" t="s">
        <v>1223</v>
      </c>
      <c r="J88" s="3" t="s">
        <v>741</v>
      </c>
      <c r="K88" s="3" t="s">
        <v>168</v>
      </c>
      <c r="L88" s="3" t="s">
        <v>1229</v>
      </c>
      <c r="M88" s="3" t="s">
        <v>1224</v>
      </c>
      <c r="N88" s="3" t="s">
        <v>139</v>
      </c>
      <c r="O88" s="3" t="s">
        <v>427</v>
      </c>
      <c r="P88" s="158">
        <v>1800</v>
      </c>
      <c r="Q88" s="166">
        <v>3.306</v>
      </c>
      <c r="R88" s="176">
        <v>1153.5999999999999</v>
      </c>
      <c r="T88" s="157">
        <v>68.647999999999996</v>
      </c>
      <c r="U88" s="168">
        <v>1.1E-4</v>
      </c>
      <c r="V88" s="168">
        <v>0.39825239068811202</v>
      </c>
      <c r="W88" s="168">
        <v>8.2995838252143891E-3</v>
      </c>
    </row>
    <row r="89" spans="1:23">
      <c r="A89" s="3">
        <v>419</v>
      </c>
      <c r="B89" s="3">
        <v>12435</v>
      </c>
      <c r="C89" s="3" t="s">
        <v>1155</v>
      </c>
      <c r="D89" s="3" t="s">
        <v>1156</v>
      </c>
      <c r="E89" s="5" t="s">
        <v>132</v>
      </c>
      <c r="F89" s="3" t="s">
        <v>1363</v>
      </c>
      <c r="G89" s="3" t="s">
        <v>1364</v>
      </c>
      <c r="H89" s="3" t="s">
        <v>135</v>
      </c>
      <c r="I89" s="3" t="s">
        <v>1159</v>
      </c>
      <c r="J89" s="3" t="s">
        <v>30</v>
      </c>
      <c r="K89" s="3" t="s">
        <v>30</v>
      </c>
      <c r="L89" s="3" t="s">
        <v>31</v>
      </c>
      <c r="M89" s="3" t="s">
        <v>1174</v>
      </c>
      <c r="N89" s="3" t="s">
        <v>139</v>
      </c>
      <c r="O89" s="3" t="s">
        <v>34</v>
      </c>
      <c r="P89" s="158">
        <v>8339</v>
      </c>
      <c r="Q89" s="166">
        <v>1</v>
      </c>
      <c r="R89" s="176">
        <v>5003</v>
      </c>
      <c r="T89" s="157">
        <v>417.2</v>
      </c>
      <c r="U89" s="168">
        <v>8.7999999999999998E-5</v>
      </c>
      <c r="V89" s="168">
        <v>4.1357565774946398E-2</v>
      </c>
      <c r="W89" s="168">
        <v>2.3656254330871498E-2</v>
      </c>
    </row>
    <row r="90" spans="1:23">
      <c r="A90" s="3">
        <v>419</v>
      </c>
      <c r="B90" s="3">
        <v>12435</v>
      </c>
      <c r="C90" s="3" t="s">
        <v>1155</v>
      </c>
      <c r="D90" s="3" t="s">
        <v>1156</v>
      </c>
      <c r="E90" s="5" t="s">
        <v>132</v>
      </c>
      <c r="F90" s="3" t="s">
        <v>1301</v>
      </c>
      <c r="G90" s="3" t="s">
        <v>1302</v>
      </c>
      <c r="H90" s="3" t="s">
        <v>135</v>
      </c>
      <c r="I90" s="3" t="s">
        <v>1159</v>
      </c>
      <c r="J90" s="3" t="s">
        <v>30</v>
      </c>
      <c r="K90" s="3" t="s">
        <v>30</v>
      </c>
      <c r="L90" s="3" t="s">
        <v>31</v>
      </c>
      <c r="M90" s="3" t="s">
        <v>1179</v>
      </c>
      <c r="N90" s="3" t="s">
        <v>139</v>
      </c>
      <c r="O90" s="3" t="s">
        <v>34</v>
      </c>
      <c r="P90" s="158">
        <v>10706</v>
      </c>
      <c r="Q90" s="166">
        <v>1</v>
      </c>
      <c r="R90" s="176">
        <v>4757</v>
      </c>
      <c r="T90" s="157">
        <v>509.28399999999999</v>
      </c>
      <c r="U90" s="168">
        <v>1.7799999999999999E-4</v>
      </c>
      <c r="V90" s="168">
        <v>5.0485990689566197E-2</v>
      </c>
      <c r="W90" s="168">
        <v>2.8877653061048399E-2</v>
      </c>
    </row>
    <row r="91" spans="1:23">
      <c r="A91" s="3">
        <v>419</v>
      </c>
      <c r="B91" s="3">
        <v>12435</v>
      </c>
      <c r="C91" s="3" t="s">
        <v>1175</v>
      </c>
      <c r="D91" s="3" t="s">
        <v>1176</v>
      </c>
      <c r="E91" s="5" t="s">
        <v>132</v>
      </c>
      <c r="F91" s="3" t="s">
        <v>1290</v>
      </c>
      <c r="G91" s="3" t="s">
        <v>1291</v>
      </c>
      <c r="H91" s="3" t="s">
        <v>135</v>
      </c>
      <c r="I91" s="3" t="s">
        <v>1186</v>
      </c>
      <c r="J91" s="3" t="s">
        <v>30</v>
      </c>
      <c r="K91" s="3" t="s">
        <v>168</v>
      </c>
      <c r="L91" s="3" t="s">
        <v>31</v>
      </c>
      <c r="M91" s="3" t="s">
        <v>1194</v>
      </c>
      <c r="N91" s="3" t="s">
        <v>139</v>
      </c>
      <c r="O91" s="3" t="s">
        <v>34</v>
      </c>
      <c r="P91" s="158">
        <v>10008</v>
      </c>
      <c r="Q91" s="166">
        <v>1</v>
      </c>
      <c r="R91" s="176">
        <v>2569</v>
      </c>
      <c r="T91" s="157">
        <v>257.10599999999999</v>
      </c>
      <c r="U91" s="168">
        <v>2.5999999999999998E-5</v>
      </c>
      <c r="V91" s="168">
        <v>2.5487186293576599E-2</v>
      </c>
      <c r="W91" s="168">
        <v>1.45785021396108E-2</v>
      </c>
    </row>
    <row r="92" spans="1:23">
      <c r="A92" s="3">
        <v>419</v>
      </c>
      <c r="B92" s="3">
        <v>12435</v>
      </c>
      <c r="C92" s="3" t="s">
        <v>1188</v>
      </c>
      <c r="D92" s="3" t="s">
        <v>1189</v>
      </c>
      <c r="E92" s="5" t="s">
        <v>132</v>
      </c>
      <c r="F92" s="3" t="s">
        <v>1251</v>
      </c>
      <c r="G92" s="3" t="s">
        <v>1252</v>
      </c>
      <c r="H92" s="3" t="s">
        <v>135</v>
      </c>
      <c r="I92" s="3" t="s">
        <v>1186</v>
      </c>
      <c r="J92" s="3" t="s">
        <v>30</v>
      </c>
      <c r="K92" s="3" t="s">
        <v>168</v>
      </c>
      <c r="L92" s="3" t="s">
        <v>31</v>
      </c>
      <c r="M92" s="3" t="s">
        <v>1242</v>
      </c>
      <c r="N92" s="3" t="s">
        <v>139</v>
      </c>
      <c r="O92" s="3" t="s">
        <v>34</v>
      </c>
      <c r="P92" s="158">
        <v>4389</v>
      </c>
      <c r="Q92" s="166">
        <v>1</v>
      </c>
      <c r="R92" s="176">
        <v>12290</v>
      </c>
      <c r="T92" s="157">
        <v>539.40800000000002</v>
      </c>
      <c r="U92" s="168">
        <v>4.6200000000000001E-4</v>
      </c>
      <c r="V92" s="168">
        <v>5.3472188123242802E-2</v>
      </c>
      <c r="W92" s="168">
        <v>3.0585738260202999E-2</v>
      </c>
    </row>
    <row r="93" spans="1:23">
      <c r="A93" s="3">
        <v>419</v>
      </c>
      <c r="B93" s="3">
        <v>12435</v>
      </c>
      <c r="C93" s="3" t="s">
        <v>1188</v>
      </c>
      <c r="D93" s="3" t="s">
        <v>1189</v>
      </c>
      <c r="E93" s="5" t="s">
        <v>132</v>
      </c>
      <c r="F93" s="3" t="s">
        <v>1192</v>
      </c>
      <c r="G93" s="3" t="s">
        <v>1193</v>
      </c>
      <c r="H93" s="3" t="s">
        <v>135</v>
      </c>
      <c r="I93" s="3" t="s">
        <v>1186</v>
      </c>
      <c r="J93" s="3" t="s">
        <v>30</v>
      </c>
      <c r="K93" s="3" t="s">
        <v>168</v>
      </c>
      <c r="L93" s="3" t="s">
        <v>31</v>
      </c>
      <c r="M93" s="3" t="s">
        <v>1194</v>
      </c>
      <c r="N93" s="3" t="s">
        <v>139</v>
      </c>
      <c r="O93" s="3" t="s">
        <v>34</v>
      </c>
      <c r="P93" s="158">
        <v>4811</v>
      </c>
      <c r="Q93" s="166">
        <v>1</v>
      </c>
      <c r="R93" s="176">
        <v>10950</v>
      </c>
      <c r="T93" s="157">
        <v>526.80399999999997</v>
      </c>
      <c r="U93" s="168">
        <v>6.9999999999999994E-5</v>
      </c>
      <c r="V93" s="168">
        <v>5.2222777759864697E-2</v>
      </c>
      <c r="W93" s="168">
        <v>2.9871083788502801E-2</v>
      </c>
    </row>
    <row r="94" spans="1:23">
      <c r="A94" s="3">
        <v>419</v>
      </c>
      <c r="B94" s="3">
        <v>12435</v>
      </c>
      <c r="C94" s="3" t="s">
        <v>1155</v>
      </c>
      <c r="D94" s="3" t="s">
        <v>1156</v>
      </c>
      <c r="E94" s="5" t="s">
        <v>132</v>
      </c>
      <c r="F94" s="3" t="s">
        <v>1303</v>
      </c>
      <c r="G94" s="3" t="s">
        <v>1304</v>
      </c>
      <c r="H94" s="3" t="s">
        <v>135</v>
      </c>
      <c r="I94" s="3" t="s">
        <v>1186</v>
      </c>
      <c r="J94" s="3" t="s">
        <v>30</v>
      </c>
      <c r="K94" s="3" t="s">
        <v>168</v>
      </c>
      <c r="L94" s="3" t="s">
        <v>31</v>
      </c>
      <c r="M94" s="3" t="s">
        <v>1187</v>
      </c>
      <c r="N94" s="3" t="s">
        <v>139</v>
      </c>
      <c r="O94" s="3" t="s">
        <v>34</v>
      </c>
      <c r="P94" s="158">
        <v>950</v>
      </c>
      <c r="Q94" s="166">
        <v>1</v>
      </c>
      <c r="R94" s="176">
        <v>3273</v>
      </c>
      <c r="T94" s="157">
        <v>31.093</v>
      </c>
      <c r="U94" s="168">
        <v>4.8000000000000001E-5</v>
      </c>
      <c r="V94" s="168">
        <v>3.0823368826127201E-3</v>
      </c>
      <c r="W94" s="168">
        <v>1.76307632865287E-3</v>
      </c>
    </row>
    <row r="95" spans="1:23">
      <c r="A95" s="3">
        <v>419</v>
      </c>
      <c r="B95" s="3">
        <v>12435</v>
      </c>
      <c r="C95" s="3" t="s">
        <v>1195</v>
      </c>
      <c r="D95" s="3" t="s">
        <v>1196</v>
      </c>
      <c r="E95" s="5" t="s">
        <v>132</v>
      </c>
      <c r="F95" s="3" t="s">
        <v>1365</v>
      </c>
      <c r="G95" s="3" t="s">
        <v>1366</v>
      </c>
      <c r="H95" s="3" t="s">
        <v>135</v>
      </c>
      <c r="I95" s="3" t="s">
        <v>1186</v>
      </c>
      <c r="J95" s="3" t="s">
        <v>30</v>
      </c>
      <c r="K95" s="3" t="s">
        <v>168</v>
      </c>
      <c r="L95" s="3" t="s">
        <v>31</v>
      </c>
      <c r="M95" s="3" t="s">
        <v>1242</v>
      </c>
      <c r="N95" s="3" t="s">
        <v>139</v>
      </c>
      <c r="O95" s="3" t="s">
        <v>34</v>
      </c>
      <c r="P95" s="158">
        <v>67</v>
      </c>
      <c r="Q95" s="166">
        <v>1</v>
      </c>
      <c r="R95" s="176">
        <v>77790</v>
      </c>
      <c r="T95" s="157">
        <v>52.119</v>
      </c>
      <c r="U95" s="168">
        <v>1.5999999999999999E-5</v>
      </c>
      <c r="V95" s="168">
        <v>5.1666502865858497E-3</v>
      </c>
      <c r="W95" s="168">
        <v>2.9552898225017302E-3</v>
      </c>
    </row>
    <row r="96" spans="1:23">
      <c r="A96" s="3">
        <v>419</v>
      </c>
      <c r="B96" s="3">
        <v>12435</v>
      </c>
      <c r="C96" s="3" t="s">
        <v>1195</v>
      </c>
      <c r="D96" s="3" t="s">
        <v>1196</v>
      </c>
      <c r="E96" s="5" t="s">
        <v>132</v>
      </c>
      <c r="F96" s="3" t="s">
        <v>1367</v>
      </c>
      <c r="G96" s="3" t="s">
        <v>1368</v>
      </c>
      <c r="H96" s="3" t="s">
        <v>135</v>
      </c>
      <c r="I96" s="3" t="s">
        <v>1159</v>
      </c>
      <c r="J96" s="3" t="s">
        <v>30</v>
      </c>
      <c r="K96" s="3" t="s">
        <v>30</v>
      </c>
      <c r="L96" s="3" t="s">
        <v>31</v>
      </c>
      <c r="M96" s="3" t="s">
        <v>1179</v>
      </c>
      <c r="N96" s="3" t="s">
        <v>139</v>
      </c>
      <c r="O96" s="3" t="s">
        <v>34</v>
      </c>
      <c r="P96" s="158">
        <v>1917</v>
      </c>
      <c r="Q96" s="166">
        <v>1</v>
      </c>
      <c r="R96" s="176">
        <v>30420</v>
      </c>
      <c r="T96" s="157">
        <v>583.15099999999995</v>
      </c>
      <c r="U96" s="168">
        <v>6.3E-5</v>
      </c>
      <c r="V96" s="168">
        <v>5.78085152320338E-2</v>
      </c>
      <c r="W96" s="168">
        <v>3.3066088711813803E-2</v>
      </c>
    </row>
    <row r="97" spans="1:23">
      <c r="A97" s="3">
        <v>419</v>
      </c>
      <c r="B97" s="3">
        <v>12435</v>
      </c>
      <c r="C97" s="3" t="s">
        <v>1215</v>
      </c>
      <c r="D97" s="3" t="s">
        <v>1216</v>
      </c>
      <c r="E97" s="5" t="s">
        <v>809</v>
      </c>
      <c r="F97" s="3" t="s">
        <v>1217</v>
      </c>
      <c r="G97" s="3" t="s">
        <v>1218</v>
      </c>
      <c r="H97" s="3" t="s">
        <v>135</v>
      </c>
      <c r="I97" s="3" t="s">
        <v>1186</v>
      </c>
      <c r="J97" s="3" t="s">
        <v>741</v>
      </c>
      <c r="K97" s="3" t="s">
        <v>833</v>
      </c>
      <c r="L97" s="3" t="s">
        <v>1016</v>
      </c>
      <c r="M97" s="3" t="s">
        <v>1199</v>
      </c>
      <c r="N97" s="3" t="s">
        <v>139</v>
      </c>
      <c r="O97" s="3" t="s">
        <v>427</v>
      </c>
      <c r="P97" s="158">
        <v>1635</v>
      </c>
      <c r="Q97" s="166">
        <v>3.306</v>
      </c>
      <c r="R97" s="176">
        <v>15795.9</v>
      </c>
      <c r="T97" s="157">
        <v>853.81700000000001</v>
      </c>
      <c r="U97" s="168">
        <v>0</v>
      </c>
      <c r="V97" s="168">
        <v>8.4639964841577001E-2</v>
      </c>
      <c r="W97" s="168">
        <v>4.8413500585213397E-2</v>
      </c>
    </row>
    <row r="98" spans="1:23">
      <c r="A98" s="3">
        <v>419</v>
      </c>
      <c r="B98" s="3">
        <v>12435</v>
      </c>
      <c r="C98" s="3" t="s">
        <v>1225</v>
      </c>
      <c r="D98" s="3" t="s">
        <v>1226</v>
      </c>
      <c r="E98" s="5" t="s">
        <v>809</v>
      </c>
      <c r="F98" s="3" t="s">
        <v>1255</v>
      </c>
      <c r="G98" s="3" t="s">
        <v>1256</v>
      </c>
      <c r="H98" s="3" t="s">
        <v>135</v>
      </c>
      <c r="I98" s="3" t="s">
        <v>1186</v>
      </c>
      <c r="J98" s="3" t="s">
        <v>741</v>
      </c>
      <c r="K98" s="3" t="s">
        <v>168</v>
      </c>
      <c r="L98" s="3" t="s">
        <v>1036</v>
      </c>
      <c r="M98" s="3" t="s">
        <v>1257</v>
      </c>
      <c r="N98" s="3" t="s">
        <v>139</v>
      </c>
      <c r="O98" s="3" t="s">
        <v>427</v>
      </c>
      <c r="P98" s="158">
        <v>248</v>
      </c>
      <c r="Q98" s="166">
        <v>3.306</v>
      </c>
      <c r="R98" s="176">
        <v>28186</v>
      </c>
      <c r="T98" s="157">
        <v>231.09399999999999</v>
      </c>
      <c r="U98" s="168">
        <v>9.9999999999999995E-7</v>
      </c>
      <c r="V98" s="168">
        <v>2.2908595824342199E-2</v>
      </c>
      <c r="W98" s="168">
        <v>1.31035654306345E-2</v>
      </c>
    </row>
    <row r="99" spans="1:23">
      <c r="A99" s="3">
        <v>419</v>
      </c>
      <c r="B99" s="3">
        <v>12435</v>
      </c>
      <c r="C99" s="3" t="s">
        <v>1215</v>
      </c>
      <c r="D99" s="3" t="s">
        <v>1216</v>
      </c>
      <c r="E99" s="5" t="s">
        <v>809</v>
      </c>
      <c r="F99" s="3" t="s">
        <v>1258</v>
      </c>
      <c r="G99" s="3" t="s">
        <v>1259</v>
      </c>
      <c r="H99" s="3" t="s">
        <v>135</v>
      </c>
      <c r="I99" s="3" t="s">
        <v>1186</v>
      </c>
      <c r="J99" s="3" t="s">
        <v>741</v>
      </c>
      <c r="K99" s="3" t="s">
        <v>1260</v>
      </c>
      <c r="L99" s="3" t="s">
        <v>240</v>
      </c>
      <c r="M99" s="3" t="s">
        <v>1261</v>
      </c>
      <c r="N99" s="3" t="s">
        <v>139</v>
      </c>
      <c r="O99" s="3" t="s">
        <v>427</v>
      </c>
      <c r="P99" s="158">
        <v>640</v>
      </c>
      <c r="Q99" s="166">
        <v>3.306</v>
      </c>
      <c r="R99" s="176">
        <v>6680</v>
      </c>
      <c r="T99" s="157">
        <v>141.33799999999999</v>
      </c>
      <c r="U99" s="168">
        <v>5.8999999999999998E-5</v>
      </c>
      <c r="V99" s="168">
        <v>1.4011020809379699E-2</v>
      </c>
      <c r="W99" s="168">
        <v>8.01421131759655E-3</v>
      </c>
    </row>
    <row r="100" spans="1:23">
      <c r="A100" s="3">
        <v>419</v>
      </c>
      <c r="B100" s="3">
        <v>12435</v>
      </c>
      <c r="C100" s="3" t="s">
        <v>1225</v>
      </c>
      <c r="D100" s="3" t="s">
        <v>1226</v>
      </c>
      <c r="E100" s="5" t="s">
        <v>809</v>
      </c>
      <c r="F100" s="3" t="s">
        <v>1305</v>
      </c>
      <c r="G100" s="3" t="s">
        <v>1306</v>
      </c>
      <c r="H100" s="3" t="s">
        <v>135</v>
      </c>
      <c r="I100" s="3" t="s">
        <v>1186</v>
      </c>
      <c r="J100" s="3" t="s">
        <v>741</v>
      </c>
      <c r="K100" s="3" t="s">
        <v>168</v>
      </c>
      <c r="L100" s="3" t="s">
        <v>1036</v>
      </c>
      <c r="M100" s="3" t="s">
        <v>1187</v>
      </c>
      <c r="N100" s="3" t="s">
        <v>139</v>
      </c>
      <c r="O100" s="3" t="s">
        <v>427</v>
      </c>
      <c r="P100" s="158">
        <v>65</v>
      </c>
      <c r="Q100" s="166">
        <v>3.306</v>
      </c>
      <c r="R100" s="176">
        <v>23964</v>
      </c>
      <c r="T100" s="157">
        <v>51.496000000000002</v>
      </c>
      <c r="U100" s="168">
        <v>9.9999999999999995E-7</v>
      </c>
      <c r="V100" s="168">
        <v>5.1048855431180696E-3</v>
      </c>
      <c r="W100" s="168">
        <v>2.91996079738198E-3</v>
      </c>
    </row>
    <row r="101" spans="1:23">
      <c r="A101" s="3">
        <v>419</v>
      </c>
      <c r="B101" s="3">
        <v>12435</v>
      </c>
      <c r="C101" s="3" t="s">
        <v>1262</v>
      </c>
      <c r="D101" s="3" t="s">
        <v>1263</v>
      </c>
      <c r="E101" s="5" t="s">
        <v>809</v>
      </c>
      <c r="F101" s="3" t="s">
        <v>1264</v>
      </c>
      <c r="G101" s="3" t="s">
        <v>1265</v>
      </c>
      <c r="H101" s="3" t="s">
        <v>135</v>
      </c>
      <c r="I101" s="3" t="s">
        <v>1186</v>
      </c>
      <c r="J101" s="3" t="s">
        <v>741</v>
      </c>
      <c r="K101" s="3" t="s">
        <v>905</v>
      </c>
      <c r="L101" s="3" t="s">
        <v>240</v>
      </c>
      <c r="M101" s="3" t="s">
        <v>1187</v>
      </c>
      <c r="N101" s="3" t="s">
        <v>139</v>
      </c>
      <c r="O101" s="3" t="s">
        <v>745</v>
      </c>
      <c r="P101" s="158">
        <v>1579</v>
      </c>
      <c r="Q101" s="166">
        <v>3.8807</v>
      </c>
      <c r="R101" s="176">
        <v>10120</v>
      </c>
      <c r="T101" s="157">
        <v>620.11599999999999</v>
      </c>
      <c r="U101" s="168">
        <v>5.5000000000000002E-5</v>
      </c>
      <c r="V101" s="168">
        <v>6.1472829789509298E-2</v>
      </c>
      <c r="W101" s="168">
        <v>3.5162052424757097E-2</v>
      </c>
    </row>
    <row r="102" spans="1:23">
      <c r="A102" s="3">
        <v>419</v>
      </c>
      <c r="B102" s="3">
        <v>12435</v>
      </c>
      <c r="C102" s="3" t="s">
        <v>1225</v>
      </c>
      <c r="D102" s="3" t="s">
        <v>1226</v>
      </c>
      <c r="E102" s="5" t="s">
        <v>809</v>
      </c>
      <c r="F102" s="3" t="s">
        <v>1307</v>
      </c>
      <c r="G102" s="3" t="s">
        <v>1308</v>
      </c>
      <c r="H102" s="3" t="s">
        <v>135</v>
      </c>
      <c r="I102" s="3" t="s">
        <v>1186</v>
      </c>
      <c r="J102" s="3" t="s">
        <v>741</v>
      </c>
      <c r="K102" s="3" t="s">
        <v>168</v>
      </c>
      <c r="L102" s="3" t="s">
        <v>1036</v>
      </c>
      <c r="M102" s="3" t="s">
        <v>1309</v>
      </c>
      <c r="N102" s="3" t="s">
        <v>139</v>
      </c>
      <c r="O102" s="3" t="s">
        <v>427</v>
      </c>
      <c r="P102" s="158">
        <v>1010</v>
      </c>
      <c r="Q102" s="166">
        <v>3.306</v>
      </c>
      <c r="R102" s="176">
        <v>5387</v>
      </c>
      <c r="T102" s="157">
        <v>179.875</v>
      </c>
      <c r="U102" s="168">
        <v>9.9999999999999995E-7</v>
      </c>
      <c r="V102" s="168">
        <v>1.7831245974721601E-2</v>
      </c>
      <c r="W102" s="168">
        <v>1.01993548679761E-2</v>
      </c>
    </row>
    <row r="103" spans="1:23">
      <c r="A103" s="3">
        <v>419</v>
      </c>
      <c r="B103" s="3">
        <v>12435</v>
      </c>
      <c r="C103" s="3" t="s">
        <v>1310</v>
      </c>
      <c r="D103" s="3" t="s">
        <v>1311</v>
      </c>
      <c r="E103" s="5" t="s">
        <v>809</v>
      </c>
      <c r="F103" s="3" t="s">
        <v>1312</v>
      </c>
      <c r="G103" s="3" t="s">
        <v>1313</v>
      </c>
      <c r="H103" s="3" t="s">
        <v>135</v>
      </c>
      <c r="I103" s="3" t="s">
        <v>1186</v>
      </c>
      <c r="J103" s="3" t="s">
        <v>741</v>
      </c>
      <c r="K103" s="3" t="s">
        <v>833</v>
      </c>
      <c r="L103" s="3" t="s">
        <v>1016</v>
      </c>
      <c r="M103" s="3" t="s">
        <v>1187</v>
      </c>
      <c r="N103" s="3" t="s">
        <v>139</v>
      </c>
      <c r="O103" s="3" t="s">
        <v>427</v>
      </c>
      <c r="P103" s="158">
        <v>90</v>
      </c>
      <c r="Q103" s="166">
        <v>3.306</v>
      </c>
      <c r="R103" s="176">
        <v>15108</v>
      </c>
      <c r="S103" s="157">
        <v>2.1000000000000001E-2</v>
      </c>
      <c r="T103" s="157">
        <v>45.021999999999998</v>
      </c>
      <c r="U103" s="168">
        <v>7.9999999999999996E-6</v>
      </c>
      <c r="V103" s="168">
        <v>4.4631321552363497E-3</v>
      </c>
      <c r="W103" s="168">
        <v>2.5528821002448999E-3</v>
      </c>
    </row>
    <row r="104" spans="1:23">
      <c r="A104" s="3">
        <v>419</v>
      </c>
      <c r="B104" s="3">
        <v>12435</v>
      </c>
      <c r="C104" s="3" t="s">
        <v>1314</v>
      </c>
      <c r="D104" s="3" t="s">
        <v>1315</v>
      </c>
      <c r="E104" s="5" t="s">
        <v>809</v>
      </c>
      <c r="F104" s="3" t="s">
        <v>1316</v>
      </c>
      <c r="G104" s="3" t="s">
        <v>1317</v>
      </c>
      <c r="H104" s="3" t="s">
        <v>135</v>
      </c>
      <c r="I104" s="3" t="s">
        <v>1186</v>
      </c>
      <c r="J104" s="3" t="s">
        <v>741</v>
      </c>
      <c r="K104" s="3" t="s">
        <v>168</v>
      </c>
      <c r="L104" s="3" t="s">
        <v>1036</v>
      </c>
      <c r="M104" s="3" t="s">
        <v>1187</v>
      </c>
      <c r="N104" s="3" t="s">
        <v>139</v>
      </c>
      <c r="O104" s="3" t="s">
        <v>427</v>
      </c>
      <c r="P104" s="158">
        <v>501</v>
      </c>
      <c r="Q104" s="166">
        <v>3.306</v>
      </c>
      <c r="R104" s="176">
        <v>4763</v>
      </c>
      <c r="T104" s="157">
        <v>78.89</v>
      </c>
      <c r="U104" s="168">
        <v>3.0000000000000001E-6</v>
      </c>
      <c r="V104" s="168">
        <v>7.8204482947354104E-3</v>
      </c>
      <c r="W104" s="168">
        <v>4.4732447467631699E-3</v>
      </c>
    </row>
    <row r="105" spans="1:23">
      <c r="A105" s="3">
        <v>419</v>
      </c>
      <c r="B105" s="3">
        <v>12435</v>
      </c>
      <c r="C105" s="3" t="s">
        <v>1225</v>
      </c>
      <c r="D105" s="3" t="s">
        <v>1226</v>
      </c>
      <c r="E105" s="5" t="s">
        <v>809</v>
      </c>
      <c r="F105" s="3" t="s">
        <v>1318</v>
      </c>
      <c r="G105" s="3" t="s">
        <v>1319</v>
      </c>
      <c r="H105" s="3" t="s">
        <v>135</v>
      </c>
      <c r="I105" s="3" t="s">
        <v>1186</v>
      </c>
      <c r="J105" s="3" t="s">
        <v>741</v>
      </c>
      <c r="K105" s="3" t="s">
        <v>833</v>
      </c>
      <c r="L105" s="3" t="s">
        <v>1036</v>
      </c>
      <c r="M105" s="3" t="s">
        <v>1320</v>
      </c>
      <c r="N105" s="3" t="s">
        <v>139</v>
      </c>
      <c r="O105" s="3" t="s">
        <v>427</v>
      </c>
      <c r="P105" s="158">
        <v>120</v>
      </c>
      <c r="Q105" s="166">
        <v>3.306</v>
      </c>
      <c r="R105" s="176">
        <v>13917</v>
      </c>
      <c r="T105" s="157">
        <v>55.212000000000003</v>
      </c>
      <c r="U105" s="168">
        <v>0</v>
      </c>
      <c r="V105" s="168">
        <v>5.4731860948017503E-3</v>
      </c>
      <c r="W105" s="168">
        <v>3.1306262792007199E-3</v>
      </c>
    </row>
    <row r="106" spans="1:23">
      <c r="A106" s="3">
        <v>419</v>
      </c>
      <c r="B106" s="3">
        <v>12435</v>
      </c>
      <c r="C106" s="3" t="s">
        <v>1225</v>
      </c>
      <c r="D106" s="3" t="s">
        <v>1226</v>
      </c>
      <c r="E106" s="5" t="s">
        <v>809</v>
      </c>
      <c r="F106" s="3" t="s">
        <v>1321</v>
      </c>
      <c r="G106" s="3" t="s">
        <v>1322</v>
      </c>
      <c r="H106" s="3" t="s">
        <v>135</v>
      </c>
      <c r="I106" s="3" t="s">
        <v>1186</v>
      </c>
      <c r="J106" s="3" t="s">
        <v>741</v>
      </c>
      <c r="K106" s="3" t="s">
        <v>168</v>
      </c>
      <c r="L106" s="3" t="s">
        <v>1036</v>
      </c>
      <c r="M106" s="3" t="s">
        <v>1187</v>
      </c>
      <c r="N106" s="3" t="s">
        <v>139</v>
      </c>
      <c r="O106" s="3" t="s">
        <v>427</v>
      </c>
      <c r="P106" s="158">
        <v>304</v>
      </c>
      <c r="Q106" s="166">
        <v>3.306</v>
      </c>
      <c r="R106" s="176">
        <v>15423</v>
      </c>
      <c r="T106" s="157">
        <v>155.005</v>
      </c>
      <c r="U106" s="168">
        <v>1.9999999999999999E-6</v>
      </c>
      <c r="V106" s="168">
        <v>1.5365821500442399E-2</v>
      </c>
      <c r="W106" s="168">
        <v>8.7891483603089095E-3</v>
      </c>
    </row>
    <row r="107" spans="1:23">
      <c r="A107" s="3">
        <v>419</v>
      </c>
      <c r="B107" s="3">
        <v>12435</v>
      </c>
      <c r="C107" s="3" t="s">
        <v>1266</v>
      </c>
      <c r="D107" s="3" t="s">
        <v>1267</v>
      </c>
      <c r="E107" s="5" t="s">
        <v>809</v>
      </c>
      <c r="F107" s="3" t="s">
        <v>1323</v>
      </c>
      <c r="G107" s="3" t="s">
        <v>1324</v>
      </c>
      <c r="H107" s="3" t="s">
        <v>135</v>
      </c>
      <c r="I107" s="3" t="s">
        <v>1186</v>
      </c>
      <c r="J107" s="3" t="s">
        <v>741</v>
      </c>
      <c r="K107" s="3" t="s">
        <v>168</v>
      </c>
      <c r="L107" s="3" t="s">
        <v>1036</v>
      </c>
      <c r="M107" s="3" t="s">
        <v>1187</v>
      </c>
      <c r="N107" s="3" t="s">
        <v>139</v>
      </c>
      <c r="O107" s="3" t="s">
        <v>427</v>
      </c>
      <c r="P107" s="158">
        <v>120</v>
      </c>
      <c r="Q107" s="166">
        <v>3.306</v>
      </c>
      <c r="R107" s="176">
        <v>15545</v>
      </c>
      <c r="T107" s="157">
        <v>61.67</v>
      </c>
      <c r="U107" s="168">
        <v>9.0000000000000002E-6</v>
      </c>
      <c r="V107" s="168">
        <v>6.1134352118770796E-3</v>
      </c>
      <c r="W107" s="168">
        <v>3.4968445433768199E-3</v>
      </c>
    </row>
    <row r="108" spans="1:23">
      <c r="A108" s="3">
        <v>419</v>
      </c>
      <c r="B108" s="3">
        <v>12435</v>
      </c>
      <c r="C108" s="3" t="s">
        <v>1266</v>
      </c>
      <c r="D108" s="3" t="s">
        <v>1267</v>
      </c>
      <c r="E108" s="5" t="s">
        <v>809</v>
      </c>
      <c r="F108" s="3" t="s">
        <v>1268</v>
      </c>
      <c r="G108" s="3" t="s">
        <v>1269</v>
      </c>
      <c r="H108" s="3" t="s">
        <v>135</v>
      </c>
      <c r="I108" s="3" t="s">
        <v>1186</v>
      </c>
      <c r="J108" s="3" t="s">
        <v>741</v>
      </c>
      <c r="K108" s="3" t="s">
        <v>168</v>
      </c>
      <c r="L108" s="3" t="s">
        <v>1016</v>
      </c>
      <c r="M108" s="3" t="s">
        <v>1242</v>
      </c>
      <c r="N108" s="3" t="s">
        <v>139</v>
      </c>
      <c r="O108" s="3" t="s">
        <v>427</v>
      </c>
      <c r="P108" s="158">
        <v>147</v>
      </c>
      <c r="Q108" s="166">
        <v>3.306</v>
      </c>
      <c r="R108" s="176">
        <v>60037</v>
      </c>
      <c r="S108" s="157">
        <v>7.6999999999999999E-2</v>
      </c>
      <c r="T108" s="157">
        <v>292.02199999999999</v>
      </c>
      <c r="U108" s="168">
        <v>0</v>
      </c>
      <c r="V108" s="168">
        <v>2.8948495462463399E-2</v>
      </c>
      <c r="W108" s="168">
        <v>1.6558348111748899E-2</v>
      </c>
    </row>
    <row r="109" spans="1:23">
      <c r="A109" s="3">
        <v>419</v>
      </c>
      <c r="B109" s="3">
        <v>12435</v>
      </c>
      <c r="C109" s="3" t="s">
        <v>1266</v>
      </c>
      <c r="D109" s="3" t="s">
        <v>1267</v>
      </c>
      <c r="E109" s="5" t="s">
        <v>809</v>
      </c>
      <c r="F109" s="3" t="s">
        <v>1292</v>
      </c>
      <c r="G109" s="3" t="s">
        <v>1293</v>
      </c>
      <c r="H109" s="3" t="s">
        <v>135</v>
      </c>
      <c r="I109" s="3" t="s">
        <v>1186</v>
      </c>
      <c r="J109" s="3" t="s">
        <v>741</v>
      </c>
      <c r="K109" s="3" t="s">
        <v>168</v>
      </c>
      <c r="L109" s="3" t="s">
        <v>1114</v>
      </c>
      <c r="M109" s="3" t="s">
        <v>1194</v>
      </c>
      <c r="N109" s="3" t="s">
        <v>139</v>
      </c>
      <c r="O109" s="3" t="s">
        <v>427</v>
      </c>
      <c r="P109" s="158">
        <v>4</v>
      </c>
      <c r="Q109" s="166">
        <v>3.306</v>
      </c>
      <c r="R109" s="176">
        <v>132232</v>
      </c>
      <c r="T109" s="157">
        <v>17.486000000000001</v>
      </c>
      <c r="U109" s="168">
        <v>0</v>
      </c>
      <c r="V109" s="168">
        <v>1.73344433351974E-3</v>
      </c>
      <c r="W109" s="168">
        <v>9.9151870410593809E-4</v>
      </c>
    </row>
    <row r="110" spans="1:23">
      <c r="A110" s="3">
        <v>419</v>
      </c>
      <c r="B110" s="3">
        <v>12435</v>
      </c>
      <c r="C110" s="3" t="s">
        <v>1219</v>
      </c>
      <c r="D110" s="3" t="s">
        <v>1220</v>
      </c>
      <c r="E110" s="5" t="s">
        <v>809</v>
      </c>
      <c r="F110" s="3" t="s">
        <v>1294</v>
      </c>
      <c r="G110" s="3" t="s">
        <v>1295</v>
      </c>
      <c r="H110" s="3" t="s">
        <v>135</v>
      </c>
      <c r="I110" s="3" t="s">
        <v>1186</v>
      </c>
      <c r="J110" s="3" t="s">
        <v>741</v>
      </c>
      <c r="K110" s="3" t="s">
        <v>168</v>
      </c>
      <c r="L110" s="3" t="s">
        <v>1036</v>
      </c>
      <c r="M110" s="3" t="s">
        <v>1194</v>
      </c>
      <c r="N110" s="3" t="s">
        <v>139</v>
      </c>
      <c r="O110" s="3" t="s">
        <v>427</v>
      </c>
      <c r="P110" s="158">
        <v>142</v>
      </c>
      <c r="Q110" s="166">
        <v>3.306</v>
      </c>
      <c r="R110" s="176">
        <v>66930</v>
      </c>
      <c r="T110" s="157">
        <v>314.20400000000001</v>
      </c>
      <c r="U110" s="168">
        <v>0</v>
      </c>
      <c r="V110" s="168">
        <v>3.1147450980911599E-2</v>
      </c>
      <c r="W110" s="168">
        <v>1.78161361375179E-2</v>
      </c>
    </row>
    <row r="111" spans="1:23">
      <c r="A111" s="3">
        <v>419</v>
      </c>
      <c r="B111" s="3">
        <v>12435</v>
      </c>
      <c r="C111" s="3" t="s">
        <v>1219</v>
      </c>
      <c r="D111" s="3" t="s">
        <v>1220</v>
      </c>
      <c r="E111" s="5" t="s">
        <v>809</v>
      </c>
      <c r="F111" s="3" t="s">
        <v>1325</v>
      </c>
      <c r="G111" s="3" t="s">
        <v>1326</v>
      </c>
      <c r="H111" s="3" t="s">
        <v>135</v>
      </c>
      <c r="I111" s="3" t="s">
        <v>1186</v>
      </c>
      <c r="J111" s="3" t="s">
        <v>741</v>
      </c>
      <c r="K111" s="3" t="s">
        <v>168</v>
      </c>
      <c r="L111" s="3" t="s">
        <v>1036</v>
      </c>
      <c r="M111" s="3" t="s">
        <v>1187</v>
      </c>
      <c r="N111" s="3" t="s">
        <v>139</v>
      </c>
      <c r="O111" s="3" t="s">
        <v>427</v>
      </c>
      <c r="P111" s="158">
        <v>302</v>
      </c>
      <c r="Q111" s="166">
        <v>3.306</v>
      </c>
      <c r="R111" s="176">
        <v>10725</v>
      </c>
      <c r="T111" s="157">
        <v>107.08</v>
      </c>
      <c r="U111" s="168">
        <v>1.2E-5</v>
      </c>
      <c r="V111" s="168">
        <v>1.0614941020429499E-2</v>
      </c>
      <c r="W111" s="168">
        <v>6.0716761197439498E-3</v>
      </c>
    </row>
    <row r="112" spans="1:23">
      <c r="A112" s="3">
        <v>419</v>
      </c>
      <c r="B112" s="3">
        <v>12435</v>
      </c>
      <c r="C112" s="3" t="s">
        <v>1219</v>
      </c>
      <c r="D112" s="3" t="s">
        <v>1220</v>
      </c>
      <c r="E112" s="5" t="s">
        <v>809</v>
      </c>
      <c r="F112" s="3" t="s">
        <v>1327</v>
      </c>
      <c r="G112" s="3" t="s">
        <v>1328</v>
      </c>
      <c r="H112" s="3" t="s">
        <v>135</v>
      </c>
      <c r="I112" s="3" t="s">
        <v>1186</v>
      </c>
      <c r="J112" s="3" t="s">
        <v>741</v>
      </c>
      <c r="K112" s="3" t="s">
        <v>720</v>
      </c>
      <c r="L112" s="3" t="s">
        <v>1114</v>
      </c>
      <c r="M112" s="3" t="s">
        <v>1329</v>
      </c>
      <c r="N112" s="3" t="s">
        <v>139</v>
      </c>
      <c r="O112" s="3" t="s">
        <v>1330</v>
      </c>
      <c r="P112" s="158">
        <v>9599</v>
      </c>
      <c r="Q112" s="166">
        <v>4.4409000000000001</v>
      </c>
      <c r="R112" s="176">
        <v>908.4</v>
      </c>
      <c r="T112" s="157">
        <v>387.23500000000001</v>
      </c>
      <c r="U112" s="168">
        <v>1.5999999999999999E-5</v>
      </c>
      <c r="V112" s="168">
        <v>3.8387038076605103E-2</v>
      </c>
      <c r="W112" s="168">
        <v>2.19571321167824E-2</v>
      </c>
    </row>
    <row r="113" spans="1:23">
      <c r="A113" s="3">
        <v>419</v>
      </c>
      <c r="B113" s="3">
        <v>12435</v>
      </c>
      <c r="C113" s="3" t="s">
        <v>1219</v>
      </c>
      <c r="D113" s="3" t="s">
        <v>1220</v>
      </c>
      <c r="E113" s="5" t="s">
        <v>809</v>
      </c>
      <c r="F113" s="3" t="s">
        <v>1331</v>
      </c>
      <c r="G113" s="3" t="s">
        <v>1332</v>
      </c>
      <c r="H113" s="3" t="s">
        <v>135</v>
      </c>
      <c r="I113" s="3" t="s">
        <v>1186</v>
      </c>
      <c r="J113" s="3" t="s">
        <v>741</v>
      </c>
      <c r="K113" s="3" t="s">
        <v>1272</v>
      </c>
      <c r="L113" s="3" t="s">
        <v>1016</v>
      </c>
      <c r="M113" s="3" t="s">
        <v>1204</v>
      </c>
      <c r="N113" s="3" t="s">
        <v>139</v>
      </c>
      <c r="O113" s="3" t="s">
        <v>427</v>
      </c>
      <c r="P113" s="158">
        <v>905</v>
      </c>
      <c r="Q113" s="166">
        <v>3.306</v>
      </c>
      <c r="R113" s="176">
        <v>6585</v>
      </c>
      <c r="T113" s="157">
        <v>197.01900000000001</v>
      </c>
      <c r="U113" s="168">
        <v>6.0000000000000002E-6</v>
      </c>
      <c r="V113" s="168">
        <v>1.9530695098928099E-2</v>
      </c>
      <c r="W113" s="168">
        <v>1.1171428536996601E-2</v>
      </c>
    </row>
    <row r="114" spans="1:23">
      <c r="A114" s="3">
        <v>419</v>
      </c>
      <c r="B114" s="3">
        <v>12435</v>
      </c>
      <c r="C114" s="3" t="s">
        <v>1219</v>
      </c>
      <c r="D114" s="3" t="s">
        <v>1220</v>
      </c>
      <c r="E114" s="5" t="s">
        <v>809</v>
      </c>
      <c r="F114" s="3" t="s">
        <v>1369</v>
      </c>
      <c r="G114" s="3" t="s">
        <v>1370</v>
      </c>
      <c r="H114" s="3" t="s">
        <v>135</v>
      </c>
      <c r="I114" s="3" t="s">
        <v>1186</v>
      </c>
      <c r="J114" s="3" t="s">
        <v>741</v>
      </c>
      <c r="K114" s="3" t="s">
        <v>168</v>
      </c>
      <c r="L114" s="3" t="s">
        <v>1335</v>
      </c>
      <c r="M114" s="3" t="s">
        <v>1360</v>
      </c>
      <c r="N114" s="3" t="s">
        <v>139</v>
      </c>
      <c r="O114" s="3" t="s">
        <v>745</v>
      </c>
      <c r="P114" s="158">
        <v>1430</v>
      </c>
      <c r="Q114" s="166">
        <v>3.8807</v>
      </c>
      <c r="R114" s="176">
        <v>3094.5</v>
      </c>
      <c r="T114" s="157">
        <v>171.726</v>
      </c>
      <c r="U114" s="168">
        <v>0</v>
      </c>
      <c r="V114" s="168">
        <v>1.7023430715555201E-2</v>
      </c>
      <c r="W114" s="168">
        <v>9.7372898778075208E-3</v>
      </c>
    </row>
    <row r="115" spans="1:23">
      <c r="A115" s="3">
        <v>419</v>
      </c>
      <c r="B115" s="3">
        <v>12435</v>
      </c>
      <c r="C115" s="3" t="s">
        <v>1219</v>
      </c>
      <c r="D115" s="3" t="s">
        <v>1220</v>
      </c>
      <c r="E115" s="5" t="s">
        <v>809</v>
      </c>
      <c r="F115" s="3" t="s">
        <v>1333</v>
      </c>
      <c r="G115" s="3" t="s">
        <v>1334</v>
      </c>
      <c r="H115" s="3" t="s">
        <v>135</v>
      </c>
      <c r="I115" s="3" t="s">
        <v>1186</v>
      </c>
      <c r="J115" s="3" t="s">
        <v>741</v>
      </c>
      <c r="K115" s="3" t="s">
        <v>1213</v>
      </c>
      <c r="L115" s="3" t="s">
        <v>1335</v>
      </c>
      <c r="M115" s="3" t="s">
        <v>1187</v>
      </c>
      <c r="N115" s="3" t="s">
        <v>139</v>
      </c>
      <c r="O115" s="3" t="s">
        <v>745</v>
      </c>
      <c r="P115" s="158">
        <v>125</v>
      </c>
      <c r="Q115" s="166">
        <v>3.8807</v>
      </c>
      <c r="R115" s="176">
        <v>10688</v>
      </c>
      <c r="T115" s="157">
        <v>51.845999999999997</v>
      </c>
      <c r="U115" s="168">
        <v>5.0000000000000002E-5</v>
      </c>
      <c r="V115" s="168">
        <v>5.1395727895265997E-3</v>
      </c>
      <c r="W115" s="168">
        <v>2.93980167311299E-3</v>
      </c>
    </row>
    <row r="116" spans="1:23">
      <c r="A116" s="3">
        <v>419</v>
      </c>
      <c r="B116" s="3">
        <v>12435</v>
      </c>
      <c r="C116" s="3" t="s">
        <v>1225</v>
      </c>
      <c r="D116" s="3" t="s">
        <v>1226</v>
      </c>
      <c r="E116" s="5" t="s">
        <v>809</v>
      </c>
      <c r="F116" s="3" t="s">
        <v>1336</v>
      </c>
      <c r="G116" s="3" t="s">
        <v>1337</v>
      </c>
      <c r="H116" s="3" t="s">
        <v>135</v>
      </c>
      <c r="I116" s="3" t="s">
        <v>1186</v>
      </c>
      <c r="J116" s="3" t="s">
        <v>741</v>
      </c>
      <c r="K116" s="3" t="s">
        <v>168</v>
      </c>
      <c r="L116" s="3" t="s">
        <v>240</v>
      </c>
      <c r="M116" s="3" t="s">
        <v>1187</v>
      </c>
      <c r="N116" s="3" t="s">
        <v>139</v>
      </c>
      <c r="O116" s="3" t="s">
        <v>427</v>
      </c>
      <c r="P116" s="158">
        <v>138</v>
      </c>
      <c r="Q116" s="166">
        <v>3.306</v>
      </c>
      <c r="R116" s="176">
        <v>15285</v>
      </c>
      <c r="T116" s="157">
        <v>69.733999999999995</v>
      </c>
      <c r="U116" s="168">
        <v>0</v>
      </c>
      <c r="V116" s="168">
        <v>6.9128617430409996E-3</v>
      </c>
      <c r="W116" s="168">
        <v>3.9541112365610804E-3</v>
      </c>
    </row>
    <row r="117" spans="1:23">
      <c r="A117" s="3">
        <v>419</v>
      </c>
      <c r="B117" s="3">
        <v>12435</v>
      </c>
      <c r="C117" s="3" t="s">
        <v>1296</v>
      </c>
      <c r="D117" s="3" t="s">
        <v>1216</v>
      </c>
      <c r="E117" s="5" t="s">
        <v>809</v>
      </c>
      <c r="F117" s="3" t="s">
        <v>1371</v>
      </c>
      <c r="G117" s="3" t="s">
        <v>1372</v>
      </c>
      <c r="H117" s="3" t="s">
        <v>135</v>
      </c>
      <c r="I117" s="3" t="s">
        <v>1186</v>
      </c>
      <c r="J117" s="3" t="s">
        <v>741</v>
      </c>
      <c r="K117" s="3" t="s">
        <v>1213</v>
      </c>
      <c r="L117" s="3" t="s">
        <v>1340</v>
      </c>
      <c r="M117" s="3" t="s">
        <v>1187</v>
      </c>
      <c r="N117" s="3" t="s">
        <v>139</v>
      </c>
      <c r="O117" s="3" t="s">
        <v>745</v>
      </c>
      <c r="P117" s="158">
        <v>54</v>
      </c>
      <c r="Q117" s="166">
        <v>3.8807</v>
      </c>
      <c r="R117" s="176">
        <v>26801</v>
      </c>
      <c r="T117" s="157">
        <v>56.164000000000001</v>
      </c>
      <c r="U117" s="168">
        <v>1.9999999999999999E-6</v>
      </c>
      <c r="V117" s="168">
        <v>5.5675653277945502E-3</v>
      </c>
      <c r="W117" s="168">
        <v>3.1846105768109801E-3</v>
      </c>
    </row>
    <row r="118" spans="1:23">
      <c r="A118" s="3">
        <v>419</v>
      </c>
      <c r="B118" s="3">
        <v>12435</v>
      </c>
      <c r="C118" s="3" t="s">
        <v>1296</v>
      </c>
      <c r="D118" s="3" t="s">
        <v>1216</v>
      </c>
      <c r="E118" s="5" t="s">
        <v>809</v>
      </c>
      <c r="F118" s="3" t="s">
        <v>1338</v>
      </c>
      <c r="G118" s="3" t="s">
        <v>1339</v>
      </c>
      <c r="H118" s="3" t="s">
        <v>135</v>
      </c>
      <c r="I118" s="3" t="s">
        <v>1186</v>
      </c>
      <c r="J118" s="3" t="s">
        <v>741</v>
      </c>
      <c r="K118" s="3" t="s">
        <v>1213</v>
      </c>
      <c r="L118" s="3" t="s">
        <v>1340</v>
      </c>
      <c r="M118" s="3" t="s">
        <v>1214</v>
      </c>
      <c r="N118" s="3" t="s">
        <v>139</v>
      </c>
      <c r="O118" s="3" t="s">
        <v>745</v>
      </c>
      <c r="P118" s="158">
        <v>35</v>
      </c>
      <c r="Q118" s="166">
        <v>3.8807</v>
      </c>
      <c r="R118" s="176">
        <v>13635.6</v>
      </c>
      <c r="T118" s="157">
        <v>18.52</v>
      </c>
      <c r="U118" s="168">
        <v>6.9999999999999999E-6</v>
      </c>
      <c r="V118" s="168">
        <v>1.83595849963354E-3</v>
      </c>
      <c r="W118" s="168">
        <v>1.0501561297054499E-3</v>
      </c>
    </row>
    <row r="119" spans="1:23">
      <c r="A119" s="3">
        <v>419</v>
      </c>
      <c r="B119" s="3">
        <v>12435</v>
      </c>
      <c r="C119" s="3" t="s">
        <v>1215</v>
      </c>
      <c r="D119" s="3" t="s">
        <v>1216</v>
      </c>
      <c r="E119" s="5" t="s">
        <v>809</v>
      </c>
      <c r="F119" s="3" t="s">
        <v>1341</v>
      </c>
      <c r="G119" s="3" t="s">
        <v>1342</v>
      </c>
      <c r="H119" s="3" t="s">
        <v>135</v>
      </c>
      <c r="I119" s="3" t="s">
        <v>1186</v>
      </c>
      <c r="J119" s="3" t="s">
        <v>741</v>
      </c>
      <c r="K119" s="3" t="s">
        <v>168</v>
      </c>
      <c r="L119" s="3" t="s">
        <v>1036</v>
      </c>
      <c r="M119" s="3" t="s">
        <v>1214</v>
      </c>
      <c r="N119" s="3" t="s">
        <v>139</v>
      </c>
      <c r="O119" s="3" t="s">
        <v>745</v>
      </c>
      <c r="P119" s="158">
        <v>188</v>
      </c>
      <c r="Q119" s="166">
        <v>3.8807</v>
      </c>
      <c r="R119" s="176">
        <v>8096.2</v>
      </c>
      <c r="T119" s="157">
        <v>59.067999999999998</v>
      </c>
      <c r="U119" s="168">
        <v>0</v>
      </c>
      <c r="V119" s="168">
        <v>5.85544141698373E-3</v>
      </c>
      <c r="W119" s="168">
        <v>3.3492737975308298E-3</v>
      </c>
    </row>
    <row r="120" spans="1:23">
      <c r="A120" s="3">
        <v>419</v>
      </c>
      <c r="B120" s="3">
        <v>12435</v>
      </c>
      <c r="C120" s="3" t="s">
        <v>1296</v>
      </c>
      <c r="D120" s="3" t="s">
        <v>1216</v>
      </c>
      <c r="E120" s="5" t="s">
        <v>809</v>
      </c>
      <c r="F120" s="3" t="s">
        <v>1297</v>
      </c>
      <c r="G120" s="3" t="s">
        <v>1298</v>
      </c>
      <c r="H120" s="3" t="s">
        <v>135</v>
      </c>
      <c r="I120" s="3" t="s">
        <v>1186</v>
      </c>
      <c r="J120" s="3" t="s">
        <v>741</v>
      </c>
      <c r="K120" s="3" t="s">
        <v>168</v>
      </c>
      <c r="L120" s="3" t="s">
        <v>1114</v>
      </c>
      <c r="M120" s="3" t="s">
        <v>1194</v>
      </c>
      <c r="N120" s="3" t="s">
        <v>139</v>
      </c>
      <c r="O120" s="3" t="s">
        <v>427</v>
      </c>
      <c r="P120" s="158">
        <v>395</v>
      </c>
      <c r="Q120" s="166">
        <v>3.306</v>
      </c>
      <c r="R120" s="176">
        <v>47917</v>
      </c>
      <c r="T120" s="157">
        <v>625.73400000000004</v>
      </c>
      <c r="U120" s="168">
        <v>4.5000000000000003E-5</v>
      </c>
      <c r="V120" s="168">
        <v>6.2029753749205503E-2</v>
      </c>
      <c r="W120" s="168">
        <v>3.5480609249528297E-2</v>
      </c>
    </row>
    <row r="121" spans="1:23">
      <c r="A121" s="3">
        <v>419</v>
      </c>
      <c r="B121" s="3">
        <v>12435</v>
      </c>
      <c r="C121" s="3" t="s">
        <v>1225</v>
      </c>
      <c r="D121" s="3" t="s">
        <v>1226</v>
      </c>
      <c r="E121" s="5" t="s">
        <v>809</v>
      </c>
      <c r="F121" s="3" t="s">
        <v>1343</v>
      </c>
      <c r="G121" s="3" t="s">
        <v>1344</v>
      </c>
      <c r="H121" s="3" t="s">
        <v>135</v>
      </c>
      <c r="I121" s="3" t="s">
        <v>1186</v>
      </c>
      <c r="J121" s="3" t="s">
        <v>741</v>
      </c>
      <c r="K121" s="3" t="s">
        <v>168</v>
      </c>
      <c r="L121" s="3" t="s">
        <v>1036</v>
      </c>
      <c r="M121" s="3" t="s">
        <v>1187</v>
      </c>
      <c r="N121" s="3" t="s">
        <v>139</v>
      </c>
      <c r="O121" s="3" t="s">
        <v>427</v>
      </c>
      <c r="P121" s="158">
        <v>258</v>
      </c>
      <c r="Q121" s="166">
        <v>3.306</v>
      </c>
      <c r="R121" s="176">
        <v>8962</v>
      </c>
      <c r="T121" s="157">
        <v>76.441000000000003</v>
      </c>
      <c r="U121" s="168">
        <v>3.9999999999999998E-6</v>
      </c>
      <c r="V121" s="168">
        <v>7.5777101121267997E-3</v>
      </c>
      <c r="W121" s="168">
        <v>4.3344001103343601E-3</v>
      </c>
    </row>
    <row r="122" spans="1:23">
      <c r="A122" s="3">
        <v>419</v>
      </c>
      <c r="B122" s="3">
        <v>12435</v>
      </c>
      <c r="C122" s="3" t="s">
        <v>1225</v>
      </c>
      <c r="D122" s="3" t="s">
        <v>1226</v>
      </c>
      <c r="E122" s="5" t="s">
        <v>809</v>
      </c>
      <c r="F122" s="3" t="s">
        <v>1347</v>
      </c>
      <c r="G122" s="3" t="s">
        <v>1348</v>
      </c>
      <c r="H122" s="3" t="s">
        <v>135</v>
      </c>
      <c r="I122" s="3" t="s">
        <v>1186</v>
      </c>
      <c r="J122" s="3" t="s">
        <v>741</v>
      </c>
      <c r="K122" s="3" t="s">
        <v>168</v>
      </c>
      <c r="L122" s="3" t="s">
        <v>1036</v>
      </c>
      <c r="M122" s="3" t="s">
        <v>1349</v>
      </c>
      <c r="N122" s="3" t="s">
        <v>139</v>
      </c>
      <c r="O122" s="3" t="s">
        <v>427</v>
      </c>
      <c r="P122" s="158">
        <v>229</v>
      </c>
      <c r="Q122" s="166">
        <v>3.306</v>
      </c>
      <c r="R122" s="176">
        <v>4213</v>
      </c>
      <c r="T122" s="157">
        <v>31.896000000000001</v>
      </c>
      <c r="U122" s="168">
        <v>9.9999999999999995E-7</v>
      </c>
      <c r="V122" s="168">
        <v>3.1618428666286801E-3</v>
      </c>
      <c r="W122" s="168">
        <v>1.80855322613137E-3</v>
      </c>
    </row>
    <row r="123" spans="1:23">
      <c r="A123" s="3">
        <v>419</v>
      </c>
      <c r="B123" s="3">
        <v>12435</v>
      </c>
      <c r="C123" s="3" t="s">
        <v>1225</v>
      </c>
      <c r="D123" s="3" t="s">
        <v>1226</v>
      </c>
      <c r="E123" s="5" t="s">
        <v>809</v>
      </c>
      <c r="F123" s="3" t="s">
        <v>1227</v>
      </c>
      <c r="G123" s="3" t="s">
        <v>1228</v>
      </c>
      <c r="H123" s="3" t="s">
        <v>135</v>
      </c>
      <c r="I123" s="3" t="s">
        <v>1223</v>
      </c>
      <c r="J123" s="3" t="s">
        <v>741</v>
      </c>
      <c r="K123" s="3" t="s">
        <v>168</v>
      </c>
      <c r="L123" s="3" t="s">
        <v>1229</v>
      </c>
      <c r="M123" s="3" t="s">
        <v>1224</v>
      </c>
      <c r="N123" s="3" t="s">
        <v>139</v>
      </c>
      <c r="O123" s="3" t="s">
        <v>427</v>
      </c>
      <c r="P123" s="158">
        <v>1980</v>
      </c>
      <c r="Q123" s="166">
        <v>3.306</v>
      </c>
      <c r="R123" s="176">
        <v>1153.5999999999999</v>
      </c>
      <c r="T123" s="157">
        <v>75.513000000000005</v>
      </c>
      <c r="U123" s="168">
        <v>1.21E-4</v>
      </c>
      <c r="V123" s="168">
        <v>7.4857234607238997E-3</v>
      </c>
      <c r="W123" s="168">
        <v>4.2817843535832602E-3</v>
      </c>
    </row>
    <row r="124" spans="1:23">
      <c r="A124" s="3">
        <v>419</v>
      </c>
      <c r="B124" s="3">
        <v>12435</v>
      </c>
      <c r="C124" s="3" t="s">
        <v>1225</v>
      </c>
      <c r="D124" s="3" t="s">
        <v>1226</v>
      </c>
      <c r="E124" s="5" t="s">
        <v>809</v>
      </c>
      <c r="F124" s="3" t="s">
        <v>1350</v>
      </c>
      <c r="G124" s="3" t="s">
        <v>1351</v>
      </c>
      <c r="H124" s="3" t="s">
        <v>135</v>
      </c>
      <c r="I124" s="3" t="s">
        <v>1186</v>
      </c>
      <c r="J124" s="3" t="s">
        <v>741</v>
      </c>
      <c r="K124" s="3" t="s">
        <v>168</v>
      </c>
      <c r="L124" s="3" t="s">
        <v>1036</v>
      </c>
      <c r="M124" s="3" t="s">
        <v>1187</v>
      </c>
      <c r="N124" s="3" t="s">
        <v>139</v>
      </c>
      <c r="O124" s="3" t="s">
        <v>427</v>
      </c>
      <c r="P124" s="158">
        <v>199</v>
      </c>
      <c r="Q124" s="166">
        <v>3.306</v>
      </c>
      <c r="R124" s="176">
        <v>11837</v>
      </c>
      <c r="T124" s="157">
        <v>77.875</v>
      </c>
      <c r="U124" s="168">
        <v>9.9999999999999995E-7</v>
      </c>
      <c r="V124" s="168">
        <v>7.7198358464644597E-3</v>
      </c>
      <c r="W124" s="168">
        <v>4.4156950912031404E-3</v>
      </c>
    </row>
    <row r="125" spans="1:23">
      <c r="A125" s="3">
        <v>419</v>
      </c>
      <c r="B125" s="3">
        <v>12435</v>
      </c>
      <c r="C125" s="3" t="s">
        <v>1225</v>
      </c>
      <c r="D125" s="3" t="s">
        <v>1226</v>
      </c>
      <c r="E125" s="5" t="s">
        <v>809</v>
      </c>
      <c r="F125" s="3" t="s">
        <v>1352</v>
      </c>
      <c r="G125" s="3" t="s">
        <v>1353</v>
      </c>
      <c r="H125" s="3" t="s">
        <v>135</v>
      </c>
      <c r="I125" s="3" t="s">
        <v>1186</v>
      </c>
      <c r="J125" s="3" t="s">
        <v>741</v>
      </c>
      <c r="K125" s="3" t="s">
        <v>168</v>
      </c>
      <c r="L125" s="3" t="s">
        <v>1114</v>
      </c>
      <c r="M125" s="3" t="s">
        <v>1187</v>
      </c>
      <c r="N125" s="3" t="s">
        <v>139</v>
      </c>
      <c r="O125" s="3" t="s">
        <v>427</v>
      </c>
      <c r="P125" s="158">
        <v>893</v>
      </c>
      <c r="Q125" s="166">
        <v>3.306</v>
      </c>
      <c r="R125" s="176">
        <v>3513</v>
      </c>
      <c r="T125" s="157">
        <v>103.71299999999999</v>
      </c>
      <c r="U125" s="168">
        <v>0</v>
      </c>
      <c r="V125" s="168">
        <v>1.0281179706281E-2</v>
      </c>
      <c r="W125" s="168">
        <v>5.8807668535586603E-3</v>
      </c>
    </row>
    <row r="126" spans="1:23">
      <c r="A126" s="3">
        <v>419</v>
      </c>
      <c r="B126" s="3">
        <v>12435</v>
      </c>
      <c r="C126" s="3" t="s">
        <v>1273</v>
      </c>
      <c r="D126" s="3" t="s">
        <v>1274</v>
      </c>
      <c r="E126" s="5" t="s">
        <v>809</v>
      </c>
      <c r="F126" s="3" t="s">
        <v>1373</v>
      </c>
      <c r="G126" s="3" t="s">
        <v>1373</v>
      </c>
      <c r="H126" s="3" t="s">
        <v>135</v>
      </c>
      <c r="I126" s="3" t="s">
        <v>1186</v>
      </c>
      <c r="J126" s="3" t="s">
        <v>741</v>
      </c>
      <c r="K126" s="3" t="s">
        <v>168</v>
      </c>
      <c r="L126" s="3" t="s">
        <v>1016</v>
      </c>
      <c r="M126" s="3" t="s">
        <v>1187</v>
      </c>
      <c r="N126" s="3" t="s">
        <v>139</v>
      </c>
      <c r="O126" s="3" t="s">
        <v>427</v>
      </c>
      <c r="P126" s="158">
        <v>280</v>
      </c>
      <c r="Q126" s="166">
        <v>3.306</v>
      </c>
      <c r="R126" s="176">
        <v>19947</v>
      </c>
      <c r="T126" s="157">
        <v>184.64500000000001</v>
      </c>
      <c r="U126" s="168">
        <v>1.1E-5</v>
      </c>
      <c r="V126" s="168">
        <v>1.8304124481595001E-2</v>
      </c>
      <c r="W126" s="168">
        <v>1.04698382491082E-2</v>
      </c>
    </row>
    <row r="127" spans="1:23">
      <c r="A127" s="3">
        <v>419</v>
      </c>
      <c r="B127" s="3">
        <v>12435</v>
      </c>
      <c r="C127" s="3" t="s">
        <v>1225</v>
      </c>
      <c r="D127" s="3" t="s">
        <v>1226</v>
      </c>
      <c r="E127" s="5" t="s">
        <v>809</v>
      </c>
      <c r="F127" s="3" t="s">
        <v>1354</v>
      </c>
      <c r="G127" s="3" t="s">
        <v>1355</v>
      </c>
      <c r="H127" s="3" t="s">
        <v>135</v>
      </c>
      <c r="I127" s="3" t="s">
        <v>1186</v>
      </c>
      <c r="J127" s="3" t="s">
        <v>741</v>
      </c>
      <c r="K127" s="3" t="s">
        <v>168</v>
      </c>
      <c r="L127" s="3" t="s">
        <v>1036</v>
      </c>
      <c r="M127" s="3" t="s">
        <v>1187</v>
      </c>
      <c r="N127" s="3" t="s">
        <v>139</v>
      </c>
      <c r="O127" s="3" t="s">
        <v>427</v>
      </c>
      <c r="P127" s="158">
        <v>281</v>
      </c>
      <c r="Q127" s="166">
        <v>3.306</v>
      </c>
      <c r="R127" s="176">
        <v>8721</v>
      </c>
      <c r="T127" s="157">
        <v>81.016999999999996</v>
      </c>
      <c r="U127" s="168">
        <v>9.9999999999999995E-7</v>
      </c>
      <c r="V127" s="168">
        <v>8.0313018353496204E-3</v>
      </c>
      <c r="W127" s="168">
        <v>4.5938515786661301E-3</v>
      </c>
    </row>
    <row r="128" spans="1:23">
      <c r="A128" s="3">
        <v>419</v>
      </c>
      <c r="B128" s="3">
        <v>12435</v>
      </c>
      <c r="C128" s="3" t="s">
        <v>1356</v>
      </c>
      <c r="D128" s="3" t="s">
        <v>1357</v>
      </c>
      <c r="E128" s="5" t="s">
        <v>809</v>
      </c>
      <c r="F128" s="3" t="s">
        <v>1358</v>
      </c>
      <c r="G128" s="3" t="s">
        <v>1359</v>
      </c>
      <c r="H128" s="3" t="s">
        <v>135</v>
      </c>
      <c r="I128" s="3" t="s">
        <v>1186</v>
      </c>
      <c r="J128" s="3" t="s">
        <v>741</v>
      </c>
      <c r="K128" s="3" t="s">
        <v>833</v>
      </c>
      <c r="L128" s="3" t="s">
        <v>1036</v>
      </c>
      <c r="M128" s="3" t="s">
        <v>1360</v>
      </c>
      <c r="N128" s="3" t="s">
        <v>139</v>
      </c>
      <c r="O128" s="3" t="s">
        <v>427</v>
      </c>
      <c r="P128" s="158">
        <v>271</v>
      </c>
      <c r="Q128" s="166">
        <v>3.306</v>
      </c>
      <c r="R128" s="176">
        <v>6492</v>
      </c>
      <c r="T128" s="157">
        <v>58.164000000000001</v>
      </c>
      <c r="U128" s="168">
        <v>9.0000000000000002E-6</v>
      </c>
      <c r="V128" s="168">
        <v>5.7658208417401798E-3</v>
      </c>
      <c r="W128" s="168">
        <v>3.2980114207077499E-3</v>
      </c>
    </row>
    <row r="129" spans="1:23">
      <c r="A129" s="3">
        <v>419</v>
      </c>
      <c r="B129" s="3">
        <v>12435</v>
      </c>
      <c r="C129" s="3" t="s">
        <v>1273</v>
      </c>
      <c r="D129" s="3" t="s">
        <v>1274</v>
      </c>
      <c r="E129" s="5" t="s">
        <v>809</v>
      </c>
      <c r="F129" s="3" t="s">
        <v>1374</v>
      </c>
      <c r="G129" s="3" t="s">
        <v>1375</v>
      </c>
      <c r="H129" s="3" t="s">
        <v>135</v>
      </c>
      <c r="I129" s="3" t="s">
        <v>1186</v>
      </c>
      <c r="J129" s="3" t="s">
        <v>741</v>
      </c>
      <c r="K129" s="3" t="s">
        <v>168</v>
      </c>
      <c r="L129" s="3" t="s">
        <v>1036</v>
      </c>
      <c r="M129" s="3" t="s">
        <v>1187</v>
      </c>
      <c r="N129" s="3" t="s">
        <v>139</v>
      </c>
      <c r="O129" s="3" t="s">
        <v>427</v>
      </c>
      <c r="P129" s="158">
        <v>55</v>
      </c>
      <c r="Q129" s="166">
        <v>3.306</v>
      </c>
      <c r="R129" s="176">
        <v>9142</v>
      </c>
      <c r="T129" s="157">
        <v>16.623000000000001</v>
      </c>
      <c r="U129" s="168">
        <v>0</v>
      </c>
      <c r="V129" s="168">
        <v>1.6478483750851901E-3</v>
      </c>
      <c r="W129" s="168">
        <v>9.4255838150278804E-4</v>
      </c>
    </row>
    <row r="130" spans="1:23">
      <c r="A130" s="3">
        <v>419</v>
      </c>
      <c r="B130" s="3">
        <v>12435</v>
      </c>
      <c r="C130" s="3" t="s">
        <v>1273</v>
      </c>
      <c r="D130" s="3" t="s">
        <v>1274</v>
      </c>
      <c r="E130" s="5" t="s">
        <v>809</v>
      </c>
      <c r="F130" s="3" t="s">
        <v>1275</v>
      </c>
      <c r="G130" s="3" t="s">
        <v>1276</v>
      </c>
      <c r="H130" s="3" t="s">
        <v>135</v>
      </c>
      <c r="I130" s="3" t="s">
        <v>1186</v>
      </c>
      <c r="J130" s="3" t="s">
        <v>741</v>
      </c>
      <c r="K130" s="3" t="s">
        <v>168</v>
      </c>
      <c r="L130" s="3" t="s">
        <v>1036</v>
      </c>
      <c r="M130" s="3" t="s">
        <v>1194</v>
      </c>
      <c r="N130" s="3" t="s">
        <v>139</v>
      </c>
      <c r="O130" s="3" t="s">
        <v>427</v>
      </c>
      <c r="P130" s="158">
        <v>290</v>
      </c>
      <c r="Q130" s="166">
        <v>3.306</v>
      </c>
      <c r="R130" s="176">
        <v>61238</v>
      </c>
      <c r="S130" s="157">
        <v>0.505</v>
      </c>
      <c r="T130" s="157">
        <v>588.78099999999995</v>
      </c>
      <c r="U130" s="168">
        <v>0</v>
      </c>
      <c r="V130" s="168">
        <v>5.8366624926139497E-2</v>
      </c>
      <c r="W130" s="168">
        <v>3.3385323768831701E-2</v>
      </c>
    </row>
    <row r="131" spans="1:23">
      <c r="A131" s="3">
        <v>419</v>
      </c>
      <c r="B131" s="3">
        <v>12435</v>
      </c>
      <c r="C131" s="3" t="s">
        <v>1273</v>
      </c>
      <c r="D131" s="3" t="s">
        <v>1274</v>
      </c>
      <c r="E131" s="5" t="s">
        <v>809</v>
      </c>
      <c r="F131" s="3" t="s">
        <v>1361</v>
      </c>
      <c r="G131" s="3" t="s">
        <v>1362</v>
      </c>
      <c r="H131" s="3" t="s">
        <v>135</v>
      </c>
      <c r="I131" s="3" t="s">
        <v>1186</v>
      </c>
      <c r="J131" s="3" t="s">
        <v>741</v>
      </c>
      <c r="K131" s="3" t="s">
        <v>168</v>
      </c>
      <c r="L131" s="3" t="s">
        <v>1036</v>
      </c>
      <c r="M131" s="3" t="s">
        <v>1187</v>
      </c>
      <c r="N131" s="3" t="s">
        <v>139</v>
      </c>
      <c r="O131" s="3" t="s">
        <v>427</v>
      </c>
      <c r="P131" s="158">
        <v>637</v>
      </c>
      <c r="Q131" s="166">
        <v>3.306</v>
      </c>
      <c r="R131" s="176">
        <v>11038</v>
      </c>
      <c r="T131" s="157">
        <v>232.452</v>
      </c>
      <c r="U131" s="168">
        <v>7.4999999999999993E-5</v>
      </c>
      <c r="V131" s="168">
        <v>2.3043219868318501E-2</v>
      </c>
      <c r="W131" s="168">
        <v>1.31805694941881E-2</v>
      </c>
    </row>
    <row r="132" spans="1:23">
      <c r="A132" s="3">
        <v>419</v>
      </c>
      <c r="B132" s="3">
        <v>12435</v>
      </c>
      <c r="C132" s="3" t="s">
        <v>1273</v>
      </c>
      <c r="D132" s="3" t="s">
        <v>1274</v>
      </c>
      <c r="E132" s="5" t="s">
        <v>809</v>
      </c>
      <c r="F132" s="3" t="s">
        <v>1277</v>
      </c>
      <c r="G132" s="3" t="s">
        <v>1278</v>
      </c>
      <c r="H132" s="3" t="s">
        <v>135</v>
      </c>
      <c r="I132" s="3" t="s">
        <v>1186</v>
      </c>
      <c r="J132" s="3" t="s">
        <v>741</v>
      </c>
      <c r="K132" s="3" t="s">
        <v>833</v>
      </c>
      <c r="L132" s="3" t="s">
        <v>1036</v>
      </c>
      <c r="M132" s="3" t="s">
        <v>1199</v>
      </c>
      <c r="N132" s="3" t="s">
        <v>139</v>
      </c>
      <c r="O132" s="3" t="s">
        <v>427</v>
      </c>
      <c r="P132" s="158">
        <v>615</v>
      </c>
      <c r="Q132" s="166">
        <v>3.306</v>
      </c>
      <c r="R132" s="176">
        <v>13780</v>
      </c>
      <c r="T132" s="157">
        <v>280.17399999999998</v>
      </c>
      <c r="U132" s="168">
        <v>1.9999999999999999E-6</v>
      </c>
      <c r="V132" s="168">
        <v>2.7773951640449601E-2</v>
      </c>
      <c r="W132" s="168">
        <v>1.5886516806988101E-2</v>
      </c>
    </row>
    <row r="133" spans="1:23">
      <c r="A133" s="3">
        <v>419</v>
      </c>
      <c r="B133" s="3">
        <v>12435</v>
      </c>
      <c r="C133" s="3" t="s">
        <v>1279</v>
      </c>
      <c r="D133" s="3" t="s">
        <v>1280</v>
      </c>
      <c r="E133" s="5" t="s">
        <v>809</v>
      </c>
      <c r="F133" s="3" t="s">
        <v>1281</v>
      </c>
      <c r="G133" s="3" t="s">
        <v>1282</v>
      </c>
      <c r="H133" s="3" t="s">
        <v>135</v>
      </c>
      <c r="I133" s="3" t="s">
        <v>1186</v>
      </c>
      <c r="J133" s="3" t="s">
        <v>741</v>
      </c>
      <c r="K133" s="3" t="s">
        <v>833</v>
      </c>
      <c r="L133" s="3" t="s">
        <v>1036</v>
      </c>
      <c r="M133" s="3" t="s">
        <v>1261</v>
      </c>
      <c r="N133" s="3" t="s">
        <v>139</v>
      </c>
      <c r="O133" s="3" t="s">
        <v>427</v>
      </c>
      <c r="P133" s="158">
        <v>2275</v>
      </c>
      <c r="Q133" s="166">
        <v>3.306</v>
      </c>
      <c r="R133" s="176">
        <v>3794</v>
      </c>
      <c r="T133" s="157">
        <v>285.35199999999998</v>
      </c>
      <c r="U133" s="168">
        <v>2.5999999999999998E-5</v>
      </c>
      <c r="V133" s="168">
        <v>2.8287337308907E-2</v>
      </c>
      <c r="W133" s="168">
        <v>1.6180170016873399E-2</v>
      </c>
    </row>
    <row r="134" spans="1:23">
      <c r="A134" s="3">
        <v>419</v>
      </c>
      <c r="B134" s="3">
        <v>12435</v>
      </c>
      <c r="C134" s="3" t="s">
        <v>1279</v>
      </c>
      <c r="D134" s="3" t="s">
        <v>1280</v>
      </c>
      <c r="E134" s="5" t="s">
        <v>809</v>
      </c>
      <c r="F134" s="3" t="s">
        <v>1283</v>
      </c>
      <c r="G134" s="3" t="s">
        <v>1284</v>
      </c>
      <c r="H134" s="3" t="s">
        <v>135</v>
      </c>
      <c r="I134" s="3" t="s">
        <v>1186</v>
      </c>
      <c r="J134" s="3" t="s">
        <v>741</v>
      </c>
      <c r="K134" s="3" t="s">
        <v>1285</v>
      </c>
      <c r="L134" s="3" t="s">
        <v>1036</v>
      </c>
      <c r="M134" s="3" t="s">
        <v>1207</v>
      </c>
      <c r="N134" s="3" t="s">
        <v>139</v>
      </c>
      <c r="O134" s="3" t="s">
        <v>427</v>
      </c>
      <c r="P134" s="158">
        <v>1625</v>
      </c>
      <c r="Q134" s="166">
        <v>3.306</v>
      </c>
      <c r="R134" s="176">
        <v>4420</v>
      </c>
      <c r="T134" s="157">
        <v>237.453</v>
      </c>
      <c r="U134" s="168">
        <v>2.0000000000000002E-5</v>
      </c>
      <c r="V134" s="168">
        <v>2.35390524334229E-2</v>
      </c>
      <c r="W134" s="168">
        <v>1.3464182444946999E-2</v>
      </c>
    </row>
    <row r="135" spans="1:23">
      <c r="A135" s="3">
        <v>419</v>
      </c>
      <c r="B135" s="3">
        <v>15204</v>
      </c>
      <c r="C135" s="3" t="s">
        <v>1155</v>
      </c>
      <c r="D135" s="3" t="s">
        <v>1156</v>
      </c>
      <c r="E135" s="5" t="s">
        <v>132</v>
      </c>
      <c r="F135" s="3" t="s">
        <v>1286</v>
      </c>
      <c r="G135" s="3" t="s">
        <v>1287</v>
      </c>
      <c r="H135" s="3" t="s">
        <v>135</v>
      </c>
      <c r="I135" s="3" t="s">
        <v>1186</v>
      </c>
      <c r="J135" s="3" t="s">
        <v>30</v>
      </c>
      <c r="K135" s="3" t="s">
        <v>168</v>
      </c>
      <c r="L135" s="3" t="s">
        <v>31</v>
      </c>
      <c r="M135" s="3" t="s">
        <v>1194</v>
      </c>
      <c r="N135" s="3" t="s">
        <v>139</v>
      </c>
      <c r="O135" s="3" t="s">
        <v>34</v>
      </c>
      <c r="P135" s="158">
        <v>10631</v>
      </c>
      <c r="Q135" s="166">
        <v>1</v>
      </c>
      <c r="R135" s="176">
        <v>9467</v>
      </c>
      <c r="T135" s="157">
        <v>1006.437</v>
      </c>
      <c r="U135" s="168">
        <v>1.22E-4</v>
      </c>
      <c r="V135" s="168">
        <v>0.10436618485441</v>
      </c>
      <c r="W135" s="168">
        <v>0.10308789162144499</v>
      </c>
    </row>
    <row r="136" spans="1:23">
      <c r="A136" s="3">
        <v>419</v>
      </c>
      <c r="B136" s="3">
        <v>15204</v>
      </c>
      <c r="C136" s="3" t="s">
        <v>1168</v>
      </c>
      <c r="D136" s="3" t="s">
        <v>1169</v>
      </c>
      <c r="E136" s="5" t="s">
        <v>132</v>
      </c>
      <c r="F136" s="3" t="s">
        <v>1288</v>
      </c>
      <c r="G136" s="3" t="s">
        <v>1289</v>
      </c>
      <c r="H136" s="3" t="s">
        <v>135</v>
      </c>
      <c r="I136" s="3" t="s">
        <v>1186</v>
      </c>
      <c r="J136" s="3" t="s">
        <v>30</v>
      </c>
      <c r="K136" s="3" t="s">
        <v>168</v>
      </c>
      <c r="L136" s="3" t="s">
        <v>31</v>
      </c>
      <c r="M136" s="3" t="s">
        <v>1194</v>
      </c>
      <c r="N136" s="3" t="s">
        <v>139</v>
      </c>
      <c r="O136" s="3" t="s">
        <v>34</v>
      </c>
      <c r="P136" s="158">
        <v>4009</v>
      </c>
      <c r="Q136" s="166">
        <v>1</v>
      </c>
      <c r="R136" s="176">
        <v>21730</v>
      </c>
      <c r="T136" s="157">
        <v>871.15599999999995</v>
      </c>
      <c r="U136" s="168">
        <v>4.0000000000000003E-5</v>
      </c>
      <c r="V136" s="168">
        <v>9.0337713737519004E-2</v>
      </c>
      <c r="W136" s="168">
        <v>8.9231243396446794E-2</v>
      </c>
    </row>
    <row r="137" spans="1:23">
      <c r="A137" s="3">
        <v>419</v>
      </c>
      <c r="B137" s="3">
        <v>15204</v>
      </c>
      <c r="C137" s="3" t="s">
        <v>1175</v>
      </c>
      <c r="D137" s="3" t="s">
        <v>1176</v>
      </c>
      <c r="E137" s="5" t="s">
        <v>132</v>
      </c>
      <c r="F137" s="3" t="s">
        <v>1290</v>
      </c>
      <c r="G137" s="3" t="s">
        <v>1291</v>
      </c>
      <c r="H137" s="3" t="s">
        <v>135</v>
      </c>
      <c r="I137" s="3" t="s">
        <v>1186</v>
      </c>
      <c r="J137" s="3" t="s">
        <v>30</v>
      </c>
      <c r="K137" s="3" t="s">
        <v>168</v>
      </c>
      <c r="L137" s="3" t="s">
        <v>31</v>
      </c>
      <c r="M137" s="3" t="s">
        <v>1194</v>
      </c>
      <c r="N137" s="3" t="s">
        <v>139</v>
      </c>
      <c r="O137" s="3" t="s">
        <v>34</v>
      </c>
      <c r="P137" s="158">
        <v>35134</v>
      </c>
      <c r="Q137" s="166">
        <v>1</v>
      </c>
      <c r="R137" s="176">
        <v>2569</v>
      </c>
      <c r="T137" s="157">
        <v>902.59199999999998</v>
      </c>
      <c r="U137" s="168">
        <v>9.2999999999999997E-5</v>
      </c>
      <c r="V137" s="168">
        <v>9.3597664887141399E-2</v>
      </c>
      <c r="W137" s="168">
        <v>9.2451266158343107E-2</v>
      </c>
    </row>
    <row r="138" spans="1:23">
      <c r="A138" s="3">
        <v>419</v>
      </c>
      <c r="B138" s="3">
        <v>15204</v>
      </c>
      <c r="C138" s="3" t="s">
        <v>1188</v>
      </c>
      <c r="D138" s="3" t="s">
        <v>1189</v>
      </c>
      <c r="E138" s="5" t="s">
        <v>132</v>
      </c>
      <c r="F138" s="3" t="s">
        <v>1192</v>
      </c>
      <c r="G138" s="3" t="s">
        <v>1193</v>
      </c>
      <c r="H138" s="3" t="s">
        <v>135</v>
      </c>
      <c r="I138" s="3" t="s">
        <v>1186</v>
      </c>
      <c r="J138" s="3" t="s">
        <v>30</v>
      </c>
      <c r="K138" s="3" t="s">
        <v>168</v>
      </c>
      <c r="L138" s="3" t="s">
        <v>31</v>
      </c>
      <c r="M138" s="3" t="s">
        <v>1194</v>
      </c>
      <c r="N138" s="3" t="s">
        <v>139</v>
      </c>
      <c r="O138" s="3" t="s">
        <v>34</v>
      </c>
      <c r="P138" s="158">
        <v>11500</v>
      </c>
      <c r="Q138" s="166">
        <v>1</v>
      </c>
      <c r="R138" s="176">
        <v>10950</v>
      </c>
      <c r="T138" s="157">
        <v>1259.25</v>
      </c>
      <c r="U138" s="168">
        <v>1.6799999999999999E-4</v>
      </c>
      <c r="V138" s="168">
        <v>0.130582588191721</v>
      </c>
      <c r="W138" s="168">
        <v>0.128983192381082</v>
      </c>
    </row>
    <row r="139" spans="1:23">
      <c r="A139" s="3">
        <v>419</v>
      </c>
      <c r="B139" s="3">
        <v>15204</v>
      </c>
      <c r="C139" s="3" t="s">
        <v>1195</v>
      </c>
      <c r="D139" s="3" t="s">
        <v>1196</v>
      </c>
      <c r="E139" s="5" t="s">
        <v>132</v>
      </c>
      <c r="F139" s="3" t="s">
        <v>1376</v>
      </c>
      <c r="G139" s="3" t="s">
        <v>1377</v>
      </c>
      <c r="H139" s="3" t="s">
        <v>135</v>
      </c>
      <c r="I139" s="3" t="s">
        <v>1186</v>
      </c>
      <c r="J139" s="3" t="s">
        <v>30</v>
      </c>
      <c r="K139" s="3" t="s">
        <v>168</v>
      </c>
      <c r="L139" s="3" t="s">
        <v>31</v>
      </c>
      <c r="M139" s="3" t="s">
        <v>1194</v>
      </c>
      <c r="N139" s="3" t="s">
        <v>139</v>
      </c>
      <c r="O139" s="3" t="s">
        <v>34</v>
      </c>
      <c r="P139" s="158">
        <v>3945</v>
      </c>
      <c r="Q139" s="166">
        <v>1</v>
      </c>
      <c r="R139" s="176">
        <v>24260</v>
      </c>
      <c r="T139" s="157">
        <v>957.05700000000002</v>
      </c>
      <c r="U139" s="168">
        <v>1.34E-4</v>
      </c>
      <c r="V139" s="168">
        <v>9.9245566890612896E-2</v>
      </c>
      <c r="W139" s="168">
        <v>9.8029991781346595E-2</v>
      </c>
    </row>
    <row r="140" spans="1:23">
      <c r="A140" s="3">
        <v>419</v>
      </c>
      <c r="B140" s="3">
        <v>15204</v>
      </c>
      <c r="C140" s="3" t="s">
        <v>1266</v>
      </c>
      <c r="D140" s="3" t="s">
        <v>1267</v>
      </c>
      <c r="E140" s="5" t="s">
        <v>809</v>
      </c>
      <c r="F140" s="3" t="s">
        <v>1292</v>
      </c>
      <c r="G140" s="3" t="s">
        <v>1293</v>
      </c>
      <c r="H140" s="3" t="s">
        <v>135</v>
      </c>
      <c r="I140" s="3" t="s">
        <v>1186</v>
      </c>
      <c r="J140" s="3" t="s">
        <v>741</v>
      </c>
      <c r="K140" s="3" t="s">
        <v>168</v>
      </c>
      <c r="L140" s="3" t="s">
        <v>1114</v>
      </c>
      <c r="M140" s="3" t="s">
        <v>1194</v>
      </c>
      <c r="N140" s="3" t="s">
        <v>139</v>
      </c>
      <c r="O140" s="3" t="s">
        <v>427</v>
      </c>
      <c r="P140" s="158">
        <v>252</v>
      </c>
      <c r="Q140" s="166">
        <v>3.306</v>
      </c>
      <c r="R140" s="176">
        <v>132232</v>
      </c>
      <c r="T140" s="157">
        <v>1101.6410000000001</v>
      </c>
      <c r="U140" s="168">
        <v>1.2E-5</v>
      </c>
      <c r="V140" s="168">
        <v>0.114238704482146</v>
      </c>
      <c r="W140" s="168">
        <v>0.112839491096259</v>
      </c>
    </row>
    <row r="141" spans="1:23">
      <c r="A141" s="3">
        <v>419</v>
      </c>
      <c r="B141" s="3">
        <v>15204</v>
      </c>
      <c r="C141" s="3" t="s">
        <v>1219</v>
      </c>
      <c r="D141" s="3" t="s">
        <v>1220</v>
      </c>
      <c r="E141" s="5" t="s">
        <v>809</v>
      </c>
      <c r="F141" s="3" t="s">
        <v>1294</v>
      </c>
      <c r="G141" s="3" t="s">
        <v>1295</v>
      </c>
      <c r="H141" s="3" t="s">
        <v>135</v>
      </c>
      <c r="I141" s="3" t="s">
        <v>1186</v>
      </c>
      <c r="J141" s="3" t="s">
        <v>741</v>
      </c>
      <c r="K141" s="3" t="s">
        <v>168</v>
      </c>
      <c r="L141" s="3" t="s">
        <v>1036</v>
      </c>
      <c r="M141" s="3" t="s">
        <v>1194</v>
      </c>
      <c r="N141" s="3" t="s">
        <v>139</v>
      </c>
      <c r="O141" s="3" t="s">
        <v>427</v>
      </c>
      <c r="P141" s="158">
        <v>550</v>
      </c>
      <c r="Q141" s="166">
        <v>3.306</v>
      </c>
      <c r="R141" s="176">
        <v>66930</v>
      </c>
      <c r="T141" s="157">
        <v>1216.9880000000001</v>
      </c>
      <c r="U141" s="168">
        <v>9.9999999999999995E-7</v>
      </c>
      <c r="V141" s="168">
        <v>0.126200093427801</v>
      </c>
      <c r="W141" s="168">
        <v>0.124654375093329</v>
      </c>
    </row>
    <row r="142" spans="1:23">
      <c r="A142" s="3">
        <v>419</v>
      </c>
      <c r="B142" s="3">
        <v>15204</v>
      </c>
      <c r="C142" s="3" t="s">
        <v>1296</v>
      </c>
      <c r="D142" s="3" t="s">
        <v>1216</v>
      </c>
      <c r="E142" s="5" t="s">
        <v>809</v>
      </c>
      <c r="F142" s="3" t="s">
        <v>1297</v>
      </c>
      <c r="G142" s="3" t="s">
        <v>1298</v>
      </c>
      <c r="H142" s="3" t="s">
        <v>135</v>
      </c>
      <c r="I142" s="3" t="s">
        <v>1186</v>
      </c>
      <c r="J142" s="3" t="s">
        <v>741</v>
      </c>
      <c r="K142" s="3" t="s">
        <v>168</v>
      </c>
      <c r="L142" s="3" t="s">
        <v>1114</v>
      </c>
      <c r="M142" s="3" t="s">
        <v>1194</v>
      </c>
      <c r="N142" s="3" t="s">
        <v>139</v>
      </c>
      <c r="O142" s="3" t="s">
        <v>427</v>
      </c>
      <c r="P142" s="158">
        <v>702</v>
      </c>
      <c r="Q142" s="166">
        <v>3.306</v>
      </c>
      <c r="R142" s="176">
        <v>47917</v>
      </c>
      <c r="T142" s="157">
        <v>1112.0630000000001</v>
      </c>
      <c r="U142" s="168">
        <v>7.8999999999999996E-5</v>
      </c>
      <c r="V142" s="168">
        <v>0.11531953801120599</v>
      </c>
      <c r="W142" s="168">
        <v>0.11390708640847599</v>
      </c>
    </row>
    <row r="143" spans="1:23">
      <c r="A143" s="3">
        <v>419</v>
      </c>
      <c r="B143" s="3">
        <v>15204</v>
      </c>
      <c r="C143" s="3" t="s">
        <v>1273</v>
      </c>
      <c r="D143" s="3" t="s">
        <v>1274</v>
      </c>
      <c r="E143" s="5" t="s">
        <v>809</v>
      </c>
      <c r="F143" s="3" t="s">
        <v>1275</v>
      </c>
      <c r="G143" s="3" t="s">
        <v>1276</v>
      </c>
      <c r="H143" s="3" t="s">
        <v>135</v>
      </c>
      <c r="I143" s="3" t="s">
        <v>1186</v>
      </c>
      <c r="J143" s="3" t="s">
        <v>741</v>
      </c>
      <c r="K143" s="3" t="s">
        <v>168</v>
      </c>
      <c r="L143" s="3" t="s">
        <v>1036</v>
      </c>
      <c r="M143" s="3" t="s">
        <v>1194</v>
      </c>
      <c r="N143" s="3" t="s">
        <v>139</v>
      </c>
      <c r="O143" s="3" t="s">
        <v>427</v>
      </c>
      <c r="P143" s="158">
        <v>599</v>
      </c>
      <c r="Q143" s="166">
        <v>3.306</v>
      </c>
      <c r="R143" s="176">
        <v>61238</v>
      </c>
      <c r="S143" s="157">
        <v>1.042</v>
      </c>
      <c r="T143" s="157">
        <v>1216.1379999999999</v>
      </c>
      <c r="U143" s="168">
        <v>9.9999999999999995E-7</v>
      </c>
      <c r="V143" s="168">
        <v>0.12611194551744101</v>
      </c>
      <c r="W143" s="168">
        <v>0.124567306832258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2"/>
  <sheetViews>
    <sheetView rightToLeft="1" workbookViewId="0">
      <selection activeCell="A2" sqref="A2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1378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129</v>
      </c>
      <c r="M1" s="22" t="s">
        <v>8</v>
      </c>
      <c r="N1" s="22" t="s">
        <v>1154</v>
      </c>
      <c r="O1" s="22" t="s">
        <v>123</v>
      </c>
      <c r="P1" s="22" t="s">
        <v>11</v>
      </c>
      <c r="Q1" s="22" t="s">
        <v>17</v>
      </c>
      <c r="R1" s="165" t="s">
        <v>18</v>
      </c>
      <c r="S1" s="171" t="s">
        <v>19</v>
      </c>
      <c r="T1" s="22" t="s">
        <v>20</v>
      </c>
      <c r="U1" s="167" t="s">
        <v>23</v>
      </c>
      <c r="V1" s="167" t="s">
        <v>24</v>
      </c>
      <c r="W1" s="167" t="s">
        <v>25</v>
      </c>
    </row>
    <row r="2" spans="1:23">
      <c r="A2" s="21">
        <v>14947</v>
      </c>
      <c r="B2" s="21">
        <v>14949</v>
      </c>
      <c r="C2" s="21" t="s">
        <v>1238</v>
      </c>
      <c r="D2" s="21" t="s">
        <v>1239</v>
      </c>
      <c r="E2" s="21" t="s">
        <v>132</v>
      </c>
      <c r="F2" s="21" t="s">
        <v>1379</v>
      </c>
      <c r="G2" s="21" t="s">
        <v>1380</v>
      </c>
      <c r="H2" s="21" t="s">
        <v>135</v>
      </c>
      <c r="I2" s="21" t="s">
        <v>804</v>
      </c>
      <c r="J2" s="21" t="s">
        <v>30</v>
      </c>
      <c r="K2" s="21" t="s">
        <v>30</v>
      </c>
      <c r="L2" s="5" t="s">
        <v>137</v>
      </c>
      <c r="M2" s="21" t="s">
        <v>240</v>
      </c>
      <c r="N2" s="23" t="s">
        <v>1381</v>
      </c>
      <c r="O2" s="23" t="s">
        <v>139</v>
      </c>
      <c r="P2" s="21" t="s">
        <v>34</v>
      </c>
      <c r="Q2" s="160">
        <v>97</v>
      </c>
      <c r="R2" s="177">
        <v>1</v>
      </c>
      <c r="S2" s="178">
        <v>9609</v>
      </c>
      <c r="T2" s="160">
        <v>9.3209999999999997</v>
      </c>
      <c r="U2" s="179">
        <v>3.9999999999999998E-6</v>
      </c>
      <c r="V2" s="179">
        <v>0.212187240527863</v>
      </c>
      <c r="W2" s="179">
        <v>6.5884324225498302E-3</v>
      </c>
    </row>
    <row r="3" spans="1:23">
      <c r="A3" s="21">
        <v>14947</v>
      </c>
      <c r="B3" s="21">
        <v>14949</v>
      </c>
      <c r="C3" s="21" t="s">
        <v>1382</v>
      </c>
      <c r="D3" s="21" t="s">
        <v>1383</v>
      </c>
      <c r="E3" s="21" t="s">
        <v>809</v>
      </c>
      <c r="F3" s="21" t="s">
        <v>1384</v>
      </c>
      <c r="G3" s="21" t="s">
        <v>1385</v>
      </c>
      <c r="H3" s="21" t="s">
        <v>135</v>
      </c>
      <c r="I3" s="21" t="s">
        <v>804</v>
      </c>
      <c r="J3" s="21" t="s">
        <v>741</v>
      </c>
      <c r="K3" s="21" t="s">
        <v>720</v>
      </c>
      <c r="L3" s="5" t="s">
        <v>137</v>
      </c>
      <c r="M3" s="21" t="s">
        <v>240</v>
      </c>
      <c r="N3" s="23" t="s">
        <v>1360</v>
      </c>
      <c r="O3" s="23" t="s">
        <v>139</v>
      </c>
      <c r="P3" s="21" t="s">
        <v>1330</v>
      </c>
      <c r="Q3" s="160">
        <v>170.31</v>
      </c>
      <c r="R3" s="177">
        <v>4.4409000000000001</v>
      </c>
      <c r="S3" s="178">
        <v>1310.29</v>
      </c>
      <c r="T3" s="160">
        <v>9.91</v>
      </c>
      <c r="U3" s="179">
        <v>0</v>
      </c>
      <c r="V3" s="179">
        <v>0.225604577177515</v>
      </c>
      <c r="W3" s="179">
        <v>7.0050419019271996E-3</v>
      </c>
    </row>
    <row r="4" spans="1:23">
      <c r="A4" s="21">
        <v>14947</v>
      </c>
      <c r="B4" s="21">
        <v>14949</v>
      </c>
      <c r="C4" s="21" t="s">
        <v>1386</v>
      </c>
      <c r="D4" s="21" t="s">
        <v>1387</v>
      </c>
      <c r="E4" s="21" t="s">
        <v>809</v>
      </c>
      <c r="F4" s="21" t="s">
        <v>1388</v>
      </c>
      <c r="G4" s="21" t="s">
        <v>1389</v>
      </c>
      <c r="H4" s="21" t="s">
        <v>135</v>
      </c>
      <c r="I4" s="21" t="s">
        <v>804</v>
      </c>
      <c r="J4" s="21" t="s">
        <v>741</v>
      </c>
      <c r="K4" s="21" t="s">
        <v>1285</v>
      </c>
      <c r="L4" s="5" t="s">
        <v>137</v>
      </c>
      <c r="M4" s="21" t="s">
        <v>240</v>
      </c>
      <c r="N4" s="23" t="s">
        <v>1207</v>
      </c>
      <c r="O4" s="23" t="s">
        <v>139</v>
      </c>
      <c r="P4" s="21" t="s">
        <v>427</v>
      </c>
      <c r="Q4" s="160">
        <v>9.52</v>
      </c>
      <c r="R4" s="177">
        <v>3.306</v>
      </c>
      <c r="S4" s="178">
        <v>26009</v>
      </c>
      <c r="T4" s="160">
        <v>8.1859999999999999</v>
      </c>
      <c r="U4" s="179">
        <v>9.9999999999999995E-7</v>
      </c>
      <c r="V4" s="179">
        <v>0.18635145565209199</v>
      </c>
      <c r="W4" s="179">
        <v>5.7862290369263599E-3</v>
      </c>
    </row>
    <row r="5" spans="1:23">
      <c r="A5" s="21">
        <v>14947</v>
      </c>
      <c r="B5" s="21">
        <v>14949</v>
      </c>
      <c r="C5" s="21" t="s">
        <v>1390</v>
      </c>
      <c r="D5" s="21" t="s">
        <v>1383</v>
      </c>
      <c r="E5" s="21" t="s">
        <v>809</v>
      </c>
      <c r="F5" s="21" t="s">
        <v>1391</v>
      </c>
      <c r="G5" s="21" t="s">
        <v>1392</v>
      </c>
      <c r="H5" s="21" t="s">
        <v>135</v>
      </c>
      <c r="I5" s="21" t="s">
        <v>804</v>
      </c>
      <c r="J5" s="21" t="s">
        <v>741</v>
      </c>
      <c r="K5" s="21" t="s">
        <v>1285</v>
      </c>
      <c r="L5" s="5" t="s">
        <v>137</v>
      </c>
      <c r="M5" s="21" t="s">
        <v>240</v>
      </c>
      <c r="N5" s="23" t="s">
        <v>1207</v>
      </c>
      <c r="O5" s="23" t="s">
        <v>139</v>
      </c>
      <c r="P5" s="21" t="s">
        <v>427</v>
      </c>
      <c r="Q5" s="160">
        <v>173.11</v>
      </c>
      <c r="R5" s="177">
        <v>3.306</v>
      </c>
      <c r="S5" s="178">
        <v>1433.42</v>
      </c>
      <c r="T5" s="160">
        <v>8.2029999999999994</v>
      </c>
      <c r="U5" s="179">
        <v>0</v>
      </c>
      <c r="V5" s="179">
        <v>0.186753092681129</v>
      </c>
      <c r="W5" s="179">
        <v>5.7986999018926899E-3</v>
      </c>
    </row>
    <row r="6" spans="1:23">
      <c r="A6" s="21">
        <v>14947</v>
      </c>
      <c r="B6" s="21">
        <v>14949</v>
      </c>
      <c r="C6" s="21" t="s">
        <v>1393</v>
      </c>
      <c r="D6" s="21" t="s">
        <v>1394</v>
      </c>
      <c r="E6" s="21" t="s">
        <v>809</v>
      </c>
      <c r="F6" s="21" t="s">
        <v>1395</v>
      </c>
      <c r="G6" s="21" t="s">
        <v>1396</v>
      </c>
      <c r="H6" s="21" t="s">
        <v>135</v>
      </c>
      <c r="I6" s="21" t="s">
        <v>804</v>
      </c>
      <c r="J6" s="21" t="s">
        <v>741</v>
      </c>
      <c r="K6" s="21" t="s">
        <v>833</v>
      </c>
      <c r="L6" s="5" t="s">
        <v>137</v>
      </c>
      <c r="M6" s="21" t="s">
        <v>240</v>
      </c>
      <c r="N6" s="23" t="s">
        <v>1224</v>
      </c>
      <c r="O6" s="23" t="s">
        <v>139</v>
      </c>
      <c r="P6" s="21" t="s">
        <v>745</v>
      </c>
      <c r="Q6" s="160">
        <v>8.82</v>
      </c>
      <c r="R6" s="177">
        <v>3.8807</v>
      </c>
      <c r="S6" s="178">
        <v>24269</v>
      </c>
      <c r="T6" s="160">
        <v>8.3070000000000004</v>
      </c>
      <c r="U6" s="179">
        <v>5.0000000000000004E-6</v>
      </c>
      <c r="V6" s="179">
        <v>0.18910363396140101</v>
      </c>
      <c r="W6" s="179">
        <v>5.8716844147359898E-3</v>
      </c>
    </row>
    <row r="7" spans="1:23">
      <c r="A7" s="21">
        <v>419</v>
      </c>
      <c r="B7" s="21">
        <v>419</v>
      </c>
      <c r="C7" s="21" t="s">
        <v>1238</v>
      </c>
      <c r="D7" s="21" t="s">
        <v>1239</v>
      </c>
      <c r="E7" s="21" t="s">
        <v>132</v>
      </c>
      <c r="F7" s="21" t="s">
        <v>1397</v>
      </c>
      <c r="G7" s="21" t="s">
        <v>1398</v>
      </c>
      <c r="H7" s="21" t="s">
        <v>135</v>
      </c>
      <c r="I7" s="21" t="s">
        <v>804</v>
      </c>
      <c r="J7" s="21" t="s">
        <v>30</v>
      </c>
      <c r="K7" s="21" t="s">
        <v>30</v>
      </c>
      <c r="L7" s="5" t="s">
        <v>137</v>
      </c>
      <c r="M7" s="21" t="s">
        <v>31</v>
      </c>
      <c r="N7" s="23" t="s">
        <v>1399</v>
      </c>
      <c r="O7" s="23" t="s">
        <v>139</v>
      </c>
      <c r="P7" s="21" t="s">
        <v>34</v>
      </c>
      <c r="Q7" s="160">
        <v>1585796.1</v>
      </c>
      <c r="R7" s="177">
        <v>1</v>
      </c>
      <c r="S7" s="178">
        <v>84.7</v>
      </c>
      <c r="T7" s="160">
        <v>1343.1690000000001</v>
      </c>
      <c r="U7" s="179">
        <v>5.1209999999999997E-3</v>
      </c>
      <c r="V7" s="179">
        <v>3.5802823149145298E-2</v>
      </c>
      <c r="W7" s="179">
        <v>1.13604126472974E-3</v>
      </c>
    </row>
    <row r="8" spans="1:23">
      <c r="A8" s="21">
        <v>419</v>
      </c>
      <c r="B8" s="21">
        <v>419</v>
      </c>
      <c r="C8" s="21" t="s">
        <v>1266</v>
      </c>
      <c r="D8" s="21" t="s">
        <v>1267</v>
      </c>
      <c r="E8" s="21" t="s">
        <v>809</v>
      </c>
      <c r="F8" s="21" t="s">
        <v>1400</v>
      </c>
      <c r="G8" s="21" t="s">
        <v>1401</v>
      </c>
      <c r="H8" s="21" t="s">
        <v>135</v>
      </c>
      <c r="I8" s="21" t="s">
        <v>1402</v>
      </c>
      <c r="J8" s="21" t="s">
        <v>741</v>
      </c>
      <c r="K8" s="21" t="s">
        <v>1403</v>
      </c>
      <c r="L8" s="5" t="s">
        <v>137</v>
      </c>
      <c r="M8" s="21" t="s">
        <v>240</v>
      </c>
      <c r="N8" s="23" t="s">
        <v>1224</v>
      </c>
      <c r="O8" s="23" t="s">
        <v>139</v>
      </c>
      <c r="P8" s="21" t="s">
        <v>427</v>
      </c>
      <c r="Q8" s="160">
        <v>131590</v>
      </c>
      <c r="R8" s="177">
        <v>3.306</v>
      </c>
      <c r="S8" s="178">
        <v>1369.54</v>
      </c>
      <c r="T8" s="160">
        <v>5957.9989999999998</v>
      </c>
      <c r="U8" s="179">
        <v>2.4128E-2</v>
      </c>
      <c r="V8" s="179">
        <v>0.15881333830074501</v>
      </c>
      <c r="W8" s="179">
        <v>5.0392256763538796E-3</v>
      </c>
    </row>
    <row r="9" spans="1:23">
      <c r="A9" s="21">
        <v>419</v>
      </c>
      <c r="B9" s="21">
        <v>419</v>
      </c>
      <c r="C9" s="21" t="s">
        <v>1404</v>
      </c>
      <c r="D9" s="21" t="s">
        <v>1405</v>
      </c>
      <c r="E9" s="21" t="s">
        <v>809</v>
      </c>
      <c r="F9" s="21" t="s">
        <v>1406</v>
      </c>
      <c r="G9" s="21" t="s">
        <v>1407</v>
      </c>
      <c r="H9" s="21" t="s">
        <v>135</v>
      </c>
      <c r="I9" s="21" t="s">
        <v>1402</v>
      </c>
      <c r="J9" s="21" t="s">
        <v>741</v>
      </c>
      <c r="K9" s="21" t="s">
        <v>1408</v>
      </c>
      <c r="L9" s="5" t="s">
        <v>137</v>
      </c>
      <c r="M9" s="21" t="s">
        <v>240</v>
      </c>
      <c r="N9" s="23" t="s">
        <v>1224</v>
      </c>
      <c r="O9" s="23" t="s">
        <v>139</v>
      </c>
      <c r="P9" s="21" t="s">
        <v>427</v>
      </c>
      <c r="Q9" s="160">
        <v>783.93</v>
      </c>
      <c r="R9" s="177">
        <v>3.306</v>
      </c>
      <c r="S9" s="178">
        <v>144422.41</v>
      </c>
      <c r="T9" s="160">
        <v>3742.9560000000001</v>
      </c>
      <c r="U9" s="179">
        <v>0</v>
      </c>
      <c r="V9" s="179">
        <v>9.9770291078592699E-2</v>
      </c>
      <c r="W9" s="179">
        <v>3.1657606213683302E-3</v>
      </c>
    </row>
    <row r="10" spans="1:23">
      <c r="A10" s="21">
        <v>419</v>
      </c>
      <c r="B10" s="21">
        <v>419</v>
      </c>
      <c r="C10" s="21" t="s">
        <v>1382</v>
      </c>
      <c r="D10" s="21" t="s">
        <v>1383</v>
      </c>
      <c r="E10" s="21" t="s">
        <v>809</v>
      </c>
      <c r="F10" s="21" t="s">
        <v>1384</v>
      </c>
      <c r="G10" s="21" t="s">
        <v>1385</v>
      </c>
      <c r="H10" s="21" t="s">
        <v>135</v>
      </c>
      <c r="I10" s="21" t="s">
        <v>804</v>
      </c>
      <c r="J10" s="21" t="s">
        <v>741</v>
      </c>
      <c r="K10" s="21" t="s">
        <v>720</v>
      </c>
      <c r="L10" s="5" t="s">
        <v>137</v>
      </c>
      <c r="M10" s="21" t="s">
        <v>240</v>
      </c>
      <c r="N10" s="23" t="s">
        <v>1360</v>
      </c>
      <c r="O10" s="23" t="s">
        <v>139</v>
      </c>
      <c r="P10" s="21" t="s">
        <v>1330</v>
      </c>
      <c r="Q10" s="160">
        <v>138279.5</v>
      </c>
      <c r="R10" s="177">
        <v>4.4409000000000001</v>
      </c>
      <c r="S10" s="178">
        <v>1310.29</v>
      </c>
      <c r="T10" s="160">
        <v>8046.3</v>
      </c>
      <c r="U10" s="179">
        <v>0</v>
      </c>
      <c r="V10" s="179">
        <v>0.214477993690423</v>
      </c>
      <c r="W10" s="179">
        <v>6.8054926896060101E-3</v>
      </c>
    </row>
    <row r="11" spans="1:23">
      <c r="A11" s="21">
        <v>419</v>
      </c>
      <c r="B11" s="21">
        <v>419</v>
      </c>
      <c r="C11" s="21" t="s">
        <v>1386</v>
      </c>
      <c r="D11" s="21" t="s">
        <v>1387</v>
      </c>
      <c r="E11" s="21" t="s">
        <v>809</v>
      </c>
      <c r="F11" s="21" t="s">
        <v>1388</v>
      </c>
      <c r="G11" s="21" t="s">
        <v>1389</v>
      </c>
      <c r="H11" s="21" t="s">
        <v>135</v>
      </c>
      <c r="I11" s="21" t="s">
        <v>804</v>
      </c>
      <c r="J11" s="21" t="s">
        <v>741</v>
      </c>
      <c r="K11" s="21" t="s">
        <v>1285</v>
      </c>
      <c r="L11" s="5" t="s">
        <v>137</v>
      </c>
      <c r="M11" s="21" t="s">
        <v>240</v>
      </c>
      <c r="N11" s="23" t="s">
        <v>1207</v>
      </c>
      <c r="O11" s="23" t="s">
        <v>139</v>
      </c>
      <c r="P11" s="21" t="s">
        <v>427</v>
      </c>
      <c r="Q11" s="160">
        <v>7666.22</v>
      </c>
      <c r="R11" s="177">
        <v>3.306</v>
      </c>
      <c r="S11" s="178">
        <v>26009</v>
      </c>
      <c r="T11" s="160">
        <v>6591.857</v>
      </c>
      <c r="U11" s="179">
        <v>8.9899999999999995E-4</v>
      </c>
      <c r="V11" s="179">
        <v>0.175709118345834</v>
      </c>
      <c r="W11" s="179">
        <v>5.5753371235171302E-3</v>
      </c>
    </row>
    <row r="12" spans="1:23">
      <c r="A12" s="21">
        <v>419</v>
      </c>
      <c r="B12" s="21">
        <v>419</v>
      </c>
      <c r="C12" s="21" t="s">
        <v>1266</v>
      </c>
      <c r="D12" s="21" t="s">
        <v>1267</v>
      </c>
      <c r="E12" s="21" t="s">
        <v>809</v>
      </c>
      <c r="F12" s="21" t="s">
        <v>1409</v>
      </c>
      <c r="G12" s="21" t="s">
        <v>1410</v>
      </c>
      <c r="H12" s="21" t="s">
        <v>135</v>
      </c>
      <c r="I12" s="21" t="s">
        <v>1402</v>
      </c>
      <c r="J12" s="21" t="s">
        <v>741</v>
      </c>
      <c r="K12" s="21" t="s">
        <v>833</v>
      </c>
      <c r="L12" s="5" t="s">
        <v>137</v>
      </c>
      <c r="M12" s="21" t="s">
        <v>240</v>
      </c>
      <c r="N12" s="23" t="s">
        <v>1224</v>
      </c>
      <c r="O12" s="23" t="s">
        <v>139</v>
      </c>
      <c r="P12" s="21" t="s">
        <v>427</v>
      </c>
      <c r="Q12" s="160">
        <v>0.18</v>
      </c>
      <c r="R12" s="177">
        <v>3.306</v>
      </c>
      <c r="S12" s="178">
        <v>19478</v>
      </c>
      <c r="T12" s="160">
        <v>0.11600000000000001</v>
      </c>
      <c r="U12" s="179">
        <v>0</v>
      </c>
      <c r="V12" s="179">
        <v>3.0896282921568902E-6</v>
      </c>
      <c r="W12" s="179">
        <v>9.8035431953094104E-8</v>
      </c>
    </row>
    <row r="13" spans="1:23">
      <c r="A13" s="21">
        <v>419</v>
      </c>
      <c r="B13" s="21">
        <v>419</v>
      </c>
      <c r="C13" s="21" t="s">
        <v>1390</v>
      </c>
      <c r="D13" s="21" t="s">
        <v>1383</v>
      </c>
      <c r="E13" s="21" t="s">
        <v>809</v>
      </c>
      <c r="F13" s="21" t="s">
        <v>1391</v>
      </c>
      <c r="G13" s="21" t="s">
        <v>1392</v>
      </c>
      <c r="H13" s="21" t="s">
        <v>135</v>
      </c>
      <c r="I13" s="21" t="s">
        <v>804</v>
      </c>
      <c r="J13" s="21" t="s">
        <v>741</v>
      </c>
      <c r="K13" s="21" t="s">
        <v>1285</v>
      </c>
      <c r="L13" s="5" t="s">
        <v>137</v>
      </c>
      <c r="M13" s="21" t="s">
        <v>240</v>
      </c>
      <c r="N13" s="23" t="s">
        <v>1207</v>
      </c>
      <c r="O13" s="23" t="s">
        <v>139</v>
      </c>
      <c r="P13" s="21" t="s">
        <v>427</v>
      </c>
      <c r="Q13" s="160">
        <v>92000</v>
      </c>
      <c r="R13" s="177">
        <v>3.306</v>
      </c>
      <c r="S13" s="178">
        <v>1433.42</v>
      </c>
      <c r="T13" s="160">
        <v>4359.7759999999998</v>
      </c>
      <c r="U13" s="179">
        <v>0</v>
      </c>
      <c r="V13" s="179">
        <v>0.11621191394336799</v>
      </c>
      <c r="W13" s="179">
        <v>3.6874614368514799E-3</v>
      </c>
    </row>
    <row r="14" spans="1:23">
      <c r="A14" s="21">
        <v>419</v>
      </c>
      <c r="B14" s="21">
        <v>419</v>
      </c>
      <c r="C14" s="21" t="s">
        <v>1411</v>
      </c>
      <c r="D14" s="21" t="s">
        <v>1412</v>
      </c>
      <c r="E14" s="21" t="s">
        <v>809</v>
      </c>
      <c r="F14" s="21" t="s">
        <v>1413</v>
      </c>
      <c r="G14" s="21" t="s">
        <v>1414</v>
      </c>
      <c r="H14" s="21" t="s">
        <v>135</v>
      </c>
      <c r="I14" s="21" t="s">
        <v>804</v>
      </c>
      <c r="J14" s="21" t="s">
        <v>741</v>
      </c>
      <c r="K14" s="21" t="s">
        <v>1272</v>
      </c>
      <c r="L14" s="5" t="s">
        <v>137</v>
      </c>
      <c r="M14" s="21" t="s">
        <v>240</v>
      </c>
      <c r="N14" s="23" t="s">
        <v>1224</v>
      </c>
      <c r="O14" s="23" t="s">
        <v>139</v>
      </c>
      <c r="P14" s="21" t="s">
        <v>427</v>
      </c>
      <c r="Q14" s="160">
        <v>0.28000000000000003</v>
      </c>
      <c r="R14" s="177">
        <v>3.306</v>
      </c>
      <c r="S14" s="178">
        <v>13747.52</v>
      </c>
      <c r="T14" s="160">
        <v>0.127</v>
      </c>
      <c r="U14" s="179">
        <v>0</v>
      </c>
      <c r="V14" s="179">
        <v>3.3921243017529598E-6</v>
      </c>
      <c r="W14" s="179">
        <v>1.07633779767334E-7</v>
      </c>
    </row>
    <row r="15" spans="1:23">
      <c r="A15" s="21">
        <v>419</v>
      </c>
      <c r="B15" s="21">
        <v>419</v>
      </c>
      <c r="C15" s="21" t="s">
        <v>1393</v>
      </c>
      <c r="D15" s="21" t="s">
        <v>1394</v>
      </c>
      <c r="E15" s="21" t="s">
        <v>809</v>
      </c>
      <c r="F15" s="21" t="s">
        <v>1395</v>
      </c>
      <c r="G15" s="21" t="s">
        <v>1396</v>
      </c>
      <c r="H15" s="21" t="s">
        <v>135</v>
      </c>
      <c r="I15" s="21" t="s">
        <v>804</v>
      </c>
      <c r="J15" s="21" t="s">
        <v>741</v>
      </c>
      <c r="K15" s="21" t="s">
        <v>833</v>
      </c>
      <c r="L15" s="5" t="s">
        <v>137</v>
      </c>
      <c r="M15" s="21" t="s">
        <v>240</v>
      </c>
      <c r="N15" s="23" t="s">
        <v>1224</v>
      </c>
      <c r="O15" s="23" t="s">
        <v>139</v>
      </c>
      <c r="P15" s="21" t="s">
        <v>745</v>
      </c>
      <c r="Q15" s="160">
        <v>3337.15</v>
      </c>
      <c r="R15" s="177">
        <v>3.8807</v>
      </c>
      <c r="S15" s="178">
        <v>24269</v>
      </c>
      <c r="T15" s="160">
        <v>3142.9520000000002</v>
      </c>
      <c r="U15" s="179">
        <v>1.918E-3</v>
      </c>
      <c r="V15" s="179">
        <v>8.3776882965626104E-2</v>
      </c>
      <c r="W15" s="179">
        <v>2.6582818813732901E-3</v>
      </c>
    </row>
    <row r="16" spans="1:23">
      <c r="A16" s="21">
        <v>419</v>
      </c>
      <c r="B16" s="21">
        <v>419</v>
      </c>
      <c r="C16" s="21" t="s">
        <v>1415</v>
      </c>
      <c r="D16" s="21" t="s">
        <v>1416</v>
      </c>
      <c r="E16" s="21" t="s">
        <v>809</v>
      </c>
      <c r="F16" s="21" t="s">
        <v>1417</v>
      </c>
      <c r="G16" s="21" t="s">
        <v>1418</v>
      </c>
      <c r="H16" s="21" t="s">
        <v>135</v>
      </c>
      <c r="I16" s="21" t="s">
        <v>1402</v>
      </c>
      <c r="J16" s="21" t="s">
        <v>741</v>
      </c>
      <c r="K16" s="21" t="s">
        <v>833</v>
      </c>
      <c r="L16" s="5" t="s">
        <v>137</v>
      </c>
      <c r="M16" s="21" t="s">
        <v>240</v>
      </c>
      <c r="N16" s="23" t="s">
        <v>1224</v>
      </c>
      <c r="O16" s="23" t="s">
        <v>139</v>
      </c>
      <c r="P16" s="21" t="s">
        <v>427</v>
      </c>
      <c r="Q16" s="160">
        <v>4910.54</v>
      </c>
      <c r="R16" s="177">
        <v>3.306</v>
      </c>
      <c r="S16" s="178">
        <v>26675</v>
      </c>
      <c r="T16" s="160">
        <v>4330.4849999999997</v>
      </c>
      <c r="U16" s="179">
        <v>2.5309999999999998E-3</v>
      </c>
      <c r="V16" s="179">
        <v>0.11543115677367199</v>
      </c>
      <c r="W16" s="179">
        <v>3.6626876261714402E-3</v>
      </c>
    </row>
    <row r="17" spans="1:23">
      <c r="A17" s="21">
        <v>419</v>
      </c>
      <c r="B17" s="21">
        <v>1472</v>
      </c>
      <c r="C17" s="21" t="s">
        <v>1266</v>
      </c>
      <c r="D17" s="21" t="s">
        <v>1267</v>
      </c>
      <c r="E17" s="21" t="s">
        <v>809</v>
      </c>
      <c r="F17" s="21" t="s">
        <v>1400</v>
      </c>
      <c r="G17" s="21" t="s">
        <v>1401</v>
      </c>
      <c r="H17" s="21" t="s">
        <v>135</v>
      </c>
      <c r="I17" s="21" t="s">
        <v>1402</v>
      </c>
      <c r="J17" s="21" t="s">
        <v>741</v>
      </c>
      <c r="K17" s="21" t="s">
        <v>1403</v>
      </c>
      <c r="L17" s="5" t="s">
        <v>137</v>
      </c>
      <c r="M17" s="21" t="s">
        <v>240</v>
      </c>
      <c r="N17" s="23" t="s">
        <v>1224</v>
      </c>
      <c r="O17" s="23" t="s">
        <v>139</v>
      </c>
      <c r="P17" s="21" t="s">
        <v>427</v>
      </c>
      <c r="Q17" s="160">
        <v>0.39</v>
      </c>
      <c r="R17" s="177">
        <v>3.306</v>
      </c>
      <c r="S17" s="178">
        <v>1369.54</v>
      </c>
      <c r="T17" s="160">
        <v>1.7999999999999999E-2</v>
      </c>
      <c r="U17" s="179">
        <v>0</v>
      </c>
      <c r="V17" s="179">
        <v>1</v>
      </c>
      <c r="W17" s="179">
        <v>2.13485258344593E-6</v>
      </c>
    </row>
    <row r="18" spans="1:23">
      <c r="A18" s="21">
        <v>419</v>
      </c>
      <c r="B18" s="21">
        <v>12435</v>
      </c>
      <c r="C18" s="21" t="s">
        <v>1382</v>
      </c>
      <c r="D18" s="21" t="s">
        <v>1383</v>
      </c>
      <c r="E18" s="21" t="s">
        <v>809</v>
      </c>
      <c r="F18" s="21" t="s">
        <v>1419</v>
      </c>
      <c r="G18" s="21" t="s">
        <v>1420</v>
      </c>
      <c r="H18" s="21" t="s">
        <v>135</v>
      </c>
      <c r="I18" s="21" t="s">
        <v>804</v>
      </c>
      <c r="J18" s="21" t="s">
        <v>741</v>
      </c>
      <c r="K18" s="21" t="s">
        <v>720</v>
      </c>
      <c r="L18" s="5" t="s">
        <v>137</v>
      </c>
      <c r="M18" s="21" t="s">
        <v>240</v>
      </c>
      <c r="N18" s="23" t="s">
        <v>1360</v>
      </c>
      <c r="O18" s="23" t="s">
        <v>139</v>
      </c>
      <c r="P18" s="21" t="s">
        <v>1330</v>
      </c>
      <c r="Q18" s="160">
        <v>1391.24</v>
      </c>
      <c r="R18" s="177">
        <v>4.4409000000000001</v>
      </c>
      <c r="S18" s="178">
        <v>811.34</v>
      </c>
      <c r="T18" s="160">
        <v>50.127000000000002</v>
      </c>
      <c r="U18" s="179">
        <v>0</v>
      </c>
      <c r="V18" s="179">
        <v>0.10923708268747</v>
      </c>
      <c r="W18" s="179">
        <v>2.8423492567173601E-3</v>
      </c>
    </row>
    <row r="19" spans="1:23">
      <c r="A19" s="21">
        <v>419</v>
      </c>
      <c r="B19" s="21">
        <v>12435</v>
      </c>
      <c r="C19" s="21" t="s">
        <v>1382</v>
      </c>
      <c r="D19" s="21" t="s">
        <v>1383</v>
      </c>
      <c r="E19" s="21" t="s">
        <v>809</v>
      </c>
      <c r="F19" s="21" t="s">
        <v>1384</v>
      </c>
      <c r="G19" s="21" t="s">
        <v>1385</v>
      </c>
      <c r="H19" s="21" t="s">
        <v>135</v>
      </c>
      <c r="I19" s="21" t="s">
        <v>804</v>
      </c>
      <c r="J19" s="21" t="s">
        <v>741</v>
      </c>
      <c r="K19" s="21" t="s">
        <v>720</v>
      </c>
      <c r="L19" s="5" t="s">
        <v>137</v>
      </c>
      <c r="M19" s="21" t="s">
        <v>240</v>
      </c>
      <c r="N19" s="23" t="s">
        <v>1360</v>
      </c>
      <c r="O19" s="23" t="s">
        <v>139</v>
      </c>
      <c r="P19" s="21" t="s">
        <v>1330</v>
      </c>
      <c r="Q19" s="160">
        <v>758.43</v>
      </c>
      <c r="R19" s="177">
        <v>4.4409000000000001</v>
      </c>
      <c r="S19" s="178">
        <v>1310.29</v>
      </c>
      <c r="T19" s="160">
        <v>44.131999999999998</v>
      </c>
      <c r="U19" s="179">
        <v>0</v>
      </c>
      <c r="V19" s="179">
        <v>9.6171874207765295E-2</v>
      </c>
      <c r="W19" s="179">
        <v>2.5023924883972701E-3</v>
      </c>
    </row>
    <row r="20" spans="1:23">
      <c r="A20" s="5">
        <v>419</v>
      </c>
      <c r="B20" s="5">
        <v>12435</v>
      </c>
      <c r="C20" s="5" t="s">
        <v>1386</v>
      </c>
      <c r="D20" s="5" t="s">
        <v>1387</v>
      </c>
      <c r="E20" s="21" t="s">
        <v>809</v>
      </c>
      <c r="F20" s="5" t="s">
        <v>1388</v>
      </c>
      <c r="G20" s="5" t="s">
        <v>1389</v>
      </c>
      <c r="H20" s="21" t="s">
        <v>135</v>
      </c>
      <c r="I20" s="21" t="s">
        <v>804</v>
      </c>
      <c r="J20" s="21" t="s">
        <v>741</v>
      </c>
      <c r="K20" s="21" t="s">
        <v>1285</v>
      </c>
      <c r="L20" s="5" t="s">
        <v>137</v>
      </c>
      <c r="M20" s="21" t="s">
        <v>240</v>
      </c>
      <c r="N20" s="23" t="s">
        <v>1207</v>
      </c>
      <c r="O20" s="23" t="s">
        <v>139</v>
      </c>
      <c r="P20" s="5" t="s">
        <v>427</v>
      </c>
      <c r="Q20" s="158">
        <v>160.1</v>
      </c>
      <c r="R20" s="170">
        <v>3.306</v>
      </c>
      <c r="S20" s="172">
        <v>26009</v>
      </c>
      <c r="T20" s="158">
        <v>137.66300000000001</v>
      </c>
      <c r="U20" s="169">
        <v>1.9000000000000001E-5</v>
      </c>
      <c r="V20" s="169">
        <v>0.29999360144370402</v>
      </c>
      <c r="W20" s="169">
        <v>7.8058345124707397E-3</v>
      </c>
    </row>
    <row r="21" spans="1:23">
      <c r="A21" s="5">
        <v>419</v>
      </c>
      <c r="B21" s="5">
        <v>12435</v>
      </c>
      <c r="C21" s="5" t="s">
        <v>1390</v>
      </c>
      <c r="D21" s="5" t="s">
        <v>1383</v>
      </c>
      <c r="E21" s="5" t="s">
        <v>809</v>
      </c>
      <c r="F21" s="5" t="s">
        <v>1391</v>
      </c>
      <c r="G21" s="5" t="s">
        <v>1392</v>
      </c>
      <c r="H21" s="5" t="s">
        <v>135</v>
      </c>
      <c r="I21" s="5" t="s">
        <v>804</v>
      </c>
      <c r="J21" s="5" t="s">
        <v>741</v>
      </c>
      <c r="K21" s="5" t="s">
        <v>1285</v>
      </c>
      <c r="L21" s="5" t="s">
        <v>137</v>
      </c>
      <c r="M21" s="3" t="s">
        <v>240</v>
      </c>
      <c r="N21" s="5" t="s">
        <v>1207</v>
      </c>
      <c r="O21" s="5" t="s">
        <v>139</v>
      </c>
      <c r="P21" s="5" t="s">
        <v>427</v>
      </c>
      <c r="Q21" s="158">
        <v>2960</v>
      </c>
      <c r="R21" s="170">
        <v>3.306</v>
      </c>
      <c r="S21" s="172">
        <v>1433.42</v>
      </c>
      <c r="T21" s="158">
        <v>140.27099999999999</v>
      </c>
      <c r="U21" s="169">
        <v>0</v>
      </c>
      <c r="V21" s="169">
        <v>0.305676587234541</v>
      </c>
      <c r="W21" s="169">
        <v>7.9537058217470404E-3</v>
      </c>
    </row>
    <row r="22" spans="1:23">
      <c r="A22" s="5">
        <v>419</v>
      </c>
      <c r="B22" s="5">
        <v>12435</v>
      </c>
      <c r="C22" s="5" t="s">
        <v>1393</v>
      </c>
      <c r="D22" s="5" t="s">
        <v>1394</v>
      </c>
      <c r="E22" s="5" t="s">
        <v>809</v>
      </c>
      <c r="F22" s="5" t="s">
        <v>1395</v>
      </c>
      <c r="G22" s="5" t="s">
        <v>1396</v>
      </c>
      <c r="H22" s="5" t="s">
        <v>135</v>
      </c>
      <c r="I22" s="5" t="s">
        <v>804</v>
      </c>
      <c r="J22" s="5" t="s">
        <v>741</v>
      </c>
      <c r="K22" s="5" t="s">
        <v>833</v>
      </c>
      <c r="L22" s="5" t="s">
        <v>137</v>
      </c>
      <c r="M22" s="3" t="s">
        <v>240</v>
      </c>
      <c r="N22" s="5" t="s">
        <v>1224</v>
      </c>
      <c r="O22" s="5" t="s">
        <v>139</v>
      </c>
      <c r="P22" s="5" t="s">
        <v>745</v>
      </c>
      <c r="Q22" s="158">
        <v>92.05</v>
      </c>
      <c r="R22" s="170">
        <v>3.8807</v>
      </c>
      <c r="S22" s="172">
        <v>24269</v>
      </c>
      <c r="T22" s="158">
        <v>86.692999999999998</v>
      </c>
      <c r="U22" s="169">
        <v>5.3000000000000001E-5</v>
      </c>
      <c r="V22" s="169">
        <v>0.18892085442651901</v>
      </c>
      <c r="W22" s="169">
        <v>4.9157212637574201E-3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6</v>
      </c>
      <c r="J1" s="22" t="s">
        <v>7</v>
      </c>
      <c r="K1" s="22" t="s">
        <v>129</v>
      </c>
      <c r="L1" s="22" t="s">
        <v>8</v>
      </c>
      <c r="M1" s="22" t="s">
        <v>1421</v>
      </c>
      <c r="N1" s="22" t="s">
        <v>122</v>
      </c>
      <c r="O1" s="180" t="s">
        <v>1422</v>
      </c>
      <c r="P1" s="22" t="s">
        <v>123</v>
      </c>
      <c r="Q1" s="22" t="s">
        <v>11</v>
      </c>
      <c r="R1" s="171" t="s">
        <v>1423</v>
      </c>
      <c r="S1" s="22" t="s">
        <v>1424</v>
      </c>
      <c r="T1" s="22" t="s">
        <v>17</v>
      </c>
      <c r="U1" s="165" t="s">
        <v>18</v>
      </c>
      <c r="V1" s="171" t="s">
        <v>19</v>
      </c>
      <c r="W1" s="22" t="s">
        <v>20</v>
      </c>
      <c r="X1" s="167" t="s">
        <v>24</v>
      </c>
      <c r="Y1" s="167" t="s">
        <v>25</v>
      </c>
    </row>
    <row r="2" spans="1:25">
      <c r="A2" s="30">
        <v>419</v>
      </c>
      <c r="B2" s="23">
        <v>419</v>
      </c>
      <c r="C2" s="23" t="s">
        <v>294</v>
      </c>
      <c r="D2" s="23" t="s">
        <v>295</v>
      </c>
      <c r="E2" s="21" t="s">
        <v>132</v>
      </c>
      <c r="F2" s="23" t="s">
        <v>1425</v>
      </c>
      <c r="G2" s="23" t="s">
        <v>1426</v>
      </c>
      <c r="H2" s="21" t="s">
        <v>135</v>
      </c>
      <c r="I2" s="21" t="s">
        <v>30</v>
      </c>
      <c r="J2" s="21" t="s">
        <v>30</v>
      </c>
      <c r="K2" s="23" t="s">
        <v>137</v>
      </c>
      <c r="L2" s="21" t="s">
        <v>31</v>
      </c>
      <c r="M2" s="24" t="s">
        <v>813</v>
      </c>
      <c r="N2" s="23" t="s">
        <v>204</v>
      </c>
      <c r="O2" s="181" t="s">
        <v>1427</v>
      </c>
      <c r="P2" s="23" t="s">
        <v>139</v>
      </c>
      <c r="Q2" s="21" t="s">
        <v>34</v>
      </c>
      <c r="R2" s="178">
        <v>58000</v>
      </c>
      <c r="S2" s="160">
        <v>1</v>
      </c>
      <c r="T2" s="159">
        <v>2703</v>
      </c>
      <c r="U2" s="174">
        <v>1</v>
      </c>
      <c r="V2" s="175">
        <v>12600</v>
      </c>
      <c r="W2" s="159">
        <v>340.57799999999997</v>
      </c>
      <c r="X2" s="173">
        <v>1</v>
      </c>
      <c r="Y2" s="173">
        <v>2.8805800043949501E-4</v>
      </c>
    </row>
    <row r="3" spans="1:25">
      <c r="A3" s="23"/>
      <c r="B3" s="23"/>
      <c r="C3" s="23"/>
      <c r="D3" s="23"/>
      <c r="E3" s="21"/>
      <c r="F3" s="23"/>
      <c r="G3" s="23"/>
      <c r="H3" s="21"/>
      <c r="I3" s="21"/>
      <c r="J3" s="21"/>
      <c r="K3" s="23"/>
      <c r="L3" s="21"/>
      <c r="M3" s="23"/>
      <c r="N3" s="23"/>
      <c r="O3" s="23"/>
      <c r="P3" s="23"/>
      <c r="Q3" s="21"/>
      <c r="R3" s="21"/>
      <c r="S3" s="21"/>
      <c r="T3" s="23"/>
      <c r="U3" s="23"/>
      <c r="V3" s="23"/>
      <c r="W3" s="23"/>
      <c r="X3" s="23"/>
      <c r="Y3" s="23"/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5"/>
      <c r="L21" s="45"/>
    </row>
    <row r="22" spans="1:25">
      <c r="L22" s="5"/>
    </row>
    <row r="23" spans="1:25">
      <c r="H23" s="42"/>
    </row>
    <row r="24" spans="1:25">
      <c r="H24" s="42"/>
    </row>
    <row r="25" spans="1:25">
      <c r="H25" s="42"/>
    </row>
    <row r="26" spans="1:25">
      <c r="H26" s="42"/>
    </row>
    <row r="27" spans="1:25">
      <c r="H27" s="42"/>
    </row>
    <row r="28" spans="1:25">
      <c r="H28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122</v>
      </c>
      <c r="N1" s="22" t="s">
        <v>1428</v>
      </c>
      <c r="O1" s="180" t="s">
        <v>1422</v>
      </c>
      <c r="P1" s="22" t="s">
        <v>123</v>
      </c>
      <c r="Q1" s="22" t="s">
        <v>11</v>
      </c>
      <c r="R1" s="171" t="s">
        <v>1423</v>
      </c>
      <c r="S1" s="22" t="s">
        <v>17</v>
      </c>
      <c r="T1" s="165" t="s">
        <v>18</v>
      </c>
      <c r="U1" s="171" t="s">
        <v>19</v>
      </c>
      <c r="V1" s="22" t="s">
        <v>20</v>
      </c>
      <c r="W1" s="167" t="s">
        <v>24</v>
      </c>
      <c r="X1" s="167" t="s">
        <v>25</v>
      </c>
    </row>
    <row r="2" spans="1:24">
      <c r="A2" s="23">
        <v>419</v>
      </c>
      <c r="B2" s="23">
        <v>419</v>
      </c>
      <c r="C2" s="23" t="s">
        <v>1429</v>
      </c>
      <c r="D2" s="23" t="s">
        <v>1430</v>
      </c>
      <c r="E2" s="21" t="s">
        <v>132</v>
      </c>
      <c r="F2" s="23" t="s">
        <v>1431</v>
      </c>
      <c r="G2" s="23" t="s">
        <v>1432</v>
      </c>
      <c r="H2" s="21" t="s">
        <v>135</v>
      </c>
      <c r="I2" s="23" t="s">
        <v>1433</v>
      </c>
      <c r="J2" s="21" t="s">
        <v>30</v>
      </c>
      <c r="K2" s="21" t="s">
        <v>30</v>
      </c>
      <c r="L2" s="21" t="s">
        <v>240</v>
      </c>
      <c r="M2" s="23" t="s">
        <v>1434</v>
      </c>
      <c r="N2" s="23" t="s">
        <v>1433</v>
      </c>
      <c r="O2" s="181" t="s">
        <v>1435</v>
      </c>
      <c r="P2" s="23" t="s">
        <v>139</v>
      </c>
      <c r="Q2" s="21" t="s">
        <v>34</v>
      </c>
      <c r="R2" s="178">
        <v>3.95</v>
      </c>
      <c r="S2" s="159">
        <v>-1786</v>
      </c>
      <c r="T2" s="174">
        <v>1</v>
      </c>
      <c r="U2" s="175">
        <v>24500</v>
      </c>
      <c r="V2" s="159">
        <v>-437.57</v>
      </c>
      <c r="W2" s="173">
        <v>-0.28415333903064299</v>
      </c>
      <c r="X2" s="173">
        <v>-3.7009301614405403E-4</v>
      </c>
    </row>
    <row r="3" spans="1:24">
      <c r="A3" s="23">
        <v>419</v>
      </c>
      <c r="B3" s="23">
        <v>419</v>
      </c>
      <c r="C3" s="23" t="s">
        <v>1429</v>
      </c>
      <c r="D3" s="23" t="s">
        <v>1430</v>
      </c>
      <c r="E3" s="21" t="s">
        <v>132</v>
      </c>
      <c r="F3" s="23" t="s">
        <v>1436</v>
      </c>
      <c r="G3" s="23" t="s">
        <v>1437</v>
      </c>
      <c r="H3" s="21" t="s">
        <v>135</v>
      </c>
      <c r="I3" s="23" t="s">
        <v>1433</v>
      </c>
      <c r="J3" s="21" t="s">
        <v>30</v>
      </c>
      <c r="K3" s="21" t="s">
        <v>30</v>
      </c>
      <c r="L3" s="21" t="s">
        <v>240</v>
      </c>
      <c r="M3" s="23" t="s">
        <v>1434</v>
      </c>
      <c r="N3" s="23" t="s">
        <v>1433</v>
      </c>
      <c r="O3" s="181" t="s">
        <v>1435</v>
      </c>
      <c r="P3" s="23" t="s">
        <v>139</v>
      </c>
      <c r="Q3" s="21" t="s">
        <v>34</v>
      </c>
      <c r="R3" s="178">
        <v>3.95</v>
      </c>
      <c r="S3" s="159">
        <v>1786</v>
      </c>
      <c r="T3" s="174">
        <v>1</v>
      </c>
      <c r="U3" s="175">
        <v>51800</v>
      </c>
      <c r="V3" s="159">
        <v>925.14800000000002</v>
      </c>
      <c r="W3" s="173">
        <v>0.60078134537907502</v>
      </c>
      <c r="X3" s="173">
        <v>7.8248237699028603E-4</v>
      </c>
    </row>
    <row r="4" spans="1:24">
      <c r="A4" s="23">
        <v>419</v>
      </c>
      <c r="B4" s="23">
        <v>419</v>
      </c>
      <c r="C4" s="23" t="s">
        <v>1429</v>
      </c>
      <c r="D4" s="23" t="s">
        <v>1430</v>
      </c>
      <c r="E4" s="21" t="s">
        <v>132</v>
      </c>
      <c r="F4" s="23" t="s">
        <v>1438</v>
      </c>
      <c r="G4" s="23" t="s">
        <v>1439</v>
      </c>
      <c r="H4" s="21" t="s">
        <v>135</v>
      </c>
      <c r="I4" s="23" t="s">
        <v>1433</v>
      </c>
      <c r="J4" s="21" t="s">
        <v>30</v>
      </c>
      <c r="K4" s="21" t="s">
        <v>30</v>
      </c>
      <c r="L4" s="21" t="s">
        <v>240</v>
      </c>
      <c r="M4" s="23" t="s">
        <v>1434</v>
      </c>
      <c r="N4" s="23" t="s">
        <v>1433</v>
      </c>
      <c r="O4" s="181" t="s">
        <v>1440</v>
      </c>
      <c r="P4" s="23" t="s">
        <v>139</v>
      </c>
      <c r="Q4" s="21" t="s">
        <v>34</v>
      </c>
      <c r="R4" s="178">
        <v>3.4</v>
      </c>
      <c r="S4" s="159">
        <v>-2239</v>
      </c>
      <c r="T4" s="174">
        <v>1</v>
      </c>
      <c r="U4" s="175">
        <v>6000</v>
      </c>
      <c r="V4" s="159">
        <v>-134.34</v>
      </c>
      <c r="W4" s="173">
        <v>-8.7238977912966198E-2</v>
      </c>
      <c r="X4" s="173">
        <v>-1.13623639163545E-4</v>
      </c>
    </row>
    <row r="5" spans="1:24">
      <c r="A5" s="23">
        <v>419</v>
      </c>
      <c r="B5" s="23">
        <v>419</v>
      </c>
      <c r="C5" s="23" t="s">
        <v>1429</v>
      </c>
      <c r="D5" s="23" t="s">
        <v>1430</v>
      </c>
      <c r="E5" s="21" t="s">
        <v>132</v>
      </c>
      <c r="F5" s="23" t="s">
        <v>1441</v>
      </c>
      <c r="G5" s="23" t="s">
        <v>1442</v>
      </c>
      <c r="H5" s="21" t="s">
        <v>135</v>
      </c>
      <c r="I5" s="23" t="s">
        <v>1433</v>
      </c>
      <c r="J5" s="21" t="s">
        <v>30</v>
      </c>
      <c r="K5" s="21" t="s">
        <v>30</v>
      </c>
      <c r="L5" s="21" t="s">
        <v>240</v>
      </c>
      <c r="M5" s="23" t="s">
        <v>1434</v>
      </c>
      <c r="N5" s="23" t="s">
        <v>1433</v>
      </c>
      <c r="O5" s="181" t="s">
        <v>1443</v>
      </c>
      <c r="P5" s="23" t="s">
        <v>139</v>
      </c>
      <c r="Q5" s="21" t="s">
        <v>34</v>
      </c>
      <c r="R5" s="178">
        <v>3.4</v>
      </c>
      <c r="S5" s="159">
        <v>2239</v>
      </c>
      <c r="T5" s="174">
        <v>1</v>
      </c>
      <c r="U5" s="175">
        <v>53000</v>
      </c>
      <c r="V5" s="159">
        <v>1186.67</v>
      </c>
      <c r="W5" s="173">
        <v>0.77061097156453495</v>
      </c>
      <c r="X5" s="173">
        <v>1.00367547927798E-3</v>
      </c>
    </row>
    <row r="6" spans="1:24">
      <c r="A6" s="23">
        <v>419</v>
      </c>
      <c r="B6" s="23">
        <v>12435</v>
      </c>
      <c r="C6" s="23" t="s">
        <v>1429</v>
      </c>
      <c r="D6" s="23" t="s">
        <v>1430</v>
      </c>
      <c r="E6" s="21" t="s">
        <v>132</v>
      </c>
      <c r="F6" s="23" t="s">
        <v>1438</v>
      </c>
      <c r="G6" s="23" t="s">
        <v>1439</v>
      </c>
      <c r="H6" s="21" t="s">
        <v>135</v>
      </c>
      <c r="I6" s="23" t="s">
        <v>1433</v>
      </c>
      <c r="J6" s="21" t="s">
        <v>30</v>
      </c>
      <c r="K6" s="21" t="s">
        <v>30</v>
      </c>
      <c r="L6" s="21" t="s">
        <v>240</v>
      </c>
      <c r="M6" s="23" t="s">
        <v>1434</v>
      </c>
      <c r="N6" s="23" t="s">
        <v>1433</v>
      </c>
      <c r="O6" s="181" t="s">
        <v>1440</v>
      </c>
      <c r="P6" s="23" t="s">
        <v>139</v>
      </c>
      <c r="Q6" s="21" t="s">
        <v>34</v>
      </c>
      <c r="R6" s="178">
        <v>3.4</v>
      </c>
      <c r="S6" s="159">
        <v>-23</v>
      </c>
      <c r="T6" s="174">
        <v>1</v>
      </c>
      <c r="U6" s="175">
        <v>6000</v>
      </c>
      <c r="V6" s="159">
        <v>-1.38</v>
      </c>
      <c r="W6" s="173">
        <v>-0.12765957446808501</v>
      </c>
      <c r="X6" s="173">
        <v>-7.8249323284318602E-5</v>
      </c>
    </row>
    <row r="7" spans="1:24">
      <c r="A7" s="23">
        <v>419</v>
      </c>
      <c r="B7" s="23">
        <v>12435</v>
      </c>
      <c r="C7" s="23" t="s">
        <v>1429</v>
      </c>
      <c r="D7" s="23" t="s">
        <v>1430</v>
      </c>
      <c r="E7" s="21" t="s">
        <v>132</v>
      </c>
      <c r="F7" s="23" t="s">
        <v>1441</v>
      </c>
      <c r="G7" s="23" t="s">
        <v>1442</v>
      </c>
      <c r="H7" s="21" t="s">
        <v>135</v>
      </c>
      <c r="I7" s="23" t="s">
        <v>1433</v>
      </c>
      <c r="J7" s="21" t="s">
        <v>30</v>
      </c>
      <c r="K7" s="21" t="s">
        <v>30</v>
      </c>
      <c r="L7" s="21" t="s">
        <v>240</v>
      </c>
      <c r="M7" s="23" t="s">
        <v>1434</v>
      </c>
      <c r="N7" s="23" t="s">
        <v>1433</v>
      </c>
      <c r="O7" s="181" t="s">
        <v>1443</v>
      </c>
      <c r="P7" s="23" t="s">
        <v>139</v>
      </c>
      <c r="Q7" s="21" t="s">
        <v>34</v>
      </c>
      <c r="R7" s="178">
        <v>3.4</v>
      </c>
      <c r="S7" s="159">
        <v>23</v>
      </c>
      <c r="T7" s="174">
        <v>1</v>
      </c>
      <c r="U7" s="175">
        <v>53000</v>
      </c>
      <c r="V7" s="159">
        <v>12.19</v>
      </c>
      <c r="W7" s="173">
        <v>1.12765957446808</v>
      </c>
      <c r="X7" s="173">
        <v>6.9120235567814799E-4</v>
      </c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 s="42" customFormat="1">
      <c r="E21" s="41"/>
      <c r="H21" s="45"/>
      <c r="L21" s="45"/>
    </row>
    <row r="22" spans="1:24">
      <c r="L22" s="5"/>
    </row>
    <row r="23" spans="1:24">
      <c r="H23" s="42"/>
    </row>
    <row r="24" spans="1:24">
      <c r="H24" s="42"/>
    </row>
    <row r="25" spans="1:24">
      <c r="H25" s="42"/>
    </row>
    <row r="26" spans="1:24">
      <c r="H26" s="42"/>
    </row>
    <row r="27" spans="1:24">
      <c r="H27" s="42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6</v>
      </c>
      <c r="J1" s="22" t="s">
        <v>7</v>
      </c>
      <c r="K1" s="22" t="s">
        <v>8</v>
      </c>
      <c r="L1" s="22" t="s">
        <v>1428</v>
      </c>
      <c r="M1" s="22" t="s">
        <v>123</v>
      </c>
      <c r="N1" s="22" t="s">
        <v>11</v>
      </c>
      <c r="O1" s="22" t="s">
        <v>17</v>
      </c>
      <c r="P1" s="165" t="s">
        <v>18</v>
      </c>
      <c r="Q1" s="171" t="s">
        <v>19</v>
      </c>
      <c r="R1" s="22" t="s">
        <v>20</v>
      </c>
      <c r="S1" s="167" t="s">
        <v>24</v>
      </c>
      <c r="T1" s="167" t="s">
        <v>25</v>
      </c>
    </row>
    <row r="2" spans="1:20">
      <c r="A2" s="23">
        <v>419</v>
      </c>
      <c r="B2" s="23">
        <v>419</v>
      </c>
      <c r="C2" s="3" t="s">
        <v>1444</v>
      </c>
      <c r="D2" s="3" t="s">
        <v>1445</v>
      </c>
      <c r="E2" s="21" t="s">
        <v>33</v>
      </c>
      <c r="F2" s="23" t="s">
        <v>1446</v>
      </c>
      <c r="G2" s="23" t="s">
        <v>1447</v>
      </c>
      <c r="H2" s="21" t="s">
        <v>240</v>
      </c>
      <c r="I2" s="21" t="s">
        <v>741</v>
      </c>
      <c r="J2" s="21" t="s">
        <v>168</v>
      </c>
      <c r="K2" s="21" t="s">
        <v>1448</v>
      </c>
      <c r="L2" s="24" t="s">
        <v>1449</v>
      </c>
      <c r="M2" s="23" t="s">
        <v>139</v>
      </c>
      <c r="N2" s="21" t="s">
        <v>427</v>
      </c>
      <c r="O2" s="159">
        <v>3</v>
      </c>
      <c r="P2" s="174">
        <v>3.306</v>
      </c>
      <c r="Q2" s="175">
        <v>6738.75</v>
      </c>
      <c r="R2" s="159">
        <v>46.415999999999997</v>
      </c>
      <c r="S2" s="173">
        <v>0.29896512073591702</v>
      </c>
      <c r="T2" s="173">
        <v>3.9258464382079498E-5</v>
      </c>
    </row>
    <row r="3" spans="1:20">
      <c r="A3" s="23">
        <v>419</v>
      </c>
      <c r="B3" s="23">
        <v>419</v>
      </c>
      <c r="C3" s="3" t="s">
        <v>1444</v>
      </c>
      <c r="D3" s="3" t="s">
        <v>1445</v>
      </c>
      <c r="E3" s="21" t="s">
        <v>33</v>
      </c>
      <c r="F3" s="23" t="s">
        <v>1450</v>
      </c>
      <c r="G3" s="23" t="s">
        <v>1451</v>
      </c>
      <c r="H3" s="21" t="s">
        <v>240</v>
      </c>
      <c r="I3" s="21" t="s">
        <v>741</v>
      </c>
      <c r="J3" s="21" t="s">
        <v>168</v>
      </c>
      <c r="K3" s="21" t="s">
        <v>1448</v>
      </c>
      <c r="L3" s="24" t="s">
        <v>1449</v>
      </c>
      <c r="M3" s="23" t="s">
        <v>139</v>
      </c>
      <c r="N3" s="21" t="s">
        <v>427</v>
      </c>
      <c r="O3" s="159">
        <v>3</v>
      </c>
      <c r="P3" s="174">
        <v>3.306</v>
      </c>
      <c r="Q3" s="175">
        <v>24901.75</v>
      </c>
      <c r="R3" s="159">
        <v>108.84</v>
      </c>
      <c r="S3" s="173">
        <v>0.70103487926408303</v>
      </c>
      <c r="T3" s="173">
        <v>9.2056065839516104E-5</v>
      </c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4"/>
      <c r="M20" s="23"/>
    </row>
    <row r="21" spans="1:20" s="42" customFormat="1">
      <c r="E21" s="41"/>
      <c r="H21" s="45"/>
      <c r="K21" s="45"/>
    </row>
    <row r="22" spans="1:20">
      <c r="K22" s="5"/>
    </row>
    <row r="23" spans="1:20">
      <c r="H23" s="42"/>
    </row>
    <row r="24" spans="1:20">
      <c r="H24" s="42"/>
    </row>
    <row r="25" spans="1:20">
      <c r="H25" s="42"/>
    </row>
    <row r="26" spans="1:20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129</v>
      </c>
      <c r="M1" s="22" t="s">
        <v>8</v>
      </c>
      <c r="N1" s="22" t="s">
        <v>1428</v>
      </c>
      <c r="O1" s="22" t="s">
        <v>123</v>
      </c>
      <c r="P1" s="22" t="s">
        <v>12</v>
      </c>
      <c r="Q1" s="167" t="s">
        <v>14</v>
      </c>
      <c r="R1" s="167" t="s">
        <v>15</v>
      </c>
      <c r="S1" s="22" t="s">
        <v>9</v>
      </c>
      <c r="T1" s="22" t="s">
        <v>10</v>
      </c>
      <c r="U1" s="22" t="s">
        <v>124</v>
      </c>
      <c r="V1" s="22" t="s">
        <v>11</v>
      </c>
      <c r="W1" s="22" t="s">
        <v>17</v>
      </c>
      <c r="X1" s="165" t="s">
        <v>18</v>
      </c>
      <c r="Y1" s="171" t="s">
        <v>19</v>
      </c>
      <c r="Z1" s="22" t="s">
        <v>20</v>
      </c>
      <c r="AA1" s="167" t="s">
        <v>24</v>
      </c>
      <c r="AB1" s="167" t="s">
        <v>25</v>
      </c>
    </row>
    <row r="2" spans="1:28">
      <c r="A2" s="23">
        <v>419</v>
      </c>
      <c r="B2" s="23">
        <v>419</v>
      </c>
      <c r="C2" s="23" t="s">
        <v>1452</v>
      </c>
      <c r="D2" s="23" t="s">
        <v>1453</v>
      </c>
      <c r="E2" s="21" t="s">
        <v>132</v>
      </c>
      <c r="F2" s="23" t="s">
        <v>1454</v>
      </c>
      <c r="G2" s="23" t="s">
        <v>1455</v>
      </c>
      <c r="H2" s="21" t="s">
        <v>135</v>
      </c>
      <c r="I2" s="23" t="s">
        <v>1456</v>
      </c>
      <c r="J2" s="21" t="s">
        <v>30</v>
      </c>
      <c r="K2" s="21" t="s">
        <v>30</v>
      </c>
      <c r="L2" s="23" t="s">
        <v>137</v>
      </c>
      <c r="M2" s="21" t="s">
        <v>31</v>
      </c>
      <c r="N2" s="24" t="s">
        <v>1457</v>
      </c>
      <c r="O2" s="23" t="s">
        <v>139</v>
      </c>
      <c r="P2" s="159">
        <v>2.7719999999999998</v>
      </c>
      <c r="Q2" s="173">
        <v>5.0000000000000001E-4</v>
      </c>
      <c r="R2" s="173">
        <v>2.647E-2</v>
      </c>
      <c r="S2" s="23" t="s">
        <v>310</v>
      </c>
      <c r="T2" s="23" t="s">
        <v>141</v>
      </c>
      <c r="U2" s="23" t="s">
        <v>142</v>
      </c>
      <c r="V2" s="21" t="s">
        <v>34</v>
      </c>
      <c r="W2" s="159">
        <v>1538727.52</v>
      </c>
      <c r="X2" s="174">
        <v>1</v>
      </c>
      <c r="Y2" s="175">
        <v>109.77</v>
      </c>
      <c r="Z2" s="159">
        <v>1689.0609999999999</v>
      </c>
      <c r="AA2" s="173">
        <v>0.486152250168703</v>
      </c>
      <c r="AB2" s="173">
        <v>1.42859371867417E-3</v>
      </c>
    </row>
    <row r="3" spans="1:28">
      <c r="A3" s="23">
        <v>419</v>
      </c>
      <c r="B3" s="23">
        <v>419</v>
      </c>
      <c r="C3" s="23" t="s">
        <v>1458</v>
      </c>
      <c r="D3" s="23" t="s">
        <v>1459</v>
      </c>
      <c r="E3" s="21" t="s">
        <v>132</v>
      </c>
      <c r="F3" s="23" t="s">
        <v>1460</v>
      </c>
      <c r="G3" s="23" t="s">
        <v>1461</v>
      </c>
      <c r="H3" s="21" t="s">
        <v>135</v>
      </c>
      <c r="I3" s="23" t="s">
        <v>1456</v>
      </c>
      <c r="J3" s="21" t="s">
        <v>30</v>
      </c>
      <c r="K3" s="21" t="s">
        <v>30</v>
      </c>
      <c r="L3" s="23" t="s">
        <v>137</v>
      </c>
      <c r="M3" s="21" t="s">
        <v>31</v>
      </c>
      <c r="N3" s="24" t="s">
        <v>1462</v>
      </c>
      <c r="O3" s="23" t="s">
        <v>139</v>
      </c>
      <c r="P3" s="159">
        <v>9.0370000000000008</v>
      </c>
      <c r="Q3" s="173">
        <v>7.2999999999999995E-2</v>
      </c>
      <c r="R3" s="173">
        <v>5.6759999999999998E-2</v>
      </c>
      <c r="S3" s="23" t="s">
        <v>310</v>
      </c>
      <c r="T3" s="23" t="s">
        <v>141</v>
      </c>
      <c r="U3" s="23" t="s">
        <v>142</v>
      </c>
      <c r="V3" s="21" t="s">
        <v>34</v>
      </c>
      <c r="W3" s="159">
        <v>1526536.94</v>
      </c>
      <c r="X3" s="174">
        <v>1</v>
      </c>
      <c r="Y3" s="175">
        <v>116.95</v>
      </c>
      <c r="Z3" s="159">
        <v>1785.2850000000001</v>
      </c>
      <c r="AA3" s="173">
        <v>0.513847749831297</v>
      </c>
      <c r="AB3" s="173">
        <v>1.50997895722812E-3</v>
      </c>
    </row>
    <row r="4" spans="1:28">
      <c r="A4" s="23">
        <v>419</v>
      </c>
      <c r="B4" s="23">
        <v>1472</v>
      </c>
      <c r="C4" s="23" t="s">
        <v>1452</v>
      </c>
      <c r="D4" s="23" t="s">
        <v>1453</v>
      </c>
      <c r="E4" s="21" t="s">
        <v>132</v>
      </c>
      <c r="F4" s="23" t="s">
        <v>1454</v>
      </c>
      <c r="G4" s="23" t="s">
        <v>1455</v>
      </c>
      <c r="H4" s="21" t="s">
        <v>135</v>
      </c>
      <c r="I4" s="23" t="s">
        <v>1456</v>
      </c>
      <c r="J4" s="21" t="s">
        <v>30</v>
      </c>
      <c r="K4" s="21" t="s">
        <v>30</v>
      </c>
      <c r="L4" s="23" t="s">
        <v>137</v>
      </c>
      <c r="M4" s="21" t="s">
        <v>31</v>
      </c>
      <c r="N4" s="24" t="s">
        <v>1457</v>
      </c>
      <c r="O4" s="23" t="s">
        <v>139</v>
      </c>
      <c r="P4" s="159">
        <v>2.7719999999999998</v>
      </c>
      <c r="Q4" s="173">
        <v>5.0000000000000001E-4</v>
      </c>
      <c r="R4" s="173">
        <v>2.647E-2</v>
      </c>
      <c r="S4" s="23" t="s">
        <v>310</v>
      </c>
      <c r="T4" s="23" t="s">
        <v>141</v>
      </c>
      <c r="U4" s="23" t="s">
        <v>142</v>
      </c>
      <c r="V4" s="21" t="s">
        <v>34</v>
      </c>
      <c r="W4" s="159">
        <v>10909.1</v>
      </c>
      <c r="X4" s="174">
        <v>1</v>
      </c>
      <c r="Y4" s="175">
        <v>109.77</v>
      </c>
      <c r="Z4" s="159">
        <v>11.975</v>
      </c>
      <c r="AA4" s="173">
        <v>0.41804559535289798</v>
      </c>
      <c r="AB4" s="173">
        <v>1.44776575893931E-3</v>
      </c>
    </row>
    <row r="5" spans="1:28">
      <c r="A5" s="23">
        <v>419</v>
      </c>
      <c r="B5" s="23">
        <v>1472</v>
      </c>
      <c r="C5" s="23" t="s">
        <v>1458</v>
      </c>
      <c r="D5" s="23" t="s">
        <v>1459</v>
      </c>
      <c r="E5" s="21" t="s">
        <v>132</v>
      </c>
      <c r="F5" s="23" t="s">
        <v>1460</v>
      </c>
      <c r="G5" s="23" t="s">
        <v>1461</v>
      </c>
      <c r="H5" s="21" t="s">
        <v>135</v>
      </c>
      <c r="I5" s="23" t="s">
        <v>1456</v>
      </c>
      <c r="J5" s="21" t="s">
        <v>30</v>
      </c>
      <c r="K5" s="21" t="s">
        <v>30</v>
      </c>
      <c r="L5" s="23" t="s">
        <v>137</v>
      </c>
      <c r="M5" s="21" t="s">
        <v>31</v>
      </c>
      <c r="N5" s="24" t="s">
        <v>1462</v>
      </c>
      <c r="O5" s="23" t="s">
        <v>139</v>
      </c>
      <c r="P5" s="159">
        <v>9.0370000000000008</v>
      </c>
      <c r="Q5" s="173">
        <v>7.2999999999999995E-2</v>
      </c>
      <c r="R5" s="173">
        <v>5.6759999999999998E-2</v>
      </c>
      <c r="S5" s="23" t="s">
        <v>310</v>
      </c>
      <c r="T5" s="23" t="s">
        <v>141</v>
      </c>
      <c r="U5" s="23" t="s">
        <v>142</v>
      </c>
      <c r="V5" s="21" t="s">
        <v>34</v>
      </c>
      <c r="W5" s="159">
        <v>14254.03</v>
      </c>
      <c r="X5" s="174">
        <v>1</v>
      </c>
      <c r="Y5" s="175">
        <v>116.95</v>
      </c>
      <c r="Z5" s="159">
        <v>16.670000000000002</v>
      </c>
      <c r="AA5" s="173">
        <v>0.58195440464710202</v>
      </c>
      <c r="AB5" s="173">
        <v>2.0154109256928102E-3</v>
      </c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4"/>
      <c r="O6" s="23"/>
      <c r="P6" s="23"/>
      <c r="Q6" s="23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4"/>
      <c r="O7" s="23"/>
      <c r="P7" s="23"/>
      <c r="Q7" s="23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4"/>
      <c r="O8" s="23"/>
      <c r="P8" s="23"/>
      <c r="Q8" s="23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4"/>
      <c r="O9" s="23"/>
      <c r="P9" s="23"/>
      <c r="Q9" s="23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4"/>
      <c r="O10" s="23"/>
      <c r="P10" s="23"/>
      <c r="Q10" s="23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4"/>
      <c r="O11" s="23"/>
      <c r="P11" s="23"/>
      <c r="Q11" s="23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4"/>
      <c r="O12" s="23"/>
      <c r="P12" s="23"/>
      <c r="Q12" s="23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4"/>
      <c r="O13" s="23"/>
      <c r="P13" s="23"/>
      <c r="Q13" s="23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4"/>
      <c r="O14" s="23"/>
      <c r="P14" s="23"/>
      <c r="Q14" s="23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4"/>
      <c r="O15" s="23"/>
      <c r="P15" s="23"/>
      <c r="Q15" s="23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4"/>
      <c r="O16" s="23"/>
      <c r="P16" s="23"/>
      <c r="Q16" s="23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4"/>
      <c r="O17" s="23"/>
      <c r="P17" s="23"/>
      <c r="Q17" s="23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4"/>
      <c r="O18" s="23"/>
      <c r="P18" s="23"/>
      <c r="Q18" s="23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4"/>
      <c r="O19" s="23"/>
      <c r="P19" s="23"/>
      <c r="Q19" s="23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4"/>
      <c r="O20" s="23"/>
      <c r="T20" s="23"/>
      <c r="U20" s="23"/>
    </row>
    <row r="21" spans="1:28" s="42" customFormat="1">
      <c r="E21" s="41"/>
      <c r="H21" s="45"/>
      <c r="M21" s="45"/>
      <c r="N21" s="24"/>
    </row>
    <row r="22" spans="1:28">
      <c r="M22" s="5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121</v>
      </c>
      <c r="G1" s="22" t="s">
        <v>5</v>
      </c>
      <c r="H1" s="22" t="s">
        <v>6</v>
      </c>
      <c r="I1" s="22" t="s">
        <v>7</v>
      </c>
      <c r="J1" s="22" t="s">
        <v>1463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5">
      <c r="A2" s="23"/>
      <c r="B2" s="23"/>
      <c r="C2" s="23"/>
      <c r="D2" s="23"/>
      <c r="E2" s="23"/>
      <c r="F2" s="23"/>
      <c r="G2" s="23"/>
      <c r="H2" s="31"/>
      <c r="I2" s="21"/>
      <c r="J2" s="23"/>
      <c r="K2" s="40"/>
      <c r="L2" s="24"/>
      <c r="M2" s="31"/>
      <c r="N2" s="23"/>
      <c r="O2" s="23"/>
      <c r="P2" s="23"/>
      <c r="Q2" s="23"/>
      <c r="R2" s="23"/>
      <c r="S2" s="24"/>
      <c r="T2" s="23"/>
      <c r="U2" s="23"/>
      <c r="V2" s="23"/>
      <c r="W2" s="21"/>
      <c r="X2" s="23"/>
      <c r="Y2" s="23"/>
    </row>
    <row r="3" spans="1:25">
      <c r="A3" s="23"/>
      <c r="B3" s="23"/>
      <c r="C3" s="23"/>
      <c r="D3" s="23"/>
      <c r="E3" s="23"/>
      <c r="F3" s="23"/>
      <c r="G3" s="23"/>
      <c r="H3" s="31"/>
      <c r="I3" s="21"/>
      <c r="J3" s="23"/>
      <c r="K3" s="23"/>
      <c r="L3" s="24"/>
      <c r="M3" s="21"/>
      <c r="N3" s="23"/>
      <c r="O3" s="23"/>
      <c r="P3" s="23"/>
      <c r="Q3" s="23"/>
      <c r="R3" s="23"/>
      <c r="S3" s="23"/>
      <c r="T3" s="23"/>
      <c r="U3" s="23"/>
      <c r="V3" s="23"/>
      <c r="W3" s="21"/>
      <c r="X3" s="23"/>
      <c r="Y3" s="23"/>
    </row>
    <row r="4" spans="1:25">
      <c r="A4" s="23"/>
      <c r="B4" s="23"/>
      <c r="C4" s="23"/>
      <c r="D4" s="23"/>
      <c r="E4" s="23"/>
      <c r="F4" s="23"/>
      <c r="G4" s="23"/>
      <c r="H4" s="31"/>
      <c r="I4" s="21"/>
      <c r="J4" s="23"/>
      <c r="K4" s="23"/>
      <c r="L4" s="24"/>
      <c r="M4" s="21"/>
      <c r="N4" s="23"/>
      <c r="O4" s="23"/>
      <c r="P4" s="23"/>
      <c r="Q4" s="23"/>
      <c r="R4" s="23"/>
      <c r="S4" s="23"/>
      <c r="T4" s="23"/>
      <c r="U4" s="23"/>
      <c r="V4" s="23"/>
      <c r="W4" s="21"/>
      <c r="X4" s="23"/>
      <c r="Y4" s="23"/>
    </row>
    <row r="5" spans="1:25">
      <c r="A5" s="23"/>
      <c r="B5" s="23"/>
      <c r="C5" s="23"/>
      <c r="D5" s="23"/>
      <c r="E5" s="23"/>
      <c r="F5" s="23"/>
      <c r="G5" s="23"/>
      <c r="H5" s="31"/>
      <c r="I5" s="21"/>
      <c r="J5" s="23"/>
      <c r="K5" s="21"/>
      <c r="L5" s="24"/>
      <c r="N5" s="23"/>
      <c r="O5" s="23"/>
      <c r="P5" s="21"/>
      <c r="Q5" s="21"/>
      <c r="R5" s="23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3"/>
      <c r="F6" s="23"/>
      <c r="G6" s="23"/>
      <c r="H6" s="31"/>
      <c r="I6" s="21"/>
      <c r="J6" s="23"/>
      <c r="K6" s="23"/>
      <c r="L6" s="24"/>
      <c r="M6" s="21"/>
      <c r="N6" s="23"/>
      <c r="O6" s="23"/>
      <c r="P6" s="23"/>
      <c r="Q6" s="23"/>
      <c r="R6" s="23"/>
      <c r="S6" s="23"/>
      <c r="T6" s="23"/>
      <c r="U6" s="23"/>
      <c r="V6" s="23"/>
      <c r="W6" s="21"/>
      <c r="X6" s="23"/>
      <c r="Y6" s="23"/>
    </row>
    <row r="7" spans="1:25">
      <c r="A7" s="23"/>
      <c r="B7" s="23"/>
      <c r="C7" s="23"/>
      <c r="D7" s="23"/>
      <c r="E7" s="23"/>
      <c r="F7" s="23"/>
      <c r="G7" s="23"/>
      <c r="H7" s="31"/>
      <c r="I7" s="21"/>
      <c r="J7" s="23"/>
      <c r="K7" s="23"/>
      <c r="L7" s="24"/>
      <c r="M7" s="21"/>
      <c r="N7" s="23"/>
      <c r="O7" s="23"/>
      <c r="P7" s="23"/>
      <c r="Q7" s="23"/>
      <c r="R7" s="23"/>
      <c r="S7" s="23"/>
      <c r="T7" s="23"/>
      <c r="U7" s="23"/>
      <c r="V7" s="23"/>
      <c r="W7" s="21"/>
      <c r="X7" s="23"/>
      <c r="Y7" s="23"/>
    </row>
    <row r="8" spans="1:25">
      <c r="A8" s="23"/>
      <c r="B8" s="23"/>
      <c r="C8" s="23"/>
      <c r="D8" s="23"/>
      <c r="E8" s="23"/>
      <c r="F8" s="23"/>
      <c r="G8" s="23"/>
      <c r="H8" s="31"/>
      <c r="I8" s="21"/>
      <c r="J8" s="23"/>
      <c r="K8" s="23"/>
      <c r="L8" s="24"/>
      <c r="M8" s="21"/>
      <c r="N8" s="23"/>
      <c r="O8" s="23"/>
      <c r="P8" s="23"/>
      <c r="Q8" s="23"/>
      <c r="R8" s="23"/>
      <c r="S8" s="23"/>
      <c r="T8" s="23"/>
      <c r="U8" s="23"/>
      <c r="V8" s="23"/>
      <c r="W8" s="21"/>
      <c r="X8" s="23"/>
      <c r="Y8" s="23"/>
    </row>
    <row r="9" spans="1:25">
      <c r="A9" s="23"/>
      <c r="B9" s="23"/>
      <c r="C9" s="23"/>
      <c r="D9" s="23"/>
      <c r="E9" s="23"/>
      <c r="F9" s="23"/>
      <c r="G9" s="23"/>
      <c r="H9" s="31"/>
      <c r="I9" s="21"/>
      <c r="J9" s="23"/>
      <c r="K9" s="23"/>
      <c r="L9" s="24"/>
      <c r="M9" s="21"/>
      <c r="N9" s="23"/>
      <c r="O9" s="23"/>
      <c r="P9" s="23"/>
      <c r="Q9" s="23"/>
      <c r="R9" s="23"/>
      <c r="S9" s="23"/>
      <c r="T9" s="23"/>
      <c r="U9" s="23"/>
      <c r="V9" s="23"/>
      <c r="W9" s="21"/>
      <c r="X9" s="23"/>
      <c r="Y9" s="23"/>
    </row>
    <row r="10" spans="1:25">
      <c r="A10" s="23"/>
      <c r="B10" s="23"/>
      <c r="C10" s="23"/>
      <c r="D10" s="23"/>
      <c r="E10" s="23"/>
      <c r="F10" s="23"/>
      <c r="G10" s="23"/>
      <c r="H10" s="31"/>
      <c r="I10" s="21"/>
      <c r="J10" s="23"/>
      <c r="K10" s="23"/>
      <c r="L10" s="24"/>
      <c r="M10" s="21"/>
      <c r="N10" s="23"/>
      <c r="O10" s="23"/>
      <c r="P10" s="23"/>
      <c r="Q10" s="23"/>
      <c r="R10" s="23"/>
      <c r="S10" s="23"/>
      <c r="T10" s="23"/>
      <c r="U10" s="23"/>
      <c r="V10" s="23"/>
      <c r="W10" s="21"/>
      <c r="X10" s="23"/>
      <c r="Y10" s="23"/>
    </row>
    <row r="11" spans="1:25">
      <c r="A11" s="23"/>
      <c r="B11" s="23"/>
      <c r="C11" s="23"/>
      <c r="D11" s="23"/>
      <c r="E11" s="23"/>
      <c r="F11" s="23"/>
      <c r="G11" s="23"/>
      <c r="H11" s="31"/>
      <c r="I11" s="21"/>
      <c r="J11" s="23"/>
      <c r="K11" s="23"/>
      <c r="L11" s="24"/>
      <c r="M11" s="21"/>
      <c r="N11" s="23"/>
      <c r="O11" s="23"/>
      <c r="P11" s="23"/>
      <c r="Q11" s="23"/>
      <c r="R11" s="23"/>
      <c r="S11" s="23"/>
      <c r="T11" s="23"/>
      <c r="U11" s="23"/>
      <c r="V11" s="23"/>
      <c r="W11" s="21"/>
      <c r="X11" s="23"/>
      <c r="Y11" s="23"/>
    </row>
    <row r="12" spans="1:25">
      <c r="A12" s="23"/>
      <c r="B12" s="23"/>
      <c r="C12" s="23"/>
      <c r="D12" s="23"/>
      <c r="E12" s="23"/>
      <c r="F12" s="23"/>
      <c r="G12" s="23"/>
      <c r="H12" s="31"/>
      <c r="I12" s="21"/>
      <c r="J12" s="23"/>
      <c r="K12" s="23"/>
      <c r="L12" s="24"/>
      <c r="M12" s="21"/>
      <c r="N12" s="23"/>
      <c r="O12" s="23"/>
      <c r="P12" s="23"/>
      <c r="Q12" s="23"/>
      <c r="R12" s="23"/>
      <c r="S12" s="23"/>
      <c r="T12" s="23"/>
      <c r="U12" s="23"/>
      <c r="V12" s="23"/>
      <c r="W12" s="21"/>
      <c r="X12" s="23"/>
      <c r="Y12" s="23"/>
    </row>
    <row r="13" spans="1:25">
      <c r="A13" s="23"/>
      <c r="B13" s="23"/>
      <c r="C13" s="23"/>
      <c r="D13" s="23"/>
      <c r="E13" s="23"/>
      <c r="F13" s="23"/>
      <c r="G13" s="23"/>
      <c r="H13" s="31"/>
      <c r="I13" s="21"/>
      <c r="J13" s="23"/>
      <c r="K13" s="23"/>
      <c r="L13" s="24"/>
      <c r="M13" s="21"/>
      <c r="N13" s="23"/>
      <c r="O13" s="23"/>
      <c r="P13" s="23"/>
      <c r="Q13" s="23"/>
      <c r="R13" s="23"/>
      <c r="S13" s="23"/>
      <c r="T13" s="23"/>
      <c r="U13" s="23"/>
      <c r="V13" s="23"/>
      <c r="W13" s="21"/>
      <c r="X13" s="23"/>
      <c r="Y13" s="23"/>
    </row>
    <row r="14" spans="1:25">
      <c r="A14" s="23"/>
      <c r="B14" s="23"/>
      <c r="C14" s="23"/>
      <c r="D14" s="23"/>
      <c r="E14" s="23"/>
      <c r="F14" s="23"/>
      <c r="G14" s="23"/>
      <c r="H14" s="31"/>
      <c r="I14" s="21"/>
      <c r="J14" s="23"/>
      <c r="K14" s="23"/>
      <c r="L14" s="24"/>
      <c r="M14" s="21"/>
      <c r="N14" s="23"/>
      <c r="O14" s="23"/>
      <c r="P14" s="23"/>
      <c r="Q14" s="23"/>
      <c r="R14" s="23"/>
      <c r="S14" s="23"/>
      <c r="T14" s="23"/>
      <c r="U14" s="23"/>
      <c r="V14" s="23"/>
      <c r="W14" s="21"/>
      <c r="X14" s="23"/>
      <c r="Y14" s="23"/>
    </row>
    <row r="15" spans="1:25">
      <c r="A15" s="23"/>
      <c r="B15" s="23"/>
      <c r="C15" s="23"/>
      <c r="D15" s="23"/>
      <c r="E15" s="23"/>
      <c r="F15" s="23"/>
      <c r="G15" s="23"/>
      <c r="H15" s="31"/>
      <c r="I15" s="21"/>
      <c r="J15" s="23"/>
      <c r="K15" s="23"/>
      <c r="L15" s="24"/>
      <c r="M15" s="21"/>
      <c r="N15" s="23"/>
      <c r="O15" s="23"/>
      <c r="P15" s="23"/>
      <c r="Q15" s="23"/>
      <c r="R15" s="23"/>
      <c r="S15" s="23"/>
      <c r="T15" s="23"/>
      <c r="U15" s="23"/>
      <c r="V15" s="23"/>
      <c r="W15" s="21"/>
      <c r="X15" s="23"/>
      <c r="Y15" s="23"/>
    </row>
    <row r="16" spans="1:25">
      <c r="A16" s="23"/>
      <c r="B16" s="23"/>
      <c r="C16" s="23"/>
      <c r="D16" s="23"/>
      <c r="E16" s="23"/>
      <c r="F16" s="23"/>
      <c r="G16" s="23"/>
      <c r="H16" s="31"/>
      <c r="I16" s="21"/>
      <c r="J16" s="23"/>
      <c r="K16" s="23"/>
      <c r="L16" s="24"/>
      <c r="M16" s="21"/>
      <c r="N16" s="23"/>
      <c r="O16" s="23"/>
      <c r="P16" s="23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31"/>
      <c r="I17" s="21"/>
      <c r="J17" s="23"/>
      <c r="K17" s="23"/>
      <c r="L17" s="24"/>
      <c r="M17" s="21"/>
      <c r="N17" s="23"/>
      <c r="O17" s="23"/>
      <c r="P17" s="23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31"/>
      <c r="I18" s="21"/>
      <c r="J18" s="23"/>
      <c r="K18" s="23"/>
      <c r="L18" s="24"/>
      <c r="M18" s="21"/>
      <c r="N18" s="23"/>
      <c r="O18" s="23"/>
      <c r="P18" s="23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31"/>
      <c r="I19" s="21"/>
      <c r="J19" s="23"/>
      <c r="K19" s="23"/>
      <c r="L19" s="24"/>
      <c r="M19" s="21"/>
      <c r="N19" s="23"/>
      <c r="O19" s="23"/>
      <c r="P19" s="23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31"/>
      <c r="I20" s="21"/>
      <c r="L20" s="24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1463</v>
      </c>
      <c r="G1" s="22" t="s">
        <v>12</v>
      </c>
      <c r="H1" s="22" t="s">
        <v>1464</v>
      </c>
      <c r="I1" s="22" t="s">
        <v>13</v>
      </c>
      <c r="J1" s="22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</row>
    <row r="2" spans="1:1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1"/>
      <c r="Q2" s="23"/>
      <c r="R2" s="23"/>
    </row>
    <row r="3" spans="1:1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1"/>
      <c r="Q3" s="23"/>
      <c r="R3" s="23"/>
    </row>
    <row r="4" spans="1: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1"/>
      <c r="Q4" s="23"/>
      <c r="R4" s="23"/>
    </row>
    <row r="5" spans="1:1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1"/>
      <c r="Q6" s="23"/>
      <c r="R6" s="23"/>
    </row>
    <row r="7" spans="1:18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1"/>
      <c r="Q7" s="23"/>
      <c r="R7" s="23"/>
    </row>
    <row r="8" spans="1:1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1"/>
      <c r="Q8" s="23"/>
      <c r="R8" s="23"/>
    </row>
    <row r="9" spans="1:18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1"/>
      <c r="Q9" s="23"/>
      <c r="R9" s="23"/>
    </row>
    <row r="10" spans="1:1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 s="42" customFormat="1">
      <c r="C21" s="41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22" t="s">
        <v>1465</v>
      </c>
      <c r="B1" s="22" t="s">
        <v>1</v>
      </c>
      <c r="C1" s="22" t="s">
        <v>5</v>
      </c>
      <c r="D1" s="22" t="s">
        <v>1466</v>
      </c>
      <c r="E1" s="22" t="s">
        <v>1467</v>
      </c>
      <c r="F1" s="22" t="s">
        <v>1468</v>
      </c>
      <c r="G1" s="22" t="s">
        <v>25</v>
      </c>
    </row>
    <row r="2" spans="1:7">
      <c r="A2" s="23"/>
      <c r="B2" s="23"/>
      <c r="C2" s="24"/>
      <c r="D2" s="141"/>
      <c r="E2" s="41"/>
      <c r="F2" s="41"/>
      <c r="G2" s="30"/>
    </row>
    <row r="3" spans="1:7">
      <c r="A3" s="23"/>
      <c r="B3" s="23"/>
      <c r="C3" s="24"/>
      <c r="G3" s="23"/>
    </row>
    <row r="4" spans="1:7">
      <c r="A4" s="23"/>
      <c r="B4" s="23"/>
      <c r="C4" s="24"/>
      <c r="G4" s="23"/>
    </row>
    <row r="5" spans="1:7">
      <c r="A5" s="23"/>
      <c r="B5" s="23"/>
      <c r="C5" s="24"/>
      <c r="G5" s="23"/>
    </row>
    <row r="6" spans="1:7">
      <c r="A6" s="23"/>
      <c r="B6" s="23"/>
      <c r="C6" s="24"/>
      <c r="G6" s="23"/>
    </row>
    <row r="7" spans="1:7">
      <c r="A7" s="23"/>
      <c r="B7" s="23"/>
      <c r="C7" s="24"/>
      <c r="G7" s="23"/>
    </row>
    <row r="8" spans="1:7">
      <c r="A8" s="23"/>
      <c r="B8" s="23"/>
      <c r="C8" s="24"/>
      <c r="G8" s="23"/>
    </row>
    <row r="9" spans="1:7">
      <c r="A9" s="23"/>
      <c r="B9" s="23"/>
      <c r="C9" s="24"/>
      <c r="G9" s="23"/>
    </row>
    <row r="10" spans="1:7">
      <c r="A10" s="23"/>
      <c r="B10" s="23"/>
      <c r="C10" s="24"/>
      <c r="G10" s="23"/>
    </row>
    <row r="11" spans="1:7">
      <c r="A11" s="23"/>
      <c r="B11" s="23"/>
      <c r="C11" s="24"/>
      <c r="G11" s="23"/>
    </row>
    <row r="12" spans="1:7">
      <c r="A12" s="23"/>
      <c r="B12" s="23"/>
      <c r="C12" s="24"/>
      <c r="G12" s="23"/>
    </row>
    <row r="13" spans="1:7">
      <c r="A13" s="23"/>
      <c r="B13" s="23"/>
      <c r="C13" s="24"/>
      <c r="G13" s="23"/>
    </row>
    <row r="14" spans="1:7">
      <c r="A14" s="23"/>
      <c r="B14" s="23"/>
      <c r="C14" s="24"/>
      <c r="G14" s="23"/>
    </row>
    <row r="15" spans="1:7">
      <c r="A15" s="23"/>
      <c r="B15" s="23"/>
      <c r="C15" s="24"/>
      <c r="G15" s="23"/>
    </row>
    <row r="16" spans="1:7">
      <c r="A16" s="23"/>
      <c r="B16" s="23"/>
      <c r="C16" s="24"/>
      <c r="G16" s="23"/>
    </row>
    <row r="17" spans="1:7">
      <c r="A17" s="23"/>
      <c r="B17" s="23"/>
      <c r="C17" s="24"/>
      <c r="G17" s="23"/>
    </row>
    <row r="18" spans="1:7">
      <c r="A18" s="23"/>
      <c r="B18" s="23"/>
      <c r="C18" s="24"/>
      <c r="G18" s="23"/>
    </row>
    <row r="19" spans="1:7">
      <c r="A19" s="23"/>
      <c r="B19" s="23"/>
      <c r="C19" s="24"/>
      <c r="G19" s="23"/>
    </row>
    <row r="20" spans="1:7">
      <c r="C20" s="24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122</v>
      </c>
      <c r="M1" s="22" t="s">
        <v>123</v>
      </c>
      <c r="N1" s="22" t="s">
        <v>1463</v>
      </c>
      <c r="O1" s="22" t="s">
        <v>9</v>
      </c>
      <c r="P1" s="22" t="s">
        <v>10</v>
      </c>
      <c r="Q1" s="22" t="s">
        <v>124</v>
      </c>
      <c r="R1" s="22" t="s">
        <v>11</v>
      </c>
      <c r="S1" s="22" t="s">
        <v>12</v>
      </c>
      <c r="T1" s="22" t="s">
        <v>1464</v>
      </c>
      <c r="U1" s="22" t="s">
        <v>125</v>
      </c>
      <c r="V1" s="22" t="s">
        <v>13</v>
      </c>
      <c r="W1" s="22" t="s">
        <v>14</v>
      </c>
      <c r="X1" s="22" t="s">
        <v>15</v>
      </c>
      <c r="Y1" s="22" t="s">
        <v>126</v>
      </c>
      <c r="Z1" s="22" t="s">
        <v>127</v>
      </c>
      <c r="AA1" s="22" t="s">
        <v>1469</v>
      </c>
      <c r="AB1" s="22" t="s">
        <v>1470</v>
      </c>
      <c r="AC1" s="22" t="s">
        <v>1471</v>
      </c>
      <c r="AD1" s="22" t="s">
        <v>1472</v>
      </c>
      <c r="AE1" s="22" t="s">
        <v>1473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128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4"/>
      <c r="AA2" s="23"/>
      <c r="AB2" s="23"/>
      <c r="AC2" s="24"/>
      <c r="AD2" s="24"/>
      <c r="AE2" s="23"/>
      <c r="AF2" s="23"/>
      <c r="AG2" s="23"/>
      <c r="AH2" s="23"/>
      <c r="AI2" s="23"/>
      <c r="AK2" s="4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C3" s="41"/>
      <c r="AF3" s="23"/>
      <c r="AG3" s="24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4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4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4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4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4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4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4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4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4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4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4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4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4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4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4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4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Y21" s="45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V1" workbookViewId="0">
      <selection activeCell="Z21" sqref="Z21"/>
    </sheetView>
  </sheetViews>
  <sheetFormatPr defaultColWidth="0" defaultRowHeight="14.25"/>
  <cols>
    <col min="1" max="4" width="11.625" style="3" customWidth="1"/>
    <col min="5" max="5" width="11.625" style="5" customWidth="1"/>
    <col min="6" max="8" width="11.625" style="3" customWidth="1"/>
    <col min="9" max="9" width="22.75" style="3" bestFit="1" customWidth="1"/>
    <col min="10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129</v>
      </c>
      <c r="M1" s="22" t="s">
        <v>122</v>
      </c>
      <c r="N1" s="22" t="s">
        <v>123</v>
      </c>
      <c r="O1" s="180" t="s">
        <v>1463</v>
      </c>
      <c r="P1" s="22" t="s">
        <v>9</v>
      </c>
      <c r="Q1" s="22" t="s">
        <v>10</v>
      </c>
      <c r="R1" s="22" t="s">
        <v>124</v>
      </c>
      <c r="S1" s="22" t="s">
        <v>11</v>
      </c>
      <c r="T1" s="22" t="s">
        <v>12</v>
      </c>
      <c r="U1" s="22" t="s">
        <v>13</v>
      </c>
      <c r="V1" s="167" t="s">
        <v>15</v>
      </c>
      <c r="W1" s="167" t="s">
        <v>14</v>
      </c>
      <c r="X1" s="22" t="s">
        <v>126</v>
      </c>
      <c r="Y1" s="22" t="s">
        <v>127</v>
      </c>
      <c r="Z1" s="22" t="s">
        <v>1469</v>
      </c>
      <c r="AA1" s="22" t="s">
        <v>1470</v>
      </c>
      <c r="AB1" s="180" t="s">
        <v>1472</v>
      </c>
      <c r="AC1" s="180" t="s">
        <v>1473</v>
      </c>
      <c r="AD1" s="22" t="s">
        <v>17</v>
      </c>
      <c r="AE1" s="165" t="s">
        <v>18</v>
      </c>
      <c r="AF1" s="171" t="s">
        <v>19</v>
      </c>
      <c r="AG1" s="22" t="s">
        <v>20</v>
      </c>
      <c r="AH1" s="22" t="s">
        <v>21</v>
      </c>
      <c r="AI1" s="22" t="s">
        <v>128</v>
      </c>
      <c r="AJ1" s="22" t="s">
        <v>22</v>
      </c>
      <c r="AK1" s="167" t="s">
        <v>24</v>
      </c>
      <c r="AL1" s="167" t="s">
        <v>25</v>
      </c>
    </row>
    <row r="2" spans="1:38">
      <c r="A2" s="3">
        <v>419</v>
      </c>
      <c r="B2" s="23">
        <v>419</v>
      </c>
      <c r="C2" s="23" t="s">
        <v>1474</v>
      </c>
      <c r="D2" s="23" t="s">
        <v>1475</v>
      </c>
      <c r="E2" s="21" t="s">
        <v>33</v>
      </c>
      <c r="F2" s="23" t="s">
        <v>1476</v>
      </c>
      <c r="G2" s="23" t="s">
        <v>1477</v>
      </c>
      <c r="H2" s="23" t="s">
        <v>33</v>
      </c>
      <c r="I2" s="23" t="s">
        <v>149</v>
      </c>
      <c r="J2" s="21" t="s">
        <v>30</v>
      </c>
      <c r="K2" s="21" t="s">
        <v>30</v>
      </c>
      <c r="L2" s="23" t="s">
        <v>240</v>
      </c>
      <c r="M2" s="23" t="s">
        <v>1478</v>
      </c>
      <c r="N2" s="23" t="s">
        <v>139</v>
      </c>
      <c r="O2" s="181" t="s">
        <v>1479</v>
      </c>
      <c r="P2" s="23" t="s">
        <v>67</v>
      </c>
      <c r="Q2" s="23" t="s">
        <v>67</v>
      </c>
      <c r="R2" s="23" t="s">
        <v>67</v>
      </c>
      <c r="S2" s="21" t="s">
        <v>34</v>
      </c>
      <c r="T2" s="159">
        <v>0</v>
      </c>
      <c r="U2" s="23" t="s">
        <v>1480</v>
      </c>
      <c r="V2" s="173">
        <v>0</v>
      </c>
      <c r="W2" s="173">
        <v>0</v>
      </c>
      <c r="X2" s="21" t="s">
        <v>144</v>
      </c>
      <c r="Y2" s="31" t="s">
        <v>763</v>
      </c>
      <c r="Z2" s="23" t="s">
        <v>1538</v>
      </c>
      <c r="AA2" s="23" t="s">
        <v>1481</v>
      </c>
      <c r="AB2" s="182" t="s">
        <v>1482</v>
      </c>
      <c r="AC2" s="181" t="s">
        <v>1482</v>
      </c>
      <c r="AD2" s="159">
        <v>1070000</v>
      </c>
      <c r="AE2" s="174">
        <v>1</v>
      </c>
      <c r="AF2" s="175">
        <v>0</v>
      </c>
      <c r="AG2" s="159">
        <v>0</v>
      </c>
      <c r="AH2" s="23"/>
      <c r="AI2" s="40"/>
      <c r="AJ2" s="24" t="s">
        <v>36</v>
      </c>
      <c r="AK2" s="168">
        <v>0</v>
      </c>
      <c r="AL2" s="168">
        <v>0</v>
      </c>
    </row>
    <row r="3" spans="1:38">
      <c r="A3" s="23">
        <v>419</v>
      </c>
      <c r="B3" s="23">
        <v>419</v>
      </c>
      <c r="C3" s="23" t="s">
        <v>1483</v>
      </c>
      <c r="D3" s="23" t="s">
        <v>1484</v>
      </c>
      <c r="E3" s="21" t="s">
        <v>809</v>
      </c>
      <c r="F3" s="23" t="s">
        <v>1485</v>
      </c>
      <c r="G3" s="23" t="s">
        <v>1486</v>
      </c>
      <c r="H3" s="23" t="s">
        <v>135</v>
      </c>
      <c r="I3" s="23" t="s">
        <v>136</v>
      </c>
      <c r="J3" s="21" t="s">
        <v>741</v>
      </c>
      <c r="K3" s="21" t="s">
        <v>1487</v>
      </c>
      <c r="L3" s="23" t="s">
        <v>240</v>
      </c>
      <c r="M3" s="23" t="s">
        <v>1060</v>
      </c>
      <c r="N3" s="23" t="s">
        <v>139</v>
      </c>
      <c r="O3" s="181" t="s">
        <v>1479</v>
      </c>
      <c r="P3" s="23" t="s">
        <v>67</v>
      </c>
      <c r="Q3" s="23" t="s">
        <v>67</v>
      </c>
      <c r="R3" s="23" t="s">
        <v>67</v>
      </c>
      <c r="S3" s="21" t="s">
        <v>427</v>
      </c>
      <c r="T3" s="159">
        <v>0</v>
      </c>
      <c r="U3" s="23" t="s">
        <v>1488</v>
      </c>
      <c r="V3" s="173">
        <v>0</v>
      </c>
      <c r="W3" s="168">
        <v>0</v>
      </c>
      <c r="X3" s="21" t="s">
        <v>144</v>
      </c>
      <c r="Y3" s="21" t="s">
        <v>763</v>
      </c>
      <c r="Z3" s="23" t="s">
        <v>1538</v>
      </c>
      <c r="AA3" s="23" t="s">
        <v>1481</v>
      </c>
      <c r="AB3" s="182" t="s">
        <v>1482</v>
      </c>
      <c r="AC3" s="181" t="s">
        <v>1482</v>
      </c>
      <c r="AD3" s="159">
        <v>500000</v>
      </c>
      <c r="AE3" s="174">
        <v>3.306</v>
      </c>
      <c r="AF3" s="175">
        <v>0.1</v>
      </c>
      <c r="AG3" s="159">
        <v>1.653</v>
      </c>
      <c r="AH3" s="23"/>
      <c r="AI3" s="23"/>
      <c r="AJ3" s="24" t="s">
        <v>36</v>
      </c>
      <c r="AK3" s="168">
        <v>3.7262998151955099E-4</v>
      </c>
      <c r="AL3" s="168">
        <v>1.3980934609002499E-6</v>
      </c>
    </row>
    <row r="4" spans="1:38">
      <c r="A4" s="23">
        <v>419</v>
      </c>
      <c r="B4" s="23">
        <v>419</v>
      </c>
      <c r="C4" s="23" t="s">
        <v>1489</v>
      </c>
      <c r="D4" s="23" t="s">
        <v>1490</v>
      </c>
      <c r="E4" s="21" t="s">
        <v>132</v>
      </c>
      <c r="F4" s="23" t="s">
        <v>1491</v>
      </c>
      <c r="G4" s="23" t="s">
        <v>1492</v>
      </c>
      <c r="H4" s="23" t="s">
        <v>135</v>
      </c>
      <c r="I4" s="23" t="s">
        <v>149</v>
      </c>
      <c r="J4" s="21" t="s">
        <v>30</v>
      </c>
      <c r="K4" s="21" t="s">
        <v>30</v>
      </c>
      <c r="L4" s="23" t="s">
        <v>240</v>
      </c>
      <c r="M4" s="23" t="s">
        <v>217</v>
      </c>
      <c r="N4" s="23" t="s">
        <v>139</v>
      </c>
      <c r="O4" s="182" t="s">
        <v>1493</v>
      </c>
      <c r="P4" s="24" t="s">
        <v>67</v>
      </c>
      <c r="Q4" s="24" t="s">
        <v>67</v>
      </c>
      <c r="R4" s="24" t="s">
        <v>67</v>
      </c>
      <c r="S4" s="23" t="s">
        <v>34</v>
      </c>
      <c r="T4" s="159">
        <v>0</v>
      </c>
      <c r="U4" s="23" t="s">
        <v>1494</v>
      </c>
      <c r="V4" s="173">
        <v>0</v>
      </c>
      <c r="W4" s="173">
        <v>0</v>
      </c>
      <c r="X4" s="21" t="s">
        <v>144</v>
      </c>
      <c r="Y4" s="21" t="s">
        <v>763</v>
      </c>
      <c r="Z4" s="23" t="s">
        <v>1538</v>
      </c>
      <c r="AA4" s="23" t="s">
        <v>1481</v>
      </c>
      <c r="AB4" s="182" t="s">
        <v>1482</v>
      </c>
      <c r="AC4" s="182" t="s">
        <v>1482</v>
      </c>
      <c r="AD4" s="157">
        <v>1425065.35</v>
      </c>
      <c r="AE4" s="174">
        <v>1</v>
      </c>
      <c r="AF4" s="175">
        <v>0</v>
      </c>
      <c r="AG4" s="159">
        <v>0</v>
      </c>
      <c r="AH4" s="23"/>
      <c r="AI4" s="23"/>
      <c r="AJ4" s="24" t="s">
        <v>36</v>
      </c>
      <c r="AK4" s="168">
        <v>3.2124747431013501E-9</v>
      </c>
      <c r="AL4" s="168">
        <v>1.2053082560136299E-11</v>
      </c>
    </row>
    <row r="5" spans="1:38">
      <c r="A5" s="23">
        <v>419</v>
      </c>
      <c r="B5" s="23">
        <v>419</v>
      </c>
      <c r="C5" s="23" t="s">
        <v>1495</v>
      </c>
      <c r="D5" s="23" t="s">
        <v>1496</v>
      </c>
      <c r="E5" s="21" t="s">
        <v>132</v>
      </c>
      <c r="F5" s="23" t="s">
        <v>1497</v>
      </c>
      <c r="G5" s="23" t="s">
        <v>1498</v>
      </c>
      <c r="H5" s="23" t="s">
        <v>135</v>
      </c>
      <c r="I5" s="23" t="s">
        <v>149</v>
      </c>
      <c r="J5" s="21" t="s">
        <v>30</v>
      </c>
      <c r="K5" s="21" t="s">
        <v>30</v>
      </c>
      <c r="L5" s="23" t="s">
        <v>240</v>
      </c>
      <c r="M5" s="23" t="s">
        <v>467</v>
      </c>
      <c r="N5" s="23" t="s">
        <v>139</v>
      </c>
      <c r="O5" s="181" t="s">
        <v>1499</v>
      </c>
      <c r="P5" s="23" t="s">
        <v>642</v>
      </c>
      <c r="Q5" s="23" t="s">
        <v>141</v>
      </c>
      <c r="R5" s="23" t="s">
        <v>142</v>
      </c>
      <c r="S5" s="21" t="s">
        <v>34</v>
      </c>
      <c r="T5" s="159">
        <v>0.06</v>
      </c>
      <c r="U5" s="23" t="s">
        <v>1500</v>
      </c>
      <c r="V5" s="173">
        <v>2.8400000000000002E-2</v>
      </c>
      <c r="W5" s="168">
        <v>7.7499999999999999E-2</v>
      </c>
      <c r="X5" s="21" t="s">
        <v>144</v>
      </c>
      <c r="Y5" s="21" t="s">
        <v>139</v>
      </c>
      <c r="Z5" s="23" t="s">
        <v>1501</v>
      </c>
      <c r="AA5" s="23" t="s">
        <v>1502</v>
      </c>
      <c r="AB5" s="182" t="s">
        <v>1503</v>
      </c>
      <c r="AC5" s="181">
        <v>45930</v>
      </c>
      <c r="AD5" s="159">
        <v>23682.04</v>
      </c>
      <c r="AE5" s="174">
        <v>1</v>
      </c>
      <c r="AF5" s="175">
        <v>149.13999999999999</v>
      </c>
      <c r="AG5" s="157">
        <v>35.319000000000003</v>
      </c>
      <c r="AJ5" s="24" t="s">
        <v>36</v>
      </c>
      <c r="AK5" s="168">
        <v>7.9619269833157997E-3</v>
      </c>
      <c r="AL5" s="168">
        <v>2.98728459963037E-5</v>
      </c>
    </row>
    <row r="6" spans="1:38">
      <c r="A6" s="23">
        <v>419</v>
      </c>
      <c r="B6" s="23">
        <v>419</v>
      </c>
      <c r="C6" s="23" t="s">
        <v>1504</v>
      </c>
      <c r="D6" s="23" t="s">
        <v>1505</v>
      </c>
      <c r="E6" s="21" t="s">
        <v>132</v>
      </c>
      <c r="F6" s="23" t="s">
        <v>1506</v>
      </c>
      <c r="G6" s="23" t="s">
        <v>1507</v>
      </c>
      <c r="H6" s="23" t="s">
        <v>135</v>
      </c>
      <c r="I6" s="23" t="s">
        <v>149</v>
      </c>
      <c r="J6" s="21" t="s">
        <v>30</v>
      </c>
      <c r="K6" s="21" t="s">
        <v>30</v>
      </c>
      <c r="L6" s="23" t="s">
        <v>240</v>
      </c>
      <c r="M6" s="23" t="s">
        <v>726</v>
      </c>
      <c r="N6" s="23" t="s">
        <v>139</v>
      </c>
      <c r="O6" s="181" t="s">
        <v>1508</v>
      </c>
      <c r="P6" s="23" t="s">
        <v>67</v>
      </c>
      <c r="Q6" s="23" t="s">
        <v>67</v>
      </c>
      <c r="R6" s="23" t="s">
        <v>67</v>
      </c>
      <c r="S6" s="21" t="s">
        <v>34</v>
      </c>
      <c r="T6" s="159">
        <v>0</v>
      </c>
      <c r="U6" s="23" t="s">
        <v>1509</v>
      </c>
      <c r="V6" s="173">
        <v>0</v>
      </c>
      <c r="W6" s="168">
        <v>0</v>
      </c>
      <c r="X6" s="21" t="s">
        <v>1510</v>
      </c>
      <c r="Y6" s="21" t="s">
        <v>763</v>
      </c>
      <c r="Z6" s="23" t="s">
        <v>1538</v>
      </c>
      <c r="AA6" s="23" t="s">
        <v>1481</v>
      </c>
      <c r="AB6" s="182" t="s">
        <v>1482</v>
      </c>
      <c r="AC6" s="181" t="s">
        <v>1482</v>
      </c>
      <c r="AD6" s="159">
        <v>11192.76</v>
      </c>
      <c r="AE6" s="174">
        <v>1</v>
      </c>
      <c r="AF6" s="175">
        <v>0</v>
      </c>
      <c r="AG6" s="157">
        <v>0</v>
      </c>
      <c r="AJ6" s="24" t="s">
        <v>36</v>
      </c>
      <c r="AK6" s="168">
        <v>2.5231445565352497E-11</v>
      </c>
      <c r="AL6" s="168">
        <v>9.4667420238510908E-14</v>
      </c>
    </row>
    <row r="7" spans="1:38">
      <c r="A7" s="23">
        <v>419</v>
      </c>
      <c r="B7" s="23">
        <v>419</v>
      </c>
      <c r="C7" s="23" t="s">
        <v>1504</v>
      </c>
      <c r="D7" s="23" t="s">
        <v>1505</v>
      </c>
      <c r="E7" s="21" t="s">
        <v>132</v>
      </c>
      <c r="F7" s="23" t="s">
        <v>1511</v>
      </c>
      <c r="G7" s="23" t="s">
        <v>1512</v>
      </c>
      <c r="H7" s="23" t="s">
        <v>135</v>
      </c>
      <c r="I7" s="23" t="s">
        <v>149</v>
      </c>
      <c r="J7" s="21" t="s">
        <v>30</v>
      </c>
      <c r="K7" s="21" t="s">
        <v>30</v>
      </c>
      <c r="L7" s="23" t="s">
        <v>240</v>
      </c>
      <c r="M7" s="23" t="s">
        <v>726</v>
      </c>
      <c r="N7" s="23" t="s">
        <v>139</v>
      </c>
      <c r="O7" s="181" t="s">
        <v>1508</v>
      </c>
      <c r="P7" s="23" t="s">
        <v>67</v>
      </c>
      <c r="Q7" s="23" t="s">
        <v>67</v>
      </c>
      <c r="R7" s="23" t="s">
        <v>67</v>
      </c>
      <c r="S7" s="21" t="s">
        <v>34</v>
      </c>
      <c r="T7" s="159">
        <v>0</v>
      </c>
      <c r="U7" s="23" t="s">
        <v>1509</v>
      </c>
      <c r="V7" s="173">
        <v>0</v>
      </c>
      <c r="W7" s="168">
        <v>0</v>
      </c>
      <c r="X7" s="21" t="s">
        <v>1510</v>
      </c>
      <c r="Y7" s="21" t="s">
        <v>763</v>
      </c>
      <c r="Z7" s="23" t="s">
        <v>1538</v>
      </c>
      <c r="AA7" s="23" t="s">
        <v>1481</v>
      </c>
      <c r="AB7" s="182" t="s">
        <v>1482</v>
      </c>
      <c r="AC7" s="181" t="s">
        <v>1482</v>
      </c>
      <c r="AD7" s="159">
        <v>8177.32</v>
      </c>
      <c r="AE7" s="174">
        <v>1</v>
      </c>
      <c r="AF7" s="175">
        <v>0</v>
      </c>
      <c r="AG7" s="159">
        <v>0</v>
      </c>
      <c r="AH7" s="23"/>
      <c r="AI7" s="23"/>
      <c r="AJ7" s="24" t="s">
        <v>36</v>
      </c>
      <c r="AK7" s="168">
        <v>1.8433845132967097E-11</v>
      </c>
      <c r="AL7" s="168">
        <v>6.9163082998722398E-14</v>
      </c>
    </row>
    <row r="8" spans="1:38">
      <c r="A8" s="23">
        <v>419</v>
      </c>
      <c r="B8" s="23">
        <v>419</v>
      </c>
      <c r="C8" s="23" t="s">
        <v>1513</v>
      </c>
      <c r="D8" s="23" t="s">
        <v>1514</v>
      </c>
      <c r="E8" s="21" t="s">
        <v>132</v>
      </c>
      <c r="F8" s="23" t="s">
        <v>1515</v>
      </c>
      <c r="G8" s="23" t="s">
        <v>1516</v>
      </c>
      <c r="H8" s="23" t="s">
        <v>135</v>
      </c>
      <c r="I8" s="23" t="s">
        <v>161</v>
      </c>
      <c r="J8" s="21" t="s">
        <v>30</v>
      </c>
      <c r="K8" s="21" t="s">
        <v>30</v>
      </c>
      <c r="L8" s="23" t="s">
        <v>240</v>
      </c>
      <c r="M8" s="23" t="s">
        <v>556</v>
      </c>
      <c r="N8" s="23" t="s">
        <v>139</v>
      </c>
      <c r="O8" s="181" t="s">
        <v>1517</v>
      </c>
      <c r="P8" s="23" t="s">
        <v>179</v>
      </c>
      <c r="Q8" s="23" t="s">
        <v>172</v>
      </c>
      <c r="R8" s="23" t="s">
        <v>142</v>
      </c>
      <c r="S8" s="21" t="s">
        <v>34</v>
      </c>
      <c r="T8" s="159">
        <v>5.21</v>
      </c>
      <c r="U8" s="23" t="s">
        <v>1518</v>
      </c>
      <c r="V8" s="173">
        <v>4.2299999999999997E-2</v>
      </c>
      <c r="W8" s="168">
        <v>3.9800000000000002E-2</v>
      </c>
      <c r="X8" s="21" t="s">
        <v>144</v>
      </c>
      <c r="Y8" s="21" t="s">
        <v>139</v>
      </c>
      <c r="Z8" s="23" t="s">
        <v>1501</v>
      </c>
      <c r="AA8" s="23" t="s">
        <v>1502</v>
      </c>
      <c r="AB8" s="182" t="s">
        <v>1503</v>
      </c>
      <c r="AC8" s="196">
        <v>45930</v>
      </c>
      <c r="AD8" s="159">
        <v>1500000</v>
      </c>
      <c r="AE8" s="174">
        <v>1</v>
      </c>
      <c r="AF8" s="175">
        <v>100.96</v>
      </c>
      <c r="AG8" s="159">
        <v>1514.4</v>
      </c>
      <c r="AH8" s="23"/>
      <c r="AI8" s="23"/>
      <c r="AJ8" s="24" t="s">
        <v>36</v>
      </c>
      <c r="AK8" s="168">
        <v>0.34138587054640601</v>
      </c>
      <c r="AL8" s="168">
        <v>1.2808667496596101E-3</v>
      </c>
    </row>
    <row r="9" spans="1:38">
      <c r="A9" s="23">
        <v>419</v>
      </c>
      <c r="B9" s="23">
        <v>419</v>
      </c>
      <c r="C9" s="23" t="s">
        <v>1519</v>
      </c>
      <c r="D9" s="23" t="s">
        <v>1520</v>
      </c>
      <c r="E9" s="21" t="s">
        <v>132</v>
      </c>
      <c r="F9" s="23" t="s">
        <v>1521</v>
      </c>
      <c r="G9" s="23" t="s">
        <v>1522</v>
      </c>
      <c r="H9" s="23" t="s">
        <v>135</v>
      </c>
      <c r="I9" s="23" t="s">
        <v>149</v>
      </c>
      <c r="J9" s="21" t="s">
        <v>30</v>
      </c>
      <c r="K9" s="21" t="s">
        <v>30</v>
      </c>
      <c r="L9" s="24" t="s">
        <v>1527</v>
      </c>
      <c r="M9" s="23" t="s">
        <v>204</v>
      </c>
      <c r="N9" s="23" t="s">
        <v>139</v>
      </c>
      <c r="O9" s="181" t="s">
        <v>1523</v>
      </c>
      <c r="P9" s="23" t="s">
        <v>198</v>
      </c>
      <c r="Q9" s="23" t="s">
        <v>141</v>
      </c>
      <c r="R9" s="23" t="s">
        <v>142</v>
      </c>
      <c r="S9" s="21" t="s">
        <v>34</v>
      </c>
      <c r="T9" s="159">
        <v>5.24</v>
      </c>
      <c r="U9" s="23" t="s">
        <v>1524</v>
      </c>
      <c r="V9" s="173">
        <v>3.4799999999999998E-2</v>
      </c>
      <c r="W9" s="168">
        <v>3.4000000000000002E-2</v>
      </c>
      <c r="X9" s="21" t="s">
        <v>144</v>
      </c>
      <c r="Y9" s="21" t="s">
        <v>139</v>
      </c>
      <c r="Z9" s="23" t="s">
        <v>1501</v>
      </c>
      <c r="AA9" s="23" t="s">
        <v>1502</v>
      </c>
      <c r="AB9" s="182" t="s">
        <v>1503</v>
      </c>
      <c r="AC9" s="196">
        <v>45930</v>
      </c>
      <c r="AD9" s="159">
        <v>1993000</v>
      </c>
      <c r="AE9" s="174">
        <v>1</v>
      </c>
      <c r="AF9" s="175">
        <v>102.03</v>
      </c>
      <c r="AG9" s="159">
        <v>2033.4580000000001</v>
      </c>
      <c r="AH9" s="23"/>
      <c r="AI9" s="23"/>
      <c r="AJ9" s="24" t="s">
        <v>36</v>
      </c>
      <c r="AK9" s="168">
        <v>0.45839526902467398</v>
      </c>
      <c r="AL9" s="168">
        <v>1.71988154446821E-3</v>
      </c>
    </row>
    <row r="10" spans="1:38">
      <c r="A10" s="23">
        <v>419</v>
      </c>
      <c r="B10" s="23">
        <v>419</v>
      </c>
      <c r="C10" s="23" t="s">
        <v>1519</v>
      </c>
      <c r="D10" s="23" t="s">
        <v>1520</v>
      </c>
      <c r="E10" s="21" t="s">
        <v>132</v>
      </c>
      <c r="F10" s="23" t="s">
        <v>1525</v>
      </c>
      <c r="G10" s="23" t="s">
        <v>1526</v>
      </c>
      <c r="H10" s="23" t="s">
        <v>135</v>
      </c>
      <c r="I10" s="23" t="s">
        <v>161</v>
      </c>
      <c r="J10" s="21" t="s">
        <v>30</v>
      </c>
      <c r="K10" s="21" t="s">
        <v>30</v>
      </c>
      <c r="L10" s="24" t="s">
        <v>1527</v>
      </c>
      <c r="M10" s="23" t="s">
        <v>204</v>
      </c>
      <c r="N10" s="23" t="s">
        <v>139</v>
      </c>
      <c r="O10" s="181" t="s">
        <v>1528</v>
      </c>
      <c r="P10" s="23" t="s">
        <v>774</v>
      </c>
      <c r="Q10" s="23" t="s">
        <v>172</v>
      </c>
      <c r="R10" s="23" t="s">
        <v>142</v>
      </c>
      <c r="S10" s="21" t="s">
        <v>34</v>
      </c>
      <c r="T10" s="159">
        <v>1.22</v>
      </c>
      <c r="U10" s="23" t="s">
        <v>373</v>
      </c>
      <c r="V10" s="173">
        <v>4.6399999999999997E-2</v>
      </c>
      <c r="W10" s="168">
        <v>3.1E-2</v>
      </c>
      <c r="X10" s="21" t="s">
        <v>144</v>
      </c>
      <c r="Y10" s="21" t="s">
        <v>139</v>
      </c>
      <c r="Z10" s="23" t="s">
        <v>1501</v>
      </c>
      <c r="AA10" s="23" t="s">
        <v>1502</v>
      </c>
      <c r="AB10" s="182" t="s">
        <v>1503</v>
      </c>
      <c r="AC10" s="196">
        <v>45930</v>
      </c>
      <c r="AD10" s="159">
        <v>746637.65</v>
      </c>
      <c r="AE10" s="174">
        <v>1</v>
      </c>
      <c r="AF10" s="175">
        <v>98.25</v>
      </c>
      <c r="AG10" s="159">
        <v>733.57100000000003</v>
      </c>
      <c r="AH10" s="23"/>
      <c r="AI10" s="23"/>
      <c r="AJ10" s="24" t="s">
        <v>36</v>
      </c>
      <c r="AK10" s="168">
        <v>0.165366443545782</v>
      </c>
      <c r="AL10" s="168">
        <v>6.2044858127326499E-4</v>
      </c>
    </row>
    <row r="11" spans="1:38">
      <c r="A11" s="23">
        <v>419</v>
      </c>
      <c r="B11" s="23">
        <v>419</v>
      </c>
      <c r="C11" s="23" t="s">
        <v>1529</v>
      </c>
      <c r="D11" s="23" t="s">
        <v>1530</v>
      </c>
      <c r="E11" s="21" t="s">
        <v>132</v>
      </c>
      <c r="F11" s="23" t="s">
        <v>1531</v>
      </c>
      <c r="G11" s="23" t="s">
        <v>1532</v>
      </c>
      <c r="H11" s="23" t="s">
        <v>135</v>
      </c>
      <c r="I11" s="23" t="s">
        <v>136</v>
      </c>
      <c r="J11" s="21" t="s">
        <v>30</v>
      </c>
      <c r="K11" s="21" t="s">
        <v>30</v>
      </c>
      <c r="L11" s="23" t="s">
        <v>1527</v>
      </c>
      <c r="M11" s="23" t="s">
        <v>1478</v>
      </c>
      <c r="N11" s="23" t="s">
        <v>139</v>
      </c>
      <c r="O11" s="181" t="s">
        <v>1528</v>
      </c>
      <c r="P11" s="23" t="s">
        <v>642</v>
      </c>
      <c r="Q11" s="23" t="s">
        <v>141</v>
      </c>
      <c r="R11" s="23" t="s">
        <v>142</v>
      </c>
      <c r="S11" s="21" t="s">
        <v>427</v>
      </c>
      <c r="T11" s="159">
        <v>0.99</v>
      </c>
      <c r="U11" s="23" t="s">
        <v>1533</v>
      </c>
      <c r="V11" s="173">
        <v>4.58E-2</v>
      </c>
      <c r="W11" s="168">
        <v>7.9699999999999993E-2</v>
      </c>
      <c r="X11" s="21" t="s">
        <v>144</v>
      </c>
      <c r="Y11" s="21" t="s">
        <v>139</v>
      </c>
      <c r="Z11" s="23" t="s">
        <v>1501</v>
      </c>
      <c r="AA11" s="23" t="s">
        <v>1502</v>
      </c>
      <c r="AB11" s="182" t="s">
        <v>1503</v>
      </c>
      <c r="AC11" s="196">
        <v>45930</v>
      </c>
      <c r="AD11" s="159">
        <v>33781.47</v>
      </c>
      <c r="AE11" s="174">
        <v>3.306</v>
      </c>
      <c r="AF11" s="175">
        <v>105.33</v>
      </c>
      <c r="AG11" s="159">
        <v>117.634</v>
      </c>
      <c r="AH11" s="23"/>
      <c r="AI11" s="23"/>
      <c r="AJ11" s="24" t="s">
        <v>36</v>
      </c>
      <c r="AK11" s="168">
        <v>2.65178566621628E-2</v>
      </c>
      <c r="AL11" s="168">
        <v>9.9493985549079105E-5</v>
      </c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4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4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4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4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4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4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4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4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4"/>
    </row>
    <row r="21" spans="1:36">
      <c r="L21" s="42"/>
      <c r="X21" s="45"/>
    </row>
    <row r="22" spans="1:36">
      <c r="L22" s="3"/>
    </row>
    <row r="23" spans="1:36">
      <c r="L23" s="3"/>
    </row>
    <row r="24" spans="1:36">
      <c r="L24" s="3"/>
    </row>
    <row r="25" spans="1:36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C1" workbookViewId="0">
      <selection activeCell="U25" sqref="U25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129</v>
      </c>
      <c r="M1" s="22" t="s">
        <v>122</v>
      </c>
      <c r="N1" s="22" t="s">
        <v>123</v>
      </c>
      <c r="O1" s="180" t="s">
        <v>1463</v>
      </c>
      <c r="P1" s="22" t="s">
        <v>11</v>
      </c>
      <c r="Q1" s="22" t="s">
        <v>1469</v>
      </c>
      <c r="R1" s="22" t="s">
        <v>1470</v>
      </c>
      <c r="S1" s="180" t="s">
        <v>1472</v>
      </c>
      <c r="T1" s="180" t="s">
        <v>1473</v>
      </c>
      <c r="U1" s="22" t="s">
        <v>17</v>
      </c>
      <c r="V1" s="165" t="s">
        <v>18</v>
      </c>
      <c r="W1" s="171" t="s">
        <v>19</v>
      </c>
      <c r="X1" s="22" t="s">
        <v>20</v>
      </c>
      <c r="Y1" s="167" t="s">
        <v>24</v>
      </c>
      <c r="Z1" s="167" t="s">
        <v>25</v>
      </c>
    </row>
    <row r="2" spans="1:26">
      <c r="A2" s="23">
        <v>419</v>
      </c>
      <c r="B2" s="23">
        <v>419</v>
      </c>
      <c r="C2" s="23" t="s">
        <v>1534</v>
      </c>
      <c r="D2" s="23" t="s">
        <v>1535</v>
      </c>
      <c r="E2" s="21" t="s">
        <v>132</v>
      </c>
      <c r="F2" s="23" t="s">
        <v>1534</v>
      </c>
      <c r="G2" s="23" t="s">
        <v>1536</v>
      </c>
      <c r="H2" s="21" t="s">
        <v>135</v>
      </c>
      <c r="I2" s="23" t="s">
        <v>1537</v>
      </c>
      <c r="J2" s="21" t="s">
        <v>30</v>
      </c>
      <c r="K2" s="21" t="s">
        <v>30</v>
      </c>
      <c r="L2" s="23" t="s">
        <v>240</v>
      </c>
      <c r="M2" s="24" t="s">
        <v>2882</v>
      </c>
      <c r="N2" s="23" t="s">
        <v>139</v>
      </c>
      <c r="O2" s="181" t="s">
        <v>1479</v>
      </c>
      <c r="P2" s="21" t="s">
        <v>34</v>
      </c>
      <c r="Q2" s="23" t="s">
        <v>1538</v>
      </c>
      <c r="R2" s="23" t="s">
        <v>1481</v>
      </c>
      <c r="S2" s="181" t="s">
        <v>1482</v>
      </c>
      <c r="T2" s="181" t="s">
        <v>1482</v>
      </c>
      <c r="U2" s="159">
        <v>3509</v>
      </c>
      <c r="V2" s="174">
        <v>1</v>
      </c>
      <c r="W2" s="175">
        <v>0</v>
      </c>
      <c r="X2" s="159">
        <v>0</v>
      </c>
      <c r="Y2" s="173">
        <v>5.9050613804333797E-11</v>
      </c>
      <c r="Z2" s="173">
        <v>2.9678826099812301E-14</v>
      </c>
    </row>
    <row r="3" spans="1:26">
      <c r="A3" s="23">
        <v>419</v>
      </c>
      <c r="B3" s="23">
        <v>419</v>
      </c>
      <c r="C3" s="23" t="s">
        <v>1539</v>
      </c>
      <c r="D3" s="23" t="s">
        <v>1540</v>
      </c>
      <c r="E3" s="21" t="s">
        <v>132</v>
      </c>
      <c r="F3" s="23" t="s">
        <v>1541</v>
      </c>
      <c r="G3" s="23" t="s">
        <v>1542</v>
      </c>
      <c r="H3" s="21" t="s">
        <v>33</v>
      </c>
      <c r="I3" s="23" t="s">
        <v>1537</v>
      </c>
      <c r="J3" s="21" t="s">
        <v>30</v>
      </c>
      <c r="K3" s="21" t="s">
        <v>30</v>
      </c>
      <c r="L3" s="23" t="s">
        <v>240</v>
      </c>
      <c r="M3" s="23" t="s">
        <v>1543</v>
      </c>
      <c r="N3" s="23" t="s">
        <v>139</v>
      </c>
      <c r="O3" s="181" t="s">
        <v>1544</v>
      </c>
      <c r="P3" s="21" t="s">
        <v>34</v>
      </c>
      <c r="Q3" s="23" t="s">
        <v>2536</v>
      </c>
      <c r="R3" s="23" t="s">
        <v>1502</v>
      </c>
      <c r="S3" s="181" t="s">
        <v>1546</v>
      </c>
      <c r="T3" s="181">
        <v>45866</v>
      </c>
      <c r="U3" s="159">
        <v>18541</v>
      </c>
      <c r="V3" s="174">
        <v>1</v>
      </c>
      <c r="W3" s="175">
        <v>3204.9839999999999</v>
      </c>
      <c r="X3" s="159">
        <v>594.23599999999999</v>
      </c>
      <c r="Y3" s="173">
        <v>0.99999999992955602</v>
      </c>
      <c r="Z3" s="173">
        <v>5.0259979000495095E-4</v>
      </c>
    </row>
    <row r="4" spans="1:26">
      <c r="A4" s="23">
        <v>419</v>
      </c>
      <c r="B4" s="23">
        <v>419</v>
      </c>
      <c r="C4" s="23" t="s">
        <v>1547</v>
      </c>
      <c r="D4" s="23" t="s">
        <v>1548</v>
      </c>
      <c r="E4" s="21" t="s">
        <v>132</v>
      </c>
      <c r="F4" s="23" t="s">
        <v>1549</v>
      </c>
      <c r="G4" s="23" t="s">
        <v>1550</v>
      </c>
      <c r="H4" s="21" t="s">
        <v>135</v>
      </c>
      <c r="I4" s="23" t="s">
        <v>1537</v>
      </c>
      <c r="J4" s="21" t="s">
        <v>30</v>
      </c>
      <c r="K4" s="21" t="s">
        <v>30</v>
      </c>
      <c r="L4" s="23" t="s">
        <v>1527</v>
      </c>
      <c r="M4" s="24" t="s">
        <v>2197</v>
      </c>
      <c r="N4" s="23" t="s">
        <v>139</v>
      </c>
      <c r="O4" s="182" t="s">
        <v>1479</v>
      </c>
      <c r="P4" s="21" t="s">
        <v>34</v>
      </c>
      <c r="Q4" s="23" t="s">
        <v>1538</v>
      </c>
      <c r="R4" s="23" t="s">
        <v>1481</v>
      </c>
      <c r="S4" s="181" t="s">
        <v>1482</v>
      </c>
      <c r="T4" s="181" t="s">
        <v>1482</v>
      </c>
      <c r="U4" s="159">
        <v>677</v>
      </c>
      <c r="V4" s="174">
        <v>1</v>
      </c>
      <c r="W4" s="175">
        <v>0</v>
      </c>
      <c r="X4" s="159">
        <v>0</v>
      </c>
      <c r="Y4" s="173">
        <v>1.1392780149767399E-11</v>
      </c>
      <c r="Z4" s="173">
        <v>5.7260089112489999E-15</v>
      </c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5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5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3 M5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7"/>
  <sheetViews>
    <sheetView rightToLeft="1" workbookViewId="0">
      <selection activeCell="A2" sqref="A2"/>
    </sheetView>
  </sheetViews>
  <sheetFormatPr defaultColWidth="0" defaultRowHeight="14.25"/>
  <cols>
    <col min="1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1551</v>
      </c>
      <c r="D1" s="22" t="s">
        <v>1552</v>
      </c>
      <c r="E1" s="22" t="s">
        <v>1553</v>
      </c>
      <c r="F1" s="22" t="s">
        <v>1554</v>
      </c>
      <c r="G1" s="22" t="s">
        <v>1555</v>
      </c>
      <c r="H1" s="22" t="s">
        <v>1556</v>
      </c>
      <c r="I1" s="22" t="s">
        <v>5</v>
      </c>
      <c r="J1" s="22" t="s">
        <v>1557</v>
      </c>
      <c r="K1" s="22" t="s">
        <v>6</v>
      </c>
      <c r="L1" s="22" t="s">
        <v>1558</v>
      </c>
      <c r="M1" s="22" t="s">
        <v>1559</v>
      </c>
      <c r="N1" s="22" t="s">
        <v>7</v>
      </c>
      <c r="O1" s="22" t="s">
        <v>123</v>
      </c>
      <c r="P1" s="183" t="s">
        <v>1463</v>
      </c>
      <c r="Q1" s="22" t="s">
        <v>11</v>
      </c>
      <c r="R1" s="22" t="s">
        <v>1469</v>
      </c>
      <c r="S1" s="22" t="s">
        <v>1470</v>
      </c>
      <c r="T1" s="180" t="s">
        <v>1472</v>
      </c>
      <c r="U1" s="165" t="s">
        <v>18</v>
      </c>
      <c r="V1" s="121" t="s">
        <v>1560</v>
      </c>
      <c r="W1" s="22" t="s">
        <v>20</v>
      </c>
      <c r="X1" s="167" t="s">
        <v>1561</v>
      </c>
      <c r="Y1" s="167" t="s">
        <v>24</v>
      </c>
      <c r="Z1" s="167" t="s">
        <v>25</v>
      </c>
    </row>
    <row r="2" spans="1:26">
      <c r="A2" s="23">
        <v>419</v>
      </c>
      <c r="B2" s="23">
        <v>419</v>
      </c>
      <c r="C2" s="24" t="s">
        <v>1562</v>
      </c>
      <c r="D2" s="24" t="s">
        <v>1563</v>
      </c>
      <c r="E2" s="24" t="s">
        <v>132</v>
      </c>
      <c r="F2" s="24" t="s">
        <v>1564</v>
      </c>
      <c r="G2" s="24">
        <v>36152</v>
      </c>
      <c r="H2" s="24" t="s">
        <v>33</v>
      </c>
      <c r="I2" s="3" t="s">
        <v>1565</v>
      </c>
      <c r="J2" s="24" t="s">
        <v>1566</v>
      </c>
      <c r="K2" s="21" t="s">
        <v>30</v>
      </c>
      <c r="L2" s="24" t="s">
        <v>1487</v>
      </c>
      <c r="M2" s="24" t="s">
        <v>30</v>
      </c>
      <c r="N2" s="21" t="s">
        <v>30</v>
      </c>
      <c r="O2" s="23" t="s">
        <v>139</v>
      </c>
      <c r="P2" s="184" t="s">
        <v>1479</v>
      </c>
      <c r="Q2" s="21" t="s">
        <v>34</v>
      </c>
      <c r="R2" s="23" t="s">
        <v>1545</v>
      </c>
      <c r="S2" s="23" t="s">
        <v>1502</v>
      </c>
      <c r="T2" s="181" t="s">
        <v>1503</v>
      </c>
      <c r="U2" s="174">
        <v>1</v>
      </c>
      <c r="V2" s="159">
        <v>10609.173000000001</v>
      </c>
      <c r="W2" s="159">
        <v>10609.173000000001</v>
      </c>
      <c r="X2" s="173">
        <v>6.3291139240506302E-3</v>
      </c>
      <c r="Y2" s="173">
        <v>6.4086229937032599E-2</v>
      </c>
      <c r="Z2" s="173">
        <v>8.9731490226369094E-3</v>
      </c>
    </row>
    <row r="3" spans="1:26">
      <c r="A3" s="23">
        <v>419</v>
      </c>
      <c r="B3" s="23">
        <v>419</v>
      </c>
      <c r="C3" s="23" t="s">
        <v>1567</v>
      </c>
      <c r="D3" s="3" t="s">
        <v>1568</v>
      </c>
      <c r="E3" s="24" t="s">
        <v>441</v>
      </c>
      <c r="F3" s="23" t="s">
        <v>1569</v>
      </c>
      <c r="G3" s="23">
        <v>620143861</v>
      </c>
      <c r="H3" s="24" t="s">
        <v>33</v>
      </c>
      <c r="I3" s="3" t="s">
        <v>1570</v>
      </c>
      <c r="J3" s="23" t="s">
        <v>1571</v>
      </c>
      <c r="K3" s="21" t="s">
        <v>30</v>
      </c>
      <c r="L3" s="24" t="s">
        <v>30</v>
      </c>
      <c r="M3" s="24" t="s">
        <v>30</v>
      </c>
      <c r="N3" s="21" t="s">
        <v>30</v>
      </c>
      <c r="O3" s="23" t="s">
        <v>139</v>
      </c>
      <c r="P3" s="184" t="s">
        <v>1572</v>
      </c>
      <c r="Q3" s="21" t="s">
        <v>427</v>
      </c>
      <c r="R3" s="23" t="s">
        <v>1545</v>
      </c>
      <c r="S3" s="23" t="s">
        <v>1502</v>
      </c>
      <c r="T3" s="185" t="s">
        <v>1573</v>
      </c>
      <c r="U3" s="174">
        <v>3.306</v>
      </c>
      <c r="V3" s="159">
        <v>279.74700000000001</v>
      </c>
      <c r="W3" s="159">
        <v>924.84400000000005</v>
      </c>
      <c r="X3" s="186">
        <v>5.4373859119920204E-3</v>
      </c>
      <c r="Y3" s="173">
        <v>5.5866500068536698E-3</v>
      </c>
      <c r="Z3" s="173">
        <v>7.8222487261410401E-4</v>
      </c>
    </row>
    <row r="4" spans="1:26">
      <c r="A4" s="23">
        <v>419</v>
      </c>
      <c r="B4" s="23">
        <v>419</v>
      </c>
      <c r="C4" s="23" t="s">
        <v>1574</v>
      </c>
      <c r="D4" s="3" t="s">
        <v>1575</v>
      </c>
      <c r="E4" s="24" t="s">
        <v>132</v>
      </c>
      <c r="F4" s="23" t="s">
        <v>1576</v>
      </c>
      <c r="G4" s="23">
        <v>620185288</v>
      </c>
      <c r="H4" s="24" t="s">
        <v>33</v>
      </c>
      <c r="I4" s="3" t="s">
        <v>1570</v>
      </c>
      <c r="J4" s="23" t="s">
        <v>1577</v>
      </c>
      <c r="K4" s="21" t="s">
        <v>741</v>
      </c>
      <c r="L4" s="24" t="s">
        <v>30</v>
      </c>
      <c r="M4" s="24" t="s">
        <v>30</v>
      </c>
      <c r="N4" s="21" t="s">
        <v>1213</v>
      </c>
      <c r="O4" s="23" t="s">
        <v>139</v>
      </c>
      <c r="P4" s="184" t="s">
        <v>1578</v>
      </c>
      <c r="Q4" s="21" t="s">
        <v>745</v>
      </c>
      <c r="R4" s="23" t="s">
        <v>1545</v>
      </c>
      <c r="S4" s="23" t="s">
        <v>1502</v>
      </c>
      <c r="T4" s="181" t="s">
        <v>1579</v>
      </c>
      <c r="U4" s="174">
        <v>3.8807</v>
      </c>
      <c r="V4" s="159">
        <v>487.99099999999999</v>
      </c>
      <c r="W4" s="159">
        <v>1893.7460000000001</v>
      </c>
      <c r="X4" s="186">
        <v>4.0000000000000001E-3</v>
      </c>
      <c r="Y4" s="173">
        <v>1.1439441443815999E-2</v>
      </c>
      <c r="Z4" s="173">
        <v>1.6017140173785499E-3</v>
      </c>
    </row>
    <row r="5" spans="1:26">
      <c r="A5" s="23">
        <v>419</v>
      </c>
      <c r="B5" s="23">
        <v>419</v>
      </c>
      <c r="C5" s="23" t="s">
        <v>1580</v>
      </c>
      <c r="D5" s="3" t="s">
        <v>1581</v>
      </c>
      <c r="E5" s="24" t="s">
        <v>165</v>
      </c>
      <c r="F5" s="23" t="s">
        <v>1582</v>
      </c>
      <c r="G5" s="23">
        <v>62017133</v>
      </c>
      <c r="H5" s="24" t="s">
        <v>33</v>
      </c>
      <c r="I5" s="3" t="s">
        <v>1570</v>
      </c>
      <c r="J5" s="23" t="s">
        <v>1583</v>
      </c>
      <c r="K5" s="21" t="s">
        <v>30</v>
      </c>
      <c r="L5" s="24" t="s">
        <v>1487</v>
      </c>
      <c r="M5" s="24" t="s">
        <v>30</v>
      </c>
      <c r="N5" s="21" t="s">
        <v>30</v>
      </c>
      <c r="O5" s="23" t="s">
        <v>139</v>
      </c>
      <c r="P5" s="184" t="s">
        <v>1584</v>
      </c>
      <c r="Q5" s="21" t="s">
        <v>34</v>
      </c>
      <c r="R5" s="23" t="s">
        <v>1545</v>
      </c>
      <c r="S5" s="23" t="s">
        <v>1502</v>
      </c>
      <c r="T5" s="181" t="s">
        <v>1585</v>
      </c>
      <c r="U5" s="174">
        <v>1</v>
      </c>
      <c r="V5" s="159">
        <v>2015.662</v>
      </c>
      <c r="W5" s="159">
        <v>2015.662</v>
      </c>
      <c r="X5" s="186">
        <v>1.6E-2</v>
      </c>
      <c r="Y5" s="173">
        <v>1.217589446138E-2</v>
      </c>
      <c r="Z5" s="173">
        <v>1.70482981434875E-3</v>
      </c>
    </row>
    <row r="6" spans="1:26">
      <c r="A6" s="23">
        <v>419</v>
      </c>
      <c r="B6" s="23">
        <v>419</v>
      </c>
      <c r="C6" s="23" t="s">
        <v>1586</v>
      </c>
      <c r="D6" s="3" t="s">
        <v>1587</v>
      </c>
      <c r="E6" s="24" t="s">
        <v>165</v>
      </c>
      <c r="F6" s="23" t="s">
        <v>1588</v>
      </c>
      <c r="G6" s="23">
        <v>500010150</v>
      </c>
      <c r="H6" s="24" t="s">
        <v>33</v>
      </c>
      <c r="I6" s="3" t="s">
        <v>1570</v>
      </c>
      <c r="J6" s="23" t="s">
        <v>1589</v>
      </c>
      <c r="K6" s="21" t="s">
        <v>741</v>
      </c>
      <c r="L6" s="24" t="s">
        <v>1487</v>
      </c>
      <c r="M6" s="24" t="s">
        <v>30</v>
      </c>
      <c r="N6" s="21" t="s">
        <v>833</v>
      </c>
      <c r="O6" s="23" t="s">
        <v>139</v>
      </c>
      <c r="P6" s="184" t="s">
        <v>1590</v>
      </c>
      <c r="Q6" s="21" t="s">
        <v>34</v>
      </c>
      <c r="R6" s="23" t="s">
        <v>1545</v>
      </c>
      <c r="S6" s="23" t="s">
        <v>1502</v>
      </c>
      <c r="T6" s="181" t="s">
        <v>1591</v>
      </c>
      <c r="U6" s="174">
        <v>1</v>
      </c>
      <c r="V6" s="159">
        <v>1596.454</v>
      </c>
      <c r="W6" s="159">
        <v>1596.454</v>
      </c>
      <c r="X6" s="173">
        <v>2.4096385542168699E-3</v>
      </c>
      <c r="Y6" s="173">
        <v>9.6436068036687903E-3</v>
      </c>
      <c r="Z6" s="173">
        <v>1.35026699261383E-3</v>
      </c>
    </row>
    <row r="7" spans="1:26">
      <c r="A7" s="23">
        <v>419</v>
      </c>
      <c r="B7" s="23">
        <v>419</v>
      </c>
      <c r="C7" s="23" t="s">
        <v>1592</v>
      </c>
      <c r="D7" s="3" t="s">
        <v>1593</v>
      </c>
      <c r="E7" s="24" t="s">
        <v>165</v>
      </c>
      <c r="F7" s="23" t="s">
        <v>1594</v>
      </c>
      <c r="G7" s="23">
        <v>201400091</v>
      </c>
      <c r="H7" s="24" t="s">
        <v>33</v>
      </c>
      <c r="I7" s="3" t="s">
        <v>1570</v>
      </c>
      <c r="J7" s="23" t="s">
        <v>1571</v>
      </c>
      <c r="K7" s="21" t="s">
        <v>30</v>
      </c>
      <c r="L7" s="24" t="s">
        <v>1487</v>
      </c>
      <c r="M7" s="24" t="s">
        <v>30</v>
      </c>
      <c r="N7" s="21" t="s">
        <v>833</v>
      </c>
      <c r="O7" s="23" t="s">
        <v>139</v>
      </c>
      <c r="P7" s="184" t="s">
        <v>1595</v>
      </c>
      <c r="Q7" s="21" t="s">
        <v>427</v>
      </c>
      <c r="R7" s="23" t="s">
        <v>1545</v>
      </c>
      <c r="S7" s="23" t="s">
        <v>1502</v>
      </c>
      <c r="T7" s="181" t="s">
        <v>1596</v>
      </c>
      <c r="U7" s="174">
        <v>3.306</v>
      </c>
      <c r="V7" s="159">
        <v>1335.0219999999999</v>
      </c>
      <c r="W7" s="159">
        <v>4413.5829999999996</v>
      </c>
      <c r="X7" s="173">
        <v>3.1017369727047101E-3</v>
      </c>
      <c r="Y7" s="173">
        <v>2.66608782541773E-2</v>
      </c>
      <c r="Z7" s="173">
        <v>3.7329709343827599E-3</v>
      </c>
    </row>
    <row r="8" spans="1:26">
      <c r="A8" s="23">
        <v>419</v>
      </c>
      <c r="B8" s="23">
        <v>419</v>
      </c>
      <c r="C8" s="23" t="s">
        <v>1597</v>
      </c>
      <c r="D8" s="3" t="s">
        <v>1598</v>
      </c>
      <c r="E8" s="24" t="s">
        <v>441</v>
      </c>
      <c r="F8" s="23" t="s">
        <v>1599</v>
      </c>
      <c r="G8" s="23">
        <v>500010160</v>
      </c>
      <c r="H8" s="24" t="s">
        <v>33</v>
      </c>
      <c r="I8" s="3" t="s">
        <v>1570</v>
      </c>
      <c r="J8" s="23" t="s">
        <v>1600</v>
      </c>
      <c r="K8" s="21" t="s">
        <v>30</v>
      </c>
      <c r="L8" s="24" t="s">
        <v>30</v>
      </c>
      <c r="M8" s="24" t="s">
        <v>30</v>
      </c>
      <c r="N8" s="21" t="s">
        <v>30</v>
      </c>
      <c r="O8" s="23" t="s">
        <v>139</v>
      </c>
      <c r="P8" s="184" t="s">
        <v>1601</v>
      </c>
      <c r="Q8" s="21" t="s">
        <v>34</v>
      </c>
      <c r="R8" s="23" t="s">
        <v>1545</v>
      </c>
      <c r="S8" s="23" t="s">
        <v>1502</v>
      </c>
      <c r="T8" s="181" t="s">
        <v>1602</v>
      </c>
      <c r="U8" s="174">
        <v>1</v>
      </c>
      <c r="V8" s="159">
        <v>1816.105</v>
      </c>
      <c r="W8" s="159">
        <v>1816.105</v>
      </c>
      <c r="X8" s="173">
        <v>1.525E-2</v>
      </c>
      <c r="Y8" s="173">
        <v>1.09704422041281E-2</v>
      </c>
      <c r="Z8" s="173">
        <v>1.5360462432973199E-3</v>
      </c>
    </row>
    <row r="9" spans="1:26">
      <c r="A9" s="23">
        <v>419</v>
      </c>
      <c r="B9" s="23">
        <v>419</v>
      </c>
      <c r="C9" s="23" t="s">
        <v>1603</v>
      </c>
      <c r="D9" s="3" t="s">
        <v>1604</v>
      </c>
      <c r="E9" s="24" t="s">
        <v>132</v>
      </c>
      <c r="F9" s="23" t="s">
        <v>1605</v>
      </c>
      <c r="G9" s="23">
        <v>62017132</v>
      </c>
      <c r="H9" s="24" t="s">
        <v>33</v>
      </c>
      <c r="I9" s="3" t="s">
        <v>1570</v>
      </c>
      <c r="J9" s="23" t="s">
        <v>1600</v>
      </c>
      <c r="K9" s="21" t="s">
        <v>30</v>
      </c>
      <c r="L9" s="24" t="s">
        <v>30</v>
      </c>
      <c r="M9" s="24" t="s">
        <v>30</v>
      </c>
      <c r="N9" s="21" t="s">
        <v>1213</v>
      </c>
      <c r="O9" s="23" t="s">
        <v>139</v>
      </c>
      <c r="P9" s="184" t="s">
        <v>1606</v>
      </c>
      <c r="Q9" s="21" t="s">
        <v>745</v>
      </c>
      <c r="R9" s="23" t="s">
        <v>1545</v>
      </c>
      <c r="S9" s="23" t="s">
        <v>1502</v>
      </c>
      <c r="T9" s="181" t="s">
        <v>1607</v>
      </c>
      <c r="U9" s="174">
        <v>3.8807</v>
      </c>
      <c r="V9" s="159">
        <v>1139.106</v>
      </c>
      <c r="W9" s="159">
        <v>4420.5280000000002</v>
      </c>
      <c r="X9" s="173">
        <v>0</v>
      </c>
      <c r="Y9" s="173">
        <v>2.67028359951599E-2</v>
      </c>
      <c r="Z9" s="173">
        <v>3.73884572313004E-3</v>
      </c>
    </row>
    <row r="10" spans="1:26">
      <c r="A10" s="23">
        <v>419</v>
      </c>
      <c r="B10" s="23">
        <v>419</v>
      </c>
      <c r="C10" s="23" t="s">
        <v>1608</v>
      </c>
      <c r="D10" s="3" t="s">
        <v>1609</v>
      </c>
      <c r="E10" s="24" t="s">
        <v>165</v>
      </c>
      <c r="F10" s="23" t="s">
        <v>1610</v>
      </c>
      <c r="G10" s="23">
        <v>62017074</v>
      </c>
      <c r="H10" s="24" t="s">
        <v>33</v>
      </c>
      <c r="I10" s="3" t="s">
        <v>1570</v>
      </c>
      <c r="J10" s="23" t="s">
        <v>1577</v>
      </c>
      <c r="K10" s="21" t="s">
        <v>741</v>
      </c>
      <c r="L10" s="24" t="s">
        <v>168</v>
      </c>
      <c r="M10" s="24" t="s">
        <v>168</v>
      </c>
      <c r="N10" s="21" t="s">
        <v>168</v>
      </c>
      <c r="O10" s="23" t="s">
        <v>139</v>
      </c>
      <c r="P10" s="184" t="s">
        <v>1611</v>
      </c>
      <c r="Q10" s="21" t="s">
        <v>427</v>
      </c>
      <c r="R10" s="23" t="s">
        <v>1545</v>
      </c>
      <c r="S10" s="23" t="s">
        <v>1502</v>
      </c>
      <c r="T10" s="181" t="s">
        <v>1612</v>
      </c>
      <c r="U10" s="174">
        <v>3.306</v>
      </c>
      <c r="V10" s="159">
        <v>1868.893</v>
      </c>
      <c r="W10" s="159">
        <v>6178.5609999999997</v>
      </c>
      <c r="X10" s="173">
        <v>1.83629435798559E-3</v>
      </c>
      <c r="Y10" s="173">
        <v>3.7322482856551098E-2</v>
      </c>
      <c r="Z10" s="173">
        <v>5.2257747240818803E-3</v>
      </c>
    </row>
    <row r="11" spans="1:26">
      <c r="A11" s="23">
        <v>419</v>
      </c>
      <c r="B11" s="23">
        <v>419</v>
      </c>
      <c r="C11" s="23" t="s">
        <v>1613</v>
      </c>
      <c r="D11" s="3" t="s">
        <v>1614</v>
      </c>
      <c r="E11" s="24" t="s">
        <v>441</v>
      </c>
      <c r="F11" s="23" t="s">
        <v>1615</v>
      </c>
      <c r="G11" s="23">
        <v>50000883</v>
      </c>
      <c r="H11" s="24" t="s">
        <v>33</v>
      </c>
      <c r="I11" s="3" t="s">
        <v>1570</v>
      </c>
      <c r="J11" s="23" t="s">
        <v>1583</v>
      </c>
      <c r="K11" s="21" t="s">
        <v>30</v>
      </c>
      <c r="L11" s="24" t="s">
        <v>30</v>
      </c>
      <c r="M11" s="24" t="s">
        <v>30</v>
      </c>
      <c r="N11" s="21" t="s">
        <v>30</v>
      </c>
      <c r="O11" s="23" t="s">
        <v>139</v>
      </c>
      <c r="P11" s="184" t="s">
        <v>1595</v>
      </c>
      <c r="Q11" s="21" t="s">
        <v>34</v>
      </c>
      <c r="R11" s="23" t="s">
        <v>1545</v>
      </c>
      <c r="S11" s="23" t="s">
        <v>1502</v>
      </c>
      <c r="T11" s="181" t="s">
        <v>1616</v>
      </c>
      <c r="U11" s="174">
        <v>1</v>
      </c>
      <c r="V11" s="159">
        <v>3517.6370000000002</v>
      </c>
      <c r="W11" s="159">
        <v>3517.6370000000002</v>
      </c>
      <c r="X11" s="173">
        <v>2.5664527956003699E-2</v>
      </c>
      <c r="Y11" s="173">
        <v>2.1248791197937301E-2</v>
      </c>
      <c r="Z11" s="173">
        <v>2.9751878080100302E-3</v>
      </c>
    </row>
    <row r="12" spans="1:26">
      <c r="A12" s="23">
        <v>419</v>
      </c>
      <c r="B12" s="23">
        <v>419</v>
      </c>
      <c r="C12" s="23" t="s">
        <v>1617</v>
      </c>
      <c r="D12" s="3" t="s">
        <v>1618</v>
      </c>
      <c r="E12" s="24" t="s">
        <v>132</v>
      </c>
      <c r="F12" s="23" t="s">
        <v>1617</v>
      </c>
      <c r="G12" s="23">
        <v>620185299</v>
      </c>
      <c r="H12" s="24" t="s">
        <v>33</v>
      </c>
      <c r="I12" s="3" t="s">
        <v>1565</v>
      </c>
      <c r="J12" s="23" t="s">
        <v>1566</v>
      </c>
      <c r="K12" s="21" t="s">
        <v>30</v>
      </c>
      <c r="L12" s="24" t="s">
        <v>30</v>
      </c>
      <c r="M12" s="24" t="s">
        <v>30</v>
      </c>
      <c r="N12" s="21" t="s">
        <v>168</v>
      </c>
      <c r="O12" s="23" t="s">
        <v>139</v>
      </c>
      <c r="P12" s="184" t="s">
        <v>1503</v>
      </c>
      <c r="Q12" s="21" t="s">
        <v>34</v>
      </c>
      <c r="R12" s="23" t="s">
        <v>1538</v>
      </c>
      <c r="S12" s="23" t="s">
        <v>1502</v>
      </c>
      <c r="T12" s="181" t="s">
        <v>1503</v>
      </c>
      <c r="U12" s="174">
        <v>1</v>
      </c>
      <c r="V12" s="159">
        <v>2000</v>
      </c>
      <c r="W12" s="159">
        <v>2000</v>
      </c>
      <c r="X12" s="173">
        <v>0</v>
      </c>
      <c r="Y12" s="173">
        <v>1.20812866765045E-2</v>
      </c>
      <c r="Z12" s="173">
        <v>1.6915831347855399E-3</v>
      </c>
    </row>
    <row r="13" spans="1:26">
      <c r="A13" s="23">
        <v>419</v>
      </c>
      <c r="B13" s="23">
        <v>419</v>
      </c>
      <c r="C13" s="23" t="s">
        <v>1619</v>
      </c>
      <c r="D13" s="3" t="s">
        <v>1620</v>
      </c>
      <c r="E13" s="24" t="s">
        <v>132</v>
      </c>
      <c r="F13" s="23" t="s">
        <v>1621</v>
      </c>
      <c r="G13" s="23">
        <v>29992354</v>
      </c>
      <c r="H13" s="24" t="s">
        <v>33</v>
      </c>
      <c r="I13" s="3" t="s">
        <v>1622</v>
      </c>
      <c r="J13" s="23" t="s">
        <v>1577</v>
      </c>
      <c r="K13" s="21" t="s">
        <v>30</v>
      </c>
      <c r="L13" s="24" t="s">
        <v>30</v>
      </c>
      <c r="M13" s="24" t="s">
        <v>30</v>
      </c>
      <c r="N13" s="21" t="s">
        <v>30</v>
      </c>
      <c r="O13" s="23" t="s">
        <v>139</v>
      </c>
      <c r="P13" s="184" t="s">
        <v>1623</v>
      </c>
      <c r="Q13" s="21" t="s">
        <v>34</v>
      </c>
      <c r="R13" s="23" t="s">
        <v>1545</v>
      </c>
      <c r="S13" s="23" t="s">
        <v>1502</v>
      </c>
      <c r="T13" s="181" t="s">
        <v>1596</v>
      </c>
      <c r="U13" s="174">
        <v>1</v>
      </c>
      <c r="V13" s="159">
        <v>446.60599999999999</v>
      </c>
      <c r="W13" s="159">
        <v>446.60599999999999</v>
      </c>
      <c r="X13" s="173">
        <v>1.86328459808951E-3</v>
      </c>
      <c r="Y13" s="173">
        <v>2.6977889696244602E-3</v>
      </c>
      <c r="Z13" s="173">
        <v>3.7773578629686001E-4</v>
      </c>
    </row>
    <row r="14" spans="1:26">
      <c r="A14" s="23">
        <v>419</v>
      </c>
      <c r="B14" s="23">
        <v>419</v>
      </c>
      <c r="C14" s="23" t="s">
        <v>1624</v>
      </c>
      <c r="D14" s="3" t="s">
        <v>1625</v>
      </c>
      <c r="E14" s="24" t="s">
        <v>132</v>
      </c>
      <c r="F14" s="23" t="s">
        <v>1626</v>
      </c>
      <c r="G14" s="23">
        <v>400131020</v>
      </c>
      <c r="H14" s="24" t="s">
        <v>33</v>
      </c>
      <c r="I14" s="3" t="s">
        <v>1622</v>
      </c>
      <c r="J14" s="23" t="s">
        <v>1627</v>
      </c>
      <c r="K14" s="21" t="s">
        <v>30</v>
      </c>
      <c r="L14" s="24" t="s">
        <v>30</v>
      </c>
      <c r="M14" s="24" t="s">
        <v>30</v>
      </c>
      <c r="N14" s="21" t="s">
        <v>30</v>
      </c>
      <c r="O14" s="23" t="s">
        <v>139</v>
      </c>
      <c r="P14" s="184" t="s">
        <v>1628</v>
      </c>
      <c r="Q14" s="21" t="s">
        <v>427</v>
      </c>
      <c r="R14" s="23" t="s">
        <v>1545</v>
      </c>
      <c r="S14" s="23" t="s">
        <v>1502</v>
      </c>
      <c r="T14" s="181" t="s">
        <v>1591</v>
      </c>
      <c r="U14" s="174">
        <v>3.306</v>
      </c>
      <c r="V14" s="159">
        <v>1129.472</v>
      </c>
      <c r="W14" s="159">
        <v>3734.0340000000001</v>
      </c>
      <c r="X14" s="173">
        <v>0</v>
      </c>
      <c r="Y14" s="173">
        <v>2.2555965583040599E-2</v>
      </c>
      <c r="Z14" s="173">
        <v>3.1582141861825402E-3</v>
      </c>
    </row>
    <row r="15" spans="1:26">
      <c r="A15" s="23">
        <v>419</v>
      </c>
      <c r="B15" s="23">
        <v>419</v>
      </c>
      <c r="C15" s="23" t="s">
        <v>1629</v>
      </c>
      <c r="D15" s="3" t="s">
        <v>1630</v>
      </c>
      <c r="E15" s="24" t="s">
        <v>165</v>
      </c>
      <c r="F15" s="23" t="s">
        <v>1631</v>
      </c>
      <c r="G15" s="23">
        <v>620000733</v>
      </c>
      <c r="H15" s="24" t="s">
        <v>33</v>
      </c>
      <c r="I15" s="3" t="s">
        <v>1622</v>
      </c>
      <c r="J15" s="23" t="s">
        <v>1566</v>
      </c>
      <c r="K15" s="21" t="s">
        <v>741</v>
      </c>
      <c r="L15" s="24" t="s">
        <v>168</v>
      </c>
      <c r="M15" s="24" t="s">
        <v>168</v>
      </c>
      <c r="N15" s="21" t="s">
        <v>168</v>
      </c>
      <c r="O15" s="23" t="s">
        <v>139</v>
      </c>
      <c r="P15" s="184" t="s">
        <v>1632</v>
      </c>
      <c r="Q15" s="21" t="s">
        <v>427</v>
      </c>
      <c r="R15" s="23" t="s">
        <v>1545</v>
      </c>
      <c r="S15" s="23" t="s">
        <v>1502</v>
      </c>
      <c r="T15" s="181" t="s">
        <v>1633</v>
      </c>
      <c r="U15" s="174">
        <v>3.306</v>
      </c>
      <c r="V15" s="159">
        <v>419.23899999999998</v>
      </c>
      <c r="W15" s="159">
        <v>1386.0039999999999</v>
      </c>
      <c r="X15" s="173">
        <v>4.7200000000000002E-3</v>
      </c>
      <c r="Y15" s="173">
        <v>8.3723583869032801E-3</v>
      </c>
      <c r="Z15" s="173">
        <v>1.1722708536673499E-3</v>
      </c>
    </row>
    <row r="16" spans="1:26">
      <c r="A16" s="23">
        <v>419</v>
      </c>
      <c r="B16" s="23">
        <v>419</v>
      </c>
      <c r="C16" s="23" t="s">
        <v>1634</v>
      </c>
      <c r="D16" s="3" t="s">
        <v>1635</v>
      </c>
      <c r="E16" s="24" t="s">
        <v>809</v>
      </c>
      <c r="F16" s="23" t="s">
        <v>1636</v>
      </c>
      <c r="G16" s="23">
        <v>62009568</v>
      </c>
      <c r="H16" s="24" t="s">
        <v>33</v>
      </c>
      <c r="I16" s="3" t="s">
        <v>1570</v>
      </c>
      <c r="J16" s="23" t="s">
        <v>1583</v>
      </c>
      <c r="K16" s="21" t="s">
        <v>741</v>
      </c>
      <c r="L16" s="24" t="s">
        <v>1403</v>
      </c>
      <c r="M16" s="24" t="s">
        <v>1403</v>
      </c>
      <c r="N16" s="21" t="s">
        <v>1213</v>
      </c>
      <c r="O16" s="23" t="s">
        <v>139</v>
      </c>
      <c r="P16" s="184" t="s">
        <v>1632</v>
      </c>
      <c r="Q16" s="21" t="s">
        <v>745</v>
      </c>
      <c r="R16" s="23" t="s">
        <v>1545</v>
      </c>
      <c r="S16" s="23" t="s">
        <v>1502</v>
      </c>
      <c r="T16" s="181" t="s">
        <v>1612</v>
      </c>
      <c r="U16" s="174">
        <v>3.8807</v>
      </c>
      <c r="V16" s="159">
        <v>771.97400000000005</v>
      </c>
      <c r="W16" s="159">
        <v>2995.8</v>
      </c>
      <c r="X16" s="173">
        <v>2.7659574468085098E-4</v>
      </c>
      <c r="Y16" s="173">
        <v>1.8096562242025101E-2</v>
      </c>
      <c r="Z16" s="173">
        <v>2.5338227877449498E-3</v>
      </c>
    </row>
    <row r="17" spans="1:26">
      <c r="A17" s="23">
        <v>419</v>
      </c>
      <c r="B17" s="23">
        <v>419</v>
      </c>
      <c r="C17" s="23" t="s">
        <v>1637</v>
      </c>
      <c r="D17" s="3" t="s">
        <v>1638</v>
      </c>
      <c r="E17" s="24" t="s">
        <v>809</v>
      </c>
      <c r="F17" s="23" t="s">
        <v>1639</v>
      </c>
      <c r="G17" s="23">
        <v>29994488</v>
      </c>
      <c r="H17" s="24" t="s">
        <v>33</v>
      </c>
      <c r="I17" s="3" t="s">
        <v>1570</v>
      </c>
      <c r="J17" s="23" t="s">
        <v>1640</v>
      </c>
      <c r="K17" s="21" t="s">
        <v>741</v>
      </c>
      <c r="L17" s="24" t="s">
        <v>1403</v>
      </c>
      <c r="M17" s="24" t="s">
        <v>720</v>
      </c>
      <c r="N17" s="21" t="s">
        <v>1213</v>
      </c>
      <c r="O17" s="23" t="s">
        <v>139</v>
      </c>
      <c r="P17" s="184" t="s">
        <v>1641</v>
      </c>
      <c r="Q17" s="21" t="s">
        <v>745</v>
      </c>
      <c r="R17" s="23" t="s">
        <v>1545</v>
      </c>
      <c r="S17" s="23" t="s">
        <v>1502</v>
      </c>
      <c r="T17" s="181" t="s">
        <v>1503</v>
      </c>
      <c r="U17" s="174">
        <v>3.8807</v>
      </c>
      <c r="V17" s="159">
        <v>900.41300000000001</v>
      </c>
      <c r="W17" s="159">
        <v>3494.2330000000002</v>
      </c>
      <c r="X17" s="173">
        <v>3.6363636363636399E-4</v>
      </c>
      <c r="Y17" s="173">
        <v>2.1107417815166101E-2</v>
      </c>
      <c r="Z17" s="173">
        <v>2.9553931589460002E-3</v>
      </c>
    </row>
    <row r="18" spans="1:26">
      <c r="A18" s="23">
        <v>419</v>
      </c>
      <c r="B18" s="23">
        <v>419</v>
      </c>
      <c r="C18" s="23" t="s">
        <v>1642</v>
      </c>
      <c r="D18" s="3" t="s">
        <v>1643</v>
      </c>
      <c r="E18" s="24" t="s">
        <v>165</v>
      </c>
      <c r="F18" s="23" t="s">
        <v>1644</v>
      </c>
      <c r="G18" s="23">
        <v>604089781</v>
      </c>
      <c r="H18" s="24" t="s">
        <v>33</v>
      </c>
      <c r="I18" s="3" t="s">
        <v>1570</v>
      </c>
      <c r="J18" s="23" t="s">
        <v>1577</v>
      </c>
      <c r="K18" s="21" t="s">
        <v>741</v>
      </c>
      <c r="L18" s="24" t="s">
        <v>168</v>
      </c>
      <c r="M18" s="24" t="s">
        <v>168</v>
      </c>
      <c r="N18" s="21" t="s">
        <v>168</v>
      </c>
      <c r="O18" s="23" t="s">
        <v>139</v>
      </c>
      <c r="P18" s="184" t="s">
        <v>1632</v>
      </c>
      <c r="Q18" s="21" t="s">
        <v>427</v>
      </c>
      <c r="R18" s="23" t="s">
        <v>1545</v>
      </c>
      <c r="S18" s="23" t="s">
        <v>1502</v>
      </c>
      <c r="T18" s="181" t="s">
        <v>1645</v>
      </c>
      <c r="U18" s="174">
        <v>3.306</v>
      </c>
      <c r="V18" s="159">
        <v>4414.4110000000001</v>
      </c>
      <c r="W18" s="159">
        <v>14594.040999999999</v>
      </c>
      <c r="X18" s="173">
        <v>3.7623762376237602E-2</v>
      </c>
      <c r="Y18" s="173">
        <v>8.8157399224459407E-2</v>
      </c>
      <c r="Z18" s="173">
        <v>1.2343517187177499E-2</v>
      </c>
    </row>
    <row r="19" spans="1:26">
      <c r="A19" s="23">
        <v>419</v>
      </c>
      <c r="B19" s="23">
        <v>419</v>
      </c>
      <c r="C19" s="23" t="s">
        <v>1646</v>
      </c>
      <c r="D19" s="3" t="s">
        <v>1647</v>
      </c>
      <c r="E19" s="24" t="s">
        <v>165</v>
      </c>
      <c r="F19" s="23" t="s">
        <v>1648</v>
      </c>
      <c r="G19" s="23">
        <v>620139091</v>
      </c>
      <c r="H19" s="24" t="s">
        <v>33</v>
      </c>
      <c r="I19" s="3" t="s">
        <v>1570</v>
      </c>
      <c r="J19" s="23" t="s">
        <v>1577</v>
      </c>
      <c r="K19" s="21" t="s">
        <v>741</v>
      </c>
      <c r="L19" s="24" t="s">
        <v>168</v>
      </c>
      <c r="M19" s="24" t="s">
        <v>168</v>
      </c>
      <c r="N19" s="21" t="s">
        <v>168</v>
      </c>
      <c r="O19" s="23" t="s">
        <v>139</v>
      </c>
      <c r="P19" s="184" t="s">
        <v>1632</v>
      </c>
      <c r="Q19" s="21" t="s">
        <v>427</v>
      </c>
      <c r="R19" s="23" t="s">
        <v>1545</v>
      </c>
      <c r="S19" s="23" t="s">
        <v>1502</v>
      </c>
      <c r="T19" s="181" t="s">
        <v>1645</v>
      </c>
      <c r="U19" s="174">
        <v>3.306</v>
      </c>
      <c r="V19" s="159">
        <v>662.42600000000004</v>
      </c>
      <c r="W19" s="159">
        <v>2189.982</v>
      </c>
      <c r="X19" s="173">
        <v>3.7267080745341601E-3</v>
      </c>
      <c r="Y19" s="173">
        <v>1.3228898236521401E-2</v>
      </c>
      <c r="Z19" s="173">
        <v>1.85226803633538E-3</v>
      </c>
    </row>
    <row r="20" spans="1:26">
      <c r="A20" s="3">
        <v>419</v>
      </c>
      <c r="B20" s="3">
        <v>419</v>
      </c>
      <c r="C20" s="3" t="s">
        <v>1649</v>
      </c>
      <c r="D20" s="3" t="s">
        <v>1650</v>
      </c>
      <c r="E20" s="24" t="s">
        <v>165</v>
      </c>
      <c r="F20" s="3" t="s">
        <v>1651</v>
      </c>
      <c r="G20" s="3">
        <v>60386181</v>
      </c>
      <c r="H20" s="24" t="s">
        <v>33</v>
      </c>
      <c r="I20" s="3" t="s">
        <v>1622</v>
      </c>
      <c r="J20" s="23" t="s">
        <v>1566</v>
      </c>
      <c r="K20" s="21" t="s">
        <v>741</v>
      </c>
      <c r="L20" s="24" t="s">
        <v>1652</v>
      </c>
      <c r="M20" s="24" t="s">
        <v>1652</v>
      </c>
      <c r="N20" s="21" t="s">
        <v>1285</v>
      </c>
      <c r="O20" s="23" t="s">
        <v>139</v>
      </c>
      <c r="P20" s="184" t="s">
        <v>1590</v>
      </c>
      <c r="Q20" s="3" t="s">
        <v>427</v>
      </c>
      <c r="R20" s="23" t="s">
        <v>1545</v>
      </c>
      <c r="S20" s="23" t="s">
        <v>1502</v>
      </c>
      <c r="T20" s="182" t="s">
        <v>1653</v>
      </c>
      <c r="U20" s="166">
        <v>3.306</v>
      </c>
      <c r="V20" s="157">
        <v>17.026</v>
      </c>
      <c r="W20" s="157">
        <v>56.286999999999999</v>
      </c>
      <c r="X20" s="168">
        <v>0</v>
      </c>
      <c r="Y20" s="168">
        <v>3.4001252797548202E-4</v>
      </c>
      <c r="Z20" s="168">
        <v>4.7607467096835399E-5</v>
      </c>
    </row>
    <row r="21" spans="1:26">
      <c r="A21" s="3">
        <v>419</v>
      </c>
      <c r="B21" s="3">
        <v>419</v>
      </c>
      <c r="C21" s="3" t="s">
        <v>1654</v>
      </c>
      <c r="D21" s="3" t="s">
        <v>1655</v>
      </c>
      <c r="E21" s="3" t="s">
        <v>165</v>
      </c>
      <c r="F21" s="3" t="s">
        <v>1656</v>
      </c>
      <c r="G21" s="3">
        <v>620141701</v>
      </c>
      <c r="H21" s="3" t="s">
        <v>33</v>
      </c>
      <c r="I21" s="3" t="s">
        <v>1570</v>
      </c>
      <c r="J21" s="3" t="s">
        <v>1657</v>
      </c>
      <c r="K21" s="3" t="s">
        <v>741</v>
      </c>
      <c r="L21" s="3" t="s">
        <v>1487</v>
      </c>
      <c r="M21" s="3" t="s">
        <v>168</v>
      </c>
      <c r="N21" s="3" t="s">
        <v>833</v>
      </c>
      <c r="O21" s="3" t="s">
        <v>139</v>
      </c>
      <c r="P21" s="184" t="s">
        <v>1658</v>
      </c>
      <c r="Q21" s="3" t="s">
        <v>427</v>
      </c>
      <c r="R21" s="3" t="s">
        <v>1545</v>
      </c>
      <c r="S21" s="3" t="s">
        <v>1502</v>
      </c>
      <c r="T21" s="182" t="s">
        <v>1659</v>
      </c>
      <c r="U21" s="166">
        <v>3.306</v>
      </c>
      <c r="V21" s="157">
        <v>2478.9989999999998</v>
      </c>
      <c r="W21" s="157">
        <v>8195.57</v>
      </c>
      <c r="X21" s="168">
        <v>3.4475116353517701E-4</v>
      </c>
      <c r="Y21" s="168">
        <v>4.9506516400509099E-2</v>
      </c>
      <c r="Z21" s="168">
        <v>6.9317441467513403E-3</v>
      </c>
    </row>
    <row r="22" spans="1:26">
      <c r="A22" s="3">
        <v>419</v>
      </c>
      <c r="B22" s="3">
        <v>419</v>
      </c>
      <c r="C22" s="3" t="s">
        <v>1654</v>
      </c>
      <c r="D22" s="3" t="s">
        <v>1655</v>
      </c>
      <c r="E22" s="3" t="s">
        <v>165</v>
      </c>
      <c r="F22" s="3" t="s">
        <v>1660</v>
      </c>
      <c r="G22" s="3">
        <v>620141702</v>
      </c>
      <c r="H22" s="3" t="s">
        <v>33</v>
      </c>
      <c r="I22" s="3" t="s">
        <v>1570</v>
      </c>
      <c r="J22" s="3" t="s">
        <v>1657</v>
      </c>
      <c r="K22" s="3" t="s">
        <v>741</v>
      </c>
      <c r="L22" s="3" t="s">
        <v>1487</v>
      </c>
      <c r="M22" s="3" t="s">
        <v>168</v>
      </c>
      <c r="N22" s="3" t="s">
        <v>833</v>
      </c>
      <c r="O22" s="3" t="s">
        <v>139</v>
      </c>
      <c r="P22" s="184" t="s">
        <v>1661</v>
      </c>
      <c r="Q22" s="3" t="s">
        <v>427</v>
      </c>
      <c r="R22" s="3" t="s">
        <v>1545</v>
      </c>
      <c r="S22" s="3" t="s">
        <v>1502</v>
      </c>
      <c r="T22" s="182" t="s">
        <v>1662</v>
      </c>
      <c r="U22" s="166">
        <v>3.306</v>
      </c>
      <c r="V22" s="157">
        <v>587.76800000000003</v>
      </c>
      <c r="W22" s="157">
        <v>1943.16</v>
      </c>
      <c r="X22" s="168">
        <v>0</v>
      </c>
      <c r="Y22" s="168">
        <v>1.17379386040533E-2</v>
      </c>
      <c r="Z22" s="168">
        <v>1.64350863541545E-3</v>
      </c>
    </row>
    <row r="23" spans="1:26">
      <c r="A23" s="3">
        <v>419</v>
      </c>
      <c r="B23" s="3">
        <v>419</v>
      </c>
      <c r="C23" s="3" t="s">
        <v>1663</v>
      </c>
      <c r="D23" s="3" t="s">
        <v>1664</v>
      </c>
      <c r="E23" s="3" t="s">
        <v>165</v>
      </c>
      <c r="F23" s="3" t="s">
        <v>1665</v>
      </c>
      <c r="G23" s="3">
        <v>62011839</v>
      </c>
      <c r="H23" s="3" t="s">
        <v>33</v>
      </c>
      <c r="I23" s="3" t="s">
        <v>1622</v>
      </c>
      <c r="J23" s="3" t="s">
        <v>1577</v>
      </c>
      <c r="K23" s="3" t="s">
        <v>741</v>
      </c>
      <c r="L23" s="3" t="s">
        <v>168</v>
      </c>
      <c r="M23" s="3" t="s">
        <v>168</v>
      </c>
      <c r="N23" s="3" t="s">
        <v>168</v>
      </c>
      <c r="O23" s="3" t="s">
        <v>139</v>
      </c>
      <c r="P23" s="184" t="s">
        <v>1666</v>
      </c>
      <c r="Q23" s="3" t="s">
        <v>427</v>
      </c>
      <c r="R23" s="3" t="s">
        <v>1545</v>
      </c>
      <c r="S23" s="3" t="s">
        <v>1502</v>
      </c>
      <c r="T23" s="182" t="s">
        <v>1602</v>
      </c>
      <c r="U23" s="166">
        <v>3.306</v>
      </c>
      <c r="V23" s="157">
        <v>1060.261</v>
      </c>
      <c r="W23" s="157">
        <v>3505.223</v>
      </c>
      <c r="X23" s="168">
        <v>3.69915614381488E-3</v>
      </c>
      <c r="Y23" s="168">
        <v>2.1173799743685901E-2</v>
      </c>
      <c r="Z23" s="168">
        <v>2.9646877443445102E-3</v>
      </c>
    </row>
    <row r="24" spans="1:26">
      <c r="A24" s="3">
        <v>419</v>
      </c>
      <c r="B24" s="3">
        <v>419</v>
      </c>
      <c r="C24" s="3" t="s">
        <v>225</v>
      </c>
      <c r="D24" s="3" t="s">
        <v>1667</v>
      </c>
      <c r="E24" s="3" t="s">
        <v>165</v>
      </c>
      <c r="F24" s="3" t="s">
        <v>1668</v>
      </c>
      <c r="G24" s="3">
        <v>62011838</v>
      </c>
      <c r="H24" s="3" t="s">
        <v>33</v>
      </c>
      <c r="I24" s="3" t="s">
        <v>1622</v>
      </c>
      <c r="J24" s="3" t="s">
        <v>1577</v>
      </c>
      <c r="K24" s="3" t="s">
        <v>741</v>
      </c>
      <c r="L24" s="3" t="s">
        <v>168</v>
      </c>
      <c r="M24" s="3" t="s">
        <v>168</v>
      </c>
      <c r="N24" s="3" t="s">
        <v>168</v>
      </c>
      <c r="O24" s="3" t="s">
        <v>139</v>
      </c>
      <c r="P24" s="184" t="s">
        <v>1493</v>
      </c>
      <c r="Q24" s="3" t="s">
        <v>427</v>
      </c>
      <c r="R24" s="3" t="s">
        <v>1545</v>
      </c>
      <c r="S24" s="3" t="s">
        <v>1502</v>
      </c>
      <c r="T24" s="182" t="s">
        <v>1669</v>
      </c>
      <c r="U24" s="166">
        <v>3.306</v>
      </c>
      <c r="V24" s="157">
        <v>1298.76</v>
      </c>
      <c r="W24" s="157">
        <v>4293.701</v>
      </c>
      <c r="X24" s="168">
        <v>4.1136804863532604E-3</v>
      </c>
      <c r="Y24" s="168">
        <v>2.5936717814796301E-2</v>
      </c>
      <c r="Z24" s="168">
        <v>3.6315763049085598E-3</v>
      </c>
    </row>
    <row r="25" spans="1:26">
      <c r="A25" s="3">
        <v>419</v>
      </c>
      <c r="B25" s="3">
        <v>419</v>
      </c>
      <c r="C25" s="3" t="s">
        <v>1670</v>
      </c>
      <c r="D25" s="3" t="s">
        <v>1671</v>
      </c>
      <c r="E25" s="3" t="s">
        <v>132</v>
      </c>
      <c r="F25" s="3" t="s">
        <v>1672</v>
      </c>
      <c r="G25" s="3">
        <v>620188900</v>
      </c>
      <c r="H25" s="3" t="s">
        <v>33</v>
      </c>
      <c r="I25" s="3" t="s">
        <v>1570</v>
      </c>
      <c r="J25" s="3" t="s">
        <v>1673</v>
      </c>
      <c r="K25" s="3" t="s">
        <v>741</v>
      </c>
      <c r="L25" s="3" t="s">
        <v>1403</v>
      </c>
      <c r="M25" s="3" t="s">
        <v>1403</v>
      </c>
      <c r="N25" s="3" t="s">
        <v>833</v>
      </c>
      <c r="O25" s="3" t="s">
        <v>139</v>
      </c>
      <c r="P25" s="184" t="s">
        <v>1674</v>
      </c>
      <c r="Q25" s="3" t="s">
        <v>745</v>
      </c>
      <c r="R25" s="3" t="s">
        <v>1545</v>
      </c>
      <c r="S25" s="3" t="s">
        <v>1502</v>
      </c>
      <c r="T25" s="182" t="s">
        <v>1579</v>
      </c>
      <c r="U25" s="166">
        <v>3.8807</v>
      </c>
      <c r="V25" s="157">
        <v>1294.3610000000001</v>
      </c>
      <c r="W25" s="157">
        <v>5023.0259999999998</v>
      </c>
      <c r="X25" s="168">
        <v>1.2548940869390601E-4</v>
      </c>
      <c r="Y25" s="168">
        <v>3.03423091614194E-2</v>
      </c>
      <c r="Z25" s="168">
        <v>4.2484331199362201E-3</v>
      </c>
    </row>
    <row r="26" spans="1:26">
      <c r="A26" s="3">
        <v>419</v>
      </c>
      <c r="B26" s="3">
        <v>419</v>
      </c>
      <c r="C26" s="3" t="s">
        <v>1675</v>
      </c>
      <c r="D26" s="3" t="s">
        <v>1676</v>
      </c>
      <c r="E26" s="3" t="s">
        <v>132</v>
      </c>
      <c r="F26" s="3" t="s">
        <v>1677</v>
      </c>
      <c r="G26" s="3">
        <v>125512851</v>
      </c>
      <c r="H26" s="3" t="s">
        <v>33</v>
      </c>
      <c r="I26" s="3" t="s">
        <v>1570</v>
      </c>
      <c r="J26" s="3" t="s">
        <v>1600</v>
      </c>
      <c r="K26" s="3" t="s">
        <v>741</v>
      </c>
      <c r="L26" s="3" t="s">
        <v>1403</v>
      </c>
      <c r="M26" s="3" t="s">
        <v>1403</v>
      </c>
      <c r="N26" s="3" t="s">
        <v>833</v>
      </c>
      <c r="O26" s="3" t="s">
        <v>139</v>
      </c>
      <c r="P26" s="184" t="s">
        <v>1678</v>
      </c>
      <c r="Q26" s="3" t="s">
        <v>745</v>
      </c>
      <c r="R26" s="3" t="s">
        <v>1545</v>
      </c>
      <c r="S26" s="3" t="s">
        <v>1502</v>
      </c>
      <c r="T26" s="182" t="s">
        <v>1645</v>
      </c>
      <c r="U26" s="166">
        <v>3.8807</v>
      </c>
      <c r="V26" s="157">
        <v>1126.3430000000001</v>
      </c>
      <c r="W26" s="157">
        <v>4370.9989999999998</v>
      </c>
      <c r="X26" s="168">
        <v>2.5179432636209101E-2</v>
      </c>
      <c r="Y26" s="168">
        <v>2.6403648907716199E-2</v>
      </c>
      <c r="Z26" s="168">
        <v>3.6969545036915001E-3</v>
      </c>
    </row>
    <row r="27" spans="1:26">
      <c r="A27" s="3">
        <v>419</v>
      </c>
      <c r="B27" s="3">
        <v>419</v>
      </c>
      <c r="C27" s="3" t="s">
        <v>1679</v>
      </c>
      <c r="D27" s="3" t="s">
        <v>1680</v>
      </c>
      <c r="E27" s="3" t="s">
        <v>165</v>
      </c>
      <c r="F27" s="3" t="s">
        <v>1681</v>
      </c>
      <c r="G27" s="3">
        <v>62006721</v>
      </c>
      <c r="H27" s="3" t="s">
        <v>33</v>
      </c>
      <c r="I27" s="3" t="s">
        <v>1570</v>
      </c>
      <c r="J27" s="3" t="s">
        <v>1682</v>
      </c>
      <c r="K27" s="3" t="s">
        <v>741</v>
      </c>
      <c r="L27" s="3" t="s">
        <v>1487</v>
      </c>
      <c r="M27" s="3" t="s">
        <v>30</v>
      </c>
      <c r="N27" s="3" t="s">
        <v>30</v>
      </c>
      <c r="O27" s="3" t="s">
        <v>139</v>
      </c>
      <c r="P27" s="184" t="s">
        <v>1611</v>
      </c>
      <c r="Q27" s="3" t="s">
        <v>427</v>
      </c>
      <c r="R27" s="3" t="s">
        <v>1545</v>
      </c>
      <c r="S27" s="3" t="s">
        <v>1502</v>
      </c>
      <c r="T27" s="182" t="s">
        <v>1683</v>
      </c>
      <c r="U27" s="166">
        <v>3.306</v>
      </c>
      <c r="V27" s="157">
        <v>569.15800000000002</v>
      </c>
      <c r="W27" s="157">
        <v>1881.6379999999999</v>
      </c>
      <c r="X27" s="168">
        <v>1.72553796183516E-2</v>
      </c>
      <c r="Y27" s="168">
        <v>1.1366301165032301E-2</v>
      </c>
      <c r="Z27" s="168">
        <v>1.59147314938353E-3</v>
      </c>
    </row>
    <row r="28" spans="1:26">
      <c r="A28" s="3">
        <v>419</v>
      </c>
      <c r="B28" s="3">
        <v>419</v>
      </c>
      <c r="C28" s="3" t="s">
        <v>1684</v>
      </c>
      <c r="D28" s="3" t="s">
        <v>1685</v>
      </c>
      <c r="E28" s="3" t="s">
        <v>132</v>
      </c>
      <c r="F28" s="3" t="s">
        <v>1686</v>
      </c>
      <c r="G28" s="3">
        <v>62006218</v>
      </c>
      <c r="H28" s="3" t="s">
        <v>33</v>
      </c>
      <c r="I28" s="3" t="s">
        <v>1622</v>
      </c>
      <c r="J28" s="3" t="s">
        <v>1577</v>
      </c>
      <c r="K28" s="3" t="s">
        <v>741</v>
      </c>
      <c r="L28" s="3" t="s">
        <v>1487</v>
      </c>
      <c r="M28" s="3" t="s">
        <v>30</v>
      </c>
      <c r="N28" s="3" t="s">
        <v>1213</v>
      </c>
      <c r="O28" s="3" t="s">
        <v>139</v>
      </c>
      <c r="P28" s="184" t="s">
        <v>1632</v>
      </c>
      <c r="Q28" s="3" t="s">
        <v>745</v>
      </c>
      <c r="R28" s="3" t="s">
        <v>1545</v>
      </c>
      <c r="S28" s="3" t="s">
        <v>1502</v>
      </c>
      <c r="T28" s="182" t="s">
        <v>1687</v>
      </c>
      <c r="U28" s="166">
        <v>3.8807</v>
      </c>
      <c r="V28" s="157">
        <v>1180.374</v>
      </c>
      <c r="W28" s="157">
        <v>4580.6779999999999</v>
      </c>
      <c r="X28" s="168">
        <v>1.05263157894737E-2</v>
      </c>
      <c r="Y28" s="168">
        <v>2.76702404532462E-2</v>
      </c>
      <c r="Z28" s="168">
        <v>3.8742986024163E-3</v>
      </c>
    </row>
    <row r="29" spans="1:26">
      <c r="A29" s="3">
        <v>419</v>
      </c>
      <c r="B29" s="3">
        <v>419</v>
      </c>
      <c r="C29" s="3" t="s">
        <v>1688</v>
      </c>
      <c r="D29" s="3" t="s">
        <v>1689</v>
      </c>
      <c r="E29" s="3" t="s">
        <v>441</v>
      </c>
      <c r="F29" s="3" t="s">
        <v>1690</v>
      </c>
      <c r="G29" s="3">
        <v>62016085</v>
      </c>
      <c r="H29" s="3" t="s">
        <v>33</v>
      </c>
      <c r="I29" s="3" t="s">
        <v>1570</v>
      </c>
      <c r="J29" s="3" t="s">
        <v>1600</v>
      </c>
      <c r="K29" s="3" t="s">
        <v>30</v>
      </c>
      <c r="L29" s="3" t="s">
        <v>1487</v>
      </c>
      <c r="M29" s="3" t="s">
        <v>30</v>
      </c>
      <c r="N29" s="3" t="s">
        <v>30</v>
      </c>
      <c r="O29" s="3" t="s">
        <v>139</v>
      </c>
      <c r="P29" s="184" t="s">
        <v>1691</v>
      </c>
      <c r="Q29" s="3" t="s">
        <v>427</v>
      </c>
      <c r="R29" s="3" t="s">
        <v>1545</v>
      </c>
      <c r="S29" s="3" t="s">
        <v>1502</v>
      </c>
      <c r="T29" s="182" t="s">
        <v>1579</v>
      </c>
      <c r="U29" s="166">
        <v>3.306</v>
      </c>
      <c r="V29" s="157">
        <v>373.34199999999998</v>
      </c>
      <c r="W29" s="157">
        <v>1234.268</v>
      </c>
      <c r="X29" s="168">
        <v>6.90537472936685E-4</v>
      </c>
      <c r="Y29" s="168">
        <v>7.4557747881695497E-3</v>
      </c>
      <c r="Z29" s="168">
        <v>1.04393374862585E-3</v>
      </c>
    </row>
    <row r="30" spans="1:26">
      <c r="A30" s="3">
        <v>419</v>
      </c>
      <c r="B30" s="3">
        <v>419</v>
      </c>
      <c r="C30" s="3" t="s">
        <v>1688</v>
      </c>
      <c r="D30" s="3" t="s">
        <v>1689</v>
      </c>
      <c r="E30" s="3" t="s">
        <v>441</v>
      </c>
      <c r="F30" s="3" t="s">
        <v>1692</v>
      </c>
      <c r="G30" s="3">
        <v>62016084</v>
      </c>
      <c r="H30" s="3" t="s">
        <v>33</v>
      </c>
      <c r="I30" s="3" t="s">
        <v>1570</v>
      </c>
      <c r="J30" s="3" t="s">
        <v>1600</v>
      </c>
      <c r="K30" s="3" t="s">
        <v>30</v>
      </c>
      <c r="L30" s="3" t="s">
        <v>1487</v>
      </c>
      <c r="M30" s="3" t="s">
        <v>30</v>
      </c>
      <c r="N30" s="3" t="s">
        <v>30</v>
      </c>
      <c r="O30" s="3" t="s">
        <v>139</v>
      </c>
      <c r="P30" s="184" t="s">
        <v>1632</v>
      </c>
      <c r="Q30" s="3" t="s">
        <v>427</v>
      </c>
      <c r="R30" s="3" t="s">
        <v>1545</v>
      </c>
      <c r="S30" s="3" t="s">
        <v>1502</v>
      </c>
      <c r="T30" s="182" t="s">
        <v>1579</v>
      </c>
      <c r="U30" s="166">
        <v>3.306</v>
      </c>
      <c r="V30" s="157">
        <v>1550.9649999999999</v>
      </c>
      <c r="W30" s="157">
        <v>5127.49</v>
      </c>
      <c r="X30" s="168">
        <v>2.2499999999999998E-3</v>
      </c>
      <c r="Y30" s="168">
        <v>3.0973337466093799E-2</v>
      </c>
      <c r="Z30" s="168">
        <v>4.33678768566601E-3</v>
      </c>
    </row>
    <row r="31" spans="1:26">
      <c r="A31" s="3">
        <v>419</v>
      </c>
      <c r="B31" s="3">
        <v>419</v>
      </c>
      <c r="C31" s="3" t="s">
        <v>1693</v>
      </c>
      <c r="D31" s="3" t="s">
        <v>1694</v>
      </c>
      <c r="E31" s="3" t="s">
        <v>165</v>
      </c>
      <c r="F31" s="3" t="s">
        <v>1695</v>
      </c>
      <c r="G31" s="3">
        <v>6201277</v>
      </c>
      <c r="H31" s="3" t="s">
        <v>33</v>
      </c>
      <c r="I31" s="3" t="s">
        <v>1570</v>
      </c>
      <c r="J31" s="3" t="s">
        <v>1682</v>
      </c>
      <c r="K31" s="3" t="s">
        <v>741</v>
      </c>
      <c r="L31" s="3" t="s">
        <v>1487</v>
      </c>
      <c r="M31" s="3" t="s">
        <v>168</v>
      </c>
      <c r="N31" s="3" t="s">
        <v>168</v>
      </c>
      <c r="O31" s="3" t="s">
        <v>139</v>
      </c>
      <c r="P31" s="184" t="s">
        <v>1595</v>
      </c>
      <c r="Q31" s="3" t="s">
        <v>427</v>
      </c>
      <c r="R31" s="3" t="s">
        <v>1545</v>
      </c>
      <c r="S31" s="3" t="s">
        <v>1502</v>
      </c>
      <c r="T31" s="182" t="s">
        <v>1662</v>
      </c>
      <c r="U31" s="166">
        <v>3.306</v>
      </c>
      <c r="V31" s="157">
        <v>2475.2550000000001</v>
      </c>
      <c r="W31" s="157">
        <v>8183.1930000000002</v>
      </c>
      <c r="X31" s="168">
        <v>1.6470588235294101E-3</v>
      </c>
      <c r="Y31" s="168">
        <v>4.9431749818197403E-2</v>
      </c>
      <c r="Z31" s="168">
        <v>6.9212755689358699E-3</v>
      </c>
    </row>
    <row r="32" spans="1:26">
      <c r="A32" s="3">
        <v>419</v>
      </c>
      <c r="B32" s="3">
        <v>419</v>
      </c>
      <c r="C32" s="3" t="s">
        <v>1693</v>
      </c>
      <c r="D32" s="3" t="s">
        <v>1694</v>
      </c>
      <c r="E32" s="3" t="s">
        <v>165</v>
      </c>
      <c r="F32" s="3" t="s">
        <v>1696</v>
      </c>
      <c r="G32" s="3">
        <v>29994487</v>
      </c>
      <c r="H32" s="3" t="s">
        <v>33</v>
      </c>
      <c r="I32" s="3" t="s">
        <v>1570</v>
      </c>
      <c r="J32" s="3" t="s">
        <v>1682</v>
      </c>
      <c r="K32" s="3" t="s">
        <v>741</v>
      </c>
      <c r="L32" s="3" t="s">
        <v>168</v>
      </c>
      <c r="M32" s="3" t="s">
        <v>168</v>
      </c>
      <c r="N32" s="3" t="s">
        <v>833</v>
      </c>
      <c r="O32" s="3" t="s">
        <v>139</v>
      </c>
      <c r="P32" s="184" t="s">
        <v>1697</v>
      </c>
      <c r="Q32" s="3" t="s">
        <v>427</v>
      </c>
      <c r="R32" s="3" t="s">
        <v>1545</v>
      </c>
      <c r="S32" s="3" t="s">
        <v>1502</v>
      </c>
      <c r="T32" s="182" t="s">
        <v>1662</v>
      </c>
      <c r="U32" s="166">
        <v>3.306</v>
      </c>
      <c r="V32" s="157">
        <v>373.08300000000003</v>
      </c>
      <c r="W32" s="157">
        <v>1233.413</v>
      </c>
      <c r="X32" s="168">
        <v>1.6666666666666701E-4</v>
      </c>
      <c r="Y32" s="168">
        <v>7.4506059590012602E-3</v>
      </c>
      <c r="Z32" s="168">
        <v>1.0432100256912199E-3</v>
      </c>
    </row>
    <row r="33" spans="1:26">
      <c r="A33" s="3">
        <v>419</v>
      </c>
      <c r="B33" s="3">
        <v>419</v>
      </c>
      <c r="C33" s="3" t="s">
        <v>1698</v>
      </c>
      <c r="D33" s="3" t="s">
        <v>1699</v>
      </c>
      <c r="E33" s="3" t="s">
        <v>165</v>
      </c>
      <c r="F33" s="3" t="s">
        <v>1700</v>
      </c>
      <c r="G33" s="3">
        <v>620158621</v>
      </c>
      <c r="H33" s="3" t="s">
        <v>33</v>
      </c>
      <c r="I33" s="3" t="s">
        <v>1570</v>
      </c>
      <c r="J33" s="3" t="s">
        <v>1571</v>
      </c>
      <c r="K33" s="3" t="s">
        <v>741</v>
      </c>
      <c r="L33" s="3" t="s">
        <v>1487</v>
      </c>
      <c r="M33" s="3" t="s">
        <v>168</v>
      </c>
      <c r="N33" s="3" t="s">
        <v>168</v>
      </c>
      <c r="O33" s="3" t="s">
        <v>139</v>
      </c>
      <c r="P33" s="184" t="s">
        <v>1701</v>
      </c>
      <c r="Q33" s="3" t="s">
        <v>427</v>
      </c>
      <c r="R33" s="3" t="s">
        <v>1545</v>
      </c>
      <c r="S33" s="3" t="s">
        <v>1502</v>
      </c>
      <c r="T33" s="182" t="s">
        <v>1596</v>
      </c>
      <c r="U33" s="166">
        <v>3.306</v>
      </c>
      <c r="V33" s="157">
        <v>1107.45</v>
      </c>
      <c r="W33" s="157">
        <v>3661.2289999999998</v>
      </c>
      <c r="X33" s="168">
        <v>1E-4</v>
      </c>
      <c r="Y33" s="168">
        <v>2.2116179173708801E-2</v>
      </c>
      <c r="Z33" s="168">
        <v>3.09663669921004E-3</v>
      </c>
    </row>
    <row r="34" spans="1:26">
      <c r="A34" s="3">
        <v>419</v>
      </c>
      <c r="B34" s="3">
        <v>419</v>
      </c>
      <c r="C34" s="3" t="s">
        <v>1702</v>
      </c>
      <c r="D34" s="3" t="s">
        <v>1703</v>
      </c>
      <c r="E34" s="3" t="s">
        <v>132</v>
      </c>
      <c r="F34" s="3" t="s">
        <v>1704</v>
      </c>
      <c r="G34" s="3">
        <v>62010133</v>
      </c>
      <c r="H34" s="3" t="s">
        <v>33</v>
      </c>
      <c r="I34" s="3" t="s">
        <v>1570</v>
      </c>
      <c r="J34" s="3" t="s">
        <v>1682</v>
      </c>
      <c r="K34" s="3" t="s">
        <v>30</v>
      </c>
      <c r="L34" s="3" t="s">
        <v>1487</v>
      </c>
      <c r="M34" s="3" t="s">
        <v>30</v>
      </c>
      <c r="N34" s="3" t="s">
        <v>833</v>
      </c>
      <c r="O34" s="3" t="s">
        <v>139</v>
      </c>
      <c r="P34" s="184" t="s">
        <v>1658</v>
      </c>
      <c r="Q34" s="3" t="s">
        <v>427</v>
      </c>
      <c r="R34" s="3" t="s">
        <v>1545</v>
      </c>
      <c r="S34" s="3" t="s">
        <v>1502</v>
      </c>
      <c r="T34" s="182" t="s">
        <v>1503</v>
      </c>
      <c r="U34" s="166">
        <v>3.306</v>
      </c>
      <c r="V34" s="157">
        <v>685.822</v>
      </c>
      <c r="W34" s="157">
        <v>2267.328</v>
      </c>
      <c r="X34" s="168">
        <v>2E-3</v>
      </c>
      <c r="Y34" s="168">
        <v>1.3696119945369701E-2</v>
      </c>
      <c r="Z34" s="168">
        <v>1.91768692623148E-3</v>
      </c>
    </row>
    <row r="35" spans="1:26">
      <c r="A35" s="3">
        <v>419</v>
      </c>
      <c r="B35" s="3">
        <v>419</v>
      </c>
      <c r="C35" s="3" t="s">
        <v>1705</v>
      </c>
      <c r="D35" s="3" t="s">
        <v>1706</v>
      </c>
      <c r="E35" s="3" t="s">
        <v>165</v>
      </c>
      <c r="F35" s="3" t="s">
        <v>1707</v>
      </c>
      <c r="G35" s="3">
        <v>500010152</v>
      </c>
      <c r="H35" s="3" t="s">
        <v>33</v>
      </c>
      <c r="I35" s="3" t="s">
        <v>1570</v>
      </c>
      <c r="J35" s="3" t="s">
        <v>1589</v>
      </c>
      <c r="K35" s="3" t="s">
        <v>741</v>
      </c>
      <c r="L35" s="3" t="s">
        <v>1487</v>
      </c>
      <c r="M35" s="3" t="s">
        <v>30</v>
      </c>
      <c r="N35" s="3" t="s">
        <v>833</v>
      </c>
      <c r="O35" s="3" t="s">
        <v>139</v>
      </c>
      <c r="P35" s="184" t="s">
        <v>1708</v>
      </c>
      <c r="Q35" s="3" t="s">
        <v>34</v>
      </c>
      <c r="R35" s="3" t="s">
        <v>1545</v>
      </c>
      <c r="S35" s="3" t="s">
        <v>1502</v>
      </c>
      <c r="T35" s="182" t="s">
        <v>1591</v>
      </c>
      <c r="U35" s="166">
        <v>1</v>
      </c>
      <c r="V35" s="157">
        <v>1699.056</v>
      </c>
      <c r="W35" s="157">
        <v>1699.056</v>
      </c>
      <c r="X35" s="168">
        <v>1.5151515151515199E-3</v>
      </c>
      <c r="Y35" s="168">
        <v>1.0263394207226301E-2</v>
      </c>
      <c r="Z35" s="168">
        <v>1.43704764330804E-3</v>
      </c>
    </row>
    <row r="36" spans="1:26">
      <c r="A36" s="3">
        <v>419</v>
      </c>
      <c r="B36" s="3">
        <v>419</v>
      </c>
      <c r="C36" s="3" t="s">
        <v>1709</v>
      </c>
      <c r="D36" s="3" t="s">
        <v>1710</v>
      </c>
      <c r="E36" s="3" t="s">
        <v>165</v>
      </c>
      <c r="F36" s="3" t="s">
        <v>1711</v>
      </c>
      <c r="G36" s="3">
        <v>620067541</v>
      </c>
      <c r="H36" s="3" t="s">
        <v>33</v>
      </c>
      <c r="I36" s="3" t="s">
        <v>1570</v>
      </c>
      <c r="J36" s="3" t="s">
        <v>1600</v>
      </c>
      <c r="K36" s="3" t="s">
        <v>741</v>
      </c>
      <c r="L36" s="3" t="s">
        <v>168</v>
      </c>
      <c r="M36" s="3" t="s">
        <v>168</v>
      </c>
      <c r="N36" s="3" t="s">
        <v>833</v>
      </c>
      <c r="O36" s="3" t="s">
        <v>139</v>
      </c>
      <c r="P36" s="184" t="s">
        <v>1712</v>
      </c>
      <c r="Q36" s="3" t="s">
        <v>427</v>
      </c>
      <c r="R36" s="3" t="s">
        <v>1545</v>
      </c>
      <c r="S36" s="3" t="s">
        <v>1502</v>
      </c>
      <c r="T36" s="182" t="s">
        <v>1713</v>
      </c>
      <c r="U36" s="166">
        <v>3.306</v>
      </c>
      <c r="V36" s="157">
        <v>1481.2829999999999</v>
      </c>
      <c r="W36" s="157">
        <v>4897.12</v>
      </c>
      <c r="X36" s="168">
        <v>5.7987157792917395E-4</v>
      </c>
      <c r="Y36" s="168">
        <v>2.9581757808407699E-2</v>
      </c>
      <c r="Z36" s="168">
        <v>4.14194315108258E-3</v>
      </c>
    </row>
    <row r="37" spans="1:26">
      <c r="A37" s="3">
        <v>419</v>
      </c>
      <c r="B37" s="3">
        <v>419</v>
      </c>
      <c r="C37" s="3" t="s">
        <v>1714</v>
      </c>
      <c r="D37" s="3" t="s">
        <v>1715</v>
      </c>
      <c r="E37" s="3" t="s">
        <v>132</v>
      </c>
      <c r="F37" s="3" t="s">
        <v>1716</v>
      </c>
      <c r="G37" s="3">
        <v>62016571</v>
      </c>
      <c r="H37" s="3" t="s">
        <v>33</v>
      </c>
      <c r="I37" s="3" t="s">
        <v>1570</v>
      </c>
      <c r="J37" s="3" t="s">
        <v>1577</v>
      </c>
      <c r="K37" s="3" t="s">
        <v>741</v>
      </c>
      <c r="L37" s="3" t="s">
        <v>168</v>
      </c>
      <c r="M37" s="3" t="s">
        <v>168</v>
      </c>
      <c r="N37" s="3" t="s">
        <v>168</v>
      </c>
      <c r="O37" s="3" t="s">
        <v>139</v>
      </c>
      <c r="P37" s="184" t="s">
        <v>1611</v>
      </c>
      <c r="Q37" s="3" t="s">
        <v>427</v>
      </c>
      <c r="R37" s="3" t="s">
        <v>1545</v>
      </c>
      <c r="S37" s="3" t="s">
        <v>1502</v>
      </c>
      <c r="T37" s="182" t="s">
        <v>1591</v>
      </c>
      <c r="U37" s="166">
        <v>3.306</v>
      </c>
      <c r="V37" s="157">
        <v>406.589</v>
      </c>
      <c r="W37" s="157">
        <v>1344.184</v>
      </c>
      <c r="X37" s="168">
        <v>3.3637674195098502E-4</v>
      </c>
      <c r="Y37" s="168">
        <v>8.1197349662817993E-3</v>
      </c>
      <c r="Z37" s="168">
        <v>1.13689932998633E-3</v>
      </c>
    </row>
    <row r="38" spans="1:26">
      <c r="A38" s="3">
        <v>419</v>
      </c>
      <c r="B38" s="3">
        <v>419</v>
      </c>
      <c r="C38" s="3" t="s">
        <v>1717</v>
      </c>
      <c r="D38" s="3" t="s">
        <v>1718</v>
      </c>
      <c r="E38" s="3" t="s">
        <v>132</v>
      </c>
      <c r="F38" s="3" t="s">
        <v>1719</v>
      </c>
      <c r="G38" s="3">
        <v>620104344</v>
      </c>
      <c r="H38" s="3" t="s">
        <v>33</v>
      </c>
      <c r="I38" s="3" t="s">
        <v>1570</v>
      </c>
      <c r="J38" s="3" t="s">
        <v>1566</v>
      </c>
      <c r="K38" s="3" t="s">
        <v>741</v>
      </c>
      <c r="L38" s="3" t="s">
        <v>1487</v>
      </c>
      <c r="M38" s="3" t="s">
        <v>30</v>
      </c>
      <c r="N38" s="3" t="s">
        <v>168</v>
      </c>
      <c r="O38" s="3" t="s">
        <v>139</v>
      </c>
      <c r="P38" s="184" t="s">
        <v>1720</v>
      </c>
      <c r="Q38" s="3" t="s">
        <v>427</v>
      </c>
      <c r="R38" s="3" t="s">
        <v>1545</v>
      </c>
      <c r="S38" s="3" t="s">
        <v>1502</v>
      </c>
      <c r="T38" s="182" t="s">
        <v>1596</v>
      </c>
      <c r="U38" s="166">
        <v>3.306</v>
      </c>
      <c r="V38" s="157">
        <v>733.74900000000002</v>
      </c>
      <c r="W38" s="157">
        <v>2425.7739999999999</v>
      </c>
      <c r="X38" s="168">
        <v>1.5720000000000001E-2</v>
      </c>
      <c r="Y38" s="168">
        <v>1.46532367250903E-2</v>
      </c>
      <c r="Z38" s="168">
        <v>2.0516993576841901E-3</v>
      </c>
    </row>
    <row r="39" spans="1:26">
      <c r="A39" s="3">
        <v>419</v>
      </c>
      <c r="B39" s="3">
        <v>419</v>
      </c>
      <c r="C39" s="3" t="s">
        <v>1698</v>
      </c>
      <c r="D39" s="3" t="s">
        <v>1699</v>
      </c>
      <c r="E39" s="3" t="s">
        <v>165</v>
      </c>
      <c r="F39" s="3" t="s">
        <v>1721</v>
      </c>
      <c r="G39" s="3">
        <v>620171401</v>
      </c>
      <c r="H39" s="3" t="s">
        <v>33</v>
      </c>
      <c r="I39" s="3" t="s">
        <v>1570</v>
      </c>
      <c r="J39" s="3" t="s">
        <v>1583</v>
      </c>
      <c r="K39" s="3" t="s">
        <v>741</v>
      </c>
      <c r="L39" s="3" t="s">
        <v>1403</v>
      </c>
      <c r="M39" s="3" t="s">
        <v>1403</v>
      </c>
      <c r="N39" s="3" t="s">
        <v>1213</v>
      </c>
      <c r="O39" s="3" t="s">
        <v>139</v>
      </c>
      <c r="P39" s="184" t="s">
        <v>1722</v>
      </c>
      <c r="Q39" s="3" t="s">
        <v>745</v>
      </c>
      <c r="R39" s="3" t="s">
        <v>1545</v>
      </c>
      <c r="S39" s="3" t="s">
        <v>1502</v>
      </c>
      <c r="T39" s="182" t="s">
        <v>1602</v>
      </c>
      <c r="U39" s="166">
        <v>3.8807</v>
      </c>
      <c r="V39" s="157">
        <v>524.83100000000002</v>
      </c>
      <c r="W39" s="157">
        <v>2036.712</v>
      </c>
      <c r="X39" s="168">
        <v>3.2325537174367701E-3</v>
      </c>
      <c r="Y39" s="168">
        <v>1.2303049105803101E-2</v>
      </c>
      <c r="Z39" s="168">
        <v>1.7226336011286799E-3</v>
      </c>
    </row>
    <row r="40" spans="1:26">
      <c r="A40" s="3">
        <v>419</v>
      </c>
      <c r="B40" s="3">
        <v>419</v>
      </c>
      <c r="C40" s="3" t="s">
        <v>1723</v>
      </c>
      <c r="D40" s="3" t="s">
        <v>1724</v>
      </c>
      <c r="E40" s="3" t="s">
        <v>165</v>
      </c>
      <c r="F40" s="3" t="s">
        <v>1725</v>
      </c>
      <c r="G40" s="3">
        <v>62019751</v>
      </c>
      <c r="H40" s="3" t="s">
        <v>33</v>
      </c>
      <c r="I40" s="3" t="s">
        <v>1570</v>
      </c>
      <c r="J40" s="3" t="s">
        <v>1600</v>
      </c>
      <c r="K40" s="3" t="s">
        <v>741</v>
      </c>
      <c r="L40" s="3" t="s">
        <v>168</v>
      </c>
      <c r="M40" s="3" t="s">
        <v>168</v>
      </c>
      <c r="N40" s="3" t="s">
        <v>168</v>
      </c>
      <c r="O40" s="3" t="s">
        <v>139</v>
      </c>
      <c r="P40" s="184" t="s">
        <v>1726</v>
      </c>
      <c r="Q40" s="3" t="s">
        <v>427</v>
      </c>
      <c r="R40" s="3" t="s">
        <v>1545</v>
      </c>
      <c r="S40" s="3" t="s">
        <v>1502</v>
      </c>
      <c r="T40" s="182" t="s">
        <v>1596</v>
      </c>
      <c r="U40" s="166">
        <v>3.306</v>
      </c>
      <c r="V40" s="157">
        <v>1421.175</v>
      </c>
      <c r="W40" s="157">
        <v>4698.4049999999997</v>
      </c>
      <c r="X40" s="168">
        <v>3.6286326695233702E-4</v>
      </c>
      <c r="Y40" s="168">
        <v>2.8381388717474799E-2</v>
      </c>
      <c r="Z40" s="168">
        <v>3.9738713087275101E-3</v>
      </c>
    </row>
    <row r="41" spans="1:26">
      <c r="A41" s="3">
        <v>419</v>
      </c>
      <c r="B41" s="3">
        <v>419</v>
      </c>
      <c r="C41" s="3" t="s">
        <v>1727</v>
      </c>
      <c r="D41" s="3" t="s">
        <v>1728</v>
      </c>
      <c r="E41" s="3" t="s">
        <v>165</v>
      </c>
      <c r="F41" s="3" t="s">
        <v>1729</v>
      </c>
      <c r="G41" s="3">
        <v>620070833</v>
      </c>
      <c r="H41" s="3" t="s">
        <v>33</v>
      </c>
      <c r="I41" s="3" t="s">
        <v>1570</v>
      </c>
      <c r="J41" s="3" t="s">
        <v>1627</v>
      </c>
      <c r="K41" s="3" t="s">
        <v>741</v>
      </c>
      <c r="L41" s="3" t="s">
        <v>1403</v>
      </c>
      <c r="M41" s="3" t="s">
        <v>720</v>
      </c>
      <c r="N41" s="3" t="s">
        <v>168</v>
      </c>
      <c r="O41" s="3" t="s">
        <v>139</v>
      </c>
      <c r="P41" s="184" t="s">
        <v>1730</v>
      </c>
      <c r="Q41" s="3" t="s">
        <v>427</v>
      </c>
      <c r="R41" s="3" t="s">
        <v>1545</v>
      </c>
      <c r="S41" s="3" t="s">
        <v>1502</v>
      </c>
      <c r="T41" s="182" t="s">
        <v>1662</v>
      </c>
      <c r="U41" s="166">
        <v>3.306</v>
      </c>
      <c r="V41" s="157">
        <v>2031.287</v>
      </c>
      <c r="W41" s="157">
        <v>6715.4340000000002</v>
      </c>
      <c r="X41" s="168">
        <v>3.9563437926330202E-3</v>
      </c>
      <c r="Y41" s="168">
        <v>4.0565541228982302E-2</v>
      </c>
      <c r="Z41" s="168">
        <v>5.67985738885289E-3</v>
      </c>
    </row>
    <row r="42" spans="1:26">
      <c r="A42" s="3">
        <v>419</v>
      </c>
      <c r="B42" s="3">
        <v>419</v>
      </c>
      <c r="C42" s="3" t="s">
        <v>1731</v>
      </c>
      <c r="D42" s="3" t="s">
        <v>1732</v>
      </c>
      <c r="E42" s="3" t="s">
        <v>165</v>
      </c>
      <c r="F42" s="3" t="s">
        <v>1733</v>
      </c>
      <c r="G42" s="3">
        <v>620019914</v>
      </c>
      <c r="H42" s="3" t="s">
        <v>33</v>
      </c>
      <c r="I42" s="3" t="s">
        <v>1570</v>
      </c>
      <c r="J42" s="3" t="s">
        <v>1657</v>
      </c>
      <c r="K42" s="3" t="s">
        <v>741</v>
      </c>
      <c r="L42" s="3" t="s">
        <v>1403</v>
      </c>
      <c r="M42" s="3" t="s">
        <v>720</v>
      </c>
      <c r="N42" s="3" t="s">
        <v>833</v>
      </c>
      <c r="O42" s="3" t="s">
        <v>139</v>
      </c>
      <c r="P42" s="184" t="s">
        <v>1734</v>
      </c>
      <c r="Q42" s="3" t="s">
        <v>427</v>
      </c>
      <c r="R42" s="3" t="s">
        <v>1545</v>
      </c>
      <c r="S42" s="3" t="s">
        <v>1502</v>
      </c>
      <c r="T42" s="182" t="s">
        <v>1596</v>
      </c>
      <c r="U42" s="166">
        <v>3.306</v>
      </c>
      <c r="V42" s="157">
        <v>934.58199999999999</v>
      </c>
      <c r="W42" s="157">
        <v>3089.7280000000001</v>
      </c>
      <c r="X42" s="168">
        <v>4.0000000000000002E-4</v>
      </c>
      <c r="Y42" s="168">
        <v>1.86639438500741E-2</v>
      </c>
      <c r="Z42" s="168">
        <v>2.61326574650113E-3</v>
      </c>
    </row>
    <row r="43" spans="1:26">
      <c r="A43" s="3">
        <v>419</v>
      </c>
      <c r="B43" s="3">
        <v>419</v>
      </c>
      <c r="C43" s="3" t="s">
        <v>1735</v>
      </c>
      <c r="D43" s="3" t="s">
        <v>1736</v>
      </c>
      <c r="E43" s="3" t="s">
        <v>165</v>
      </c>
      <c r="F43" s="3" t="s">
        <v>1737</v>
      </c>
      <c r="G43" s="3">
        <v>400301020</v>
      </c>
      <c r="H43" s="3" t="s">
        <v>33</v>
      </c>
      <c r="I43" s="3" t="s">
        <v>1738</v>
      </c>
      <c r="J43" s="3" t="s">
        <v>1739</v>
      </c>
      <c r="K43" s="3" t="s">
        <v>741</v>
      </c>
      <c r="L43" s="3" t="s">
        <v>168</v>
      </c>
      <c r="M43" s="3" t="s">
        <v>30</v>
      </c>
      <c r="N43" s="3" t="s">
        <v>168</v>
      </c>
      <c r="O43" s="3" t="s">
        <v>139</v>
      </c>
      <c r="P43" s="184" t="s">
        <v>1740</v>
      </c>
      <c r="Q43" s="3" t="s">
        <v>427</v>
      </c>
      <c r="R43" s="3" t="s">
        <v>1545</v>
      </c>
      <c r="S43" s="3" t="s">
        <v>1502</v>
      </c>
      <c r="T43" s="182" t="s">
        <v>1585</v>
      </c>
      <c r="U43" s="166">
        <v>3.306</v>
      </c>
      <c r="V43" s="157">
        <v>451.41</v>
      </c>
      <c r="W43" s="157">
        <v>1492.3620000000001</v>
      </c>
      <c r="X43" s="168">
        <v>0</v>
      </c>
      <c r="Y43" s="168">
        <v>9.0148257080573998E-3</v>
      </c>
      <c r="Z43" s="168">
        <v>1.26222707391239E-3</v>
      </c>
    </row>
    <row r="44" spans="1:26">
      <c r="A44" s="3">
        <v>419</v>
      </c>
      <c r="B44" s="3">
        <v>419</v>
      </c>
      <c r="C44" s="3" t="s">
        <v>1741</v>
      </c>
      <c r="D44" s="3" t="s">
        <v>1742</v>
      </c>
      <c r="E44" s="3" t="s">
        <v>165</v>
      </c>
      <c r="F44" s="3" t="s">
        <v>1743</v>
      </c>
      <c r="G44" s="3">
        <v>400051120</v>
      </c>
      <c r="H44" s="3" t="s">
        <v>33</v>
      </c>
      <c r="I44" s="3" t="s">
        <v>1738</v>
      </c>
      <c r="J44" s="3" t="s">
        <v>1739</v>
      </c>
      <c r="K44" s="3" t="s">
        <v>741</v>
      </c>
      <c r="L44" s="3" t="s">
        <v>168</v>
      </c>
      <c r="M44" s="3" t="s">
        <v>30</v>
      </c>
      <c r="N44" s="3" t="s">
        <v>168</v>
      </c>
      <c r="O44" s="3" t="s">
        <v>139</v>
      </c>
      <c r="P44" s="184" t="s">
        <v>1744</v>
      </c>
      <c r="Q44" s="3" t="s">
        <v>427</v>
      </c>
      <c r="R44" s="3" t="s">
        <v>1545</v>
      </c>
      <c r="S44" s="3" t="s">
        <v>1502</v>
      </c>
      <c r="T44" s="182" t="s">
        <v>1596</v>
      </c>
      <c r="U44" s="166">
        <v>3.306</v>
      </c>
      <c r="V44" s="157">
        <v>525.06600000000003</v>
      </c>
      <c r="W44" s="157">
        <v>1735.8679999999999</v>
      </c>
      <c r="X44" s="168">
        <v>0</v>
      </c>
      <c r="Y44" s="168">
        <v>1.0485758757066499E-2</v>
      </c>
      <c r="Z44" s="168">
        <v>1.4681824166443401E-3</v>
      </c>
    </row>
    <row r="45" spans="1:26">
      <c r="A45" s="3">
        <v>419</v>
      </c>
      <c r="B45" s="3">
        <v>419</v>
      </c>
      <c r="C45" s="3" t="s">
        <v>1741</v>
      </c>
      <c r="D45" s="3" t="s">
        <v>1745</v>
      </c>
      <c r="E45" s="3" t="s">
        <v>165</v>
      </c>
      <c r="F45" s="3" t="s">
        <v>1746</v>
      </c>
      <c r="G45" s="3">
        <v>62015227</v>
      </c>
      <c r="H45" s="3" t="s">
        <v>33</v>
      </c>
      <c r="I45" s="3" t="s">
        <v>1570</v>
      </c>
      <c r="J45" s="3" t="s">
        <v>1571</v>
      </c>
      <c r="K45" s="3" t="s">
        <v>741</v>
      </c>
      <c r="L45" s="3" t="s">
        <v>168</v>
      </c>
      <c r="M45" s="3" t="s">
        <v>30</v>
      </c>
      <c r="N45" s="3" t="s">
        <v>30</v>
      </c>
      <c r="O45" s="3" t="s">
        <v>139</v>
      </c>
      <c r="P45" s="184" t="s">
        <v>1747</v>
      </c>
      <c r="Q45" s="3" t="s">
        <v>427</v>
      </c>
      <c r="R45" s="3" t="s">
        <v>1545</v>
      </c>
      <c r="S45" s="3" t="s">
        <v>1502</v>
      </c>
      <c r="T45" s="182" t="s">
        <v>1748</v>
      </c>
      <c r="U45" s="166">
        <v>3.306</v>
      </c>
      <c r="V45" s="157">
        <v>594.76599999999996</v>
      </c>
      <c r="W45" s="157">
        <v>1966.296</v>
      </c>
      <c r="X45" s="168">
        <v>0</v>
      </c>
      <c r="Y45" s="168">
        <v>1.18776938491291E-2</v>
      </c>
      <c r="Z45" s="168">
        <v>1.6630767180127999E-3</v>
      </c>
    </row>
    <row r="46" spans="1:26">
      <c r="A46" s="3">
        <v>419</v>
      </c>
      <c r="B46" s="3">
        <v>419</v>
      </c>
      <c r="C46" s="3" t="s">
        <v>1749</v>
      </c>
      <c r="D46" s="3" t="s">
        <v>1750</v>
      </c>
      <c r="E46" s="3" t="s">
        <v>165</v>
      </c>
      <c r="F46" s="3" t="s">
        <v>1751</v>
      </c>
      <c r="G46" s="3">
        <v>401311183</v>
      </c>
      <c r="H46" s="3" t="s">
        <v>33</v>
      </c>
      <c r="I46" s="3" t="s">
        <v>1570</v>
      </c>
      <c r="J46" s="3" t="s">
        <v>1739</v>
      </c>
      <c r="K46" s="3" t="s">
        <v>741</v>
      </c>
      <c r="L46" s="3" t="s">
        <v>1487</v>
      </c>
      <c r="M46" s="3" t="s">
        <v>30</v>
      </c>
      <c r="N46" s="3" t="s">
        <v>168</v>
      </c>
      <c r="O46" s="3" t="s">
        <v>139</v>
      </c>
      <c r="P46" s="184" t="s">
        <v>1632</v>
      </c>
      <c r="Q46" s="3" t="s">
        <v>427</v>
      </c>
      <c r="R46" s="3" t="s">
        <v>1545</v>
      </c>
      <c r="S46" s="3" t="s">
        <v>1502</v>
      </c>
      <c r="T46" s="182" t="s">
        <v>1596</v>
      </c>
      <c r="U46" s="166">
        <v>3.306</v>
      </c>
      <c r="V46" s="157">
        <v>2460.4340000000002</v>
      </c>
      <c r="W46" s="157">
        <v>8134.1949999999997</v>
      </c>
      <c r="X46" s="168">
        <v>0</v>
      </c>
      <c r="Y46" s="168">
        <v>4.9135771651865202E-2</v>
      </c>
      <c r="Z46" s="168">
        <v>6.8798336523719699E-3</v>
      </c>
    </row>
    <row r="47" spans="1:26">
      <c r="A47" s="3">
        <v>419</v>
      </c>
      <c r="B47" s="3">
        <v>419</v>
      </c>
      <c r="C47" s="3" t="s">
        <v>1717</v>
      </c>
      <c r="D47" s="3" t="s">
        <v>1718</v>
      </c>
      <c r="E47" s="3" t="s">
        <v>132</v>
      </c>
      <c r="F47" s="3" t="s">
        <v>1752</v>
      </c>
      <c r="G47" s="3">
        <v>620104341</v>
      </c>
      <c r="H47" s="3" t="s">
        <v>33</v>
      </c>
      <c r="I47" s="3" t="s">
        <v>1570</v>
      </c>
      <c r="J47" s="3" t="s">
        <v>1566</v>
      </c>
      <c r="K47" s="3" t="s">
        <v>741</v>
      </c>
      <c r="L47" s="3" t="s">
        <v>1487</v>
      </c>
      <c r="M47" s="3" t="s">
        <v>30</v>
      </c>
      <c r="N47" s="3" t="s">
        <v>1213</v>
      </c>
      <c r="O47" s="3" t="s">
        <v>139</v>
      </c>
      <c r="P47" s="184" t="s">
        <v>1753</v>
      </c>
      <c r="Q47" s="3" t="s">
        <v>427</v>
      </c>
      <c r="R47" s="3" t="s">
        <v>1545</v>
      </c>
      <c r="S47" s="3" t="s">
        <v>1502</v>
      </c>
      <c r="T47" s="182" t="s">
        <v>1596</v>
      </c>
      <c r="U47" s="166">
        <v>3.306</v>
      </c>
      <c r="V47" s="157">
        <v>461.57</v>
      </c>
      <c r="W47" s="157">
        <v>1525.95</v>
      </c>
      <c r="X47" s="168">
        <v>1.076E-2</v>
      </c>
      <c r="Y47" s="168">
        <v>9.21772120061712E-3</v>
      </c>
      <c r="Z47" s="168">
        <v>1.29063585209373E-3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L2" sqref="L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6</v>
      </c>
      <c r="J1" s="22" t="s">
        <v>7</v>
      </c>
      <c r="K1" s="22" t="s">
        <v>129</v>
      </c>
      <c r="L1" s="22" t="s">
        <v>1421</v>
      </c>
      <c r="M1" s="22" t="s">
        <v>122</v>
      </c>
      <c r="N1" s="180" t="s">
        <v>1422</v>
      </c>
      <c r="O1" s="22" t="s">
        <v>123</v>
      </c>
      <c r="P1" s="180" t="s">
        <v>1463</v>
      </c>
      <c r="Q1" s="22" t="s">
        <v>11</v>
      </c>
      <c r="R1" s="22" t="s">
        <v>1469</v>
      </c>
      <c r="S1" s="22" t="s">
        <v>1470</v>
      </c>
      <c r="T1" s="180" t="s">
        <v>1472</v>
      </c>
      <c r="U1" s="171" t="s">
        <v>1423</v>
      </c>
      <c r="V1" s="22" t="s">
        <v>1424</v>
      </c>
      <c r="W1" s="22" t="s">
        <v>17</v>
      </c>
      <c r="X1" s="171" t="s">
        <v>19</v>
      </c>
      <c r="Y1" s="165" t="s">
        <v>18</v>
      </c>
      <c r="Z1" s="22" t="s">
        <v>20</v>
      </c>
      <c r="AA1" s="167" t="s">
        <v>24</v>
      </c>
      <c r="AB1" s="167" t="s">
        <v>25</v>
      </c>
    </row>
    <row r="2" spans="1:28">
      <c r="A2" s="23">
        <v>419</v>
      </c>
      <c r="B2" s="23">
        <v>419</v>
      </c>
      <c r="C2" s="23" t="s">
        <v>1754</v>
      </c>
      <c r="D2" s="23" t="s">
        <v>1755</v>
      </c>
      <c r="E2" s="21" t="s">
        <v>132</v>
      </c>
      <c r="F2" s="23" t="s">
        <v>1756</v>
      </c>
      <c r="G2" s="23" t="s">
        <v>1757</v>
      </c>
      <c r="H2" s="23" t="s">
        <v>33</v>
      </c>
      <c r="I2" s="21" t="s">
        <v>741</v>
      </c>
      <c r="J2" s="21" t="s">
        <v>168</v>
      </c>
      <c r="K2" s="23" t="s">
        <v>1527</v>
      </c>
      <c r="L2" s="197">
        <v>70381686</v>
      </c>
      <c r="M2" s="23" t="s">
        <v>240</v>
      </c>
      <c r="N2" s="181" t="s">
        <v>330</v>
      </c>
      <c r="O2" s="23" t="s">
        <v>139</v>
      </c>
      <c r="P2" s="181" t="s">
        <v>1758</v>
      </c>
      <c r="Q2" s="21" t="s">
        <v>427</v>
      </c>
      <c r="R2" s="23" t="s">
        <v>240</v>
      </c>
      <c r="S2" s="23" t="s">
        <v>1502</v>
      </c>
      <c r="T2" s="181" t="s">
        <v>1503</v>
      </c>
      <c r="U2" s="175">
        <v>10.116</v>
      </c>
      <c r="V2" s="23" t="s">
        <v>1759</v>
      </c>
      <c r="W2" s="159">
        <v>21978</v>
      </c>
      <c r="X2" s="175">
        <v>1</v>
      </c>
      <c r="Y2" s="174">
        <v>3.306</v>
      </c>
      <c r="Z2" s="159">
        <v>0.72699999999999998</v>
      </c>
      <c r="AA2" s="173">
        <v>1</v>
      </c>
      <c r="AB2" s="173">
        <v>6.1454596167331302E-7</v>
      </c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3" spans="1:28">
      <c r="H23" s="42"/>
    </row>
    <row r="24" spans="1:28">
      <c r="H24" s="42"/>
      <c r="K24" s="3"/>
    </row>
    <row r="25" spans="1:28">
      <c r="H25" s="42"/>
    </row>
    <row r="26" spans="1:28">
      <c r="H26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122</v>
      </c>
      <c r="M1" s="22" t="s">
        <v>1428</v>
      </c>
      <c r="N1" s="22" t="s">
        <v>1422</v>
      </c>
      <c r="O1" s="22" t="s">
        <v>123</v>
      </c>
      <c r="P1" s="22" t="s">
        <v>1463</v>
      </c>
      <c r="Q1" s="22" t="s">
        <v>11</v>
      </c>
      <c r="R1" s="22" t="s">
        <v>1469</v>
      </c>
      <c r="S1" s="22" t="s">
        <v>1470</v>
      </c>
      <c r="T1" s="22" t="s">
        <v>1472</v>
      </c>
      <c r="U1" s="22" t="s">
        <v>1423</v>
      </c>
      <c r="V1" s="22" t="s">
        <v>1424</v>
      </c>
      <c r="W1" s="22" t="s">
        <v>17</v>
      </c>
      <c r="X1" s="22" t="s">
        <v>19</v>
      </c>
      <c r="Y1" s="22" t="s">
        <v>18</v>
      </c>
      <c r="Z1" s="22" t="s">
        <v>1760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  <row r="21" spans="1:28" s="42" customFormat="1">
      <c r="H21" s="41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B34" sqref="B34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22" t="s">
        <v>0</v>
      </c>
      <c r="B1" s="22" t="s">
        <v>1</v>
      </c>
      <c r="C1" s="22" t="s">
        <v>5</v>
      </c>
      <c r="D1" s="22" t="s">
        <v>1761</v>
      </c>
      <c r="E1" s="22" t="s">
        <v>1762</v>
      </c>
      <c r="F1" s="171" t="s">
        <v>18</v>
      </c>
      <c r="G1" s="22" t="s">
        <v>1763</v>
      </c>
      <c r="H1" s="22" t="s">
        <v>1764</v>
      </c>
      <c r="I1" s="167" t="s">
        <v>1765</v>
      </c>
      <c r="J1" s="167" t="s">
        <v>1766</v>
      </c>
      <c r="K1" s="22" t="s">
        <v>1767</v>
      </c>
      <c r="L1" s="22" t="s">
        <v>1768</v>
      </c>
      <c r="M1" s="171" t="s">
        <v>18</v>
      </c>
      <c r="N1" s="22" t="s">
        <v>1769</v>
      </c>
      <c r="O1" s="22" t="s">
        <v>1770</v>
      </c>
      <c r="P1" s="167" t="s">
        <v>1771</v>
      </c>
      <c r="Q1" s="167" t="s">
        <v>1772</v>
      </c>
      <c r="R1" s="22" t="s">
        <v>1773</v>
      </c>
      <c r="S1" s="22" t="s">
        <v>6</v>
      </c>
      <c r="T1" s="22" t="s">
        <v>7</v>
      </c>
      <c r="U1" s="22" t="s">
        <v>1774</v>
      </c>
      <c r="V1" s="22" t="s">
        <v>1775</v>
      </c>
      <c r="W1" s="22" t="s">
        <v>1776</v>
      </c>
      <c r="X1" s="22" t="s">
        <v>1777</v>
      </c>
      <c r="Y1" s="22" t="s">
        <v>123</v>
      </c>
      <c r="Z1" s="22" t="s">
        <v>1778</v>
      </c>
      <c r="AA1" s="22" t="s">
        <v>1779</v>
      </c>
      <c r="AB1" s="22" t="s">
        <v>1780</v>
      </c>
      <c r="AC1" s="22" t="s">
        <v>1781</v>
      </c>
      <c r="AD1" s="22" t="s">
        <v>1782</v>
      </c>
      <c r="AE1" s="22" t="s">
        <v>1783</v>
      </c>
      <c r="AF1" s="22" t="s">
        <v>125</v>
      </c>
      <c r="AG1" s="22" t="s">
        <v>1784</v>
      </c>
      <c r="AH1" s="22" t="s">
        <v>1785</v>
      </c>
      <c r="AI1" s="22" t="s">
        <v>1786</v>
      </c>
      <c r="AJ1" s="22" t="s">
        <v>1787</v>
      </c>
      <c r="AK1" s="22" t="s">
        <v>1788</v>
      </c>
      <c r="AL1" s="22" t="s">
        <v>1789</v>
      </c>
      <c r="AM1" s="22" t="s">
        <v>1790</v>
      </c>
      <c r="AN1" s="167" t="s">
        <v>24</v>
      </c>
      <c r="AO1" s="167" t="s">
        <v>25</v>
      </c>
    </row>
    <row r="2" spans="1:41">
      <c r="A2" s="11" t="s">
        <v>1791</v>
      </c>
      <c r="B2" s="11" t="s">
        <v>1792</v>
      </c>
      <c r="C2" s="11" t="s">
        <v>1793</v>
      </c>
      <c r="D2" s="2" t="s">
        <v>1794</v>
      </c>
      <c r="E2" s="11" t="s">
        <v>745</v>
      </c>
      <c r="F2" s="191">
        <v>3.8807</v>
      </c>
      <c r="G2" s="162">
        <v>-281000</v>
      </c>
      <c r="H2" s="156">
        <v>-281.68688123276729</v>
      </c>
      <c r="I2" s="192">
        <v>2.3800000000000001E-4</v>
      </c>
      <c r="J2" s="193">
        <v>-1.7E-5</v>
      </c>
      <c r="K2" s="9" t="s">
        <v>1794</v>
      </c>
      <c r="L2" s="11" t="s">
        <v>34</v>
      </c>
      <c r="M2" s="194">
        <v>1</v>
      </c>
      <c r="N2" s="163">
        <v>1126669.5</v>
      </c>
      <c r="O2" s="164">
        <v>1126.6695</v>
      </c>
      <c r="P2" s="192">
        <v>5.1999999999999997E-5</v>
      </c>
      <c r="Q2" s="192">
        <v>2.6800000000000001E-4</v>
      </c>
      <c r="R2" s="162">
        <v>33.52722</v>
      </c>
      <c r="S2" s="9" t="s">
        <v>30</v>
      </c>
      <c r="T2" s="21" t="s">
        <v>30</v>
      </c>
      <c r="U2" s="29" t="s">
        <v>1433</v>
      </c>
      <c r="V2" s="10" t="s">
        <v>1795</v>
      </c>
      <c r="W2" s="9" t="s">
        <v>1796</v>
      </c>
      <c r="X2" s="10" t="s">
        <v>1797</v>
      </c>
      <c r="Y2" s="10" t="s">
        <v>139</v>
      </c>
      <c r="Z2" s="1" t="s">
        <v>1798</v>
      </c>
      <c r="AA2" s="28" t="s">
        <v>1799</v>
      </c>
      <c r="AB2" s="10" t="s">
        <v>1800</v>
      </c>
      <c r="AC2" s="10" t="s">
        <v>1801</v>
      </c>
      <c r="AD2" s="10" t="s">
        <v>763</v>
      </c>
      <c r="AE2" s="29" t="s">
        <v>1802</v>
      </c>
      <c r="AF2" s="10" t="s">
        <v>1800</v>
      </c>
      <c r="AG2" s="11" t="s">
        <v>1800</v>
      </c>
      <c r="AH2" s="39" t="s">
        <v>1800</v>
      </c>
      <c r="AI2" s="162">
        <v>4.0095000000000001</v>
      </c>
      <c r="AJ2" s="39" t="s">
        <v>1803</v>
      </c>
      <c r="AK2" s="29" t="s">
        <v>139</v>
      </c>
      <c r="AL2" s="39" t="s">
        <v>1804</v>
      </c>
      <c r="AM2" s="9" t="s">
        <v>1805</v>
      </c>
      <c r="AN2" s="173">
        <v>2.5799999999999998E-4</v>
      </c>
      <c r="AO2" s="173">
        <v>1.9999999999999999E-6</v>
      </c>
    </row>
    <row r="3" spans="1:41">
      <c r="A3" s="11" t="s">
        <v>1791</v>
      </c>
      <c r="B3" s="11" t="s">
        <v>1792</v>
      </c>
      <c r="C3" s="11" t="s">
        <v>1793</v>
      </c>
      <c r="D3" s="2" t="s">
        <v>1806</v>
      </c>
      <c r="E3" s="11" t="s">
        <v>427</v>
      </c>
      <c r="F3" s="191">
        <v>3.306</v>
      </c>
      <c r="G3" s="162">
        <v>-900000</v>
      </c>
      <c r="H3" s="156">
        <v>-900.16579854809436</v>
      </c>
      <c r="I3" s="192">
        <v>7.6199999999999998E-4</v>
      </c>
      <c r="J3" s="193">
        <v>-5.5000000000000002E-5</v>
      </c>
      <c r="K3" s="9" t="s">
        <v>1806</v>
      </c>
      <c r="L3" s="11" t="s">
        <v>34</v>
      </c>
      <c r="M3" s="194">
        <v>1</v>
      </c>
      <c r="N3" s="163">
        <v>3072600</v>
      </c>
      <c r="O3" s="163">
        <v>3072.6</v>
      </c>
      <c r="P3" s="192">
        <v>1.4100000000000001E-4</v>
      </c>
      <c r="Q3" s="192">
        <v>7.3200000000000001E-4</v>
      </c>
      <c r="R3" s="162">
        <v>96.651870000000002</v>
      </c>
      <c r="S3" s="9" t="s">
        <v>30</v>
      </c>
      <c r="T3" s="21" t="s">
        <v>30</v>
      </c>
      <c r="U3" s="29" t="s">
        <v>1433</v>
      </c>
      <c r="V3" s="10" t="s">
        <v>1795</v>
      </c>
      <c r="W3" s="9" t="s">
        <v>1796</v>
      </c>
      <c r="X3" s="10" t="s">
        <v>1807</v>
      </c>
      <c r="Y3" s="10" t="s">
        <v>139</v>
      </c>
      <c r="Z3" s="1" t="s">
        <v>1798</v>
      </c>
      <c r="AA3" s="28" t="s">
        <v>1799</v>
      </c>
      <c r="AB3" s="10" t="s">
        <v>1800</v>
      </c>
      <c r="AC3" s="10" t="s">
        <v>1801</v>
      </c>
      <c r="AD3" s="10" t="s">
        <v>763</v>
      </c>
      <c r="AE3" s="10" t="s">
        <v>1802</v>
      </c>
      <c r="AF3" s="10" t="s">
        <v>1800</v>
      </c>
      <c r="AG3" s="11" t="s">
        <v>1800</v>
      </c>
      <c r="AH3" t="s">
        <v>1800</v>
      </c>
      <c r="AI3" s="162">
        <v>3.4140000000000001</v>
      </c>
      <c r="AJ3" s="10" t="s">
        <v>1803</v>
      </c>
      <c r="AK3" s="10" t="s">
        <v>139</v>
      </c>
      <c r="AL3" s="9" t="s">
        <v>1804</v>
      </c>
      <c r="AM3" s="9" t="s">
        <v>1805</v>
      </c>
      <c r="AN3" s="173">
        <v>7.4200000000000004E-4</v>
      </c>
      <c r="AO3" s="173">
        <v>5.0000000000000004E-6</v>
      </c>
    </row>
    <row r="4" spans="1:41">
      <c r="A4" s="11" t="s">
        <v>1791</v>
      </c>
      <c r="B4" s="11" t="s">
        <v>1791</v>
      </c>
      <c r="C4" s="11" t="s">
        <v>1793</v>
      </c>
      <c r="D4" s="2" t="s">
        <v>1806</v>
      </c>
      <c r="E4" s="11" t="s">
        <v>427</v>
      </c>
      <c r="F4" s="191">
        <v>3.306</v>
      </c>
      <c r="G4" s="162">
        <v>-57557864</v>
      </c>
      <c r="H4" s="156">
        <v>-57568.467253478528</v>
      </c>
      <c r="I4" s="192">
        <v>8.8000000000000003E-4</v>
      </c>
      <c r="J4" s="193">
        <v>-5.1999999999999997E-5</v>
      </c>
      <c r="K4" s="9" t="s">
        <v>1806</v>
      </c>
      <c r="L4" s="11" t="s">
        <v>34</v>
      </c>
      <c r="M4" s="194">
        <v>1</v>
      </c>
      <c r="N4" s="163">
        <v>196502547.70000002</v>
      </c>
      <c r="O4" s="163">
        <v>196502.54770000002</v>
      </c>
      <c r="P4" s="192">
        <v>1.3899999999999999E-4</v>
      </c>
      <c r="Q4" s="192">
        <v>8.6200000000000003E-4</v>
      </c>
      <c r="R4" s="162">
        <v>6181.1949599999998</v>
      </c>
      <c r="S4" s="9" t="s">
        <v>30</v>
      </c>
      <c r="T4" s="21" t="s">
        <v>30</v>
      </c>
      <c r="U4" s="29" t="s">
        <v>1433</v>
      </c>
      <c r="V4" s="10" t="s">
        <v>1795</v>
      </c>
      <c r="W4" s="9" t="s">
        <v>1796</v>
      </c>
      <c r="X4" s="10" t="s">
        <v>1807</v>
      </c>
      <c r="Y4" s="10" t="s">
        <v>139</v>
      </c>
      <c r="Z4" s="1" t="s">
        <v>1798</v>
      </c>
      <c r="AA4" s="28" t="s">
        <v>1799</v>
      </c>
      <c r="AB4" s="10" t="s">
        <v>1800</v>
      </c>
      <c r="AC4" s="10" t="s">
        <v>1801</v>
      </c>
      <c r="AD4" s="10" t="s">
        <v>763</v>
      </c>
      <c r="AE4" s="10" t="s">
        <v>1802</v>
      </c>
      <c r="AF4" s="10" t="s">
        <v>1800</v>
      </c>
      <c r="AG4" s="11" t="s">
        <v>1800</v>
      </c>
      <c r="AH4" t="s">
        <v>1800</v>
      </c>
      <c r="AI4" s="162">
        <v>3.4140000000000001</v>
      </c>
      <c r="AJ4" s="10" t="s">
        <v>1803</v>
      </c>
      <c r="AK4" s="10" t="s">
        <v>139</v>
      </c>
      <c r="AL4" s="9" t="s">
        <v>1804</v>
      </c>
      <c r="AM4" s="9" t="s">
        <v>1805</v>
      </c>
      <c r="AN4" s="173">
        <v>8.6799999999999996E-4</v>
      </c>
      <c r="AO4" s="173">
        <v>5.0000000000000004E-6</v>
      </c>
    </row>
    <row r="5" spans="1:41">
      <c r="A5" s="11" t="s">
        <v>1791</v>
      </c>
      <c r="B5" s="11" t="s">
        <v>1791</v>
      </c>
      <c r="C5" s="11" t="s">
        <v>1793</v>
      </c>
      <c r="D5" s="2" t="s">
        <v>1794</v>
      </c>
      <c r="E5" s="11" t="s">
        <v>745</v>
      </c>
      <c r="F5" s="191">
        <v>3.8807</v>
      </c>
      <c r="G5" s="162">
        <v>-7859000</v>
      </c>
      <c r="H5" s="156">
        <v>-7878.2107068312416</v>
      </c>
      <c r="I5" s="192">
        <v>1.2E-4</v>
      </c>
      <c r="J5" s="193">
        <v>-6.9999999999999999E-6</v>
      </c>
      <c r="K5" s="9" t="s">
        <v>1794</v>
      </c>
      <c r="L5" s="11" t="s">
        <v>34</v>
      </c>
      <c r="M5" s="194">
        <v>1</v>
      </c>
      <c r="N5" s="163">
        <v>31510660.5</v>
      </c>
      <c r="O5" s="163">
        <v>31510.660500000002</v>
      </c>
      <c r="P5" s="192">
        <v>2.1999999999999999E-5</v>
      </c>
      <c r="Q5" s="192">
        <v>1.3799999999999999E-4</v>
      </c>
      <c r="R5" s="162">
        <v>937.68821000000003</v>
      </c>
      <c r="S5" s="9" t="s">
        <v>30</v>
      </c>
      <c r="T5" s="21" t="s">
        <v>30</v>
      </c>
      <c r="U5" s="29" t="s">
        <v>1433</v>
      </c>
      <c r="V5" s="10" t="s">
        <v>1795</v>
      </c>
      <c r="W5" s="9" t="s">
        <v>1796</v>
      </c>
      <c r="X5" s="10" t="s">
        <v>1797</v>
      </c>
      <c r="Y5" s="10" t="s">
        <v>139</v>
      </c>
      <c r="Z5" s="1" t="s">
        <v>1798</v>
      </c>
      <c r="AA5" s="28" t="s">
        <v>1799</v>
      </c>
      <c r="AB5" s="10" t="s">
        <v>1800</v>
      </c>
      <c r="AC5" s="10" t="s">
        <v>1801</v>
      </c>
      <c r="AD5" s="10" t="s">
        <v>763</v>
      </c>
      <c r="AE5" s="10" t="s">
        <v>1802</v>
      </c>
      <c r="AF5" s="10" t="s">
        <v>1800</v>
      </c>
      <c r="AG5" s="11" t="s">
        <v>1800</v>
      </c>
      <c r="AH5" t="s">
        <v>1800</v>
      </c>
      <c r="AI5" s="162">
        <v>4.0095000000000001</v>
      </c>
      <c r="AJ5" s="10" t="s">
        <v>1803</v>
      </c>
      <c r="AK5" s="10" t="s">
        <v>139</v>
      </c>
      <c r="AL5" s="9" t="s">
        <v>1804</v>
      </c>
      <c r="AM5" s="9" t="s">
        <v>1805</v>
      </c>
      <c r="AN5" s="173">
        <v>1.3200000000000001E-4</v>
      </c>
      <c r="AO5" s="173">
        <v>9.9999999999999995E-7</v>
      </c>
    </row>
    <row r="6" spans="1:41">
      <c r="A6" s="11"/>
      <c r="B6" s="11"/>
      <c r="C6" s="11"/>
      <c r="D6" s="2"/>
      <c r="E6" s="11"/>
      <c r="F6" s="11"/>
      <c r="G6" s="11"/>
      <c r="H6" s="14"/>
      <c r="J6" s="12"/>
      <c r="L6" s="11"/>
      <c r="R6" s="13"/>
      <c r="T6" s="21"/>
      <c r="U6" s="29"/>
      <c r="V6" s="10"/>
      <c r="X6" s="10"/>
      <c r="Y6" s="10"/>
      <c r="Z6" s="1"/>
      <c r="AA6" s="28"/>
      <c r="AB6" s="10"/>
      <c r="AC6" s="10"/>
      <c r="AD6" s="10"/>
      <c r="AE6" s="10"/>
      <c r="AF6" s="10"/>
      <c r="AG6" s="11"/>
      <c r="AI6" s="11"/>
      <c r="AJ6" s="10"/>
      <c r="AK6" s="10"/>
      <c r="AN6" s="23"/>
      <c r="AO6" s="23"/>
    </row>
    <row r="7" spans="1:41">
      <c r="A7" s="11"/>
      <c r="B7" s="11"/>
      <c r="C7" s="11"/>
      <c r="D7" s="2"/>
      <c r="E7" s="11"/>
      <c r="F7" s="11"/>
      <c r="G7" s="11"/>
      <c r="H7" s="14"/>
      <c r="J7" s="12"/>
      <c r="L7" s="11"/>
      <c r="R7" s="13"/>
      <c r="T7" s="21"/>
      <c r="U7" s="29"/>
      <c r="V7" s="10"/>
      <c r="X7" s="10"/>
      <c r="Y7" s="10"/>
      <c r="Z7" s="1"/>
      <c r="AA7" s="28"/>
      <c r="AB7" s="10"/>
      <c r="AC7" s="10"/>
      <c r="AD7" s="10"/>
      <c r="AE7" s="10"/>
      <c r="AF7" s="10"/>
      <c r="AG7" s="11"/>
      <c r="AI7" s="11"/>
      <c r="AJ7" s="10"/>
      <c r="AK7" s="10"/>
      <c r="AN7" s="23"/>
      <c r="AO7" s="23"/>
    </row>
    <row r="8" spans="1:41">
      <c r="A8" s="11"/>
      <c r="B8" s="11"/>
      <c r="C8" s="11"/>
      <c r="D8" s="2"/>
      <c r="E8" s="11"/>
      <c r="F8" s="11"/>
      <c r="G8" s="11"/>
      <c r="H8" s="14"/>
      <c r="J8" s="12"/>
      <c r="L8" s="11"/>
      <c r="R8" s="13"/>
      <c r="T8" s="21"/>
      <c r="U8" s="29"/>
      <c r="V8" s="10"/>
      <c r="X8" s="10"/>
      <c r="Y8" s="10"/>
      <c r="Z8" s="1"/>
      <c r="AA8" s="28"/>
      <c r="AB8" s="10"/>
      <c r="AC8" s="10"/>
      <c r="AD8" s="10"/>
      <c r="AE8" s="10"/>
      <c r="AF8" s="10"/>
      <c r="AG8" s="11"/>
      <c r="AI8" s="11"/>
      <c r="AJ8" s="10"/>
      <c r="AK8" s="10"/>
      <c r="AN8" s="23"/>
      <c r="AO8" s="23"/>
    </row>
    <row r="9" spans="1:41">
      <c r="A9" s="11"/>
      <c r="B9" s="11"/>
      <c r="C9" s="11"/>
      <c r="D9" s="2"/>
      <c r="E9" s="11"/>
      <c r="F9" s="11"/>
      <c r="G9" s="11"/>
      <c r="H9" s="14"/>
      <c r="J9" s="12"/>
      <c r="L9" s="11"/>
      <c r="R9" s="13"/>
      <c r="T9" s="21"/>
      <c r="U9" s="29"/>
      <c r="V9" s="10"/>
      <c r="X9" s="10"/>
      <c r="Y9" s="10"/>
      <c r="Z9" s="1"/>
      <c r="AA9" s="28"/>
      <c r="AB9" s="10"/>
      <c r="AC9" s="10"/>
      <c r="AD9" s="10"/>
      <c r="AE9" s="10"/>
      <c r="AF9" s="10"/>
      <c r="AG9" s="11"/>
      <c r="AI9" s="11"/>
      <c r="AJ9" s="10"/>
      <c r="AK9" s="10"/>
      <c r="AN9" s="23"/>
      <c r="AO9" s="23"/>
    </row>
    <row r="10" spans="1:41">
      <c r="A10" s="11"/>
      <c r="B10" s="11"/>
      <c r="C10" s="11"/>
      <c r="D10" s="2"/>
      <c r="E10" s="11"/>
      <c r="F10" s="11"/>
      <c r="G10" s="11"/>
      <c r="H10" s="14"/>
      <c r="J10" s="12"/>
      <c r="L10" s="11"/>
      <c r="R10" s="13"/>
      <c r="T10" s="21"/>
      <c r="U10" s="29"/>
      <c r="V10" s="10"/>
      <c r="X10" s="10"/>
      <c r="Y10" s="10"/>
      <c r="Z10" s="1"/>
      <c r="AA10" s="28"/>
      <c r="AB10" s="10"/>
      <c r="AC10" s="10"/>
      <c r="AD10" s="10"/>
      <c r="AE10" s="10"/>
      <c r="AF10" s="10"/>
      <c r="AG10" s="11"/>
      <c r="AI10" s="11"/>
      <c r="AJ10" s="10"/>
      <c r="AK10" s="10"/>
      <c r="AN10" s="23"/>
      <c r="AO10" s="23"/>
    </row>
    <row r="11" spans="1:41">
      <c r="A11" s="11"/>
      <c r="B11" s="11"/>
      <c r="C11" s="11"/>
      <c r="D11" s="2"/>
      <c r="E11" s="11"/>
      <c r="F11" s="11"/>
      <c r="G11" s="11"/>
      <c r="H11" s="14"/>
      <c r="J11" s="12"/>
      <c r="L11" s="11"/>
      <c r="R11" s="13"/>
      <c r="T11" s="21"/>
      <c r="U11" s="29"/>
      <c r="V11" s="10"/>
      <c r="X11" s="10"/>
      <c r="Y11" s="10"/>
      <c r="Z11" s="1"/>
      <c r="AA11" s="28"/>
      <c r="AB11" s="10"/>
      <c r="AC11" s="10"/>
      <c r="AD11" s="10"/>
      <c r="AE11" s="10"/>
      <c r="AF11" s="10"/>
      <c r="AG11" s="11"/>
      <c r="AI11" s="11"/>
      <c r="AJ11" s="10"/>
      <c r="AK11" s="10"/>
      <c r="AN11" s="23"/>
      <c r="AO11" s="23"/>
    </row>
    <row r="12" spans="1:41">
      <c r="A12" s="11"/>
      <c r="B12" s="11"/>
      <c r="C12" s="11"/>
      <c r="D12" s="2"/>
      <c r="E12" s="11"/>
      <c r="F12" s="11"/>
      <c r="G12" s="11"/>
      <c r="H12" s="14"/>
      <c r="J12" s="12"/>
      <c r="L12" s="11"/>
      <c r="R12" s="13"/>
      <c r="T12" s="21"/>
      <c r="U12" s="29"/>
      <c r="V12" s="10"/>
      <c r="X12" s="10"/>
      <c r="Y12" s="10"/>
      <c r="Z12" s="1"/>
      <c r="AA12" s="28"/>
      <c r="AB12" s="10"/>
      <c r="AC12" s="10"/>
      <c r="AD12" s="10"/>
      <c r="AE12" s="10"/>
      <c r="AF12" s="10"/>
      <c r="AG12" s="11"/>
      <c r="AI12" s="11"/>
      <c r="AJ12" s="10"/>
      <c r="AK12" s="10"/>
      <c r="AN12" s="23"/>
      <c r="AO12" s="23"/>
    </row>
    <row r="13" spans="1:41">
      <c r="A13" s="11"/>
      <c r="B13" s="11"/>
      <c r="C13" s="11"/>
      <c r="D13" s="2"/>
      <c r="E13" s="11"/>
      <c r="F13" s="11"/>
      <c r="G13" s="11"/>
      <c r="H13" s="14"/>
      <c r="J13" s="12"/>
      <c r="L13" s="11"/>
      <c r="R13" s="13"/>
      <c r="T13" s="21"/>
      <c r="U13" s="29"/>
      <c r="V13" s="10"/>
      <c r="X13" s="10"/>
      <c r="Y13" s="10"/>
      <c r="Z13" s="1"/>
      <c r="AA13" s="28"/>
      <c r="AB13" s="10"/>
      <c r="AC13" s="10"/>
      <c r="AD13" s="10"/>
      <c r="AE13" s="10"/>
      <c r="AF13" s="10"/>
      <c r="AG13" s="11"/>
      <c r="AI13" s="11"/>
      <c r="AJ13" s="10"/>
      <c r="AK13" s="10"/>
      <c r="AN13" s="23"/>
      <c r="AO13" s="23"/>
    </row>
    <row r="14" spans="1:41">
      <c r="A14" s="11"/>
      <c r="B14" s="11"/>
      <c r="C14" s="11"/>
      <c r="D14" s="2"/>
      <c r="E14" s="11"/>
      <c r="F14" s="11"/>
      <c r="G14" s="11"/>
      <c r="H14" s="14"/>
      <c r="J14" s="12"/>
      <c r="L14" s="11"/>
      <c r="R14" s="13"/>
      <c r="T14" s="21"/>
      <c r="U14" s="29"/>
      <c r="V14" s="10"/>
      <c r="X14" s="10"/>
      <c r="Y14" s="10"/>
      <c r="Z14" s="1"/>
      <c r="AA14" s="28"/>
      <c r="AB14" s="10"/>
      <c r="AC14" s="10"/>
      <c r="AD14" s="10"/>
      <c r="AE14" s="10"/>
      <c r="AF14" s="10"/>
      <c r="AG14" s="11"/>
      <c r="AI14" s="11"/>
      <c r="AJ14" s="10"/>
      <c r="AK14" s="10"/>
      <c r="AN14" s="23"/>
      <c r="AO14" s="23"/>
    </row>
    <row r="15" spans="1:41">
      <c r="A15" s="11"/>
      <c r="B15" s="11"/>
      <c r="C15" s="11"/>
      <c r="D15" s="2"/>
      <c r="E15" s="11"/>
      <c r="F15" s="11"/>
      <c r="G15" s="11"/>
      <c r="H15" s="14"/>
      <c r="J15" s="12"/>
      <c r="L15" s="11"/>
      <c r="R15" s="13"/>
      <c r="T15" s="21"/>
      <c r="U15" s="29"/>
      <c r="V15" s="10"/>
      <c r="X15" s="10"/>
      <c r="Y15" s="10"/>
      <c r="Z15" s="1"/>
      <c r="AA15" s="28"/>
      <c r="AB15" s="10"/>
      <c r="AC15" s="10"/>
      <c r="AD15" s="10"/>
      <c r="AE15" s="10"/>
      <c r="AF15" s="10"/>
      <c r="AG15" s="11"/>
      <c r="AI15" s="11"/>
      <c r="AJ15" s="10"/>
      <c r="AK15" s="10"/>
      <c r="AN15" s="23"/>
      <c r="AO15" s="23"/>
    </row>
    <row r="16" spans="1:41">
      <c r="A16" s="11"/>
      <c r="B16" s="11"/>
      <c r="C16" s="11"/>
      <c r="D16" s="2"/>
      <c r="E16" s="11"/>
      <c r="F16" s="11"/>
      <c r="G16" s="11"/>
      <c r="H16" s="14"/>
      <c r="J16" s="12"/>
      <c r="L16" s="11"/>
      <c r="R16" s="13"/>
      <c r="T16" s="21"/>
      <c r="U16" s="29"/>
      <c r="V16" s="10"/>
      <c r="X16" s="10"/>
      <c r="Y16" s="10"/>
      <c r="Z16" s="1"/>
      <c r="AA16" s="28"/>
      <c r="AB16" s="10"/>
      <c r="AC16" s="10"/>
      <c r="AD16" s="10"/>
      <c r="AE16" s="10"/>
      <c r="AF16" s="10"/>
      <c r="AG16" s="11"/>
      <c r="AI16" s="11"/>
      <c r="AJ16" s="10"/>
      <c r="AK16" s="10"/>
      <c r="AN16" s="23"/>
      <c r="AO16" s="23"/>
    </row>
    <row r="17" spans="1:41">
      <c r="A17" s="11"/>
      <c r="B17" s="11"/>
      <c r="C17" s="11"/>
      <c r="D17" s="2"/>
      <c r="E17" s="11"/>
      <c r="F17" s="11"/>
      <c r="G17" s="11"/>
      <c r="H17" s="14"/>
      <c r="J17" s="12"/>
      <c r="L17" s="11"/>
      <c r="R17" s="13"/>
      <c r="T17" s="21"/>
      <c r="U17" s="29"/>
      <c r="V17" s="10"/>
      <c r="X17" s="10"/>
      <c r="Y17" s="10"/>
      <c r="Z17" s="1"/>
      <c r="AA17" s="28"/>
      <c r="AB17" s="10"/>
      <c r="AC17" s="10"/>
      <c r="AD17" s="10"/>
      <c r="AE17" s="10"/>
      <c r="AF17" s="10"/>
      <c r="AG17" s="11"/>
      <c r="AI17" s="11"/>
      <c r="AJ17" s="10"/>
      <c r="AK17" s="10"/>
      <c r="AN17" s="23"/>
      <c r="AO17" s="23"/>
    </row>
    <row r="18" spans="1:41">
      <c r="A18" s="11"/>
      <c r="B18" s="11"/>
      <c r="C18" s="11"/>
      <c r="D18" s="2"/>
      <c r="E18" s="11"/>
      <c r="F18" s="11"/>
      <c r="G18" s="11"/>
      <c r="H18" s="14"/>
      <c r="J18" s="12"/>
      <c r="L18" s="11"/>
      <c r="R18" s="13"/>
      <c r="T18" s="21"/>
      <c r="U18" s="29"/>
      <c r="V18" s="10"/>
      <c r="X18" s="10"/>
      <c r="Y18" s="10"/>
      <c r="Z18" s="1"/>
      <c r="AA18" s="28"/>
      <c r="AB18" s="10"/>
      <c r="AC18" s="10"/>
      <c r="AD18" s="10"/>
      <c r="AE18" s="10"/>
      <c r="AF18" s="10"/>
      <c r="AG18" s="11"/>
      <c r="AI18" s="11"/>
      <c r="AJ18" s="10"/>
      <c r="AK18" s="10"/>
      <c r="AN18" s="23"/>
      <c r="AO18" s="23"/>
    </row>
    <row r="19" spans="1:41">
      <c r="A19" s="11"/>
      <c r="B19" s="11"/>
      <c r="C19" s="11"/>
      <c r="D19" s="2"/>
      <c r="E19" s="11"/>
      <c r="F19" s="11"/>
      <c r="G19" s="11"/>
      <c r="H19" s="14"/>
      <c r="J19" s="12"/>
      <c r="L19" s="11"/>
      <c r="R19" s="13"/>
      <c r="T19" s="21"/>
      <c r="U19" s="29"/>
      <c r="V19" s="10"/>
      <c r="X19" s="10"/>
      <c r="Y19" s="10"/>
      <c r="Z19" s="1"/>
      <c r="AA19" s="28"/>
      <c r="AB19" s="10"/>
      <c r="AC19" s="10"/>
      <c r="AD19" s="10"/>
      <c r="AE19" s="10"/>
      <c r="AF19" s="10"/>
      <c r="AG19" s="11"/>
      <c r="AI19" s="11"/>
      <c r="AJ19" s="10"/>
      <c r="AK19" s="10"/>
      <c r="AN19" s="23"/>
      <c r="AO19" s="23"/>
    </row>
    <row r="20" spans="1:41">
      <c r="C20" s="11"/>
      <c r="E20" s="11"/>
      <c r="T20" s="21"/>
      <c r="U20" s="29"/>
      <c r="V20" s="10"/>
      <c r="Y20" s="10"/>
      <c r="AB20" s="10"/>
      <c r="AC20" s="10"/>
      <c r="AD20" s="10"/>
      <c r="AE20" s="10"/>
      <c r="AF20" s="10"/>
      <c r="AG20" s="11"/>
      <c r="AK20" s="10"/>
    </row>
    <row r="22" spans="1:41">
      <c r="C22" s="11"/>
      <c r="E22" s="11"/>
      <c r="T22" s="21"/>
      <c r="AE22" s="10"/>
      <c r="AF22" s="10"/>
    </row>
    <row r="23" spans="1:41">
      <c r="C23" s="11"/>
      <c r="E23" s="11"/>
      <c r="T23" s="21"/>
      <c r="AE23" s="10"/>
      <c r="AF23" s="10"/>
    </row>
    <row r="24" spans="1:41">
      <c r="C24" s="11"/>
      <c r="E24" s="11"/>
      <c r="T24" s="21"/>
      <c r="AE24" s="10"/>
      <c r="AF24" s="10"/>
    </row>
    <row r="25" spans="1:41">
      <c r="C25" s="11"/>
      <c r="E25" s="11"/>
      <c r="T25" s="21"/>
      <c r="AE25" s="10"/>
      <c r="AF25" s="10"/>
    </row>
    <row r="26" spans="1:41">
      <c r="C26" s="11"/>
      <c r="E26" s="11"/>
      <c r="T26" s="21"/>
      <c r="AE26" s="10"/>
      <c r="AF26" s="10"/>
    </row>
    <row r="27" spans="1:41">
      <c r="C27" s="11"/>
      <c r="E27" s="11"/>
      <c r="T27" s="21"/>
    </row>
    <row r="28" spans="1:41">
      <c r="C28" s="11"/>
      <c r="E28" s="11"/>
      <c r="T28" s="21"/>
    </row>
    <row r="29" spans="1:41">
      <c r="C29" s="11"/>
      <c r="E29" s="11"/>
      <c r="T29" s="21"/>
    </row>
    <row r="30" spans="1:41">
      <c r="C30" s="11"/>
      <c r="E30" s="11"/>
      <c r="T30" s="21"/>
    </row>
    <row r="31" spans="1:41">
      <c r="C31" s="11"/>
      <c r="E31" s="11"/>
      <c r="T31" s="21"/>
    </row>
    <row r="32" spans="1:41">
      <c r="C32" s="11"/>
      <c r="E32" s="11"/>
      <c r="T32" s="21"/>
    </row>
    <row r="33" spans="3:20">
      <c r="C33" s="11"/>
      <c r="T33" s="21"/>
    </row>
    <row r="34" spans="3:20">
      <c r="C34" s="11"/>
      <c r="T34" s="21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topLeftCell="AG1" workbookViewId="0">
      <selection activeCell="AM13" sqref="AM13"/>
    </sheetView>
  </sheetViews>
  <sheetFormatPr defaultColWidth="0" defaultRowHeight="14.25"/>
  <cols>
    <col min="1" max="27" width="11.625" style="3" customWidth="1"/>
    <col min="28" max="28" width="11.625" style="5" customWidth="1"/>
    <col min="29" max="42" width="11.625" style="3" customWidth="1"/>
    <col min="43" max="43" width="12.375" style="3" bestFit="1" customWidth="1"/>
    <col min="44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22" t="s">
        <v>0</v>
      </c>
      <c r="B1" s="22" t="s">
        <v>1</v>
      </c>
      <c r="C1" s="22" t="s">
        <v>1808</v>
      </c>
      <c r="D1" s="22" t="s">
        <v>1809</v>
      </c>
      <c r="E1" s="22" t="s">
        <v>1810</v>
      </c>
      <c r="F1" s="22" t="s">
        <v>1811</v>
      </c>
      <c r="G1" s="22" t="s">
        <v>5</v>
      </c>
      <c r="H1" s="22" t="s">
        <v>1812</v>
      </c>
      <c r="I1" s="22" t="s">
        <v>6</v>
      </c>
      <c r="J1" s="22" t="s">
        <v>7</v>
      </c>
      <c r="K1" s="22" t="s">
        <v>122</v>
      </c>
      <c r="L1" s="22" t="s">
        <v>123</v>
      </c>
      <c r="M1" s="22" t="s">
        <v>1813</v>
      </c>
      <c r="N1" s="22" t="s">
        <v>1814</v>
      </c>
      <c r="O1" s="180" t="s">
        <v>1815</v>
      </c>
      <c r="P1" s="22" t="s">
        <v>9</v>
      </c>
      <c r="Q1" s="22" t="s">
        <v>10</v>
      </c>
      <c r="R1" s="22" t="s">
        <v>1816</v>
      </c>
      <c r="S1" s="22" t="s">
        <v>11</v>
      </c>
      <c r="T1" s="22" t="s">
        <v>12</v>
      </c>
      <c r="U1" s="22" t="s">
        <v>1817</v>
      </c>
      <c r="V1" s="167" t="s">
        <v>14</v>
      </c>
      <c r="W1" s="22" t="s">
        <v>1464</v>
      </c>
      <c r="X1" s="22" t="s">
        <v>125</v>
      </c>
      <c r="Y1" s="187" t="s">
        <v>1818</v>
      </c>
      <c r="Z1" s="167" t="s">
        <v>15</v>
      </c>
      <c r="AA1" s="22" t="s">
        <v>13</v>
      </c>
      <c r="AB1" s="22" t="s">
        <v>126</v>
      </c>
      <c r="AC1" s="22" t="s">
        <v>1819</v>
      </c>
      <c r="AD1" s="189" t="s">
        <v>1820</v>
      </c>
      <c r="AE1" s="167" t="s">
        <v>1821</v>
      </c>
      <c r="AF1" s="180" t="s">
        <v>1822</v>
      </c>
      <c r="AG1" s="22" t="s">
        <v>1823</v>
      </c>
      <c r="AH1" s="22" t="s">
        <v>1824</v>
      </c>
      <c r="AI1" s="22" t="s">
        <v>1825</v>
      </c>
      <c r="AJ1" s="22" t="s">
        <v>1826</v>
      </c>
      <c r="AK1" s="22" t="s">
        <v>1469</v>
      </c>
      <c r="AL1" s="22" t="s">
        <v>1471</v>
      </c>
      <c r="AM1" s="22" t="s">
        <v>1470</v>
      </c>
      <c r="AN1" s="180" t="s">
        <v>1472</v>
      </c>
      <c r="AO1" s="180" t="s">
        <v>1473</v>
      </c>
      <c r="AP1" s="167" t="s">
        <v>1827</v>
      </c>
      <c r="AQ1" s="22" t="s">
        <v>1828</v>
      </c>
      <c r="AR1" s="171" t="s">
        <v>1829</v>
      </c>
      <c r="AS1" s="165" t="s">
        <v>18</v>
      </c>
      <c r="AT1" s="22" t="s">
        <v>20</v>
      </c>
      <c r="AU1" s="22" t="s">
        <v>1830</v>
      </c>
      <c r="AV1" s="22" t="s">
        <v>21</v>
      </c>
      <c r="AW1" s="22" t="s">
        <v>128</v>
      </c>
      <c r="AX1" s="22" t="s">
        <v>127</v>
      </c>
      <c r="AY1" s="22" t="s">
        <v>22</v>
      </c>
      <c r="AZ1" s="167" t="s">
        <v>24</v>
      </c>
      <c r="BA1" s="167" t="s">
        <v>25</v>
      </c>
    </row>
    <row r="2" spans="1:53">
      <c r="A2" s="3">
        <v>419</v>
      </c>
      <c r="B2" s="3">
        <v>419</v>
      </c>
      <c r="C2" s="24" t="s">
        <v>1831</v>
      </c>
      <c r="D2" s="24" t="s">
        <v>132</v>
      </c>
      <c r="E2" s="24" t="s">
        <v>1832</v>
      </c>
      <c r="F2" s="24" t="s">
        <v>1833</v>
      </c>
      <c r="G2" s="23" t="s">
        <v>1834</v>
      </c>
      <c r="H2" s="42" t="s">
        <v>1835</v>
      </c>
      <c r="I2" s="21" t="s">
        <v>30</v>
      </c>
      <c r="J2" s="31" t="s">
        <v>30</v>
      </c>
      <c r="K2" s="23" t="s">
        <v>556</v>
      </c>
      <c r="L2" s="23" t="s">
        <v>139</v>
      </c>
      <c r="M2" s="24" t="s">
        <v>763</v>
      </c>
      <c r="N2" s="197">
        <v>90552313</v>
      </c>
      <c r="O2" s="181" t="s">
        <v>1836</v>
      </c>
      <c r="P2" s="23" t="s">
        <v>1837</v>
      </c>
      <c r="Q2" s="23" t="s">
        <v>172</v>
      </c>
      <c r="R2" s="23" t="s">
        <v>1838</v>
      </c>
      <c r="S2" s="21" t="s">
        <v>34</v>
      </c>
      <c r="T2" s="159">
        <v>0.08</v>
      </c>
      <c r="U2" s="23" t="s">
        <v>1839</v>
      </c>
      <c r="V2" s="173">
        <v>8.6499999999999994E-2</v>
      </c>
      <c r="W2" s="24" t="s">
        <v>1840</v>
      </c>
      <c r="X2" s="24" t="s">
        <v>1800</v>
      </c>
      <c r="Y2" s="188">
        <v>0</v>
      </c>
      <c r="Z2" s="173">
        <v>8.0399999999999999E-2</v>
      </c>
      <c r="AA2" s="196">
        <v>45991</v>
      </c>
      <c r="AB2" s="21" t="s">
        <v>144</v>
      </c>
      <c r="AC2" s="24" t="s">
        <v>1841</v>
      </c>
      <c r="AD2" s="190">
        <v>782791</v>
      </c>
      <c r="AE2" s="173">
        <v>0.43</v>
      </c>
      <c r="AF2" s="181">
        <v>45930</v>
      </c>
      <c r="AG2" s="24" t="s">
        <v>763</v>
      </c>
      <c r="AH2" s="24" t="s">
        <v>1842</v>
      </c>
      <c r="AI2" s="42" t="s">
        <v>1843</v>
      </c>
      <c r="AJ2" s="3" t="s">
        <v>763</v>
      </c>
      <c r="AK2" s="23" t="s">
        <v>1501</v>
      </c>
      <c r="AL2" s="24" t="s">
        <v>1844</v>
      </c>
      <c r="AM2" s="23" t="s">
        <v>1502</v>
      </c>
      <c r="AN2" s="182" t="s">
        <v>1503</v>
      </c>
      <c r="AO2" s="182">
        <v>45930</v>
      </c>
      <c r="AP2" s="168">
        <v>0</v>
      </c>
      <c r="AQ2" s="157">
        <v>3500000</v>
      </c>
      <c r="AR2" s="175">
        <v>106.22</v>
      </c>
      <c r="AS2" s="174">
        <v>1</v>
      </c>
      <c r="AT2" s="159">
        <v>3717.7</v>
      </c>
      <c r="AU2" s="161">
        <v>3717.7</v>
      </c>
      <c r="AV2" s="30"/>
      <c r="AW2" s="40"/>
      <c r="AX2" s="31" t="s">
        <v>139</v>
      </c>
      <c r="AY2" s="23" t="s">
        <v>36</v>
      </c>
      <c r="AZ2" s="173">
        <v>0.25895007261953701</v>
      </c>
      <c r="BA2" s="173">
        <v>3.1443993100960998E-3</v>
      </c>
    </row>
    <row r="3" spans="1:53">
      <c r="A3" s="3">
        <v>419</v>
      </c>
      <c r="B3" s="3">
        <v>419</v>
      </c>
      <c r="C3" s="23" t="s">
        <v>1845</v>
      </c>
      <c r="D3" s="24" t="s">
        <v>33</v>
      </c>
      <c r="E3" s="23" t="s">
        <v>1846</v>
      </c>
      <c r="F3" s="23" t="s">
        <v>1847</v>
      </c>
      <c r="G3" s="23" t="s">
        <v>1848</v>
      </c>
      <c r="I3" s="21" t="s">
        <v>30</v>
      </c>
      <c r="J3" s="21" t="s">
        <v>30</v>
      </c>
      <c r="K3" s="23" t="s">
        <v>1849</v>
      </c>
      <c r="L3" s="23" t="s">
        <v>139</v>
      </c>
      <c r="M3" s="24" t="s">
        <v>139</v>
      </c>
      <c r="N3" s="24"/>
      <c r="O3" s="181" t="s">
        <v>1744</v>
      </c>
      <c r="P3" s="23" t="s">
        <v>67</v>
      </c>
      <c r="Q3" s="23" t="s">
        <v>67</v>
      </c>
      <c r="R3" s="23" t="s">
        <v>1838</v>
      </c>
      <c r="S3" s="21" t="s">
        <v>34</v>
      </c>
      <c r="T3" s="159">
        <v>1.829</v>
      </c>
      <c r="U3" s="23" t="s">
        <v>1850</v>
      </c>
      <c r="V3" s="173">
        <v>5.5272000000000002E-2</v>
      </c>
      <c r="W3" s="23" t="s">
        <v>1840</v>
      </c>
      <c r="X3" s="23" t="s">
        <v>1851</v>
      </c>
      <c r="Y3" s="188">
        <v>5.5272000000000002E-2</v>
      </c>
      <c r="Z3" s="173">
        <v>5.1310000000000001E-2</v>
      </c>
      <c r="AA3" s="23" t="s">
        <v>1852</v>
      </c>
      <c r="AB3" s="21" t="s">
        <v>144</v>
      </c>
      <c r="AC3" s="23"/>
      <c r="AD3" s="23"/>
      <c r="AE3" s="173">
        <v>0</v>
      </c>
      <c r="AF3" s="23"/>
      <c r="AG3" s="23" t="s">
        <v>139</v>
      </c>
      <c r="AH3" s="23" t="s">
        <v>240</v>
      </c>
      <c r="AI3" s="42" t="s">
        <v>1853</v>
      </c>
      <c r="AJ3" s="3" t="s">
        <v>139</v>
      </c>
      <c r="AK3" s="23" t="s">
        <v>240</v>
      </c>
      <c r="AL3" s="24" t="s">
        <v>1854</v>
      </c>
      <c r="AM3" s="23" t="s">
        <v>1502</v>
      </c>
      <c r="AN3" s="182" t="s">
        <v>1503</v>
      </c>
      <c r="AO3" s="182">
        <v>45930</v>
      </c>
      <c r="AP3" s="168">
        <v>0</v>
      </c>
      <c r="AQ3" s="157">
        <v>10500307.550000001</v>
      </c>
      <c r="AR3" s="175">
        <v>101.322</v>
      </c>
      <c r="AS3" s="174">
        <v>1</v>
      </c>
      <c r="AT3" s="159">
        <v>10639.121999999999</v>
      </c>
      <c r="AU3" s="159">
        <v>10639.121999999999</v>
      </c>
      <c r="AV3" s="23"/>
      <c r="AW3" s="23"/>
      <c r="AX3" s="21" t="s">
        <v>139</v>
      </c>
      <c r="AY3" s="23" t="s">
        <v>36</v>
      </c>
      <c r="AZ3" s="173">
        <v>0.74104992738046305</v>
      </c>
      <c r="BA3" s="173">
        <v>8.9984793471190802E-3</v>
      </c>
    </row>
    <row r="4" spans="1:53">
      <c r="C4" s="23"/>
      <c r="D4" s="24"/>
      <c r="E4" s="23"/>
      <c r="F4" s="23"/>
      <c r="G4" s="23"/>
      <c r="I4" s="21"/>
      <c r="J4" s="21"/>
      <c r="K4" s="23"/>
      <c r="L4" s="23"/>
      <c r="M4" s="24"/>
      <c r="N4" s="24"/>
      <c r="O4" s="23"/>
      <c r="P4" s="23"/>
      <c r="Q4" s="23"/>
      <c r="R4" s="23"/>
      <c r="S4" s="21"/>
      <c r="T4" s="23"/>
      <c r="U4" s="23"/>
      <c r="V4" s="23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4"/>
      <c r="E5" s="23"/>
      <c r="F5" s="23"/>
      <c r="G5" s="23"/>
      <c r="I5" s="21"/>
      <c r="J5" s="21"/>
      <c r="K5" s="23"/>
      <c r="L5" s="23"/>
      <c r="M5" s="24"/>
      <c r="N5" s="24"/>
      <c r="O5" s="23"/>
      <c r="P5" s="23"/>
      <c r="Q5" s="23"/>
      <c r="R5" s="23"/>
      <c r="S5" s="21"/>
      <c r="T5" s="23"/>
      <c r="U5" s="23"/>
      <c r="V5" s="23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4"/>
      <c r="E6" s="23"/>
      <c r="F6" s="23"/>
      <c r="G6" s="23"/>
      <c r="I6" s="21"/>
      <c r="J6" s="21"/>
      <c r="K6" s="23"/>
      <c r="L6" s="23"/>
      <c r="M6" s="24"/>
      <c r="N6" s="24"/>
      <c r="O6" s="23"/>
      <c r="P6" s="23"/>
      <c r="Q6" s="23"/>
      <c r="R6" s="23"/>
      <c r="S6" s="21"/>
      <c r="T6" s="23"/>
      <c r="U6" s="23"/>
      <c r="V6" s="23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4"/>
      <c r="E7" s="23"/>
      <c r="F7" s="23"/>
      <c r="G7" s="23"/>
      <c r="I7" s="21"/>
      <c r="J7" s="21"/>
      <c r="K7" s="23"/>
      <c r="L7" s="23"/>
      <c r="M7" s="24"/>
      <c r="N7" s="24"/>
      <c r="O7" s="23"/>
      <c r="P7" s="23"/>
      <c r="Q7" s="23"/>
      <c r="R7" s="23"/>
      <c r="S7" s="21"/>
      <c r="T7" s="23"/>
      <c r="U7" s="23"/>
      <c r="V7" s="23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4"/>
      <c r="E8" s="23"/>
      <c r="F8" s="23"/>
      <c r="G8" s="23"/>
      <c r="I8" s="21"/>
      <c r="J8" s="21"/>
      <c r="K8" s="23"/>
      <c r="L8" s="23"/>
      <c r="M8" s="24"/>
      <c r="N8" s="24"/>
      <c r="O8" s="23"/>
      <c r="P8" s="23"/>
      <c r="Q8" s="23"/>
      <c r="R8" s="23"/>
      <c r="S8" s="21"/>
      <c r="T8" s="23"/>
      <c r="U8" s="23"/>
      <c r="V8" s="23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4"/>
      <c r="E9" s="23"/>
      <c r="F9" s="23"/>
      <c r="G9" s="23"/>
      <c r="I9" s="21"/>
      <c r="J9" s="21"/>
      <c r="K9" s="23"/>
      <c r="L9" s="23"/>
      <c r="M9" s="24"/>
      <c r="N9" s="24"/>
      <c r="O9" s="23"/>
      <c r="P9" s="23"/>
      <c r="Q9" s="23"/>
      <c r="R9" s="23"/>
      <c r="S9" s="21"/>
      <c r="T9" s="23"/>
      <c r="U9" s="23"/>
      <c r="V9" s="23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4"/>
      <c r="E10" s="23"/>
      <c r="F10" s="23"/>
      <c r="G10" s="23"/>
      <c r="I10" s="21"/>
      <c r="J10" s="21"/>
      <c r="K10" s="23"/>
      <c r="L10" s="23"/>
      <c r="M10" s="24"/>
      <c r="N10" s="24"/>
      <c r="O10" s="23"/>
      <c r="P10" s="23"/>
      <c r="Q10" s="23"/>
      <c r="R10" s="23"/>
      <c r="S10" s="21"/>
      <c r="T10" s="23"/>
      <c r="U10" s="23"/>
      <c r="V10" s="23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4"/>
      <c r="E11" s="23"/>
      <c r="F11" s="23"/>
      <c r="G11" s="23"/>
      <c r="I11" s="21"/>
      <c r="J11" s="21"/>
      <c r="K11" s="23"/>
      <c r="L11" s="23"/>
      <c r="M11" s="24"/>
      <c r="N11" s="24"/>
      <c r="O11" s="23"/>
      <c r="P11" s="23"/>
      <c r="Q11" s="23"/>
      <c r="R11" s="23"/>
      <c r="S11" s="21"/>
      <c r="T11" s="23"/>
      <c r="U11" s="23"/>
      <c r="V11" s="23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4"/>
      <c r="E12" s="23"/>
      <c r="F12" s="23"/>
      <c r="G12" s="23"/>
      <c r="I12" s="21"/>
      <c r="J12" s="21"/>
      <c r="K12" s="23"/>
      <c r="L12" s="23"/>
      <c r="M12" s="24"/>
      <c r="N12" s="24"/>
      <c r="O12" s="23"/>
      <c r="P12" s="23"/>
      <c r="Q12" s="23"/>
      <c r="R12" s="23"/>
      <c r="S12" s="21"/>
      <c r="T12" s="23"/>
      <c r="U12" s="23"/>
      <c r="V12" s="23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4"/>
      <c r="E13" s="23"/>
      <c r="F13" s="23"/>
      <c r="G13" s="23"/>
      <c r="I13" s="21"/>
      <c r="J13" s="21"/>
      <c r="K13" s="23"/>
      <c r="L13" s="23"/>
      <c r="M13" s="24"/>
      <c r="N13" s="24"/>
      <c r="O13" s="23"/>
      <c r="P13" s="23"/>
      <c r="Q13" s="23"/>
      <c r="R13" s="23"/>
      <c r="S13" s="21"/>
      <c r="T13" s="23"/>
      <c r="U13" s="23"/>
      <c r="V13" s="23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4"/>
      <c r="E14" s="23"/>
      <c r="F14" s="23"/>
      <c r="G14" s="23"/>
      <c r="I14" s="21"/>
      <c r="J14" s="21"/>
      <c r="K14" s="23"/>
      <c r="L14" s="23"/>
      <c r="M14" s="24"/>
      <c r="N14" s="24"/>
      <c r="O14" s="23"/>
      <c r="P14" s="23"/>
      <c r="Q14" s="23"/>
      <c r="R14" s="23"/>
      <c r="S14" s="21"/>
      <c r="T14" s="23"/>
      <c r="U14" s="23"/>
      <c r="V14" s="23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4"/>
      <c r="E15" s="23"/>
      <c r="F15" s="23"/>
      <c r="G15" s="23"/>
      <c r="I15" s="21"/>
      <c r="J15" s="21"/>
      <c r="K15" s="23"/>
      <c r="L15" s="23"/>
      <c r="M15" s="24"/>
      <c r="N15" s="24"/>
      <c r="O15" s="23"/>
      <c r="P15" s="23"/>
      <c r="Q15" s="23"/>
      <c r="R15" s="23"/>
      <c r="S15" s="21"/>
      <c r="T15" s="23"/>
      <c r="U15" s="23"/>
      <c r="V15" s="23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4"/>
      <c r="E16" s="23"/>
      <c r="F16" s="23"/>
      <c r="G16" s="23"/>
      <c r="I16" s="21"/>
      <c r="J16" s="21"/>
      <c r="K16" s="23"/>
      <c r="L16" s="23"/>
      <c r="M16" s="24"/>
      <c r="N16" s="24"/>
      <c r="O16" s="23"/>
      <c r="P16" s="23"/>
      <c r="Q16" s="23"/>
      <c r="R16" s="23"/>
      <c r="S16" s="21"/>
      <c r="T16" s="23"/>
      <c r="U16" s="23"/>
      <c r="V16" s="23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4"/>
      <c r="E17" s="23"/>
      <c r="F17" s="23"/>
      <c r="G17" s="23"/>
      <c r="I17" s="21"/>
      <c r="J17" s="21"/>
      <c r="K17" s="23"/>
      <c r="L17" s="23"/>
      <c r="M17" s="24"/>
      <c r="N17" s="24"/>
      <c r="O17" s="23"/>
      <c r="P17" s="23"/>
      <c r="Q17" s="23"/>
      <c r="R17" s="23"/>
      <c r="S17" s="21"/>
      <c r="T17" s="23"/>
      <c r="U17" s="23"/>
      <c r="V17" s="23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4"/>
      <c r="E18" s="23"/>
      <c r="F18" s="23"/>
      <c r="G18" s="23"/>
      <c r="I18" s="21"/>
      <c r="J18" s="21"/>
      <c r="K18" s="23"/>
      <c r="L18" s="23"/>
      <c r="M18" s="24"/>
      <c r="N18" s="24"/>
      <c r="O18" s="23"/>
      <c r="P18" s="23"/>
      <c r="Q18" s="23"/>
      <c r="R18" s="23"/>
      <c r="S18" s="21"/>
      <c r="T18" s="23"/>
      <c r="U18" s="23"/>
      <c r="V18" s="23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4"/>
      <c r="E19" s="23"/>
      <c r="F19" s="23"/>
      <c r="G19" s="23"/>
      <c r="I19" s="21"/>
      <c r="J19" s="21"/>
      <c r="K19" s="23"/>
      <c r="L19" s="23"/>
      <c r="M19" s="24"/>
      <c r="N19" s="24"/>
      <c r="O19" s="23"/>
      <c r="P19" s="23"/>
      <c r="Q19" s="23"/>
      <c r="R19" s="23"/>
      <c r="S19" s="21"/>
      <c r="T19" s="23"/>
      <c r="U19" s="23"/>
      <c r="V19" s="23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4"/>
      <c r="G20" s="23"/>
      <c r="I20" s="21"/>
      <c r="J20" s="21"/>
      <c r="K20" s="23"/>
      <c r="L20" s="23"/>
      <c r="M20" s="24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 s="42" customFormat="1">
      <c r="D21" s="45"/>
      <c r="S21" s="31"/>
      <c r="AB21" s="45"/>
      <c r="AQ21" s="41"/>
      <c r="AX21" s="45"/>
    </row>
    <row r="22" spans="3:53">
      <c r="D22" s="5"/>
      <c r="S22" s="21"/>
    </row>
    <row r="23" spans="3:53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B33" sqref="B33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123</v>
      </c>
      <c r="M1" s="22" t="s">
        <v>1428</v>
      </c>
      <c r="N1" s="22" t="s">
        <v>1463</v>
      </c>
      <c r="O1" s="22" t="s">
        <v>9</v>
      </c>
      <c r="P1" s="22" t="s">
        <v>10</v>
      </c>
      <c r="Q1" s="22" t="s">
        <v>124</v>
      </c>
      <c r="R1" s="22" t="s">
        <v>11</v>
      </c>
      <c r="S1" s="22" t="s">
        <v>12</v>
      </c>
      <c r="T1" s="22" t="s">
        <v>14</v>
      </c>
      <c r="U1" s="22" t="s">
        <v>15</v>
      </c>
      <c r="V1" s="22" t="s">
        <v>1469</v>
      </c>
      <c r="W1" s="22" t="s">
        <v>1470</v>
      </c>
      <c r="X1" s="22" t="s">
        <v>1472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4"/>
      <c r="N2" s="23"/>
      <c r="O2" s="23"/>
      <c r="P2" s="23"/>
      <c r="Q2" s="23"/>
      <c r="R2" s="21"/>
      <c r="S2" s="23"/>
      <c r="T2" s="23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4"/>
      <c r="N3" s="23"/>
      <c r="O3" s="23"/>
      <c r="P3" s="23"/>
      <c r="Q3" s="23"/>
      <c r="R3" s="21"/>
      <c r="S3" s="23"/>
      <c r="T3" s="23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4"/>
      <c r="N4" s="23"/>
      <c r="O4" s="23"/>
      <c r="P4" s="23"/>
      <c r="Q4" s="23"/>
      <c r="R4" s="21"/>
      <c r="S4" s="23"/>
      <c r="T4" s="23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4"/>
      <c r="N5" s="23"/>
      <c r="O5" s="23"/>
      <c r="P5" s="23"/>
      <c r="Q5" s="23"/>
      <c r="R5" s="21"/>
      <c r="S5" s="23"/>
      <c r="T5" s="23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4"/>
      <c r="N6" s="23"/>
      <c r="O6" s="23"/>
      <c r="P6" s="23"/>
      <c r="Q6" s="23"/>
      <c r="R6" s="21"/>
      <c r="S6" s="23"/>
      <c r="T6" s="23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4"/>
      <c r="N7" s="23"/>
      <c r="O7" s="23"/>
      <c r="P7" s="23"/>
      <c r="Q7" s="23"/>
      <c r="R7" s="21"/>
      <c r="S7" s="23"/>
      <c r="T7" s="23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4"/>
      <c r="N8" s="23"/>
      <c r="O8" s="23"/>
      <c r="P8" s="23"/>
      <c r="Q8" s="23"/>
      <c r="R8" s="21"/>
      <c r="S8" s="23"/>
      <c r="T8" s="23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4"/>
      <c r="N9" s="23"/>
      <c r="O9" s="23"/>
      <c r="P9" s="23"/>
      <c r="Q9" s="23"/>
      <c r="R9" s="21"/>
      <c r="S9" s="23"/>
      <c r="T9" s="23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4"/>
      <c r="N10" s="23"/>
      <c r="O10" s="23"/>
      <c r="P10" s="23"/>
      <c r="Q10" s="23"/>
      <c r="R10" s="21"/>
      <c r="S10" s="23"/>
      <c r="T10" s="23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4"/>
      <c r="N11" s="23"/>
      <c r="O11" s="23"/>
      <c r="P11" s="23"/>
      <c r="Q11" s="23"/>
      <c r="R11" s="21"/>
      <c r="S11" s="23"/>
      <c r="T11" s="23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4"/>
      <c r="N12" s="23"/>
      <c r="O12" s="23"/>
      <c r="P12" s="23"/>
      <c r="Q12" s="23"/>
      <c r="R12" s="21"/>
      <c r="S12" s="23"/>
      <c r="T12" s="23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4"/>
      <c r="N13" s="23"/>
      <c r="O13" s="23"/>
      <c r="P13" s="23"/>
      <c r="Q13" s="23"/>
      <c r="R13" s="21"/>
      <c r="S13" s="23"/>
      <c r="T13" s="23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4"/>
      <c r="N14" s="23"/>
      <c r="O14" s="23"/>
      <c r="P14" s="23"/>
      <c r="Q14" s="23"/>
      <c r="R14" s="21"/>
      <c r="S14" s="23"/>
      <c r="T14" s="23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4"/>
      <c r="N15" s="23"/>
      <c r="O15" s="23"/>
      <c r="P15" s="23"/>
      <c r="Q15" s="23"/>
      <c r="R15" s="21"/>
      <c r="S15" s="23"/>
      <c r="T15" s="23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4"/>
      <c r="N16" s="23"/>
      <c r="O16" s="23"/>
      <c r="P16" s="23"/>
      <c r="Q16" s="23"/>
      <c r="R16" s="21"/>
      <c r="S16" s="23"/>
      <c r="T16" s="23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4"/>
      <c r="N17" s="23"/>
      <c r="O17" s="23"/>
      <c r="P17" s="23"/>
      <c r="Q17" s="23"/>
      <c r="R17" s="21"/>
      <c r="S17" s="23"/>
      <c r="T17" s="23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4"/>
      <c r="N18" s="23"/>
      <c r="O18" s="23"/>
      <c r="P18" s="23"/>
      <c r="Q18" s="23"/>
      <c r="R18" s="21"/>
      <c r="S18" s="23"/>
      <c r="T18" s="23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4"/>
      <c r="N19" s="23"/>
      <c r="O19" s="23"/>
      <c r="P19" s="23"/>
      <c r="Q19" s="23"/>
      <c r="R19" s="21"/>
      <c r="S19" s="23"/>
      <c r="T19" s="23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4"/>
      <c r="P20" s="23"/>
      <c r="Q20" s="23"/>
      <c r="V20" s="23"/>
      <c r="W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2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22" t="s">
        <v>0</v>
      </c>
      <c r="B1" s="22" t="s">
        <v>1</v>
      </c>
      <c r="C1" s="22" t="s">
        <v>1855</v>
      </c>
      <c r="D1" s="22" t="s">
        <v>1856</v>
      </c>
      <c r="E1" s="22" t="s">
        <v>1857</v>
      </c>
      <c r="F1" s="22" t="s">
        <v>5</v>
      </c>
      <c r="G1" s="22" t="s">
        <v>1858</v>
      </c>
      <c r="H1" s="22" t="s">
        <v>6</v>
      </c>
      <c r="I1" s="22" t="s">
        <v>7</v>
      </c>
      <c r="J1" s="22" t="s">
        <v>123</v>
      </c>
      <c r="K1" s="22" t="s">
        <v>1859</v>
      </c>
      <c r="L1" s="22" t="s">
        <v>10</v>
      </c>
      <c r="M1" s="22" t="s">
        <v>11</v>
      </c>
      <c r="N1" s="22" t="s">
        <v>12</v>
      </c>
      <c r="O1" s="22" t="s">
        <v>14</v>
      </c>
      <c r="P1" s="22" t="s">
        <v>15</v>
      </c>
      <c r="Q1" s="22" t="s">
        <v>1860</v>
      </c>
      <c r="R1" s="22" t="s">
        <v>18</v>
      </c>
      <c r="S1" s="22" t="s">
        <v>1861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4"/>
      <c r="D2" s="42"/>
      <c r="E2" s="31"/>
      <c r="F2" s="23"/>
      <c r="G2" s="23"/>
      <c r="H2" s="31"/>
      <c r="I2" s="31"/>
      <c r="J2" s="23"/>
      <c r="K2" s="24"/>
      <c r="M2" s="21"/>
      <c r="N2" s="23"/>
      <c r="O2" s="24"/>
      <c r="P2" s="23"/>
      <c r="R2" s="23"/>
      <c r="S2" s="24"/>
      <c r="T2" s="23"/>
      <c r="U2" s="23"/>
      <c r="V2" s="23"/>
    </row>
    <row r="3" spans="1:22">
      <c r="A3" s="23"/>
      <c r="B3" s="23"/>
      <c r="C3" s="24"/>
      <c r="E3" s="21"/>
      <c r="F3" s="23"/>
      <c r="G3" s="23"/>
      <c r="H3" s="31"/>
      <c r="I3" s="31"/>
      <c r="J3" s="23"/>
      <c r="K3" s="23"/>
      <c r="M3" s="21"/>
      <c r="N3" s="23"/>
      <c r="O3" s="23"/>
      <c r="P3" s="23"/>
      <c r="R3" s="23"/>
      <c r="T3" s="23"/>
      <c r="U3" s="23"/>
      <c r="V3" s="23"/>
    </row>
    <row r="4" spans="1:22">
      <c r="A4" s="23"/>
      <c r="B4" s="23"/>
      <c r="C4" s="24"/>
      <c r="E4" s="21"/>
      <c r="F4" s="23"/>
      <c r="G4" s="23"/>
      <c r="H4" s="31"/>
      <c r="I4" s="31"/>
      <c r="J4" s="23"/>
      <c r="K4" s="23"/>
      <c r="M4" s="21"/>
      <c r="N4" s="23"/>
      <c r="O4" s="23"/>
      <c r="P4" s="23"/>
      <c r="R4" s="23"/>
      <c r="T4" s="23"/>
      <c r="U4" s="23"/>
      <c r="V4" s="23"/>
    </row>
    <row r="5" spans="1:22">
      <c r="A5" s="23"/>
      <c r="B5" s="23"/>
      <c r="C5" s="24"/>
      <c r="E5" s="21"/>
      <c r="F5" s="23"/>
      <c r="G5" s="23"/>
      <c r="H5" s="31"/>
      <c r="I5" s="31"/>
      <c r="J5" s="23"/>
      <c r="K5" s="23"/>
      <c r="M5" s="21"/>
      <c r="N5" s="23"/>
      <c r="O5" s="23"/>
      <c r="P5" s="23"/>
      <c r="R5" s="23"/>
      <c r="T5" s="23"/>
      <c r="U5" s="23"/>
      <c r="V5" s="23"/>
    </row>
    <row r="6" spans="1:22">
      <c r="A6" s="23"/>
      <c r="B6" s="23"/>
      <c r="C6" s="24"/>
      <c r="E6" s="21"/>
      <c r="F6" s="23"/>
      <c r="G6" s="23"/>
      <c r="H6" s="31"/>
      <c r="I6" s="31"/>
      <c r="J6" s="23"/>
      <c r="K6" s="23"/>
      <c r="M6" s="21"/>
      <c r="N6" s="23"/>
      <c r="O6" s="23"/>
      <c r="P6" s="23"/>
      <c r="R6" s="23"/>
      <c r="T6" s="23"/>
      <c r="U6" s="23"/>
      <c r="V6" s="23"/>
    </row>
    <row r="7" spans="1:22">
      <c r="A7" s="23"/>
      <c r="B7" s="23"/>
      <c r="C7" s="24"/>
      <c r="E7" s="21"/>
      <c r="F7" s="23"/>
      <c r="G7" s="23"/>
      <c r="H7" s="31"/>
      <c r="I7" s="31"/>
      <c r="J7" s="23"/>
      <c r="K7" s="23"/>
      <c r="M7" s="21"/>
      <c r="N7" s="23"/>
      <c r="O7" s="23"/>
      <c r="P7" s="23"/>
      <c r="R7" s="23"/>
      <c r="S7" s="23"/>
      <c r="T7" s="23"/>
      <c r="U7" s="23"/>
      <c r="V7" s="23"/>
    </row>
    <row r="8" spans="1:22">
      <c r="A8" s="23"/>
      <c r="B8" s="23"/>
      <c r="C8" s="24"/>
      <c r="E8" s="21"/>
      <c r="F8" s="23"/>
      <c r="G8" s="23"/>
      <c r="H8" s="31"/>
      <c r="I8" s="31"/>
      <c r="J8" s="23"/>
      <c r="K8" s="23"/>
      <c r="M8" s="21"/>
      <c r="N8" s="23"/>
      <c r="O8" s="23"/>
      <c r="P8" s="23"/>
      <c r="R8" s="23"/>
      <c r="S8" s="23"/>
      <c r="T8" s="23"/>
      <c r="U8" s="23"/>
      <c r="V8" s="23"/>
    </row>
    <row r="9" spans="1:22">
      <c r="A9" s="23"/>
      <c r="B9" s="23"/>
      <c r="C9" s="24"/>
      <c r="E9" s="21"/>
      <c r="F9" s="23"/>
      <c r="G9" s="23"/>
      <c r="H9" s="31"/>
      <c r="I9" s="31"/>
      <c r="J9" s="23"/>
      <c r="K9" s="23"/>
      <c r="M9" s="21"/>
      <c r="N9" s="23"/>
      <c r="O9" s="23"/>
      <c r="P9" s="23"/>
      <c r="R9" s="23"/>
      <c r="S9" s="23"/>
      <c r="T9" s="23"/>
      <c r="U9" s="23"/>
      <c r="V9" s="23"/>
    </row>
    <row r="10" spans="1:22">
      <c r="A10" s="23"/>
      <c r="B10" s="23"/>
      <c r="C10" s="24"/>
      <c r="E10" s="21"/>
      <c r="F10" s="23"/>
      <c r="G10" s="23"/>
      <c r="H10" s="31"/>
      <c r="I10" s="31"/>
      <c r="J10" s="23"/>
      <c r="K10" s="23"/>
      <c r="M10" s="21"/>
      <c r="N10" s="23"/>
      <c r="O10" s="23"/>
      <c r="P10" s="23"/>
      <c r="R10" s="23"/>
      <c r="S10" s="23"/>
      <c r="T10" s="23"/>
      <c r="U10" s="23"/>
      <c r="V10" s="23"/>
    </row>
    <row r="11" spans="1:22">
      <c r="A11" s="23"/>
      <c r="B11" s="23"/>
      <c r="C11" s="24"/>
      <c r="E11" s="21"/>
      <c r="F11" s="23"/>
      <c r="G11" s="23"/>
      <c r="H11" s="31"/>
      <c r="I11" s="31"/>
      <c r="J11" s="23"/>
      <c r="K11" s="23"/>
      <c r="M11" s="21"/>
      <c r="N11" s="23"/>
      <c r="O11" s="23"/>
      <c r="P11" s="23"/>
      <c r="R11" s="23"/>
      <c r="S11" s="23"/>
      <c r="T11" s="23"/>
      <c r="U11" s="23"/>
      <c r="V11" s="23"/>
    </row>
    <row r="12" spans="1:22">
      <c r="A12" s="23"/>
      <c r="B12" s="23"/>
      <c r="C12" s="24"/>
      <c r="E12" s="21"/>
      <c r="F12" s="23"/>
      <c r="G12" s="23"/>
      <c r="H12" s="31"/>
      <c r="I12" s="31"/>
      <c r="J12" s="23"/>
      <c r="K12" s="23"/>
      <c r="M12" s="21"/>
      <c r="N12" s="23"/>
      <c r="O12" s="23"/>
      <c r="P12" s="23"/>
      <c r="R12" s="23"/>
      <c r="S12" s="23"/>
      <c r="T12" s="23"/>
      <c r="U12" s="23"/>
      <c r="V12" s="23"/>
    </row>
    <row r="13" spans="1:22">
      <c r="A13" s="23"/>
      <c r="B13" s="23"/>
      <c r="C13" s="24"/>
      <c r="E13" s="21"/>
      <c r="F13" s="23"/>
      <c r="G13" s="23"/>
      <c r="H13" s="31"/>
      <c r="I13" s="31"/>
      <c r="J13" s="23"/>
      <c r="K13" s="23"/>
      <c r="M13" s="21"/>
      <c r="N13" s="23"/>
      <c r="O13" s="23"/>
      <c r="P13" s="23"/>
      <c r="R13" s="23"/>
      <c r="S13" s="23"/>
      <c r="T13" s="23"/>
      <c r="U13" s="23"/>
      <c r="V13" s="23"/>
    </row>
    <row r="14" spans="1:22">
      <c r="A14" s="23"/>
      <c r="B14" s="23"/>
      <c r="C14" s="24"/>
      <c r="E14" s="21"/>
      <c r="F14" s="23"/>
      <c r="G14" s="23"/>
      <c r="H14" s="31"/>
      <c r="I14" s="31"/>
      <c r="J14" s="23"/>
      <c r="K14" s="23"/>
      <c r="M14" s="21"/>
      <c r="N14" s="23"/>
      <c r="O14" s="23"/>
      <c r="P14" s="23"/>
      <c r="R14" s="23"/>
      <c r="S14" s="23"/>
      <c r="T14" s="23"/>
      <c r="U14" s="23"/>
      <c r="V14" s="23"/>
    </row>
    <row r="15" spans="1:22">
      <c r="A15" s="23"/>
      <c r="B15" s="23"/>
      <c r="C15" s="24"/>
      <c r="E15" s="21"/>
      <c r="F15" s="23"/>
      <c r="G15" s="23"/>
      <c r="H15" s="31"/>
      <c r="I15" s="31"/>
      <c r="J15" s="23"/>
      <c r="K15" s="23"/>
      <c r="M15" s="21"/>
      <c r="N15" s="23"/>
      <c r="O15" s="23"/>
      <c r="P15" s="23"/>
      <c r="R15" s="23"/>
      <c r="S15" s="23"/>
      <c r="T15" s="23"/>
      <c r="U15" s="23"/>
      <c r="V15" s="23"/>
    </row>
    <row r="16" spans="1:22">
      <c r="A16" s="23"/>
      <c r="B16" s="23"/>
      <c r="C16" s="24"/>
      <c r="E16" s="21"/>
      <c r="F16" s="23"/>
      <c r="G16" s="23"/>
      <c r="H16" s="31"/>
      <c r="I16" s="31"/>
      <c r="J16" s="23"/>
      <c r="K16" s="23"/>
      <c r="M16" s="21"/>
      <c r="N16" s="23"/>
      <c r="O16" s="23"/>
      <c r="P16" s="23"/>
      <c r="R16" s="23"/>
      <c r="S16" s="23"/>
      <c r="T16" s="23"/>
      <c r="U16" s="23"/>
      <c r="V16" s="23"/>
    </row>
    <row r="17" spans="1:22">
      <c r="A17" s="23"/>
      <c r="B17" s="23"/>
      <c r="C17" s="24"/>
      <c r="E17" s="21"/>
      <c r="F17" s="23"/>
      <c r="G17" s="23"/>
      <c r="H17" s="31"/>
      <c r="I17" s="31"/>
      <c r="J17" s="23"/>
      <c r="K17" s="23"/>
      <c r="M17" s="21"/>
      <c r="N17" s="23"/>
      <c r="O17" s="23"/>
      <c r="P17" s="23"/>
      <c r="R17" s="23"/>
      <c r="S17" s="23"/>
      <c r="T17" s="23"/>
      <c r="U17" s="23"/>
      <c r="V17" s="23"/>
    </row>
    <row r="18" spans="1:22">
      <c r="A18" s="23"/>
      <c r="B18" s="23"/>
      <c r="C18" s="24"/>
      <c r="E18" s="21"/>
      <c r="F18" s="23"/>
      <c r="G18" s="23"/>
      <c r="H18" s="31"/>
      <c r="I18" s="31"/>
      <c r="J18" s="23"/>
      <c r="K18" s="23"/>
      <c r="M18" s="21"/>
      <c r="N18" s="23"/>
      <c r="O18" s="23"/>
      <c r="P18" s="23"/>
      <c r="R18" s="23"/>
      <c r="S18" s="23"/>
      <c r="T18" s="23"/>
      <c r="U18" s="23"/>
      <c r="V18" s="23"/>
    </row>
    <row r="19" spans="1:22">
      <c r="A19" s="23"/>
      <c r="B19" s="23"/>
      <c r="C19" s="24"/>
      <c r="E19" s="21"/>
      <c r="F19" s="23"/>
      <c r="G19" s="23"/>
      <c r="H19" s="31"/>
      <c r="I19" s="31"/>
      <c r="J19" s="23"/>
      <c r="K19" s="23"/>
      <c r="M19" s="21"/>
      <c r="N19" s="23"/>
      <c r="O19" s="23"/>
      <c r="P19" s="23"/>
      <c r="R19" s="23"/>
      <c r="S19" s="23"/>
      <c r="T19" s="23"/>
      <c r="U19" s="23"/>
      <c r="V19" s="23"/>
    </row>
    <row r="20" spans="1:22">
      <c r="E20" s="21"/>
      <c r="F20" s="23"/>
      <c r="H20" s="31"/>
      <c r="I20" s="31"/>
      <c r="J20" s="23"/>
    </row>
    <row r="21" spans="1:22" s="42" customFormat="1">
      <c r="E21" s="45"/>
      <c r="L21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22" t="s">
        <v>0</v>
      </c>
      <c r="B1" s="22" t="s">
        <v>1</v>
      </c>
      <c r="C1" s="22" t="s">
        <v>1862</v>
      </c>
      <c r="D1" s="22" t="s">
        <v>5</v>
      </c>
      <c r="E1" s="22" t="s">
        <v>1863</v>
      </c>
      <c r="F1" s="22" t="s">
        <v>123</v>
      </c>
      <c r="G1" s="22" t="s">
        <v>1463</v>
      </c>
      <c r="H1" s="22" t="s">
        <v>1864</v>
      </c>
      <c r="I1" s="22" t="s">
        <v>1865</v>
      </c>
      <c r="J1" s="22" t="s">
        <v>1866</v>
      </c>
      <c r="K1" s="22" t="s">
        <v>1867</v>
      </c>
      <c r="L1" s="22" t="s">
        <v>1868</v>
      </c>
      <c r="M1" s="22" t="s">
        <v>1469</v>
      </c>
      <c r="N1" s="22" t="s">
        <v>1471</v>
      </c>
      <c r="O1" s="22" t="s">
        <v>1470</v>
      </c>
      <c r="P1" s="22" t="s">
        <v>1472</v>
      </c>
      <c r="Q1" s="22" t="s">
        <v>11</v>
      </c>
      <c r="R1" s="22" t="s">
        <v>1830</v>
      </c>
      <c r="S1" s="22" t="s">
        <v>20</v>
      </c>
      <c r="T1" s="22" t="s">
        <v>21</v>
      </c>
      <c r="U1" s="22" t="s">
        <v>128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4"/>
      <c r="N2" s="24"/>
      <c r="O2" s="24"/>
      <c r="P2" s="23"/>
      <c r="Q2" s="21"/>
      <c r="R2" s="23"/>
      <c r="S2" s="23"/>
      <c r="T2" s="24"/>
      <c r="U2" s="24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  <c r="M3" s="23"/>
      <c r="N3" s="24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4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4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4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4"/>
      <c r="M20" s="23"/>
      <c r="O20" s="23"/>
      <c r="V20" s="23"/>
    </row>
    <row r="21" spans="1:24" s="42" customFormat="1">
      <c r="D21" s="23"/>
      <c r="E21" s="24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B31" sqref="B31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122</v>
      </c>
      <c r="M1" s="22" t="s">
        <v>123</v>
      </c>
      <c r="N1" s="22" t="s">
        <v>11</v>
      </c>
      <c r="O1" s="22" t="s">
        <v>1469</v>
      </c>
      <c r="P1" s="22" t="s">
        <v>1470</v>
      </c>
      <c r="Q1" s="22" t="s">
        <v>1472</v>
      </c>
      <c r="R1" s="22" t="s">
        <v>1473</v>
      </c>
      <c r="S1" s="22" t="s">
        <v>1869</v>
      </c>
      <c r="T1" s="22" t="s">
        <v>1870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4"/>
      <c r="M2" s="23"/>
      <c r="N2" s="21"/>
      <c r="O2" s="23"/>
      <c r="P2" s="23"/>
      <c r="Q2" s="23"/>
      <c r="R2" s="23"/>
      <c r="S2" s="23"/>
      <c r="T2" s="24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9"/>
      <c r="E20" s="21"/>
      <c r="H20" s="23"/>
      <c r="I20" s="23"/>
      <c r="J20" s="21"/>
      <c r="K20" s="21"/>
      <c r="L20" s="24"/>
      <c r="M20" s="23"/>
      <c r="O20" s="23"/>
      <c r="P20" s="23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41"/>
  <sheetViews>
    <sheetView rightToLeft="1" topLeftCell="F1" workbookViewId="0">
      <selection activeCell="N2" sqref="N2:N13"/>
    </sheetView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1871</v>
      </c>
      <c r="D1" s="22" t="s">
        <v>1872</v>
      </c>
      <c r="E1" s="22" t="s">
        <v>5</v>
      </c>
      <c r="F1" s="22" t="s">
        <v>6</v>
      </c>
      <c r="G1" s="22" t="s">
        <v>7</v>
      </c>
      <c r="H1" s="22" t="s">
        <v>123</v>
      </c>
      <c r="I1" s="180" t="s">
        <v>1873</v>
      </c>
      <c r="J1" s="22" t="s">
        <v>11</v>
      </c>
      <c r="K1" s="180" t="s">
        <v>1472</v>
      </c>
      <c r="L1" s="22" t="s">
        <v>1860</v>
      </c>
      <c r="M1" s="165" t="s">
        <v>18</v>
      </c>
      <c r="N1" s="22" t="s">
        <v>20</v>
      </c>
      <c r="O1" s="22" t="s">
        <v>21</v>
      </c>
      <c r="P1" s="22" t="s">
        <v>22</v>
      </c>
      <c r="Q1" s="167" t="s">
        <v>24</v>
      </c>
      <c r="R1" s="167" t="s">
        <v>25</v>
      </c>
    </row>
    <row r="2" spans="1:18">
      <c r="A2" s="23">
        <v>14947</v>
      </c>
      <c r="B2" s="23">
        <v>14948</v>
      </c>
      <c r="C2" s="40" t="s">
        <v>1874</v>
      </c>
      <c r="D2" s="40" t="s">
        <v>1875</v>
      </c>
      <c r="E2" s="40" t="s">
        <v>1876</v>
      </c>
      <c r="F2" s="21" t="s">
        <v>30</v>
      </c>
      <c r="G2" s="21" t="s">
        <v>30</v>
      </c>
      <c r="H2" s="23" t="s">
        <v>139</v>
      </c>
      <c r="I2" s="23"/>
      <c r="J2" s="21" t="s">
        <v>34</v>
      </c>
      <c r="K2" s="181" t="s">
        <v>1503</v>
      </c>
      <c r="L2" s="157">
        <v>-0.13</v>
      </c>
      <c r="M2" s="174">
        <v>1</v>
      </c>
      <c r="N2" s="159">
        <v>-0.13</v>
      </c>
      <c r="O2" s="23"/>
      <c r="P2" s="21" t="s">
        <v>36</v>
      </c>
      <c r="Q2" s="173">
        <v>-0.25643199337578598</v>
      </c>
      <c r="R2" s="173">
        <v>-3.23371149076683E-4</v>
      </c>
    </row>
    <row r="3" spans="1:18">
      <c r="A3" s="23">
        <v>14947</v>
      </c>
      <c r="B3" s="23">
        <v>14948</v>
      </c>
      <c r="C3" s="30" t="s">
        <v>1877</v>
      </c>
      <c r="D3" s="23" t="s">
        <v>1878</v>
      </c>
      <c r="E3" s="40" t="s">
        <v>1879</v>
      </c>
      <c r="F3" s="21" t="s">
        <v>30</v>
      </c>
      <c r="G3" s="21" t="s">
        <v>30</v>
      </c>
      <c r="H3" s="23" t="s">
        <v>139</v>
      </c>
      <c r="I3" s="23"/>
      <c r="J3" s="21" t="s">
        <v>34</v>
      </c>
      <c r="K3" s="181" t="s">
        <v>1503</v>
      </c>
      <c r="L3" s="157">
        <v>0.63700000000000001</v>
      </c>
      <c r="M3" s="174">
        <v>1</v>
      </c>
      <c r="N3" s="159">
        <v>0.63700000000000001</v>
      </c>
      <c r="O3" s="23"/>
      <c r="P3" s="21" t="s">
        <v>36</v>
      </c>
      <c r="Q3" s="173">
        <v>1.2564319933757899</v>
      </c>
      <c r="R3" s="173">
        <v>1.5844117268130301E-3</v>
      </c>
    </row>
    <row r="4" spans="1:18" s="44" customFormat="1">
      <c r="A4" s="24">
        <v>14947</v>
      </c>
      <c r="B4" s="24">
        <v>14949</v>
      </c>
      <c r="C4" s="40" t="s">
        <v>1874</v>
      </c>
      <c r="D4" s="24" t="s">
        <v>1875</v>
      </c>
      <c r="E4" s="40" t="s">
        <v>1876</v>
      </c>
      <c r="F4" s="31" t="s">
        <v>30</v>
      </c>
      <c r="G4" s="31" t="s">
        <v>30</v>
      </c>
      <c r="H4" s="24" t="s">
        <v>139</v>
      </c>
      <c r="I4" s="24"/>
      <c r="J4" s="31" t="s">
        <v>34</v>
      </c>
      <c r="K4" s="181" t="s">
        <v>1503</v>
      </c>
      <c r="L4" s="157">
        <v>-0.87539999999999996</v>
      </c>
      <c r="M4" s="174">
        <v>1</v>
      </c>
      <c r="N4" s="159">
        <v>-0.87539999999999996</v>
      </c>
      <c r="O4" s="24"/>
      <c r="P4" s="31" t="s">
        <v>36</v>
      </c>
      <c r="Q4" s="173">
        <v>1</v>
      </c>
      <c r="R4" s="173">
        <v>-4.5681699999999999E-4</v>
      </c>
    </row>
    <row r="5" spans="1:18">
      <c r="A5" s="23">
        <v>14947</v>
      </c>
      <c r="B5" s="23">
        <v>15203</v>
      </c>
      <c r="C5" s="30" t="s">
        <v>1874</v>
      </c>
      <c r="D5" s="23" t="s">
        <v>1875</v>
      </c>
      <c r="E5" s="40" t="s">
        <v>1876</v>
      </c>
      <c r="F5" s="21" t="s">
        <v>30</v>
      </c>
      <c r="G5" s="21" t="s">
        <v>30</v>
      </c>
      <c r="H5" s="23" t="s">
        <v>139</v>
      </c>
      <c r="I5" s="23"/>
      <c r="J5" s="21" t="s">
        <v>34</v>
      </c>
      <c r="K5" s="181" t="s">
        <v>1503</v>
      </c>
      <c r="L5" s="157">
        <v>-0.66100000000000003</v>
      </c>
      <c r="M5" s="174">
        <v>1</v>
      </c>
      <c r="N5" s="159">
        <v>-0.66100000000000003</v>
      </c>
      <c r="O5" s="23"/>
      <c r="P5" s="21" t="s">
        <v>36</v>
      </c>
      <c r="Q5" s="173">
        <v>0.427051848407347</v>
      </c>
      <c r="R5" s="173">
        <v>-3.09668190029159E-4</v>
      </c>
    </row>
    <row r="6" spans="1:18">
      <c r="A6" s="23">
        <v>14947</v>
      </c>
      <c r="B6" s="23">
        <v>15203</v>
      </c>
      <c r="C6" s="30" t="s">
        <v>1877</v>
      </c>
      <c r="D6" s="23" t="s">
        <v>1878</v>
      </c>
      <c r="E6" s="40" t="s">
        <v>1879</v>
      </c>
      <c r="F6" s="21" t="s">
        <v>30</v>
      </c>
      <c r="G6" s="21" t="s">
        <v>30</v>
      </c>
      <c r="H6" s="23" t="s">
        <v>139</v>
      </c>
      <c r="I6" s="23"/>
      <c r="J6" s="21" t="s">
        <v>34</v>
      </c>
      <c r="K6" s="181" t="s">
        <v>1503</v>
      </c>
      <c r="L6" s="157">
        <v>-0.88700000000000001</v>
      </c>
      <c r="M6" s="174">
        <v>1</v>
      </c>
      <c r="N6" s="159">
        <v>-0.88700000000000001</v>
      </c>
      <c r="O6" s="23"/>
      <c r="P6" s="21" t="s">
        <v>36</v>
      </c>
      <c r="Q6" s="173">
        <v>0.572948151592653</v>
      </c>
      <c r="R6" s="173">
        <v>-4.1546200477983101E-4</v>
      </c>
    </row>
    <row r="7" spans="1:18">
      <c r="A7" s="23">
        <v>419</v>
      </c>
      <c r="B7" s="23">
        <v>419</v>
      </c>
      <c r="C7" s="30" t="s">
        <v>1874</v>
      </c>
      <c r="D7" s="23" t="s">
        <v>1875</v>
      </c>
      <c r="E7" s="40" t="s">
        <v>1876</v>
      </c>
      <c r="F7" s="21" t="s">
        <v>30</v>
      </c>
      <c r="G7" s="21" t="s">
        <v>30</v>
      </c>
      <c r="H7" s="23" t="s">
        <v>139</v>
      </c>
      <c r="I7" s="23"/>
      <c r="J7" s="21" t="s">
        <v>34</v>
      </c>
      <c r="K7" s="181" t="s">
        <v>1503</v>
      </c>
      <c r="L7" s="157">
        <v>-2.7290000000000001</v>
      </c>
      <c r="M7" s="174">
        <v>1</v>
      </c>
      <c r="N7" s="159">
        <v>-2.7290000000000001</v>
      </c>
      <c r="O7" s="23"/>
      <c r="P7" s="21" t="s">
        <v>36</v>
      </c>
      <c r="Q7" s="173">
        <v>0.116938695674715</v>
      </c>
      <c r="R7" s="173">
        <v>-2.3083428036440198E-6</v>
      </c>
    </row>
    <row r="8" spans="1:18">
      <c r="A8" s="23">
        <v>419</v>
      </c>
      <c r="B8" s="23">
        <v>419</v>
      </c>
      <c r="C8" s="30" t="s">
        <v>1877</v>
      </c>
      <c r="D8" s="23" t="s">
        <v>1878</v>
      </c>
      <c r="E8" s="40" t="s">
        <v>1879</v>
      </c>
      <c r="F8" s="21" t="s">
        <v>30</v>
      </c>
      <c r="G8" s="21" t="s">
        <v>30</v>
      </c>
      <c r="H8" s="23" t="s">
        <v>139</v>
      </c>
      <c r="I8" s="23"/>
      <c r="J8" s="21" t="s">
        <v>34</v>
      </c>
      <c r="K8" s="181" t="s">
        <v>1503</v>
      </c>
      <c r="L8" s="157">
        <v>-20.61</v>
      </c>
      <c r="M8" s="174">
        <v>1</v>
      </c>
      <c r="N8" s="159">
        <v>-20.61</v>
      </c>
      <c r="O8" s="23"/>
      <c r="P8" s="21" t="s">
        <v>36</v>
      </c>
      <c r="Q8" s="173">
        <v>0.88306130432528496</v>
      </c>
      <c r="R8" s="173">
        <v>-1.7431425887337999E-5</v>
      </c>
    </row>
    <row r="9" spans="1:18">
      <c r="A9" s="23">
        <v>419</v>
      </c>
      <c r="B9" s="23">
        <v>1472</v>
      </c>
      <c r="C9" s="30" t="s">
        <v>1874</v>
      </c>
      <c r="D9" s="23" t="s">
        <v>1875</v>
      </c>
      <c r="E9" s="40" t="s">
        <v>1876</v>
      </c>
      <c r="F9" s="21" t="s">
        <v>30</v>
      </c>
      <c r="G9" s="21" t="s">
        <v>30</v>
      </c>
      <c r="H9" s="23" t="s">
        <v>139</v>
      </c>
      <c r="I9" s="23"/>
      <c r="J9" s="21" t="s">
        <v>34</v>
      </c>
      <c r="K9" s="181" t="s">
        <v>1503</v>
      </c>
      <c r="L9" s="157">
        <v>-2.6080000000000001</v>
      </c>
      <c r="M9" s="174">
        <v>1</v>
      </c>
      <c r="N9" s="159">
        <v>-2.6080000000000001</v>
      </c>
      <c r="O9" s="23"/>
      <c r="P9" s="21" t="s">
        <v>36</v>
      </c>
      <c r="Q9" s="173">
        <v>0.98704955381133697</v>
      </c>
      <c r="R9" s="173">
        <v>-3.1532611784366402E-4</v>
      </c>
    </row>
    <row r="10" spans="1:18">
      <c r="A10" s="23">
        <v>419</v>
      </c>
      <c r="B10" s="23">
        <v>1472</v>
      </c>
      <c r="C10" s="30" t="s">
        <v>1877</v>
      </c>
      <c r="D10" s="23" t="s">
        <v>1878</v>
      </c>
      <c r="E10" s="40" t="s">
        <v>1879</v>
      </c>
      <c r="F10" s="21" t="s">
        <v>30</v>
      </c>
      <c r="G10" s="21" t="s">
        <v>30</v>
      </c>
      <c r="H10" s="23" t="s">
        <v>139</v>
      </c>
      <c r="I10" s="23"/>
      <c r="J10" s="21" t="s">
        <v>34</v>
      </c>
      <c r="K10" s="181" t="s">
        <v>1503</v>
      </c>
      <c r="L10" s="157">
        <v>-3.4000000000000002E-2</v>
      </c>
      <c r="M10" s="174">
        <v>1</v>
      </c>
      <c r="N10" s="159">
        <v>-3.4000000000000002E-2</v>
      </c>
      <c r="O10" s="23"/>
      <c r="P10" s="21" t="s">
        <v>36</v>
      </c>
      <c r="Q10" s="173">
        <v>1.2950446188663299E-2</v>
      </c>
      <c r="R10" s="173">
        <v>-4.13719240867515E-6</v>
      </c>
    </row>
    <row r="11" spans="1:18">
      <c r="A11" s="23">
        <v>419</v>
      </c>
      <c r="B11" s="23">
        <v>12435</v>
      </c>
      <c r="C11" s="30" t="s">
        <v>1874</v>
      </c>
      <c r="D11" s="23" t="s">
        <v>1875</v>
      </c>
      <c r="E11" s="40" t="s">
        <v>1876</v>
      </c>
      <c r="F11" s="21" t="s">
        <v>30</v>
      </c>
      <c r="G11" s="21" t="s">
        <v>30</v>
      </c>
      <c r="H11" s="23" t="s">
        <v>139</v>
      </c>
      <c r="I11" s="23"/>
      <c r="J11" s="21" t="s">
        <v>34</v>
      </c>
      <c r="K11" s="181" t="s">
        <v>1503</v>
      </c>
      <c r="L11" s="157">
        <v>-5.5960000000000001</v>
      </c>
      <c r="M11" s="174">
        <v>1</v>
      </c>
      <c r="N11" s="159">
        <v>-5.5960000000000001</v>
      </c>
      <c r="O11" s="23"/>
      <c r="P11" s="21" t="s">
        <v>36</v>
      </c>
      <c r="Q11" s="173">
        <v>0.28731159165419401</v>
      </c>
      <c r="R11" s="173">
        <v>-3.17282861147296E-4</v>
      </c>
    </row>
    <row r="12" spans="1:18">
      <c r="A12" s="23">
        <v>419</v>
      </c>
      <c r="B12" s="23">
        <v>12435</v>
      </c>
      <c r="C12" s="30" t="s">
        <v>1877</v>
      </c>
      <c r="D12" s="23" t="s">
        <v>1878</v>
      </c>
      <c r="E12" s="40" t="s">
        <v>1879</v>
      </c>
      <c r="F12" s="21" t="s">
        <v>30</v>
      </c>
      <c r="G12" s="21" t="s">
        <v>30</v>
      </c>
      <c r="H12" s="23" t="s">
        <v>139</v>
      </c>
      <c r="I12" s="23"/>
      <c r="J12" s="21" t="s">
        <v>34</v>
      </c>
      <c r="K12" s="181" t="s">
        <v>1503</v>
      </c>
      <c r="L12" s="157">
        <v>-13.88</v>
      </c>
      <c r="M12" s="174">
        <v>1</v>
      </c>
      <c r="N12" s="159">
        <v>-13.88</v>
      </c>
      <c r="O12" s="23"/>
      <c r="P12" s="21" t="s">
        <v>36</v>
      </c>
      <c r="Q12" s="173">
        <v>0.71268840834580605</v>
      </c>
      <c r="R12" s="173">
        <v>-7.8703339466592204E-4</v>
      </c>
    </row>
    <row r="13" spans="1:18">
      <c r="A13" s="23">
        <v>419</v>
      </c>
      <c r="B13" s="23">
        <v>15204</v>
      </c>
      <c r="C13" s="30" t="s">
        <v>1874</v>
      </c>
      <c r="D13" s="23" t="s">
        <v>1875</v>
      </c>
      <c r="E13" s="40" t="s">
        <v>1876</v>
      </c>
      <c r="F13" s="21" t="s">
        <v>30</v>
      </c>
      <c r="G13" s="21" t="s">
        <v>30</v>
      </c>
      <c r="H13" s="23" t="s">
        <v>139</v>
      </c>
      <c r="I13" s="23"/>
      <c r="J13" s="21" t="s">
        <v>34</v>
      </c>
      <c r="K13" s="181" t="s">
        <v>1503</v>
      </c>
      <c r="L13" s="157">
        <v>-3.073</v>
      </c>
      <c r="M13" s="174">
        <v>1</v>
      </c>
      <c r="N13" s="159">
        <v>-3.073</v>
      </c>
      <c r="O13" s="23"/>
      <c r="P13" s="21" t="s">
        <v>36</v>
      </c>
      <c r="Q13" s="173">
        <v>1</v>
      </c>
      <c r="R13" s="173">
        <v>-3.1477327655850799E-4</v>
      </c>
    </row>
    <row r="14" spans="1:18">
      <c r="A14" s="23"/>
      <c r="B14" s="23"/>
      <c r="C14" s="30"/>
      <c r="D14" s="23"/>
      <c r="E14" s="4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4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4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4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4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4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40"/>
      <c r="F20" s="21"/>
      <c r="G20" s="21"/>
      <c r="H20" s="23"/>
      <c r="P20" s="21"/>
    </row>
    <row r="21" spans="1:18" s="42" customFormat="1"/>
    <row r="33" s="3" customFormat="1"/>
    <row r="34" s="3" customFormat="1"/>
    <row r="35" s="3" customFormat="1"/>
    <row r="36" s="3" customFormat="1"/>
    <row r="37" s="3" customFormat="1"/>
    <row r="38" s="3" customFormat="1"/>
    <row r="39" s="3" customFormat="1"/>
    <row r="40" s="3" customFormat="1"/>
    <row r="41" s="3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J33" sqref="J33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22" t="s">
        <v>0</v>
      </c>
      <c r="B1" s="22" t="s">
        <v>1</v>
      </c>
      <c r="C1" s="22" t="s">
        <v>1808</v>
      </c>
      <c r="D1" s="22" t="s">
        <v>1809</v>
      </c>
      <c r="E1" s="22" t="s">
        <v>1810</v>
      </c>
      <c r="F1" s="22" t="s">
        <v>1811</v>
      </c>
      <c r="G1" s="22" t="s">
        <v>1880</v>
      </c>
      <c r="H1" s="22" t="s">
        <v>6</v>
      </c>
      <c r="I1" s="22" t="s">
        <v>7</v>
      </c>
      <c r="J1" s="22" t="s">
        <v>123</v>
      </c>
      <c r="K1" s="22" t="s">
        <v>9</v>
      </c>
      <c r="L1" s="22" t="s">
        <v>10</v>
      </c>
      <c r="M1" s="22" t="s">
        <v>1816</v>
      </c>
      <c r="N1" s="22" t="s">
        <v>11</v>
      </c>
      <c r="O1" s="22" t="s">
        <v>18</v>
      </c>
      <c r="P1" s="22" t="s">
        <v>14</v>
      </c>
      <c r="Q1" s="22" t="s">
        <v>1817</v>
      </c>
      <c r="R1" s="22" t="s">
        <v>1881</v>
      </c>
      <c r="S1" s="22" t="s">
        <v>1882</v>
      </c>
      <c r="T1" s="22" t="s">
        <v>1883</v>
      </c>
    </row>
    <row r="2" spans="1:20" ht="14.1" customHeight="1">
      <c r="A2" s="6"/>
      <c r="B2" s="6"/>
      <c r="C2" s="44"/>
      <c r="D2" s="24"/>
      <c r="E2" s="44"/>
      <c r="F2" s="44"/>
      <c r="G2" s="31"/>
      <c r="H2" s="21"/>
      <c r="I2" s="31"/>
      <c r="J2" s="23"/>
      <c r="K2" s="23"/>
      <c r="L2" s="23"/>
      <c r="M2" s="23"/>
      <c r="N2" s="6"/>
      <c r="O2" s="6"/>
      <c r="Q2" s="24"/>
      <c r="R2" s="31"/>
      <c r="S2" s="31"/>
      <c r="T2" s="31"/>
    </row>
    <row r="3" spans="1:20" ht="14.1" customHeight="1">
      <c r="A3" s="6"/>
      <c r="B3" s="6"/>
      <c r="C3" s="6"/>
      <c r="D3" s="24"/>
      <c r="E3" s="6"/>
      <c r="F3" s="6"/>
      <c r="H3" s="21"/>
      <c r="I3" s="21"/>
      <c r="J3" s="23"/>
      <c r="K3" s="23"/>
      <c r="L3" s="23"/>
      <c r="M3" s="23"/>
      <c r="N3" s="6"/>
      <c r="O3" s="6"/>
      <c r="P3" s="6"/>
      <c r="Q3" s="23"/>
      <c r="R3" s="6"/>
      <c r="S3" s="6"/>
      <c r="T3" s="6"/>
    </row>
    <row r="4" spans="1:20" ht="14.1" customHeight="1">
      <c r="A4" s="6"/>
      <c r="B4" s="6"/>
      <c r="C4" s="6"/>
      <c r="D4" s="24"/>
      <c r="E4" s="6"/>
      <c r="F4" s="6"/>
      <c r="H4" s="21"/>
      <c r="I4" s="21"/>
      <c r="J4" s="23"/>
      <c r="K4" s="23"/>
      <c r="L4" s="23"/>
      <c r="M4" s="23"/>
      <c r="N4" s="6"/>
      <c r="O4" s="6"/>
      <c r="P4" s="6"/>
      <c r="Q4" s="23"/>
      <c r="R4" s="6"/>
      <c r="S4" s="6"/>
      <c r="T4" s="6"/>
    </row>
    <row r="5" spans="1:20" ht="14.1" customHeight="1">
      <c r="A5" s="6"/>
      <c r="B5" s="6"/>
      <c r="C5" s="6"/>
      <c r="D5" s="24"/>
      <c r="E5" s="6"/>
      <c r="F5" s="6"/>
      <c r="H5" s="21"/>
      <c r="I5" s="21"/>
      <c r="J5" s="23"/>
      <c r="K5" s="23"/>
      <c r="L5" s="23"/>
      <c r="M5" s="23"/>
      <c r="N5" s="6"/>
      <c r="O5" s="43"/>
      <c r="P5" s="6"/>
      <c r="Q5" s="23"/>
      <c r="R5" s="6"/>
      <c r="S5" s="6"/>
      <c r="T5" s="6"/>
    </row>
    <row r="6" spans="1:20" ht="14.1" customHeight="1">
      <c r="A6" s="6"/>
      <c r="B6" s="6"/>
      <c r="C6" s="6"/>
      <c r="D6" s="24"/>
      <c r="E6" s="6"/>
      <c r="F6" s="6"/>
      <c r="H6" s="21"/>
      <c r="I6" s="21"/>
      <c r="J6" s="23"/>
      <c r="K6" s="23"/>
      <c r="L6" s="23"/>
      <c r="M6" s="23"/>
      <c r="N6" s="6"/>
      <c r="O6" s="43"/>
      <c r="P6" s="6"/>
      <c r="Q6" s="23"/>
      <c r="R6" s="6"/>
      <c r="S6" s="6"/>
      <c r="T6" s="6"/>
    </row>
    <row r="7" spans="1:20" ht="14.1" customHeight="1">
      <c r="A7" s="6"/>
      <c r="B7" s="6"/>
      <c r="C7" s="6"/>
      <c r="D7" s="24"/>
      <c r="E7" s="6"/>
      <c r="F7" s="6"/>
      <c r="H7" s="21"/>
      <c r="I7" s="21"/>
      <c r="J7" s="23"/>
      <c r="K7" s="23"/>
      <c r="L7" s="23"/>
      <c r="M7" s="23"/>
      <c r="N7" s="6"/>
      <c r="O7" s="6"/>
      <c r="P7" s="6"/>
      <c r="Q7" s="23"/>
      <c r="R7" s="6"/>
      <c r="S7" s="6"/>
      <c r="T7" s="6"/>
    </row>
    <row r="8" spans="1:20" ht="14.1" customHeight="1">
      <c r="A8" s="6"/>
      <c r="B8" s="6"/>
      <c r="C8" s="6"/>
      <c r="D8" s="24"/>
      <c r="E8" s="6"/>
      <c r="F8" s="6"/>
      <c r="H8" s="21"/>
      <c r="I8" s="21"/>
      <c r="J8" s="23"/>
      <c r="K8" s="23"/>
      <c r="L8" s="23"/>
      <c r="M8" s="23"/>
      <c r="N8" s="43"/>
      <c r="O8" s="6"/>
      <c r="P8" s="6"/>
      <c r="Q8" s="23"/>
      <c r="R8" s="6"/>
      <c r="S8" s="6"/>
      <c r="T8" s="6"/>
    </row>
    <row r="9" spans="1:20" ht="14.1" customHeight="1">
      <c r="A9" s="6"/>
      <c r="B9" s="6"/>
      <c r="C9" s="6"/>
      <c r="D9" s="24"/>
      <c r="E9" s="6"/>
      <c r="F9" s="6"/>
      <c r="H9" s="21"/>
      <c r="I9" s="21"/>
      <c r="J9" s="23"/>
      <c r="K9" s="23"/>
      <c r="L9" s="23"/>
      <c r="M9" s="23"/>
      <c r="N9" s="6"/>
      <c r="O9" s="6"/>
      <c r="P9" s="6"/>
      <c r="Q9" s="23"/>
      <c r="R9" s="6"/>
      <c r="S9" s="6"/>
      <c r="T9" s="6"/>
    </row>
    <row r="10" spans="1:20" ht="13.7" customHeight="1">
      <c r="A10" s="6"/>
      <c r="B10" s="6"/>
      <c r="C10" s="6"/>
      <c r="D10" s="24"/>
      <c r="E10" s="6"/>
      <c r="F10" s="6"/>
      <c r="H10" s="21"/>
      <c r="I10" s="21"/>
      <c r="J10" s="23"/>
      <c r="K10" s="23"/>
      <c r="L10" s="23"/>
      <c r="M10" s="23"/>
      <c r="N10" s="6"/>
      <c r="O10" s="6"/>
      <c r="P10" s="6"/>
      <c r="Q10" s="23"/>
      <c r="R10" s="6"/>
      <c r="S10" s="6"/>
      <c r="T10" s="6"/>
    </row>
    <row r="11" spans="1:20" ht="13.7" customHeight="1">
      <c r="A11" s="6"/>
      <c r="B11" s="6"/>
      <c r="C11" s="6"/>
      <c r="D11" s="24"/>
      <c r="E11" s="6"/>
      <c r="F11" s="6"/>
      <c r="H11" s="21"/>
      <c r="I11" s="21"/>
      <c r="J11" s="23"/>
      <c r="K11" s="23"/>
      <c r="L11" s="23"/>
      <c r="M11" s="23"/>
      <c r="N11" s="6"/>
      <c r="O11" s="6"/>
      <c r="P11" s="6"/>
      <c r="Q11" s="23"/>
      <c r="R11" s="6"/>
      <c r="S11" s="6"/>
      <c r="T11" s="6"/>
    </row>
    <row r="12" spans="1:20" ht="14.1" customHeight="1">
      <c r="A12" s="6"/>
      <c r="B12" s="6"/>
      <c r="C12" s="6"/>
      <c r="D12" s="24"/>
      <c r="E12" s="6"/>
      <c r="F12" s="6"/>
      <c r="H12" s="21"/>
      <c r="I12" s="21"/>
      <c r="J12" s="23"/>
      <c r="K12" s="23"/>
      <c r="L12" s="23"/>
      <c r="M12" s="23"/>
      <c r="N12" s="6"/>
      <c r="O12" s="6"/>
      <c r="P12" s="6"/>
      <c r="Q12" s="23"/>
      <c r="R12" s="6"/>
      <c r="S12" s="6"/>
      <c r="T12" s="6"/>
    </row>
    <row r="13" spans="1:20" ht="14.1" customHeight="1">
      <c r="A13" s="6"/>
      <c r="B13" s="6"/>
      <c r="C13" s="6"/>
      <c r="D13" s="24"/>
      <c r="E13" s="6"/>
      <c r="F13" s="6"/>
      <c r="H13" s="21"/>
      <c r="I13" s="21"/>
      <c r="J13" s="23"/>
      <c r="K13" s="23"/>
      <c r="L13" s="23"/>
      <c r="M13" s="23"/>
      <c r="N13" s="6"/>
      <c r="O13" s="6"/>
      <c r="P13" s="6"/>
      <c r="Q13" s="23"/>
      <c r="R13" s="6"/>
      <c r="S13" s="6"/>
      <c r="T13" s="6"/>
    </row>
    <row r="14" spans="1:20" ht="14.1" customHeight="1">
      <c r="A14" s="6"/>
      <c r="B14" s="6"/>
      <c r="C14" s="6"/>
      <c r="D14" s="24"/>
      <c r="E14" s="6"/>
      <c r="F14" s="6"/>
      <c r="H14" s="21"/>
      <c r="I14" s="21"/>
      <c r="J14" s="23"/>
      <c r="K14" s="23"/>
      <c r="L14" s="23"/>
      <c r="M14" s="23"/>
      <c r="N14" s="6"/>
      <c r="O14" s="6"/>
      <c r="P14" s="6"/>
      <c r="Q14" s="23"/>
      <c r="R14" s="6"/>
      <c r="S14" s="6"/>
      <c r="T14" s="6"/>
    </row>
    <row r="15" spans="1:20" ht="14.1" customHeight="1">
      <c r="A15" s="6"/>
      <c r="B15" s="6"/>
      <c r="C15" s="6"/>
      <c r="D15" s="24"/>
      <c r="E15" s="6"/>
      <c r="F15" s="6"/>
      <c r="H15" s="21"/>
      <c r="I15" s="21"/>
      <c r="J15" s="23"/>
      <c r="K15" s="23"/>
      <c r="L15" s="23"/>
      <c r="M15" s="23"/>
      <c r="N15" s="6"/>
      <c r="O15" s="6"/>
      <c r="P15" s="6"/>
      <c r="Q15" s="23"/>
      <c r="R15" s="6"/>
      <c r="S15" s="6"/>
      <c r="T15" s="6"/>
    </row>
    <row r="16" spans="1:20" ht="14.1" customHeight="1">
      <c r="A16" s="6"/>
      <c r="B16" s="6"/>
      <c r="C16" s="6"/>
      <c r="D16" s="24"/>
      <c r="E16" s="6"/>
      <c r="F16" s="6"/>
      <c r="H16" s="21"/>
      <c r="I16" s="21"/>
      <c r="J16" s="23"/>
      <c r="K16" s="23"/>
      <c r="L16" s="23"/>
      <c r="M16" s="23"/>
      <c r="N16" s="6"/>
      <c r="O16" s="6"/>
      <c r="P16" s="6"/>
      <c r="Q16" s="23"/>
      <c r="R16" s="6"/>
      <c r="S16" s="6"/>
      <c r="T16" s="6"/>
    </row>
    <row r="17" spans="1:20" ht="14.1" customHeight="1">
      <c r="A17" s="6"/>
      <c r="B17" s="6"/>
      <c r="C17" s="6"/>
      <c r="D17" s="24"/>
      <c r="E17" s="6"/>
      <c r="F17" s="6"/>
      <c r="H17" s="21"/>
      <c r="I17" s="21"/>
      <c r="J17" s="23"/>
      <c r="K17" s="23"/>
      <c r="L17" s="23"/>
      <c r="M17" s="23"/>
      <c r="N17" s="6"/>
      <c r="O17" s="6"/>
      <c r="P17" s="6"/>
      <c r="Q17" s="23"/>
      <c r="R17" s="6"/>
      <c r="S17" s="6"/>
      <c r="T17" s="6"/>
    </row>
    <row r="18" spans="1:20" ht="14.1" customHeight="1">
      <c r="D18" s="24"/>
      <c r="H18" s="21"/>
      <c r="I18" s="21"/>
      <c r="J18" s="23"/>
      <c r="K18" s="23"/>
      <c r="L18" s="23"/>
      <c r="M18" s="23"/>
      <c r="Q18" s="23"/>
    </row>
    <row r="19" spans="1:20" ht="14.1" customHeight="1">
      <c r="D19" s="24"/>
      <c r="H19" s="21"/>
      <c r="I19" s="21"/>
      <c r="J19" s="23"/>
      <c r="K19" s="23"/>
      <c r="L19" s="23"/>
      <c r="M19" s="23"/>
      <c r="Q19" s="23"/>
    </row>
    <row r="20" spans="1:20" ht="14.1" customHeight="1">
      <c r="D20" s="24"/>
      <c r="H20" s="21"/>
      <c r="I20" s="21"/>
      <c r="J20" s="23"/>
      <c r="L20" s="23"/>
      <c r="M20" s="23"/>
      <c r="Q20" s="23"/>
    </row>
    <row r="21" spans="1:20" s="42" customFormat="1" ht="14.1" customHeight="1">
      <c r="D21" s="45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5"/>
  <sheetViews>
    <sheetView rightToLeft="1" topLeftCell="H2" workbookViewId="0">
      <selection activeCell="K39" sqref="K39"/>
    </sheetView>
  </sheetViews>
  <sheetFormatPr defaultColWidth="0" defaultRowHeight="14.1" customHeight="1"/>
  <cols>
    <col min="1" max="6" width="11.625" style="3" customWidth="1"/>
    <col min="7" max="7" width="41.125" style="3" bestFit="1" customWidth="1"/>
    <col min="8" max="8" width="11.625" style="3" customWidth="1"/>
    <col min="9" max="9" width="12.625" style="3" customWidth="1"/>
    <col min="10" max="17" width="11.625" style="3" customWidth="1"/>
    <col min="18" max="18" width="11.625" style="3" hidden="1" customWidth="1"/>
    <col min="19" max="16384" width="11.625" style="3" hidden="1"/>
  </cols>
  <sheetData>
    <row r="1" spans="1:17" ht="76.5">
      <c r="A1" s="22" t="s">
        <v>0</v>
      </c>
      <c r="B1" s="22" t="s">
        <v>1</v>
      </c>
      <c r="C1" s="22" t="s">
        <v>5</v>
      </c>
      <c r="D1" s="22" t="s">
        <v>1551</v>
      </c>
      <c r="E1" s="22" t="s">
        <v>1552</v>
      </c>
      <c r="F1" s="22" t="s">
        <v>1553</v>
      </c>
      <c r="G1" s="22" t="s">
        <v>1554</v>
      </c>
      <c r="H1" s="22" t="s">
        <v>1555</v>
      </c>
      <c r="I1" s="22" t="s">
        <v>1556</v>
      </c>
      <c r="J1" s="22" t="s">
        <v>11</v>
      </c>
      <c r="K1" s="180" t="s">
        <v>1884</v>
      </c>
      <c r="L1" s="22" t="s">
        <v>1885</v>
      </c>
      <c r="M1" s="22" t="s">
        <v>1886</v>
      </c>
      <c r="N1" s="22" t="s">
        <v>1887</v>
      </c>
      <c r="O1" s="22" t="s">
        <v>1888</v>
      </c>
      <c r="P1" s="22" t="s">
        <v>1889</v>
      </c>
      <c r="Q1" s="180" t="s">
        <v>1890</v>
      </c>
    </row>
    <row r="2" spans="1:17" ht="14.1" customHeight="1">
      <c r="A2" s="6">
        <v>419</v>
      </c>
      <c r="B2" s="6">
        <v>419</v>
      </c>
      <c r="C2" s="6" t="s">
        <v>1891</v>
      </c>
      <c r="D2" s="6" t="s">
        <v>1693</v>
      </c>
      <c r="E2" s="44" t="s">
        <v>1892</v>
      </c>
      <c r="F2" s="24" t="s">
        <v>165</v>
      </c>
      <c r="G2" s="6" t="s">
        <v>1893</v>
      </c>
      <c r="H2" s="44" t="s">
        <v>1894</v>
      </c>
      <c r="I2" s="24" t="s">
        <v>33</v>
      </c>
      <c r="J2" s="3" t="s">
        <v>427</v>
      </c>
      <c r="K2" s="185">
        <v>44439</v>
      </c>
      <c r="L2" s="157">
        <v>2800000</v>
      </c>
      <c r="M2" s="157">
        <v>10388</v>
      </c>
      <c r="N2" s="157">
        <v>70711</v>
      </c>
      <c r="O2" s="157">
        <v>233.77</v>
      </c>
      <c r="P2" s="199">
        <v>2.52E-2</v>
      </c>
      <c r="Q2" s="182">
        <v>47238</v>
      </c>
    </row>
    <row r="3" spans="1:17" ht="14.1" customHeight="1">
      <c r="A3" s="6">
        <v>419</v>
      </c>
      <c r="B3" s="6">
        <v>419</v>
      </c>
      <c r="C3" s="6" t="s">
        <v>1891</v>
      </c>
      <c r="D3" s="6" t="s">
        <v>1619</v>
      </c>
      <c r="E3" s="6" t="s">
        <v>1895</v>
      </c>
      <c r="F3" s="24" t="s">
        <v>132</v>
      </c>
      <c r="G3" s="6" t="s">
        <v>1896</v>
      </c>
      <c r="H3" s="3" t="s">
        <v>1895</v>
      </c>
      <c r="I3" s="24" t="s">
        <v>33</v>
      </c>
      <c r="J3" s="3" t="s">
        <v>34</v>
      </c>
      <c r="K3" s="181">
        <v>45250</v>
      </c>
      <c r="L3" s="157">
        <v>3000000</v>
      </c>
      <c r="M3" s="157">
        <v>3000</v>
      </c>
      <c r="N3" s="157">
        <v>2523557</v>
      </c>
      <c r="O3" s="157">
        <v>2523.5500000000002</v>
      </c>
      <c r="P3" s="199">
        <v>0.84109999999999996</v>
      </c>
      <c r="Q3" s="182">
        <v>48730</v>
      </c>
    </row>
    <row r="4" spans="1:17" ht="13.7" customHeight="1">
      <c r="A4" s="6">
        <v>419</v>
      </c>
      <c r="B4" s="6">
        <v>419</v>
      </c>
      <c r="C4" s="6" t="s">
        <v>1891</v>
      </c>
      <c r="D4" s="6" t="s">
        <v>1693</v>
      </c>
      <c r="E4" s="6" t="s">
        <v>1892</v>
      </c>
      <c r="F4" s="24" t="s">
        <v>165</v>
      </c>
      <c r="G4" s="6" t="s">
        <v>1897</v>
      </c>
      <c r="H4" s="3" t="s">
        <v>1898</v>
      </c>
      <c r="I4" s="24" t="s">
        <v>33</v>
      </c>
      <c r="J4" s="3" t="s">
        <v>427</v>
      </c>
      <c r="K4" s="181">
        <v>44893</v>
      </c>
      <c r="L4" s="157">
        <v>350000</v>
      </c>
      <c r="M4" s="157">
        <v>1298.5</v>
      </c>
      <c r="N4" s="157">
        <v>14133</v>
      </c>
      <c r="O4" s="157">
        <v>46.72</v>
      </c>
      <c r="P4" s="199">
        <v>4.0300000000000002E-2</v>
      </c>
      <c r="Q4" s="182">
        <v>49096</v>
      </c>
    </row>
    <row r="5" spans="1:17" ht="13.7" customHeight="1">
      <c r="A5" s="6">
        <v>419</v>
      </c>
      <c r="B5" s="6">
        <v>419</v>
      </c>
      <c r="C5" s="6" t="s">
        <v>1891</v>
      </c>
      <c r="D5" s="6" t="s">
        <v>1637</v>
      </c>
      <c r="E5" s="6" t="s">
        <v>1899</v>
      </c>
      <c r="F5" s="24" t="s">
        <v>809</v>
      </c>
      <c r="G5" s="6" t="s">
        <v>1900</v>
      </c>
      <c r="H5" s="3" t="s">
        <v>1899</v>
      </c>
      <c r="I5" s="24" t="s">
        <v>33</v>
      </c>
      <c r="J5" s="3" t="s">
        <v>745</v>
      </c>
      <c r="K5" s="181">
        <v>44930</v>
      </c>
      <c r="L5" s="157">
        <v>1000000</v>
      </c>
      <c r="M5" s="157">
        <v>4152.3999999999996</v>
      </c>
      <c r="N5" s="157">
        <v>182190.49</v>
      </c>
      <c r="O5" s="157">
        <v>707.02</v>
      </c>
      <c r="P5" s="199">
        <v>0.18210000000000001</v>
      </c>
      <c r="Q5" s="182">
        <v>47482</v>
      </c>
    </row>
    <row r="6" spans="1:17" ht="14.1" customHeight="1">
      <c r="A6" s="6">
        <v>419</v>
      </c>
      <c r="B6" s="6">
        <v>419</v>
      </c>
      <c r="C6" s="6" t="s">
        <v>1891</v>
      </c>
      <c r="D6" s="6" t="s">
        <v>1901</v>
      </c>
      <c r="E6" s="6" t="s">
        <v>1614</v>
      </c>
      <c r="F6" s="24" t="s">
        <v>441</v>
      </c>
      <c r="G6" s="6" t="s">
        <v>1902</v>
      </c>
      <c r="H6" s="3" t="s">
        <v>1903</v>
      </c>
      <c r="I6" s="24" t="s">
        <v>33</v>
      </c>
      <c r="J6" s="3" t="s">
        <v>34</v>
      </c>
      <c r="K6" s="181">
        <v>44439</v>
      </c>
      <c r="L6" s="157">
        <v>5600000</v>
      </c>
      <c r="M6" s="157">
        <v>5600</v>
      </c>
      <c r="N6" s="157">
        <v>1660762</v>
      </c>
      <c r="O6" s="157">
        <v>1660.76</v>
      </c>
      <c r="P6" s="199">
        <v>0.29649999999999999</v>
      </c>
      <c r="Q6" s="182">
        <v>48182</v>
      </c>
    </row>
    <row r="7" spans="1:17" ht="14.1" customHeight="1">
      <c r="A7" s="6">
        <v>419</v>
      </c>
      <c r="B7" s="6">
        <v>419</v>
      </c>
      <c r="C7" s="6" t="s">
        <v>1891</v>
      </c>
      <c r="D7" s="6" t="s">
        <v>1904</v>
      </c>
      <c r="E7" s="6" t="s">
        <v>1680</v>
      </c>
      <c r="F7" s="24" t="s">
        <v>165</v>
      </c>
      <c r="G7" s="6" t="s">
        <v>1681</v>
      </c>
      <c r="H7" s="3" t="s">
        <v>1905</v>
      </c>
      <c r="I7" s="24" t="s">
        <v>33</v>
      </c>
      <c r="J7" s="3" t="s">
        <v>427</v>
      </c>
      <c r="K7" s="181">
        <v>44039</v>
      </c>
      <c r="L7" s="157">
        <v>850000</v>
      </c>
      <c r="M7" s="157">
        <v>3153.5</v>
      </c>
      <c r="N7" s="157">
        <v>6375</v>
      </c>
      <c r="O7" s="157">
        <v>21.07</v>
      </c>
      <c r="P7" s="199">
        <v>7.4999999999999997E-3</v>
      </c>
      <c r="Q7" s="182">
        <v>46111</v>
      </c>
    </row>
    <row r="8" spans="1:17" ht="14.1" customHeight="1">
      <c r="A8" s="6">
        <v>419</v>
      </c>
      <c r="B8" s="6">
        <v>419</v>
      </c>
      <c r="C8" s="6" t="s">
        <v>1891</v>
      </c>
      <c r="D8" s="6" t="s">
        <v>1702</v>
      </c>
      <c r="E8" s="6" t="s">
        <v>1703</v>
      </c>
      <c r="F8" s="24" t="s">
        <v>132</v>
      </c>
      <c r="G8" s="6" t="s">
        <v>1906</v>
      </c>
      <c r="H8" s="3" t="s">
        <v>1907</v>
      </c>
      <c r="I8" s="24" t="s">
        <v>33</v>
      </c>
      <c r="J8" s="3" t="s">
        <v>427</v>
      </c>
      <c r="K8" s="181">
        <v>44427</v>
      </c>
      <c r="L8" s="157">
        <v>1000000</v>
      </c>
      <c r="M8" s="157">
        <v>3710</v>
      </c>
      <c r="N8" s="157">
        <v>218300</v>
      </c>
      <c r="O8" s="157">
        <v>721.69</v>
      </c>
      <c r="P8" s="199">
        <v>0.21829999999999999</v>
      </c>
      <c r="Q8" s="182">
        <v>47268</v>
      </c>
    </row>
    <row r="9" spans="1:17" ht="14.1" customHeight="1">
      <c r="A9" s="6">
        <v>419</v>
      </c>
      <c r="B9" s="6">
        <v>419</v>
      </c>
      <c r="C9" s="6" t="s">
        <v>1891</v>
      </c>
      <c r="D9" s="6" t="s">
        <v>1908</v>
      </c>
      <c r="E9" s="6" t="s">
        <v>1664</v>
      </c>
      <c r="F9" s="24" t="s">
        <v>165</v>
      </c>
      <c r="G9" s="6" t="s">
        <v>1909</v>
      </c>
      <c r="H9" s="3" t="s">
        <v>1910</v>
      </c>
      <c r="I9" s="24" t="s">
        <v>33</v>
      </c>
      <c r="J9" s="3" t="s">
        <v>427</v>
      </c>
      <c r="K9" s="181">
        <v>44699</v>
      </c>
      <c r="L9" s="157">
        <v>1500000</v>
      </c>
      <c r="M9" s="157">
        <v>5565</v>
      </c>
      <c r="N9" s="157">
        <v>449930</v>
      </c>
      <c r="O9" s="157">
        <v>1487.46</v>
      </c>
      <c r="P9" s="199">
        <v>0.2999</v>
      </c>
      <c r="Q9" s="182">
        <v>47260</v>
      </c>
    </row>
    <row r="10" spans="1:17" ht="14.1" customHeight="1">
      <c r="A10" s="3">
        <v>419</v>
      </c>
      <c r="B10" s="3">
        <v>419</v>
      </c>
      <c r="C10" s="6" t="s">
        <v>1891</v>
      </c>
      <c r="D10" s="3" t="s">
        <v>1911</v>
      </c>
      <c r="E10" s="3" t="s">
        <v>1745</v>
      </c>
      <c r="F10" s="24" t="s">
        <v>165</v>
      </c>
      <c r="G10" s="3" t="s">
        <v>1912</v>
      </c>
      <c r="H10" s="3" t="s">
        <v>1913</v>
      </c>
      <c r="I10" s="24" t="s">
        <v>33</v>
      </c>
      <c r="J10" s="3" t="s">
        <v>427</v>
      </c>
      <c r="K10" s="181">
        <v>44018</v>
      </c>
      <c r="L10" s="157">
        <v>800000</v>
      </c>
      <c r="M10" s="157">
        <v>2968</v>
      </c>
      <c r="N10" s="157">
        <v>171999</v>
      </c>
      <c r="O10" s="157">
        <v>568.62</v>
      </c>
      <c r="P10" s="199">
        <v>0.21489999999999998</v>
      </c>
      <c r="Q10" s="182">
        <v>47118</v>
      </c>
    </row>
    <row r="11" spans="1:17" ht="14.1" customHeight="1">
      <c r="A11" s="3">
        <v>419</v>
      </c>
      <c r="B11" s="3">
        <v>419</v>
      </c>
      <c r="C11" s="6" t="s">
        <v>1891</v>
      </c>
      <c r="D11" s="3" t="s">
        <v>1914</v>
      </c>
      <c r="E11" s="3" t="s">
        <v>1689</v>
      </c>
      <c r="F11" s="24" t="s">
        <v>441</v>
      </c>
      <c r="G11" s="3" t="s">
        <v>1692</v>
      </c>
      <c r="H11" s="3" t="s">
        <v>1915</v>
      </c>
      <c r="I11" s="24" t="s">
        <v>33</v>
      </c>
      <c r="J11" s="3" t="s">
        <v>427</v>
      </c>
      <c r="K11" s="181">
        <v>44147</v>
      </c>
      <c r="L11" s="157">
        <v>1500000</v>
      </c>
      <c r="M11" s="157">
        <v>5565</v>
      </c>
      <c r="N11" s="157">
        <v>25500</v>
      </c>
      <c r="O11" s="157">
        <v>84.3</v>
      </c>
      <c r="P11" s="199">
        <v>1.7000000000000001E-2</v>
      </c>
      <c r="Q11" s="182">
        <v>47573</v>
      </c>
    </row>
    <row r="12" spans="1:17" ht="14.1" customHeight="1">
      <c r="A12" s="3">
        <v>419</v>
      </c>
      <c r="B12" s="3">
        <v>419</v>
      </c>
      <c r="C12" s="6" t="s">
        <v>1891</v>
      </c>
      <c r="D12" s="3" t="s">
        <v>1916</v>
      </c>
      <c r="E12" s="3" t="s">
        <v>1917</v>
      </c>
      <c r="F12" s="24" t="s">
        <v>441</v>
      </c>
      <c r="G12" s="3" t="s">
        <v>1690</v>
      </c>
      <c r="H12" s="3" t="s">
        <v>1918</v>
      </c>
      <c r="I12" s="24" t="s">
        <v>33</v>
      </c>
      <c r="J12" s="3" t="s">
        <v>427</v>
      </c>
      <c r="K12" s="181">
        <v>45215</v>
      </c>
      <c r="L12" s="157">
        <v>750000</v>
      </c>
      <c r="M12" s="157">
        <v>2782.5</v>
      </c>
      <c r="N12" s="157">
        <v>423750</v>
      </c>
      <c r="O12" s="157">
        <v>1400.91</v>
      </c>
      <c r="P12" s="199">
        <v>0.56499999999999995</v>
      </c>
      <c r="Q12" s="182">
        <v>47269</v>
      </c>
    </row>
    <row r="13" spans="1:17" ht="14.1" customHeight="1">
      <c r="A13" s="3">
        <v>419</v>
      </c>
      <c r="B13" s="3">
        <v>419</v>
      </c>
      <c r="C13" s="6" t="s">
        <v>1891</v>
      </c>
      <c r="D13" s="3" t="s">
        <v>1919</v>
      </c>
      <c r="E13" s="3" t="s">
        <v>1715</v>
      </c>
      <c r="F13" s="24" t="s">
        <v>132</v>
      </c>
      <c r="G13" s="3" t="s">
        <v>1920</v>
      </c>
      <c r="H13" s="3" t="s">
        <v>1921</v>
      </c>
      <c r="I13" s="24" t="s">
        <v>33</v>
      </c>
      <c r="J13" s="3" t="s">
        <v>427</v>
      </c>
      <c r="K13" s="181">
        <v>44039</v>
      </c>
      <c r="L13" s="157">
        <v>700000</v>
      </c>
      <c r="M13" s="157">
        <v>2597</v>
      </c>
      <c r="N13" s="157">
        <v>160858.6</v>
      </c>
      <c r="O13" s="157">
        <v>531.79</v>
      </c>
      <c r="P13" s="199">
        <v>0.22969999999999999</v>
      </c>
      <c r="Q13" s="182">
        <v>46142</v>
      </c>
    </row>
    <row r="14" spans="1:17" ht="14.1" customHeight="1">
      <c r="A14" s="3">
        <v>419</v>
      </c>
      <c r="B14" s="3">
        <v>419</v>
      </c>
      <c r="C14" s="6" t="s">
        <v>1891</v>
      </c>
      <c r="D14" s="3" t="s">
        <v>1922</v>
      </c>
      <c r="E14" s="3" t="s">
        <v>1604</v>
      </c>
      <c r="F14" s="24" t="s">
        <v>441</v>
      </c>
      <c r="G14" s="3" t="s">
        <v>1605</v>
      </c>
      <c r="H14" s="3" t="s">
        <v>1923</v>
      </c>
      <c r="I14" s="24" t="s">
        <v>33</v>
      </c>
      <c r="J14" s="3" t="s">
        <v>745</v>
      </c>
      <c r="K14" s="181">
        <v>44026</v>
      </c>
      <c r="L14" s="157">
        <v>1500000</v>
      </c>
      <c r="M14" s="157">
        <v>6228.6</v>
      </c>
      <c r="N14" s="157">
        <v>489874</v>
      </c>
      <c r="O14" s="157">
        <v>1901.05</v>
      </c>
      <c r="P14" s="199">
        <v>0.32650000000000001</v>
      </c>
      <c r="Q14" s="182">
        <v>47664</v>
      </c>
    </row>
    <row r="15" spans="1:17" ht="14.1" customHeight="1">
      <c r="A15" s="3">
        <v>419</v>
      </c>
      <c r="B15" s="3">
        <v>419</v>
      </c>
      <c r="C15" s="6" t="s">
        <v>1891</v>
      </c>
      <c r="D15" s="3" t="s">
        <v>1924</v>
      </c>
      <c r="E15" s="3" t="s">
        <v>1581</v>
      </c>
      <c r="F15" s="24" t="s">
        <v>165</v>
      </c>
      <c r="G15" s="3" t="s">
        <v>1582</v>
      </c>
      <c r="H15" s="3" t="s">
        <v>1925</v>
      </c>
      <c r="I15" s="24" t="s">
        <v>33</v>
      </c>
      <c r="J15" s="3" t="s">
        <v>34</v>
      </c>
      <c r="K15" s="181">
        <v>45058</v>
      </c>
      <c r="L15" s="157">
        <v>4000000</v>
      </c>
      <c r="M15" s="157">
        <v>4000</v>
      </c>
      <c r="N15" s="157">
        <v>1613966</v>
      </c>
      <c r="O15" s="157">
        <v>1613.96</v>
      </c>
      <c r="P15" s="199">
        <v>0.40340000000000004</v>
      </c>
      <c r="Q15" s="182">
        <v>46996</v>
      </c>
    </row>
    <row r="16" spans="1:17" ht="14.1" customHeight="1">
      <c r="A16" s="3">
        <v>419</v>
      </c>
      <c r="B16" s="3">
        <v>419</v>
      </c>
      <c r="C16" s="6" t="s">
        <v>1891</v>
      </c>
      <c r="D16" s="3" t="s">
        <v>1926</v>
      </c>
      <c r="E16" s="3" t="s">
        <v>1927</v>
      </c>
      <c r="F16" s="24" t="s">
        <v>165</v>
      </c>
      <c r="G16" s="3" t="s">
        <v>1928</v>
      </c>
      <c r="H16" s="3" t="s">
        <v>1929</v>
      </c>
      <c r="I16" s="24" t="s">
        <v>33</v>
      </c>
      <c r="J16" s="3" t="s">
        <v>427</v>
      </c>
      <c r="K16" s="181">
        <v>44697</v>
      </c>
      <c r="L16" s="157">
        <v>1000000</v>
      </c>
      <c r="M16" s="157">
        <v>3710</v>
      </c>
      <c r="N16" s="157">
        <v>40564</v>
      </c>
      <c r="O16" s="157">
        <v>134.1</v>
      </c>
      <c r="P16" s="199">
        <v>4.0500000000000001E-2</v>
      </c>
      <c r="Q16" s="182">
        <v>47236</v>
      </c>
    </row>
    <row r="17" spans="1:17" ht="14.1" customHeight="1">
      <c r="A17" s="3">
        <v>419</v>
      </c>
      <c r="B17" s="3">
        <v>419</v>
      </c>
      <c r="C17" s="6" t="s">
        <v>1891</v>
      </c>
      <c r="D17" s="3" t="s">
        <v>1675</v>
      </c>
      <c r="E17" s="3" t="s">
        <v>1676</v>
      </c>
      <c r="F17" s="24" t="s">
        <v>165</v>
      </c>
      <c r="G17" s="3" t="s">
        <v>1930</v>
      </c>
      <c r="H17" s="3" t="s">
        <v>1931</v>
      </c>
      <c r="I17" s="24" t="s">
        <v>33</v>
      </c>
      <c r="J17" s="3" t="s">
        <v>745</v>
      </c>
      <c r="K17" s="181">
        <v>44231</v>
      </c>
      <c r="L17" s="157">
        <v>1000000</v>
      </c>
      <c r="M17" s="157">
        <v>4152.3999999999996</v>
      </c>
      <c r="N17" s="157">
        <v>5072.8900000000003</v>
      </c>
      <c r="O17" s="157">
        <v>19.68</v>
      </c>
      <c r="P17" s="199">
        <v>5.0000000000000001E-3</v>
      </c>
      <c r="Q17" s="182">
        <v>47879</v>
      </c>
    </row>
    <row r="18" spans="1:17" ht="14.1" customHeight="1">
      <c r="A18" s="3">
        <v>419</v>
      </c>
      <c r="B18" s="3">
        <v>419</v>
      </c>
      <c r="C18" s="6" t="s">
        <v>1891</v>
      </c>
      <c r="D18" s="3" t="s">
        <v>1932</v>
      </c>
      <c r="E18" s="3" t="s">
        <v>1593</v>
      </c>
      <c r="F18" s="24" t="s">
        <v>165</v>
      </c>
      <c r="G18" s="3" t="s">
        <v>1933</v>
      </c>
      <c r="H18" s="3" t="s">
        <v>1934</v>
      </c>
      <c r="I18" s="24" t="s">
        <v>33</v>
      </c>
      <c r="J18" s="3" t="s">
        <v>427</v>
      </c>
      <c r="K18" s="181">
        <v>44439</v>
      </c>
      <c r="L18" s="157">
        <v>1250000</v>
      </c>
      <c r="M18" s="157">
        <v>4637.5</v>
      </c>
      <c r="N18" s="157">
        <v>56250</v>
      </c>
      <c r="O18" s="157">
        <v>185.96</v>
      </c>
      <c r="P18" s="199">
        <v>4.4999999999999998E-2</v>
      </c>
      <c r="Q18" s="182">
        <v>47258</v>
      </c>
    </row>
    <row r="19" spans="1:17" ht="14.1" customHeight="1">
      <c r="A19" s="3">
        <v>419</v>
      </c>
      <c r="B19" s="3">
        <v>419</v>
      </c>
      <c r="C19" s="3" t="s">
        <v>1891</v>
      </c>
      <c r="D19" s="3" t="s">
        <v>1935</v>
      </c>
      <c r="E19" s="3" t="s">
        <v>1742</v>
      </c>
      <c r="F19" s="24" t="s">
        <v>165</v>
      </c>
      <c r="G19" s="3" t="s">
        <v>1936</v>
      </c>
      <c r="H19" s="3" t="s">
        <v>1937</v>
      </c>
      <c r="I19" s="24" t="s">
        <v>33</v>
      </c>
      <c r="J19" s="3" t="s">
        <v>427</v>
      </c>
      <c r="K19" s="182">
        <v>44140</v>
      </c>
      <c r="L19" s="157">
        <v>500000</v>
      </c>
      <c r="M19" s="157">
        <v>1855</v>
      </c>
      <c r="N19" s="157">
        <v>45000</v>
      </c>
      <c r="O19" s="157">
        <v>148.77000000000001</v>
      </c>
      <c r="P19" s="199">
        <v>0.09</v>
      </c>
      <c r="Q19" s="182">
        <v>46890</v>
      </c>
    </row>
    <row r="20" spans="1:17" ht="14.1" customHeight="1">
      <c r="A20" s="3">
        <v>419</v>
      </c>
      <c r="B20" s="3">
        <v>419</v>
      </c>
      <c r="C20" s="3" t="s">
        <v>1891</v>
      </c>
      <c r="D20" s="3" t="s">
        <v>1938</v>
      </c>
      <c r="E20" s="3" t="s">
        <v>1939</v>
      </c>
      <c r="F20" s="3" t="s">
        <v>132</v>
      </c>
      <c r="G20" s="3" t="s">
        <v>1940</v>
      </c>
      <c r="H20" s="3" t="s">
        <v>1941</v>
      </c>
      <c r="I20" s="3" t="s">
        <v>33</v>
      </c>
      <c r="J20" s="3" t="s">
        <v>427</v>
      </c>
      <c r="K20" s="182">
        <v>44237</v>
      </c>
      <c r="L20" s="157">
        <v>1300000</v>
      </c>
      <c r="M20" s="157">
        <v>4823</v>
      </c>
      <c r="N20" s="157">
        <v>194055</v>
      </c>
      <c r="O20" s="157">
        <v>641.54</v>
      </c>
      <c r="P20" s="199">
        <v>0.1492</v>
      </c>
      <c r="Q20" s="182">
        <v>47573</v>
      </c>
    </row>
    <row r="21" spans="1:17" ht="14.1" customHeight="1">
      <c r="A21" s="3">
        <v>419</v>
      </c>
      <c r="B21" s="3">
        <v>419</v>
      </c>
      <c r="C21" s="3" t="s">
        <v>1891</v>
      </c>
      <c r="D21" s="3" t="s">
        <v>1942</v>
      </c>
      <c r="E21" s="3" t="s">
        <v>1736</v>
      </c>
      <c r="F21" s="3" t="s">
        <v>165</v>
      </c>
      <c r="G21" s="3" t="s">
        <v>1943</v>
      </c>
      <c r="H21" s="3" t="s">
        <v>1944</v>
      </c>
      <c r="I21" s="3" t="s">
        <v>33</v>
      </c>
      <c r="J21" s="3" t="s">
        <v>427</v>
      </c>
      <c r="K21" s="182">
        <v>44210</v>
      </c>
      <c r="L21" s="157">
        <v>500000</v>
      </c>
      <c r="M21" s="157">
        <v>1855</v>
      </c>
      <c r="N21" s="157">
        <v>80000</v>
      </c>
      <c r="O21" s="157">
        <v>264.48</v>
      </c>
      <c r="P21" s="199">
        <v>0.16</v>
      </c>
      <c r="Q21" s="182">
        <v>48852</v>
      </c>
    </row>
    <row r="22" spans="1:17" ht="14.1" customHeight="1">
      <c r="A22" s="3">
        <v>419</v>
      </c>
      <c r="B22" s="3">
        <v>419</v>
      </c>
      <c r="C22" s="3" t="s">
        <v>1891</v>
      </c>
      <c r="D22" s="3" t="s">
        <v>1945</v>
      </c>
      <c r="E22" s="3" t="s">
        <v>1750</v>
      </c>
      <c r="F22" s="3" t="s">
        <v>165</v>
      </c>
      <c r="G22" s="3" t="s">
        <v>1946</v>
      </c>
      <c r="H22" s="3" t="s">
        <v>1947</v>
      </c>
      <c r="I22" s="3" t="s">
        <v>33</v>
      </c>
      <c r="J22" s="3" t="s">
        <v>427</v>
      </c>
      <c r="K22" s="182">
        <v>44147</v>
      </c>
      <c r="L22" s="157">
        <v>1500000</v>
      </c>
      <c r="M22" s="157">
        <v>5565</v>
      </c>
      <c r="N22" s="157">
        <v>45000</v>
      </c>
      <c r="O22" s="157">
        <v>148.77000000000001</v>
      </c>
      <c r="P22" s="199">
        <v>0.03</v>
      </c>
      <c r="Q22" s="182">
        <v>48060</v>
      </c>
    </row>
    <row r="23" spans="1:17" ht="14.1" customHeight="1">
      <c r="A23" s="3">
        <v>419</v>
      </c>
      <c r="B23" s="3">
        <v>419</v>
      </c>
      <c r="C23" s="3" t="s">
        <v>1891</v>
      </c>
      <c r="D23" s="3" t="s">
        <v>1948</v>
      </c>
      <c r="E23" s="3" t="s">
        <v>1587</v>
      </c>
      <c r="F23" s="3" t="s">
        <v>165</v>
      </c>
      <c r="G23" s="3" t="s">
        <v>1949</v>
      </c>
      <c r="H23" s="3" t="s">
        <v>1950</v>
      </c>
      <c r="I23" s="3" t="s">
        <v>33</v>
      </c>
      <c r="J23" s="3" t="s">
        <v>34</v>
      </c>
      <c r="K23" s="195">
        <v>44651</v>
      </c>
      <c r="L23" s="157">
        <v>6000000</v>
      </c>
      <c r="M23" s="157">
        <v>6000</v>
      </c>
      <c r="N23" s="157">
        <v>962608</v>
      </c>
      <c r="O23" s="157">
        <v>962.6</v>
      </c>
      <c r="P23" s="199">
        <v>0.16039999999999999</v>
      </c>
      <c r="Q23" s="182">
        <v>46691</v>
      </c>
    </row>
    <row r="24" spans="1:17" ht="14.1" customHeight="1">
      <c r="A24" s="3">
        <v>419</v>
      </c>
      <c r="B24" s="3">
        <v>419</v>
      </c>
      <c r="C24" s="3" t="s">
        <v>1891</v>
      </c>
      <c r="D24" s="3" t="s">
        <v>1951</v>
      </c>
      <c r="E24" s="3" t="s">
        <v>1706</v>
      </c>
      <c r="F24" s="3" t="s">
        <v>165</v>
      </c>
      <c r="G24" s="3" t="s">
        <v>1952</v>
      </c>
      <c r="H24" s="3" t="s">
        <v>1953</v>
      </c>
      <c r="I24" s="3" t="s">
        <v>33</v>
      </c>
      <c r="J24" s="3" t="s">
        <v>34</v>
      </c>
      <c r="K24" s="195">
        <v>45034</v>
      </c>
      <c r="L24" s="157">
        <v>4000000</v>
      </c>
      <c r="M24" s="157">
        <v>4000</v>
      </c>
      <c r="N24" s="157">
        <v>2240000</v>
      </c>
      <c r="O24" s="157">
        <v>2240</v>
      </c>
      <c r="P24" s="199">
        <v>0.56000000000000005</v>
      </c>
      <c r="Q24" s="182">
        <v>47269</v>
      </c>
    </row>
    <row r="25" spans="1:17" ht="14.1" customHeight="1">
      <c r="A25" s="3">
        <v>419</v>
      </c>
      <c r="B25" s="3">
        <v>419</v>
      </c>
      <c r="C25" s="3" t="s">
        <v>1891</v>
      </c>
      <c r="D25" s="3" t="s">
        <v>1597</v>
      </c>
      <c r="E25" s="3" t="s">
        <v>1598</v>
      </c>
      <c r="F25" s="3" t="s">
        <v>441</v>
      </c>
      <c r="G25" s="3" t="s">
        <v>1954</v>
      </c>
      <c r="H25" s="3" t="s">
        <v>1955</v>
      </c>
      <c r="I25" s="3" t="s">
        <v>33</v>
      </c>
      <c r="J25" s="3" t="s">
        <v>34</v>
      </c>
      <c r="K25" s="195">
        <v>44635</v>
      </c>
      <c r="L25" s="157">
        <v>3268000</v>
      </c>
      <c r="M25" s="157">
        <v>3268</v>
      </c>
      <c r="N25" s="157">
        <v>2122686</v>
      </c>
      <c r="O25" s="157">
        <v>2122.6799999999998</v>
      </c>
      <c r="P25" s="199">
        <v>0.64950000000000008</v>
      </c>
      <c r="Q25" s="182">
        <v>47198</v>
      </c>
    </row>
    <row r="26" spans="1:17" ht="14.1" customHeight="1">
      <c r="A26" s="3">
        <v>419</v>
      </c>
      <c r="B26" s="3">
        <v>419</v>
      </c>
      <c r="C26" s="3" t="s">
        <v>1891</v>
      </c>
      <c r="D26" s="3" t="s">
        <v>1956</v>
      </c>
      <c r="E26" s="3" t="s">
        <v>1732</v>
      </c>
      <c r="F26" s="3" t="s">
        <v>165</v>
      </c>
      <c r="G26" s="3" t="s">
        <v>1957</v>
      </c>
      <c r="H26" s="3" t="s">
        <v>1958</v>
      </c>
      <c r="I26" s="3" t="s">
        <v>33</v>
      </c>
      <c r="J26" s="3" t="s">
        <v>427</v>
      </c>
      <c r="K26" s="182">
        <v>44957</v>
      </c>
      <c r="L26" s="157">
        <v>1200000</v>
      </c>
      <c r="M26" s="157">
        <v>4452</v>
      </c>
      <c r="N26" s="157">
        <v>365414</v>
      </c>
      <c r="O26" s="157">
        <v>1208.05</v>
      </c>
      <c r="P26" s="199">
        <v>0.30449999999999999</v>
      </c>
      <c r="Q26" s="182">
        <v>46891</v>
      </c>
    </row>
    <row r="27" spans="1:17" ht="14.1" customHeight="1">
      <c r="A27" s="3">
        <v>419</v>
      </c>
      <c r="B27" s="3">
        <v>419</v>
      </c>
      <c r="C27" s="3" t="s">
        <v>1891</v>
      </c>
      <c r="D27" s="3" t="s">
        <v>1959</v>
      </c>
      <c r="E27" s="3" t="s">
        <v>1728</v>
      </c>
      <c r="F27" s="3" t="s">
        <v>165</v>
      </c>
      <c r="G27" s="3" t="s">
        <v>1960</v>
      </c>
      <c r="H27" s="3" t="s">
        <v>1961</v>
      </c>
      <c r="I27" s="3" t="s">
        <v>33</v>
      </c>
      <c r="J27" s="3" t="s">
        <v>427</v>
      </c>
      <c r="K27" s="195">
        <v>44469</v>
      </c>
      <c r="L27" s="157">
        <v>2900000</v>
      </c>
      <c r="M27" s="157">
        <v>10759</v>
      </c>
      <c r="N27" s="157">
        <v>491550</v>
      </c>
      <c r="O27" s="157">
        <v>1625.06</v>
      </c>
      <c r="P27" s="199">
        <v>0.16949999999999998</v>
      </c>
      <c r="Q27" s="182">
        <v>47938</v>
      </c>
    </row>
    <row r="28" spans="1:17" ht="14.1" customHeight="1">
      <c r="A28" s="3">
        <v>419</v>
      </c>
      <c r="B28" s="3">
        <v>419</v>
      </c>
      <c r="C28" s="3" t="s">
        <v>1891</v>
      </c>
      <c r="D28" s="44" t="s">
        <v>1962</v>
      </c>
      <c r="E28" s="3" t="s">
        <v>1963</v>
      </c>
      <c r="F28" s="3" t="s">
        <v>441</v>
      </c>
      <c r="G28" s="3" t="s">
        <v>1964</v>
      </c>
      <c r="H28" s="44" t="s">
        <v>1965</v>
      </c>
      <c r="I28" s="3" t="s">
        <v>33</v>
      </c>
      <c r="J28" s="3" t="s">
        <v>427</v>
      </c>
      <c r="K28" s="182">
        <v>44276</v>
      </c>
      <c r="L28" s="157">
        <v>400000</v>
      </c>
      <c r="M28" s="157">
        <v>1484</v>
      </c>
      <c r="N28" s="157">
        <v>108000</v>
      </c>
      <c r="O28" s="157">
        <v>357.04</v>
      </c>
      <c r="P28" s="199">
        <v>0.27</v>
      </c>
      <c r="Q28" s="182">
        <v>46397</v>
      </c>
    </row>
    <row r="29" spans="1:17" ht="14.1" customHeight="1">
      <c r="A29" s="3">
        <v>419</v>
      </c>
      <c r="B29" s="3">
        <v>419</v>
      </c>
      <c r="C29" s="3" t="s">
        <v>1891</v>
      </c>
      <c r="D29" s="3" t="s">
        <v>1966</v>
      </c>
      <c r="E29" s="3" t="s">
        <v>1655</v>
      </c>
      <c r="F29" s="3" t="s">
        <v>165</v>
      </c>
      <c r="G29" s="3" t="s">
        <v>1967</v>
      </c>
      <c r="H29" s="3" t="s">
        <v>1968</v>
      </c>
      <c r="I29" s="3" t="s">
        <v>33</v>
      </c>
      <c r="J29" s="3" t="s">
        <v>427</v>
      </c>
      <c r="K29" s="182">
        <v>44377</v>
      </c>
      <c r="L29" s="157">
        <v>2800000</v>
      </c>
      <c r="M29" s="157">
        <v>10388</v>
      </c>
      <c r="N29" s="157">
        <v>532000</v>
      </c>
      <c r="O29" s="157">
        <v>1758.79</v>
      </c>
      <c r="P29" s="199">
        <v>0.19</v>
      </c>
      <c r="Q29" s="182">
        <v>47483</v>
      </c>
    </row>
    <row r="30" spans="1:17" ht="14.1" customHeight="1">
      <c r="A30" s="3">
        <v>419</v>
      </c>
      <c r="B30" s="3">
        <v>419</v>
      </c>
      <c r="C30" s="3" t="s">
        <v>1891</v>
      </c>
      <c r="D30" s="3" t="s">
        <v>1966</v>
      </c>
      <c r="E30" s="3" t="s">
        <v>1655</v>
      </c>
      <c r="F30" s="3" t="s">
        <v>165</v>
      </c>
      <c r="G30" s="3" t="s">
        <v>1969</v>
      </c>
      <c r="H30" s="3" t="s">
        <v>1970</v>
      </c>
      <c r="I30" s="3" t="s">
        <v>33</v>
      </c>
      <c r="J30" s="3" t="s">
        <v>427</v>
      </c>
      <c r="K30" s="182">
        <v>44427</v>
      </c>
      <c r="L30" s="157">
        <v>1200000</v>
      </c>
      <c r="M30" s="157">
        <v>4452</v>
      </c>
      <c r="N30" s="157">
        <v>708000</v>
      </c>
      <c r="O30" s="157">
        <v>2340.64</v>
      </c>
      <c r="P30" s="199">
        <v>0.59</v>
      </c>
      <c r="Q30" s="182">
        <v>48458</v>
      </c>
    </row>
    <row r="31" spans="1:17" ht="14.1" customHeight="1">
      <c r="A31" s="3">
        <v>419</v>
      </c>
      <c r="B31" s="3">
        <v>419</v>
      </c>
      <c r="C31" s="3" t="s">
        <v>1891</v>
      </c>
      <c r="D31" s="3" t="s">
        <v>1971</v>
      </c>
      <c r="E31" s="3" t="s">
        <v>1568</v>
      </c>
      <c r="F31" s="3" t="s">
        <v>441</v>
      </c>
      <c r="G31" s="3" t="s">
        <v>1569</v>
      </c>
      <c r="H31" s="3" t="s">
        <v>1972</v>
      </c>
      <c r="I31" s="3" t="s">
        <v>33</v>
      </c>
      <c r="J31" s="3" t="s">
        <v>427</v>
      </c>
      <c r="K31" s="182">
        <v>45371</v>
      </c>
      <c r="L31" s="157">
        <v>420000</v>
      </c>
      <c r="M31" s="157">
        <v>1558.2</v>
      </c>
      <c r="N31" s="157">
        <v>25200</v>
      </c>
      <c r="O31" s="157">
        <v>83.31</v>
      </c>
      <c r="P31" s="199">
        <v>0.06</v>
      </c>
      <c r="Q31" s="182">
        <v>46842</v>
      </c>
    </row>
    <row r="32" spans="1:17" ht="14.25">
      <c r="A32" s="3">
        <v>419</v>
      </c>
      <c r="B32" s="3">
        <v>419</v>
      </c>
      <c r="C32" s="3" t="s">
        <v>1891</v>
      </c>
      <c r="D32" s="3" t="s">
        <v>1698</v>
      </c>
      <c r="E32" s="3" t="s">
        <v>1973</v>
      </c>
      <c r="F32" s="3" t="s">
        <v>165</v>
      </c>
      <c r="G32" s="3" t="s">
        <v>1700</v>
      </c>
      <c r="H32" s="3" t="s">
        <v>1974</v>
      </c>
      <c r="I32" s="3" t="s">
        <v>33</v>
      </c>
      <c r="J32" s="3" t="s">
        <v>427</v>
      </c>
      <c r="K32" s="182">
        <v>44076</v>
      </c>
      <c r="L32" s="157">
        <v>735000</v>
      </c>
      <c r="M32" s="157">
        <v>2726.85</v>
      </c>
      <c r="N32" s="157">
        <v>19779.8</v>
      </c>
      <c r="O32" s="157">
        <v>65.39</v>
      </c>
      <c r="P32" s="199">
        <v>2.69E-2</v>
      </c>
      <c r="Q32" s="182">
        <v>47542</v>
      </c>
    </row>
    <row r="33" spans="1:17" ht="14.25">
      <c r="A33" s="3">
        <v>419</v>
      </c>
      <c r="B33" s="3">
        <v>419</v>
      </c>
      <c r="C33" s="3" t="s">
        <v>1891</v>
      </c>
      <c r="D33" s="3" t="s">
        <v>1975</v>
      </c>
      <c r="E33" s="3" t="s">
        <v>1976</v>
      </c>
      <c r="F33" s="3" t="s">
        <v>132</v>
      </c>
      <c r="G33" s="3" t="s">
        <v>1977</v>
      </c>
      <c r="H33" s="3" t="s">
        <v>1978</v>
      </c>
      <c r="I33" s="3" t="s">
        <v>33</v>
      </c>
      <c r="J33" s="3" t="s">
        <v>745</v>
      </c>
      <c r="K33" s="182">
        <v>44150</v>
      </c>
      <c r="L33" s="157">
        <v>1700000</v>
      </c>
      <c r="M33" s="157">
        <v>7059.08</v>
      </c>
      <c r="N33" s="157">
        <v>122969.51</v>
      </c>
      <c r="O33" s="157">
        <v>477.2</v>
      </c>
      <c r="P33" s="199">
        <v>7.2300000000000003E-2</v>
      </c>
      <c r="Q33" s="182">
        <v>46568</v>
      </c>
    </row>
    <row r="34" spans="1:17" ht="14.25">
      <c r="A34" s="3">
        <v>419</v>
      </c>
      <c r="B34" s="3">
        <v>419</v>
      </c>
      <c r="C34" s="3" t="s">
        <v>1891</v>
      </c>
      <c r="D34" s="44" t="s">
        <v>1979</v>
      </c>
      <c r="E34" s="3" t="s">
        <v>1575</v>
      </c>
      <c r="F34" s="3" t="s">
        <v>132</v>
      </c>
      <c r="G34" s="3" t="s">
        <v>1980</v>
      </c>
      <c r="H34" s="3" t="s">
        <v>1981</v>
      </c>
      <c r="I34" s="3" t="s">
        <v>33</v>
      </c>
      <c r="J34" s="3" t="s">
        <v>745</v>
      </c>
      <c r="K34" s="182">
        <v>44151</v>
      </c>
      <c r="L34" s="157">
        <v>800000</v>
      </c>
      <c r="M34" s="157">
        <v>3321.92</v>
      </c>
      <c r="N34" s="157">
        <v>134507</v>
      </c>
      <c r="O34" s="157">
        <v>521.98</v>
      </c>
      <c r="P34" s="199">
        <v>0.1681</v>
      </c>
      <c r="Q34" s="182">
        <v>47329</v>
      </c>
    </row>
    <row r="35" spans="1:17" ht="14.25">
      <c r="A35" s="3">
        <v>419</v>
      </c>
      <c r="B35" s="3">
        <v>419</v>
      </c>
      <c r="C35" s="3" t="s">
        <v>1891</v>
      </c>
      <c r="D35" s="3" t="s">
        <v>1982</v>
      </c>
      <c r="E35" s="3" t="s">
        <v>1671</v>
      </c>
      <c r="F35" s="3" t="s">
        <v>165</v>
      </c>
      <c r="G35" s="3" t="s">
        <v>1670</v>
      </c>
      <c r="H35" s="3" t="s">
        <v>1983</v>
      </c>
      <c r="I35" s="3" t="s">
        <v>33</v>
      </c>
      <c r="J35" s="3" t="s">
        <v>745</v>
      </c>
      <c r="K35" s="182">
        <v>44536</v>
      </c>
      <c r="L35" s="157">
        <v>1250000</v>
      </c>
      <c r="M35" s="157">
        <v>5190.5</v>
      </c>
      <c r="N35" s="157">
        <v>140657.51999999999</v>
      </c>
      <c r="O35" s="157">
        <v>545.84</v>
      </c>
      <c r="P35" s="199">
        <v>0.1125</v>
      </c>
      <c r="Q35" s="182">
        <v>46964</v>
      </c>
    </row>
  </sheetData>
  <sheetProtection formatColumns="0"/>
  <autoFilter ref="A1:R35" xr:uid="{00000000-0001-0000-1E00-000000000000}"/>
  <dataConsolidate/>
  <dataValidations count="2">
    <dataValidation type="list" allowBlank="1" showInputMessage="1" showErrorMessage="1" sqref="F2:F19" xr:uid="{00000000-0002-0000-1E00-000000000000}">
      <formula1>Issuer_Number_Fund</formula1>
    </dataValidation>
    <dataValidation type="list" allowBlank="1" showInputMessage="1" showErrorMessage="1" sqref="I2:I19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C2:C18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C151" sqref="C151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4" customWidth="1"/>
    <col min="4" max="4" width="68.875" style="9" customWidth="1"/>
    <col min="5" max="5" width="29.75" style="18" bestFit="1" customWidth="1"/>
    <col min="6" max="6" width="9" style="18" hidden="1" customWidth="1"/>
    <col min="7" max="16384" width="9" style="18" hidden="1"/>
  </cols>
  <sheetData>
    <row r="1" spans="1:5" s="61" customFormat="1" ht="45">
      <c r="A1" s="60" t="s">
        <v>1984</v>
      </c>
      <c r="B1" s="60" t="s">
        <v>1985</v>
      </c>
      <c r="C1" s="60" t="s">
        <v>1986</v>
      </c>
      <c r="D1" s="60" t="s">
        <v>1987</v>
      </c>
      <c r="E1" s="18"/>
    </row>
    <row r="2" spans="1:5">
      <c r="A2" s="96"/>
      <c r="B2" s="96" t="s">
        <v>1988</v>
      </c>
      <c r="C2" s="25" t="s">
        <v>30</v>
      </c>
      <c r="D2" s="25"/>
    </row>
    <row r="3" spans="1:5">
      <c r="A3" s="97"/>
      <c r="B3" s="97"/>
      <c r="C3" s="25" t="s">
        <v>741</v>
      </c>
      <c r="D3" s="25"/>
    </row>
    <row r="4" spans="1:5" ht="42.75">
      <c r="A4" s="89"/>
      <c r="B4" s="118" t="s">
        <v>1989</v>
      </c>
      <c r="C4" s="26" t="s">
        <v>30</v>
      </c>
      <c r="D4" s="26"/>
    </row>
    <row r="5" spans="1:5">
      <c r="A5" s="90"/>
      <c r="B5" s="119"/>
      <c r="C5" s="26" t="s">
        <v>1990</v>
      </c>
      <c r="D5" s="26"/>
    </row>
    <row r="6" spans="1:5">
      <c r="A6" s="90"/>
      <c r="B6" s="119"/>
      <c r="C6" s="26" t="s">
        <v>1991</v>
      </c>
      <c r="D6" s="26"/>
    </row>
    <row r="7" spans="1:5">
      <c r="A7" s="90"/>
      <c r="B7" s="119"/>
      <c r="C7" s="26" t="s">
        <v>1992</v>
      </c>
      <c r="D7" s="26"/>
    </row>
    <row r="8" spans="1:5">
      <c r="A8" s="90"/>
      <c r="B8" s="119"/>
      <c r="C8" s="26" t="s">
        <v>1993</v>
      </c>
      <c r="D8" s="26"/>
    </row>
    <row r="9" spans="1:5">
      <c r="A9" s="90"/>
      <c r="B9" s="119"/>
      <c r="C9" s="26" t="s">
        <v>1994</v>
      </c>
      <c r="D9" s="26"/>
    </row>
    <row r="10" spans="1:5">
      <c r="A10" s="90"/>
      <c r="B10" s="119"/>
      <c r="C10" s="26" t="s">
        <v>1995</v>
      </c>
      <c r="D10" s="26"/>
    </row>
    <row r="11" spans="1:5">
      <c r="A11" s="90"/>
      <c r="B11" s="119"/>
      <c r="C11" s="26" t="s">
        <v>1996</v>
      </c>
      <c r="D11" s="26"/>
      <c r="E11" s="18" t="s">
        <v>1997</v>
      </c>
    </row>
    <row r="12" spans="1:5">
      <c r="A12" s="90"/>
      <c r="B12" s="119"/>
      <c r="C12" s="26" t="s">
        <v>1998</v>
      </c>
      <c r="D12" s="26"/>
      <c r="E12" s="18" t="s">
        <v>1997</v>
      </c>
    </row>
    <row r="13" spans="1:5">
      <c r="A13" s="90"/>
      <c r="B13" s="119"/>
      <c r="C13" s="26" t="s">
        <v>1999</v>
      </c>
      <c r="D13" s="26"/>
    </row>
    <row r="14" spans="1:5">
      <c r="A14" s="90"/>
      <c r="B14" s="119"/>
      <c r="C14" s="26" t="s">
        <v>1487</v>
      </c>
      <c r="D14" s="26"/>
    </row>
    <row r="15" spans="1:5">
      <c r="A15" s="90"/>
      <c r="B15" s="119"/>
      <c r="C15" s="26" t="s">
        <v>2000</v>
      </c>
      <c r="D15" s="26"/>
    </row>
    <row r="16" spans="1:5">
      <c r="A16" s="90"/>
      <c r="B16" s="119"/>
      <c r="C16" s="26" t="s">
        <v>1408</v>
      </c>
      <c r="D16" s="26"/>
    </row>
    <row r="17" spans="1:4">
      <c r="A17" s="90"/>
      <c r="B17" s="119"/>
      <c r="C17" s="26" t="s">
        <v>2001</v>
      </c>
      <c r="D17" s="26"/>
    </row>
    <row r="18" spans="1:4">
      <c r="A18" s="90"/>
      <c r="B18" s="119"/>
      <c r="C18" s="26" t="s">
        <v>2002</v>
      </c>
      <c r="D18" s="26"/>
    </row>
    <row r="19" spans="1:4">
      <c r="A19" s="90"/>
      <c r="B19" s="119"/>
      <c r="C19" s="26" t="s">
        <v>2003</v>
      </c>
      <c r="D19" s="26"/>
    </row>
    <row r="20" spans="1:4">
      <c r="A20" s="90"/>
      <c r="B20" s="119"/>
      <c r="C20" s="26" t="s">
        <v>1074</v>
      </c>
      <c r="D20" s="26"/>
    </row>
    <row r="21" spans="1:4">
      <c r="A21" s="90"/>
      <c r="B21" s="119"/>
      <c r="C21" s="26" t="s">
        <v>168</v>
      </c>
      <c r="D21" s="26"/>
    </row>
    <row r="22" spans="1:4">
      <c r="A22" s="90"/>
      <c r="B22" s="119"/>
      <c r="C22" s="26" t="s">
        <v>2004</v>
      </c>
      <c r="D22" s="26"/>
    </row>
    <row r="23" spans="1:4">
      <c r="A23" s="90"/>
      <c r="B23" s="119"/>
      <c r="C23" s="26" t="s">
        <v>2005</v>
      </c>
      <c r="D23" s="26"/>
    </row>
    <row r="24" spans="1:4">
      <c r="A24" s="90"/>
      <c r="B24" s="119"/>
      <c r="C24" s="26" t="s">
        <v>2006</v>
      </c>
      <c r="D24" s="26"/>
    </row>
    <row r="25" spans="1:4">
      <c r="A25" s="90"/>
      <c r="B25" s="119"/>
      <c r="C25" s="26" t="s">
        <v>2007</v>
      </c>
      <c r="D25" s="26"/>
    </row>
    <row r="26" spans="1:4">
      <c r="A26" s="90"/>
      <c r="B26" s="119"/>
      <c r="C26" s="26" t="s">
        <v>2008</v>
      </c>
      <c r="D26" s="26"/>
    </row>
    <row r="27" spans="1:4">
      <c r="A27" s="90"/>
      <c r="B27" s="119"/>
      <c r="C27" s="26" t="s">
        <v>2009</v>
      </c>
      <c r="D27" s="26"/>
    </row>
    <row r="28" spans="1:4">
      <c r="A28" s="90"/>
      <c r="B28" s="119"/>
      <c r="C28" s="26" t="s">
        <v>2010</v>
      </c>
      <c r="D28" s="26"/>
    </row>
    <row r="29" spans="1:4">
      <c r="A29" s="90"/>
      <c r="B29" s="119"/>
      <c r="C29" s="26" t="s">
        <v>2011</v>
      </c>
      <c r="D29" s="26"/>
    </row>
    <row r="30" spans="1:4">
      <c r="A30" s="90"/>
      <c r="B30" s="119"/>
      <c r="C30" s="26" t="s">
        <v>720</v>
      </c>
      <c r="D30" s="26"/>
    </row>
    <row r="31" spans="1:4">
      <c r="A31" s="90"/>
      <c r="B31" s="119"/>
      <c r="C31" s="26" t="s">
        <v>2012</v>
      </c>
      <c r="D31" s="26"/>
    </row>
    <row r="32" spans="1:4">
      <c r="A32" s="90"/>
      <c r="B32" s="119"/>
      <c r="C32" s="26" t="s">
        <v>2013</v>
      </c>
      <c r="D32" s="26"/>
    </row>
    <row r="33" spans="1:5">
      <c r="A33" s="90"/>
      <c r="B33" s="119"/>
      <c r="C33" s="26" t="s">
        <v>2014</v>
      </c>
      <c r="D33" s="26"/>
    </row>
    <row r="34" spans="1:5">
      <c r="A34" s="90"/>
      <c r="B34" s="119"/>
      <c r="C34" s="26" t="s">
        <v>2015</v>
      </c>
      <c r="D34" s="26"/>
    </row>
    <row r="35" spans="1:5">
      <c r="A35" s="90"/>
      <c r="B35" s="119"/>
      <c r="C35" s="26" t="s">
        <v>905</v>
      </c>
      <c r="D35" s="26"/>
    </row>
    <row r="36" spans="1:5">
      <c r="A36" s="90"/>
      <c r="B36" s="119"/>
      <c r="C36" s="26" t="s">
        <v>2016</v>
      </c>
      <c r="D36" s="26"/>
      <c r="E36" s="18" t="s">
        <v>1997</v>
      </c>
    </row>
    <row r="37" spans="1:5">
      <c r="A37" s="90"/>
      <c r="B37" s="119"/>
      <c r="C37" s="9" t="s">
        <v>2017</v>
      </c>
      <c r="D37" s="26"/>
      <c r="E37" s="18" t="s">
        <v>1997</v>
      </c>
    </row>
    <row r="38" spans="1:5">
      <c r="A38" s="90"/>
      <c r="B38" s="119"/>
      <c r="C38" s="26" t="s">
        <v>2018</v>
      </c>
      <c r="D38" s="26"/>
    </row>
    <row r="39" spans="1:5">
      <c r="A39" s="90"/>
      <c r="B39" s="119"/>
      <c r="C39" s="26" t="s">
        <v>2019</v>
      </c>
      <c r="D39" s="26"/>
    </row>
    <row r="40" spans="1:5">
      <c r="A40" s="90"/>
      <c r="B40" s="119"/>
      <c r="C40" s="26" t="s">
        <v>2020</v>
      </c>
      <c r="D40" s="26"/>
      <c r="E40" s="18" t="s">
        <v>1997</v>
      </c>
    </row>
    <row r="41" spans="1:5">
      <c r="A41" s="90"/>
      <c r="B41" s="119"/>
      <c r="C41" s="26" t="s">
        <v>1285</v>
      </c>
      <c r="D41" s="26"/>
    </row>
    <row r="42" spans="1:5">
      <c r="A42" s="90"/>
      <c r="B42" s="119"/>
      <c r="C42" s="26" t="s">
        <v>2021</v>
      </c>
      <c r="D42" s="26"/>
    </row>
    <row r="43" spans="1:5">
      <c r="A43" s="90"/>
      <c r="B43" s="119"/>
      <c r="C43" s="26" t="s">
        <v>2022</v>
      </c>
      <c r="D43" s="26"/>
    </row>
    <row r="44" spans="1:5">
      <c r="A44" s="90"/>
      <c r="B44" s="119"/>
      <c r="C44" s="26" t="s">
        <v>2023</v>
      </c>
      <c r="D44" s="26"/>
    </row>
    <row r="45" spans="1:5">
      <c r="A45" s="90"/>
      <c r="B45" s="119"/>
      <c r="C45" s="26" t="s">
        <v>2024</v>
      </c>
      <c r="D45" s="26"/>
    </row>
    <row r="46" spans="1:5">
      <c r="A46" s="90"/>
      <c r="B46" s="119"/>
      <c r="C46" s="26" t="s">
        <v>2025</v>
      </c>
      <c r="D46" s="26"/>
      <c r="E46" s="18" t="s">
        <v>1997</v>
      </c>
    </row>
    <row r="47" spans="1:5">
      <c r="A47" s="90"/>
      <c r="B47" s="119"/>
      <c r="C47" s="26" t="s">
        <v>2026</v>
      </c>
      <c r="D47" s="26"/>
    </row>
    <row r="48" spans="1:5">
      <c r="A48" s="90"/>
      <c r="B48" s="119"/>
      <c r="C48" s="26" t="s">
        <v>2027</v>
      </c>
      <c r="D48" s="26"/>
    </row>
    <row r="49" spans="1:5">
      <c r="A49" s="90"/>
      <c r="B49" s="119"/>
      <c r="C49" s="26" t="s">
        <v>2028</v>
      </c>
      <c r="D49" s="26"/>
    </row>
    <row r="50" spans="1:5">
      <c r="A50" s="90"/>
      <c r="B50" s="119"/>
      <c r="C50" s="26" t="s">
        <v>1403</v>
      </c>
      <c r="D50" s="26"/>
    </row>
    <row r="51" spans="1:5">
      <c r="A51" s="90"/>
      <c r="B51" s="119"/>
      <c r="C51" s="26" t="s">
        <v>2029</v>
      </c>
      <c r="D51" s="26"/>
    </row>
    <row r="52" spans="1:5">
      <c r="A52" s="90"/>
      <c r="B52" s="119"/>
      <c r="C52" s="26" t="s">
        <v>2030</v>
      </c>
      <c r="D52" s="26"/>
    </row>
    <row r="53" spans="1:5">
      <c r="A53" s="90"/>
      <c r="B53" s="119"/>
      <c r="C53" s="26" t="s">
        <v>2031</v>
      </c>
      <c r="D53" s="26"/>
    </row>
    <row r="54" spans="1:5">
      <c r="A54" s="90"/>
      <c r="B54" s="119"/>
      <c r="C54" s="26" t="s">
        <v>2032</v>
      </c>
      <c r="D54" s="26"/>
    </row>
    <row r="55" spans="1:5">
      <c r="A55" s="90"/>
      <c r="B55" s="119"/>
      <c r="C55" s="26" t="s">
        <v>2033</v>
      </c>
      <c r="D55" s="26"/>
    </row>
    <row r="56" spans="1:5">
      <c r="A56" s="90"/>
      <c r="B56" s="119"/>
      <c r="C56" s="26" t="s">
        <v>2034</v>
      </c>
      <c r="D56" s="26"/>
    </row>
    <row r="57" spans="1:5">
      <c r="A57" s="90"/>
      <c r="B57" s="119"/>
      <c r="C57" s="26" t="s">
        <v>2035</v>
      </c>
      <c r="D57" s="26"/>
    </row>
    <row r="58" spans="1:5">
      <c r="A58" s="90"/>
      <c r="B58" s="119"/>
      <c r="C58" s="26" t="s">
        <v>2036</v>
      </c>
      <c r="D58" s="26"/>
    </row>
    <row r="59" spans="1:5">
      <c r="A59" s="90"/>
      <c r="B59" s="119"/>
      <c r="C59" s="26" t="s">
        <v>2037</v>
      </c>
      <c r="D59" s="26"/>
    </row>
    <row r="60" spans="1:5">
      <c r="A60" s="90"/>
      <c r="B60" s="119"/>
      <c r="C60" s="26" t="s">
        <v>2038</v>
      </c>
      <c r="D60" s="26"/>
    </row>
    <row r="61" spans="1:5">
      <c r="A61" s="90"/>
      <c r="B61" s="119"/>
      <c r="C61" s="26" t="s">
        <v>2039</v>
      </c>
      <c r="D61" s="26"/>
    </row>
    <row r="62" spans="1:5">
      <c r="A62" s="90"/>
      <c r="B62" s="119"/>
      <c r="C62" s="26" t="s">
        <v>2040</v>
      </c>
      <c r="D62" s="26"/>
    </row>
    <row r="63" spans="1:5">
      <c r="A63" s="90"/>
      <c r="B63" s="119"/>
      <c r="C63" s="26" t="s">
        <v>2041</v>
      </c>
      <c r="D63" s="26"/>
      <c r="E63" s="18" t="s">
        <v>1997</v>
      </c>
    </row>
    <row r="64" spans="1:5">
      <c r="A64" s="90"/>
      <c r="B64" s="119"/>
      <c r="C64" s="26" t="s">
        <v>2042</v>
      </c>
      <c r="D64" s="26"/>
    </row>
    <row r="65" spans="1:4">
      <c r="A65" s="90"/>
      <c r="B65" s="119"/>
      <c r="C65" s="26" t="s">
        <v>1272</v>
      </c>
      <c r="D65" s="26"/>
    </row>
    <row r="66" spans="1:4">
      <c r="A66" s="90"/>
      <c r="B66" s="119"/>
      <c r="C66" s="26" t="s">
        <v>2043</v>
      </c>
      <c r="D66" s="26"/>
    </row>
    <row r="67" spans="1:4">
      <c r="A67" s="90"/>
      <c r="B67" s="119"/>
      <c r="C67" s="26" t="s">
        <v>2044</v>
      </c>
      <c r="D67" s="26"/>
    </row>
    <row r="68" spans="1:4">
      <c r="A68" s="90"/>
      <c r="B68" s="119"/>
      <c r="C68" s="26" t="s">
        <v>2045</v>
      </c>
      <c r="D68" s="26"/>
    </row>
    <row r="69" spans="1:4">
      <c r="A69" s="90"/>
      <c r="B69" s="119"/>
      <c r="C69" s="26" t="s">
        <v>2046</v>
      </c>
      <c r="D69" s="26"/>
    </row>
    <row r="70" spans="1:4">
      <c r="A70" s="90"/>
      <c r="B70" s="119"/>
      <c r="C70" s="26" t="s">
        <v>2047</v>
      </c>
      <c r="D70" s="26"/>
    </row>
    <row r="71" spans="1:4">
      <c r="A71" s="90"/>
      <c r="B71" s="119"/>
      <c r="C71" s="26" t="s">
        <v>2048</v>
      </c>
      <c r="D71" s="26"/>
    </row>
    <row r="72" spans="1:4">
      <c r="A72" s="90"/>
      <c r="B72" s="119"/>
      <c r="C72" s="26" t="s">
        <v>2049</v>
      </c>
      <c r="D72" s="26"/>
    </row>
    <row r="73" spans="1:4">
      <c r="A73" s="90"/>
      <c r="B73" s="119"/>
      <c r="C73" s="26" t="s">
        <v>2050</v>
      </c>
      <c r="D73" s="26"/>
    </row>
    <row r="74" spans="1:4">
      <c r="A74" s="90"/>
      <c r="B74" s="119"/>
      <c r="C74" s="26" t="s">
        <v>2051</v>
      </c>
      <c r="D74" s="26"/>
    </row>
    <row r="75" spans="1:4">
      <c r="A75" s="90"/>
      <c r="B75" s="119"/>
      <c r="C75" s="26" t="s">
        <v>2052</v>
      </c>
      <c r="D75" s="26"/>
    </row>
    <row r="76" spans="1:4">
      <c r="A76" s="90"/>
      <c r="B76" s="119"/>
      <c r="C76" s="26" t="s">
        <v>2053</v>
      </c>
      <c r="D76" s="26"/>
    </row>
    <row r="77" spans="1:4">
      <c r="A77" s="90"/>
      <c r="B77" s="119"/>
      <c r="C77" s="26" t="s">
        <v>2054</v>
      </c>
      <c r="D77" s="26"/>
    </row>
    <row r="78" spans="1:4">
      <c r="A78" s="90"/>
      <c r="B78" s="119"/>
      <c r="C78" s="26" t="s">
        <v>2055</v>
      </c>
      <c r="D78" s="26"/>
    </row>
    <row r="79" spans="1:4">
      <c r="A79" s="90"/>
      <c r="B79" s="119"/>
      <c r="C79" s="26" t="s">
        <v>2056</v>
      </c>
      <c r="D79" s="26"/>
    </row>
    <row r="80" spans="1:4">
      <c r="A80" s="90"/>
      <c r="B80" s="119"/>
      <c r="C80" s="26" t="s">
        <v>1652</v>
      </c>
      <c r="D80" s="26"/>
    </row>
    <row r="81" spans="1:5">
      <c r="A81" s="90"/>
      <c r="B81" s="119"/>
      <c r="C81" s="26" t="s">
        <v>2057</v>
      </c>
      <c r="D81" s="26"/>
    </row>
    <row r="82" spans="1:5">
      <c r="A82" s="90"/>
      <c r="B82" s="119"/>
      <c r="C82" s="26" t="s">
        <v>2058</v>
      </c>
      <c r="D82" s="26"/>
    </row>
    <row r="83" spans="1:5">
      <c r="A83" s="90"/>
      <c r="B83" s="119"/>
      <c r="C83" s="26" t="s">
        <v>2059</v>
      </c>
      <c r="D83" s="26"/>
    </row>
    <row r="84" spans="1:5">
      <c r="A84" s="90"/>
      <c r="B84" s="119"/>
      <c r="C84" s="26" t="s">
        <v>2060</v>
      </c>
      <c r="D84" s="26"/>
    </row>
    <row r="85" spans="1:5">
      <c r="A85" s="90"/>
      <c r="B85" s="119"/>
      <c r="C85" s="26" t="s">
        <v>2061</v>
      </c>
      <c r="D85" s="26"/>
    </row>
    <row r="86" spans="1:5">
      <c r="A86" s="90"/>
      <c r="B86" s="119"/>
      <c r="C86" s="26" t="s">
        <v>1113</v>
      </c>
      <c r="D86" s="26"/>
    </row>
    <row r="87" spans="1:5">
      <c r="A87" s="90"/>
      <c r="B87" s="119"/>
      <c r="C87" s="26" t="s">
        <v>2062</v>
      </c>
      <c r="D87" s="26"/>
    </row>
    <row r="88" spans="1:5">
      <c r="A88" s="90"/>
      <c r="B88" s="119"/>
      <c r="C88" s="26" t="s">
        <v>2063</v>
      </c>
      <c r="D88" s="26"/>
    </row>
    <row r="89" spans="1:5">
      <c r="A89" s="90"/>
      <c r="B89" s="119"/>
      <c r="C89" s="26" t="s">
        <v>2064</v>
      </c>
      <c r="D89" s="26"/>
    </row>
    <row r="90" spans="1:5">
      <c r="A90" s="90"/>
      <c r="B90" s="119"/>
      <c r="C90" s="26" t="s">
        <v>1213</v>
      </c>
      <c r="D90" s="26"/>
    </row>
    <row r="91" spans="1:5">
      <c r="A91" s="90"/>
      <c r="B91" s="119"/>
      <c r="C91" s="26" t="s">
        <v>2065</v>
      </c>
      <c r="D91" s="26"/>
    </row>
    <row r="92" spans="1:5">
      <c r="A92" s="90"/>
      <c r="B92" s="119"/>
      <c r="C92" s="26" t="s">
        <v>2066</v>
      </c>
      <c r="D92" s="26"/>
    </row>
    <row r="93" spans="1:5">
      <c r="A93" s="90"/>
      <c r="B93" s="119"/>
      <c r="C93" s="26" t="s">
        <v>833</v>
      </c>
      <c r="D93" s="26"/>
    </row>
    <row r="94" spans="1:5">
      <c r="A94" s="90"/>
      <c r="B94" s="119"/>
      <c r="C94" s="26" t="s">
        <v>2067</v>
      </c>
      <c r="D94" s="26" t="s">
        <v>2068</v>
      </c>
      <c r="E94" s="18" t="s">
        <v>1997</v>
      </c>
    </row>
    <row r="95" spans="1:5">
      <c r="A95" s="90"/>
      <c r="B95" s="119"/>
      <c r="C95" s="26" t="s">
        <v>2069</v>
      </c>
      <c r="D95" s="26" t="s">
        <v>2070</v>
      </c>
      <c r="E95" s="18" t="s">
        <v>1997</v>
      </c>
    </row>
    <row r="96" spans="1:5">
      <c r="A96" s="90"/>
      <c r="B96" s="119"/>
      <c r="C96" s="26" t="s">
        <v>2071</v>
      </c>
      <c r="D96" s="26" t="s">
        <v>2070</v>
      </c>
      <c r="E96" s="18" t="s">
        <v>1997</v>
      </c>
    </row>
    <row r="97" spans="1:5">
      <c r="A97" s="90"/>
      <c r="B97" s="119"/>
      <c r="C97" s="26" t="s">
        <v>2072</v>
      </c>
      <c r="D97" s="26" t="s">
        <v>2070</v>
      </c>
      <c r="E97" s="18" t="s">
        <v>1997</v>
      </c>
    </row>
    <row r="98" spans="1:5">
      <c r="A98" s="90"/>
      <c r="B98" s="119"/>
      <c r="C98" s="26" t="s">
        <v>2073</v>
      </c>
      <c r="D98" s="26" t="s">
        <v>2070</v>
      </c>
      <c r="E98" s="18" t="s">
        <v>1997</v>
      </c>
    </row>
    <row r="99" spans="1:5">
      <c r="A99" s="90"/>
      <c r="B99" s="119"/>
      <c r="C99" s="26" t="s">
        <v>2074</v>
      </c>
      <c r="D99" s="26" t="s">
        <v>2070</v>
      </c>
      <c r="E99" s="18" t="s">
        <v>1997</v>
      </c>
    </row>
    <row r="100" spans="1:5">
      <c r="A100" s="90"/>
      <c r="B100" s="119"/>
      <c r="C100" s="26" t="s">
        <v>2075</v>
      </c>
      <c r="D100" s="26" t="s">
        <v>2070</v>
      </c>
      <c r="E100" s="18" t="s">
        <v>1997</v>
      </c>
    </row>
    <row r="101" spans="1:5">
      <c r="A101" s="90"/>
      <c r="B101" s="119"/>
      <c r="C101" s="26" t="s">
        <v>2076</v>
      </c>
      <c r="D101" s="26" t="s">
        <v>2070</v>
      </c>
      <c r="E101" s="18" t="s">
        <v>1997</v>
      </c>
    </row>
    <row r="102" spans="1:5">
      <c r="A102" s="90"/>
      <c r="B102" s="119"/>
      <c r="C102" s="26" t="s">
        <v>2077</v>
      </c>
      <c r="D102" s="26" t="s">
        <v>2070</v>
      </c>
      <c r="E102" s="18" t="s">
        <v>1997</v>
      </c>
    </row>
    <row r="103" spans="1:5">
      <c r="A103" s="90"/>
      <c r="B103" s="119"/>
      <c r="C103" s="26" t="s">
        <v>2078</v>
      </c>
      <c r="D103" s="26" t="s">
        <v>2070</v>
      </c>
      <c r="E103" s="18" t="s">
        <v>1997</v>
      </c>
    </row>
    <row r="104" spans="1:5">
      <c r="A104" s="85"/>
      <c r="B104" s="85" t="s">
        <v>120</v>
      </c>
      <c r="C104" s="25" t="s">
        <v>132</v>
      </c>
      <c r="D104" s="25"/>
    </row>
    <row r="105" spans="1:5">
      <c r="A105" s="86"/>
      <c r="B105" s="86"/>
      <c r="C105" s="25" t="s">
        <v>119</v>
      </c>
      <c r="D105" s="25"/>
    </row>
    <row r="106" spans="1:5">
      <c r="A106" s="86"/>
      <c r="B106" s="86"/>
      <c r="C106" s="25" t="s">
        <v>441</v>
      </c>
      <c r="D106" s="25"/>
    </row>
    <row r="107" spans="1:5">
      <c r="A107" s="86"/>
      <c r="B107" s="86"/>
      <c r="C107" s="25" t="s">
        <v>165</v>
      </c>
      <c r="D107" s="25"/>
    </row>
    <row r="108" spans="1:5">
      <c r="A108" s="86"/>
      <c r="B108" s="86"/>
      <c r="C108" s="25" t="s">
        <v>33</v>
      </c>
      <c r="D108" s="25"/>
    </row>
    <row r="109" spans="1:5">
      <c r="A109" s="86"/>
      <c r="B109" s="86"/>
      <c r="C109" s="25" t="s">
        <v>809</v>
      </c>
      <c r="D109" s="25"/>
    </row>
    <row r="110" spans="1:5">
      <c r="A110" s="87"/>
      <c r="B110" s="87"/>
      <c r="C110" s="25" t="s">
        <v>240</v>
      </c>
      <c r="D110" s="25"/>
    </row>
    <row r="111" spans="1:5">
      <c r="A111" s="90"/>
      <c r="B111" s="76" t="s">
        <v>1857</v>
      </c>
      <c r="C111" s="26" t="s">
        <v>132</v>
      </c>
      <c r="D111" s="26"/>
    </row>
    <row r="112" spans="1:5">
      <c r="A112" s="90"/>
      <c r="B112" s="77"/>
      <c r="C112" s="26" t="s">
        <v>2079</v>
      </c>
      <c r="D112" s="26"/>
    </row>
    <row r="113" spans="1:4">
      <c r="A113" s="90"/>
      <c r="B113" s="78"/>
      <c r="C113" s="26" t="s">
        <v>2080</v>
      </c>
      <c r="D113" s="26"/>
    </row>
    <row r="114" spans="1:4">
      <c r="A114" s="103"/>
      <c r="B114" s="103" t="s">
        <v>2081</v>
      </c>
      <c r="C114" s="25" t="s">
        <v>132</v>
      </c>
      <c r="D114" s="25"/>
    </row>
    <row r="115" spans="1:4">
      <c r="A115" s="103"/>
      <c r="B115" s="103"/>
      <c r="C115" s="25" t="s">
        <v>441</v>
      </c>
      <c r="D115" s="25"/>
    </row>
    <row r="116" spans="1:4">
      <c r="A116" s="103"/>
      <c r="B116" s="103"/>
      <c r="C116" s="25" t="s">
        <v>165</v>
      </c>
      <c r="D116" s="25"/>
    </row>
    <row r="117" spans="1:4">
      <c r="A117" s="103"/>
      <c r="B117" s="103"/>
      <c r="C117" s="25" t="s">
        <v>809</v>
      </c>
      <c r="D117" s="25"/>
    </row>
    <row r="118" spans="1:4">
      <c r="A118" s="89"/>
      <c r="B118" s="104" t="s">
        <v>1809</v>
      </c>
      <c r="C118" s="26" t="s">
        <v>132</v>
      </c>
      <c r="D118" s="26"/>
    </row>
    <row r="119" spans="1:4">
      <c r="A119" s="129"/>
      <c r="B119" s="128"/>
      <c r="C119" s="26" t="s">
        <v>2082</v>
      </c>
      <c r="D119" s="26"/>
    </row>
    <row r="120" spans="1:4">
      <c r="A120" s="129"/>
      <c r="B120" s="128"/>
      <c r="C120" s="26" t="s">
        <v>165</v>
      </c>
      <c r="D120" s="26"/>
    </row>
    <row r="121" spans="1:4">
      <c r="A121" s="129"/>
      <c r="B121" s="128"/>
      <c r="C121" s="26" t="s">
        <v>33</v>
      </c>
      <c r="D121" s="26"/>
    </row>
    <row r="122" spans="1:4">
      <c r="A122" s="129"/>
      <c r="B122" s="128"/>
      <c r="C122" s="26" t="s">
        <v>441</v>
      </c>
      <c r="D122" s="26"/>
    </row>
    <row r="123" spans="1:4">
      <c r="A123" s="129"/>
      <c r="B123" s="128"/>
      <c r="C123" s="26" t="s">
        <v>2083</v>
      </c>
      <c r="D123" s="26"/>
    </row>
    <row r="124" spans="1:4">
      <c r="A124" s="129"/>
      <c r="B124" s="128"/>
      <c r="C124" s="26" t="s">
        <v>2084</v>
      </c>
      <c r="D124" s="26"/>
    </row>
    <row r="125" spans="1:4">
      <c r="A125" s="129"/>
      <c r="B125" s="128"/>
      <c r="C125" s="26" t="s">
        <v>809</v>
      </c>
      <c r="D125" s="26"/>
    </row>
    <row r="126" spans="1:4">
      <c r="A126" s="90"/>
      <c r="B126" s="105"/>
      <c r="C126" s="26" t="s">
        <v>240</v>
      </c>
      <c r="D126" s="26"/>
    </row>
    <row r="127" spans="1:4">
      <c r="A127" s="85"/>
      <c r="B127" s="85" t="s">
        <v>121</v>
      </c>
      <c r="C127" s="25" t="s">
        <v>135</v>
      </c>
      <c r="D127" s="25"/>
    </row>
    <row r="128" spans="1:4">
      <c r="A128" s="86"/>
      <c r="B128" s="86"/>
      <c r="C128" s="25" t="s">
        <v>2085</v>
      </c>
      <c r="D128" s="25"/>
    </row>
    <row r="129" spans="1:5">
      <c r="A129" s="86"/>
      <c r="B129" s="86"/>
      <c r="C129" s="25" t="s">
        <v>2086</v>
      </c>
      <c r="D129" s="25"/>
    </row>
    <row r="130" spans="1:5">
      <c r="A130" s="86"/>
      <c r="B130" s="86"/>
      <c r="C130" s="25" t="s">
        <v>1777</v>
      </c>
      <c r="D130" s="25"/>
    </row>
    <row r="131" spans="1:5">
      <c r="A131" s="86"/>
      <c r="B131" s="86"/>
      <c r="C131" s="25" t="s">
        <v>33</v>
      </c>
      <c r="D131" s="25"/>
    </row>
    <row r="132" spans="1:5">
      <c r="A132" s="90"/>
      <c r="B132" s="77" t="s">
        <v>2087</v>
      </c>
      <c r="C132" s="26" t="s">
        <v>135</v>
      </c>
      <c r="D132" s="26"/>
    </row>
    <row r="133" spans="1:5">
      <c r="A133" s="90"/>
      <c r="B133" s="77"/>
      <c r="C133" s="26" t="s">
        <v>33</v>
      </c>
      <c r="D133" s="26"/>
    </row>
    <row r="134" spans="1:5">
      <c r="A134" s="91"/>
      <c r="B134" s="78"/>
      <c r="C134" s="26" t="s">
        <v>240</v>
      </c>
      <c r="D134" s="26"/>
    </row>
    <row r="135" spans="1:5">
      <c r="A135" s="92"/>
      <c r="B135" s="92" t="s">
        <v>129</v>
      </c>
      <c r="C135" s="25" t="s">
        <v>137</v>
      </c>
      <c r="D135" s="25"/>
    </row>
    <row r="136" spans="1:5">
      <c r="A136" s="93"/>
      <c r="B136" s="93"/>
      <c r="C136" s="25" t="s">
        <v>1527</v>
      </c>
      <c r="D136" s="25"/>
      <c r="E136" s="18" t="s">
        <v>1997</v>
      </c>
    </row>
    <row r="137" spans="1:5">
      <c r="A137" s="93"/>
      <c r="B137" s="93"/>
      <c r="C137" s="25" t="s">
        <v>2088</v>
      </c>
      <c r="D137" s="25" t="s">
        <v>2089</v>
      </c>
    </row>
    <row r="138" spans="1:5">
      <c r="A138" s="93"/>
      <c r="B138" s="93"/>
      <c r="C138" s="25" t="s">
        <v>169</v>
      </c>
      <c r="D138" s="25" t="s">
        <v>2090</v>
      </c>
    </row>
    <row r="139" spans="1:5">
      <c r="A139" s="93"/>
      <c r="B139" s="93"/>
      <c r="C139" s="25" t="s">
        <v>2091</v>
      </c>
      <c r="D139" s="25"/>
    </row>
    <row r="140" spans="1:5">
      <c r="A140" s="93"/>
      <c r="B140" s="93"/>
      <c r="C140" s="25" t="s">
        <v>2092</v>
      </c>
      <c r="D140" s="25"/>
    </row>
    <row r="141" spans="1:5">
      <c r="A141" s="93"/>
      <c r="B141" s="93"/>
      <c r="C141" s="25" t="s">
        <v>2093</v>
      </c>
      <c r="D141" s="25"/>
    </row>
    <row r="142" spans="1:5">
      <c r="A142" s="93"/>
      <c r="B142" s="93"/>
      <c r="C142" s="25" t="s">
        <v>2094</v>
      </c>
      <c r="D142" s="25"/>
    </row>
    <row r="143" spans="1:5">
      <c r="A143" s="93"/>
      <c r="B143" s="93"/>
      <c r="C143" s="25" t="s">
        <v>2095</v>
      </c>
      <c r="D143" s="25"/>
    </row>
    <row r="144" spans="1:5">
      <c r="A144" s="93"/>
      <c r="B144" s="93"/>
      <c r="C144" s="25" t="s">
        <v>2096</v>
      </c>
      <c r="D144" s="25"/>
    </row>
    <row r="145" spans="1:4">
      <c r="A145" s="93"/>
      <c r="B145" s="93"/>
      <c r="C145" s="25" t="s">
        <v>240</v>
      </c>
      <c r="D145" s="25"/>
    </row>
    <row r="146" spans="1:4">
      <c r="A146" s="89"/>
      <c r="B146" s="82" t="s">
        <v>2097</v>
      </c>
      <c r="C146" s="26" t="s">
        <v>763</v>
      </c>
      <c r="D146" s="26"/>
    </row>
    <row r="147" spans="1:4">
      <c r="A147" s="91"/>
      <c r="B147" s="84"/>
      <c r="C147" s="26" t="s">
        <v>139</v>
      </c>
      <c r="D147" s="26"/>
    </row>
    <row r="148" spans="1:4">
      <c r="A148" s="71"/>
      <c r="B148" s="127" t="s">
        <v>8</v>
      </c>
      <c r="C148" s="25" t="s">
        <v>31</v>
      </c>
      <c r="D148" s="25" t="s">
        <v>2098</v>
      </c>
    </row>
    <row r="149" spans="1:4">
      <c r="A149" s="72"/>
      <c r="B149" s="72"/>
      <c r="C149" s="25" t="s">
        <v>2099</v>
      </c>
      <c r="D149" s="25" t="s">
        <v>2100</v>
      </c>
    </row>
    <row r="150" spans="1:4">
      <c r="A150" s="72"/>
      <c r="B150" s="72"/>
      <c r="C150" s="25" t="s">
        <v>1036</v>
      </c>
      <c r="D150" s="25" t="s">
        <v>2101</v>
      </c>
    </row>
    <row r="151" spans="1:4">
      <c r="A151" s="72"/>
      <c r="B151" s="72"/>
      <c r="C151" s="25" t="s">
        <v>1016</v>
      </c>
      <c r="D151" s="25" t="s">
        <v>2102</v>
      </c>
    </row>
    <row r="152" spans="1:4">
      <c r="A152" s="72"/>
      <c r="B152" s="72"/>
      <c r="C152" s="25" t="s">
        <v>2103</v>
      </c>
      <c r="D152" s="25" t="s">
        <v>2104</v>
      </c>
    </row>
    <row r="153" spans="1:4">
      <c r="A153" s="72"/>
      <c r="B153" s="72"/>
      <c r="C153" s="25" t="s">
        <v>2105</v>
      </c>
      <c r="D153" s="25" t="s">
        <v>2106</v>
      </c>
    </row>
    <row r="154" spans="1:4">
      <c r="A154" s="72"/>
      <c r="B154" s="72"/>
      <c r="C154" s="25" t="s">
        <v>2107</v>
      </c>
      <c r="D154" s="25" t="s">
        <v>2108</v>
      </c>
    </row>
    <row r="155" spans="1:4">
      <c r="A155" s="72"/>
      <c r="B155" s="72"/>
      <c r="C155" s="25" t="s">
        <v>2109</v>
      </c>
      <c r="D155" s="25" t="s">
        <v>2110</v>
      </c>
    </row>
    <row r="156" spans="1:4">
      <c r="A156" s="72"/>
      <c r="B156" s="72"/>
      <c r="C156" s="25" t="s">
        <v>2111</v>
      </c>
      <c r="D156" s="25" t="s">
        <v>2112</v>
      </c>
    </row>
    <row r="157" spans="1:4">
      <c r="A157" s="72"/>
      <c r="B157" s="72"/>
      <c r="C157" s="25" t="s">
        <v>2113</v>
      </c>
      <c r="D157" s="25" t="s">
        <v>2114</v>
      </c>
    </row>
    <row r="158" spans="1:4">
      <c r="A158" s="72"/>
      <c r="B158" s="72"/>
      <c r="C158" s="25" t="s">
        <v>2115</v>
      </c>
      <c r="D158" s="25" t="s">
        <v>2116</v>
      </c>
    </row>
    <row r="159" spans="1:4">
      <c r="A159" s="72"/>
      <c r="B159" s="72"/>
      <c r="C159" s="25" t="s">
        <v>1448</v>
      </c>
      <c r="D159" s="25" t="s">
        <v>2117</v>
      </c>
    </row>
    <row r="160" spans="1:4">
      <c r="A160" s="72"/>
      <c r="B160" s="72"/>
      <c r="C160" s="25" t="s">
        <v>1340</v>
      </c>
      <c r="D160" s="25" t="s">
        <v>2118</v>
      </c>
    </row>
    <row r="161" spans="1:4">
      <c r="A161" s="72"/>
      <c r="B161" s="72"/>
      <c r="C161" s="25" t="s">
        <v>1229</v>
      </c>
      <c r="D161" s="25" t="s">
        <v>2119</v>
      </c>
    </row>
    <row r="162" spans="1:4">
      <c r="A162" s="72"/>
      <c r="B162" s="72"/>
      <c r="C162" s="25" t="s">
        <v>1335</v>
      </c>
      <c r="D162" s="25" t="s">
        <v>2120</v>
      </c>
    </row>
    <row r="163" spans="1:4">
      <c r="A163" s="72"/>
      <c r="B163" s="72"/>
      <c r="C163" s="25" t="s">
        <v>2121</v>
      </c>
      <c r="D163" s="25" t="s">
        <v>2122</v>
      </c>
    </row>
    <row r="164" spans="1:4">
      <c r="A164" s="72"/>
      <c r="B164" s="72"/>
      <c r="C164" s="25" t="s">
        <v>2123</v>
      </c>
      <c r="D164" s="25" t="s">
        <v>2124</v>
      </c>
    </row>
    <row r="165" spans="1:4">
      <c r="A165" s="72"/>
      <c r="B165" s="72"/>
      <c r="C165" s="25" t="s">
        <v>2125</v>
      </c>
      <c r="D165" s="25" t="s">
        <v>2126</v>
      </c>
    </row>
    <row r="166" spans="1:4">
      <c r="A166" s="72"/>
      <c r="B166" s="72"/>
      <c r="C166" s="25" t="s">
        <v>2127</v>
      </c>
      <c r="D166" s="25" t="s">
        <v>2128</v>
      </c>
    </row>
    <row r="167" spans="1:4">
      <c r="A167" s="72"/>
      <c r="B167" s="72"/>
      <c r="C167" s="25" t="s">
        <v>2129</v>
      </c>
      <c r="D167" s="25" t="s">
        <v>2130</v>
      </c>
    </row>
    <row r="168" spans="1:4">
      <c r="A168" s="72"/>
      <c r="B168" s="72"/>
      <c r="C168" s="25" t="s">
        <v>1114</v>
      </c>
      <c r="D168" s="25" t="s">
        <v>2131</v>
      </c>
    </row>
    <row r="169" spans="1:4">
      <c r="A169" s="72"/>
      <c r="B169" s="72"/>
      <c r="C169" s="25" t="s">
        <v>2132</v>
      </c>
      <c r="D169" s="25" t="s">
        <v>2133</v>
      </c>
    </row>
    <row r="170" spans="1:4">
      <c r="A170" s="72"/>
      <c r="B170" s="72"/>
      <c r="C170" s="25" t="s">
        <v>2134</v>
      </c>
      <c r="D170" s="25" t="s">
        <v>2135</v>
      </c>
    </row>
    <row r="171" spans="1:4">
      <c r="A171" s="72"/>
      <c r="B171" s="72"/>
      <c r="C171" s="25" t="s">
        <v>2136</v>
      </c>
      <c r="D171" s="25" t="s">
        <v>2137</v>
      </c>
    </row>
    <row r="172" spans="1:4">
      <c r="A172" s="72"/>
      <c r="B172" s="72"/>
      <c r="C172" s="25" t="s">
        <v>2138</v>
      </c>
      <c r="D172" s="25" t="s">
        <v>2139</v>
      </c>
    </row>
    <row r="173" spans="1:4">
      <c r="A173" s="72"/>
      <c r="B173" s="72"/>
      <c r="C173" s="25" t="s">
        <v>2140</v>
      </c>
      <c r="D173" s="25" t="s">
        <v>2141</v>
      </c>
    </row>
    <row r="174" spans="1:4">
      <c r="A174" s="72"/>
      <c r="B174" s="72"/>
      <c r="C174" s="25" t="s">
        <v>2142</v>
      </c>
      <c r="D174" s="25" t="s">
        <v>2143</v>
      </c>
    </row>
    <row r="175" spans="1:4">
      <c r="A175" s="72"/>
      <c r="B175" s="72"/>
      <c r="C175" s="25" t="s">
        <v>2144</v>
      </c>
      <c r="D175" s="25" t="s">
        <v>2145</v>
      </c>
    </row>
    <row r="176" spans="1:4">
      <c r="A176" s="72"/>
      <c r="B176" s="72"/>
      <c r="C176" s="25" t="s">
        <v>2146</v>
      </c>
      <c r="D176" s="25" t="s">
        <v>2147</v>
      </c>
    </row>
    <row r="177" spans="1:5">
      <c r="A177" s="72"/>
      <c r="B177" s="72"/>
      <c r="C177" s="25" t="s">
        <v>2148</v>
      </c>
      <c r="D177" s="25" t="s">
        <v>2149</v>
      </c>
    </row>
    <row r="178" spans="1:5">
      <c r="A178" s="72"/>
      <c r="B178" s="72"/>
      <c r="C178" s="25" t="s">
        <v>2150</v>
      </c>
      <c r="D178" s="25" t="s">
        <v>2151</v>
      </c>
    </row>
    <row r="179" spans="1:5">
      <c r="A179" s="72"/>
      <c r="B179" s="72"/>
      <c r="C179" s="25" t="s">
        <v>2152</v>
      </c>
      <c r="D179" s="25" t="s">
        <v>2153</v>
      </c>
    </row>
    <row r="180" spans="1:5">
      <c r="A180" s="72"/>
      <c r="B180" s="72"/>
      <c r="C180" s="25" t="s">
        <v>2154</v>
      </c>
      <c r="D180" s="25" t="s">
        <v>2155</v>
      </c>
      <c r="E180" s="18" t="s">
        <v>1997</v>
      </c>
    </row>
    <row r="181" spans="1:5">
      <c r="A181" s="72"/>
      <c r="B181" s="72"/>
      <c r="C181" s="25" t="s">
        <v>240</v>
      </c>
      <c r="D181" s="25" t="s">
        <v>240</v>
      </c>
    </row>
    <row r="182" spans="1:5">
      <c r="A182" s="89"/>
      <c r="B182" s="82" t="s">
        <v>2156</v>
      </c>
      <c r="C182" s="63" t="s">
        <v>142</v>
      </c>
      <c r="D182" s="63"/>
    </row>
    <row r="183" spans="1:5">
      <c r="A183" s="90"/>
      <c r="B183" s="83"/>
      <c r="C183" s="63" t="s">
        <v>1838</v>
      </c>
      <c r="D183" s="63"/>
    </row>
    <row r="184" spans="1:5">
      <c r="A184" s="90"/>
      <c r="B184" s="83"/>
      <c r="C184" s="63" t="s">
        <v>2157</v>
      </c>
      <c r="D184" s="63"/>
    </row>
    <row r="185" spans="1:5">
      <c r="A185" s="91"/>
      <c r="B185" s="84"/>
      <c r="C185" s="65" t="s">
        <v>67</v>
      </c>
      <c r="D185" s="65"/>
    </row>
    <row r="186" spans="1:5">
      <c r="A186" s="85"/>
      <c r="B186" s="85" t="s">
        <v>126</v>
      </c>
      <c r="C186" s="62" t="s">
        <v>1510</v>
      </c>
      <c r="D186" s="62"/>
    </row>
    <row r="187" spans="1:5">
      <c r="A187" s="86"/>
      <c r="B187" s="86"/>
      <c r="C187" s="62" t="s">
        <v>144</v>
      </c>
      <c r="D187" s="62"/>
    </row>
    <row r="188" spans="1:5">
      <c r="A188" s="89"/>
      <c r="B188" s="82" t="s">
        <v>10</v>
      </c>
      <c r="C188" s="65" t="s">
        <v>141</v>
      </c>
      <c r="D188" s="65" t="s">
        <v>2158</v>
      </c>
    </row>
    <row r="189" spans="1:5">
      <c r="A189" s="90"/>
      <c r="B189" s="83"/>
      <c r="C189" s="65" t="s">
        <v>172</v>
      </c>
      <c r="D189" s="65" t="s">
        <v>2159</v>
      </c>
    </row>
    <row r="190" spans="1:5">
      <c r="A190" s="90"/>
      <c r="B190" s="83"/>
      <c r="C190" s="65" t="s">
        <v>33</v>
      </c>
      <c r="D190" s="65" t="s">
        <v>33</v>
      </c>
    </row>
    <row r="191" spans="1:5">
      <c r="A191" s="90"/>
      <c r="B191" s="83"/>
      <c r="C191" s="65" t="s">
        <v>2160</v>
      </c>
      <c r="D191" s="65" t="s">
        <v>2161</v>
      </c>
    </row>
    <row r="192" spans="1:5">
      <c r="A192" s="90"/>
      <c r="B192" s="83"/>
      <c r="C192" s="65" t="s">
        <v>2162</v>
      </c>
      <c r="D192" s="65" t="s">
        <v>2163</v>
      </c>
    </row>
    <row r="193" spans="1:4">
      <c r="A193" s="90"/>
      <c r="B193" s="83"/>
      <c r="C193" s="65" t="s">
        <v>2164</v>
      </c>
      <c r="D193" s="65" t="s">
        <v>2165</v>
      </c>
    </row>
    <row r="194" spans="1:4">
      <c r="A194" s="90"/>
      <c r="B194" s="83"/>
      <c r="C194" s="65" t="s">
        <v>2166</v>
      </c>
      <c r="D194" s="65" t="s">
        <v>2167</v>
      </c>
    </row>
    <row r="195" spans="1:4">
      <c r="A195" s="90"/>
      <c r="B195" s="83"/>
      <c r="C195" s="65" t="s">
        <v>2168</v>
      </c>
      <c r="D195" s="65" t="s">
        <v>2169</v>
      </c>
    </row>
    <row r="196" spans="1:4">
      <c r="A196" s="90"/>
      <c r="B196" s="83"/>
      <c r="C196" s="65" t="s">
        <v>2170</v>
      </c>
      <c r="D196" s="65" t="s">
        <v>2171</v>
      </c>
    </row>
    <row r="197" spans="1:4">
      <c r="A197" s="90"/>
      <c r="B197" s="83"/>
      <c r="C197" s="65" t="s">
        <v>2172</v>
      </c>
      <c r="D197" s="65" t="s">
        <v>2173</v>
      </c>
    </row>
    <row r="198" spans="1:4">
      <c r="A198" s="90"/>
      <c r="B198" s="83"/>
      <c r="C198" s="65" t="s">
        <v>2174</v>
      </c>
      <c r="D198" s="65" t="s">
        <v>2175</v>
      </c>
    </row>
    <row r="199" spans="1:4">
      <c r="A199" s="90"/>
      <c r="B199" s="83"/>
      <c r="C199" s="65" t="s">
        <v>744</v>
      </c>
      <c r="D199" s="65" t="s">
        <v>2176</v>
      </c>
    </row>
    <row r="200" spans="1:4">
      <c r="A200" s="90"/>
      <c r="B200" s="83"/>
      <c r="C200" s="65" t="s">
        <v>240</v>
      </c>
      <c r="D200" s="65" t="s">
        <v>240</v>
      </c>
    </row>
    <row r="201" spans="1:4">
      <c r="A201" s="91"/>
      <c r="B201" s="84"/>
      <c r="C201" s="65" t="s">
        <v>67</v>
      </c>
      <c r="D201" s="65" t="s">
        <v>2177</v>
      </c>
    </row>
    <row r="202" spans="1:4">
      <c r="A202" s="127"/>
      <c r="B202" s="127" t="s">
        <v>122</v>
      </c>
      <c r="C202" s="25" t="s">
        <v>1478</v>
      </c>
      <c r="D202" s="25"/>
    </row>
    <row r="203" spans="1:4">
      <c r="A203" s="72"/>
      <c r="B203" s="72"/>
      <c r="C203" s="25" t="s">
        <v>828</v>
      </c>
      <c r="D203" s="25"/>
    </row>
    <row r="204" spans="1:4">
      <c r="A204" s="72"/>
      <c r="B204" s="72"/>
      <c r="C204" s="25" t="s">
        <v>2178</v>
      </c>
      <c r="D204" s="25"/>
    </row>
    <row r="205" spans="1:4">
      <c r="A205" s="72"/>
      <c r="B205" s="72"/>
      <c r="C205" s="25" t="s">
        <v>913</v>
      </c>
      <c r="D205" s="25"/>
    </row>
    <row r="206" spans="1:4">
      <c r="A206" s="72"/>
      <c r="B206" s="72"/>
      <c r="C206" s="25" t="s">
        <v>157</v>
      </c>
      <c r="D206" s="25"/>
    </row>
    <row r="207" spans="1:4">
      <c r="A207" s="72"/>
      <c r="B207" s="72"/>
      <c r="C207" s="25" t="s">
        <v>241</v>
      </c>
      <c r="D207" s="25"/>
    </row>
    <row r="208" spans="1:4">
      <c r="A208" s="72"/>
      <c r="B208" s="72"/>
      <c r="C208" s="25" t="s">
        <v>2179</v>
      </c>
      <c r="D208" s="25"/>
    </row>
    <row r="209" spans="1:5">
      <c r="A209" s="72"/>
      <c r="B209" s="72"/>
      <c r="C209" s="25" t="s">
        <v>561</v>
      </c>
      <c r="D209" s="25"/>
    </row>
    <row r="210" spans="1:5">
      <c r="A210" s="72"/>
      <c r="B210" s="72"/>
      <c r="C210" s="25" t="s">
        <v>2180</v>
      </c>
      <c r="D210" s="25"/>
    </row>
    <row r="211" spans="1:5">
      <c r="A211" s="72"/>
      <c r="B211" s="72"/>
      <c r="C211" s="25" t="s">
        <v>185</v>
      </c>
      <c r="D211" s="25"/>
    </row>
    <row r="212" spans="1:5">
      <c r="A212" s="72"/>
      <c r="B212" s="72"/>
      <c r="C212" s="25" t="s">
        <v>889</v>
      </c>
      <c r="D212" s="25"/>
    </row>
    <row r="213" spans="1:5">
      <c r="A213" s="72"/>
      <c r="B213" s="72"/>
      <c r="C213" s="25" t="s">
        <v>178</v>
      </c>
      <c r="D213" s="25"/>
    </row>
    <row r="214" spans="1:5">
      <c r="A214" s="72"/>
      <c r="B214" s="72"/>
      <c r="C214" s="25" t="s">
        <v>309</v>
      </c>
      <c r="D214" s="25"/>
    </row>
    <row r="215" spans="1:5">
      <c r="A215" s="72"/>
      <c r="B215" s="72"/>
      <c r="C215" s="25" t="s">
        <v>2181</v>
      </c>
      <c r="D215" s="25"/>
    </row>
    <row r="216" spans="1:5">
      <c r="A216" s="72"/>
      <c r="B216" s="72"/>
      <c r="C216" s="25" t="s">
        <v>2182</v>
      </c>
      <c r="D216" s="25"/>
    </row>
    <row r="217" spans="1:5">
      <c r="A217" s="72"/>
      <c r="B217" s="72"/>
      <c r="C217" s="25" t="s">
        <v>217</v>
      </c>
      <c r="D217" s="25"/>
    </row>
    <row r="218" spans="1:5">
      <c r="A218" s="72"/>
      <c r="B218" s="72"/>
      <c r="C218" s="25" t="s">
        <v>2183</v>
      </c>
      <c r="D218" s="25" t="s">
        <v>2184</v>
      </c>
      <c r="E218" s="18" t="s">
        <v>1997</v>
      </c>
    </row>
    <row r="219" spans="1:5">
      <c r="A219" s="72"/>
      <c r="B219" s="72"/>
      <c r="C219" s="25" t="s">
        <v>357</v>
      </c>
      <c r="D219" s="25"/>
    </row>
    <row r="220" spans="1:5">
      <c r="A220" s="72"/>
      <c r="B220" s="72"/>
      <c r="C220" s="25" t="s">
        <v>860</v>
      </c>
      <c r="D220" s="25"/>
    </row>
    <row r="221" spans="1:5">
      <c r="A221" s="72"/>
      <c r="B221" s="72"/>
      <c r="C221" s="25" t="s">
        <v>150</v>
      </c>
      <c r="D221" s="25"/>
    </row>
    <row r="222" spans="1:5">
      <c r="A222" s="72"/>
      <c r="B222" s="72"/>
      <c r="C222" s="25" t="s">
        <v>2185</v>
      </c>
      <c r="D222" s="25"/>
    </row>
    <row r="223" spans="1:5">
      <c r="A223" s="72"/>
      <c r="B223" s="72"/>
      <c r="C223" s="25" t="s">
        <v>834</v>
      </c>
      <c r="D223" s="25"/>
    </row>
    <row r="224" spans="1:5">
      <c r="A224" s="72"/>
      <c r="B224" s="72"/>
      <c r="C224" s="25" t="s">
        <v>793</v>
      </c>
      <c r="D224" s="25"/>
    </row>
    <row r="225" spans="1:4">
      <c r="A225" s="72"/>
      <c r="B225" s="72"/>
      <c r="C225" s="25" t="s">
        <v>936</v>
      </c>
      <c r="D225" s="25"/>
    </row>
    <row r="226" spans="1:4">
      <c r="A226" s="72"/>
      <c r="B226" s="72"/>
      <c r="C226" s="25" t="s">
        <v>692</v>
      </c>
      <c r="D226" s="25"/>
    </row>
    <row r="227" spans="1:4">
      <c r="A227" s="72"/>
      <c r="B227" s="72"/>
      <c r="C227" s="25" t="s">
        <v>705</v>
      </c>
      <c r="D227" s="25"/>
    </row>
    <row r="228" spans="1:4">
      <c r="A228" s="72"/>
      <c r="B228" s="72"/>
      <c r="C228" s="25" t="s">
        <v>726</v>
      </c>
      <c r="D228" s="25"/>
    </row>
    <row r="229" spans="1:4">
      <c r="A229" s="72"/>
      <c r="B229" s="72"/>
      <c r="C229" s="25" t="s">
        <v>204</v>
      </c>
      <c r="D229" s="25"/>
    </row>
    <row r="230" spans="1:4">
      <c r="A230" s="72"/>
      <c r="B230" s="72"/>
      <c r="C230" s="25" t="s">
        <v>170</v>
      </c>
      <c r="D230" s="25"/>
    </row>
    <row r="231" spans="1:4">
      <c r="A231" s="72"/>
      <c r="B231" s="72"/>
      <c r="C231" s="25" t="s">
        <v>138</v>
      </c>
      <c r="D231" s="25"/>
    </row>
    <row r="232" spans="1:4">
      <c r="A232" s="72"/>
      <c r="B232" s="72"/>
      <c r="C232" s="25" t="s">
        <v>837</v>
      </c>
      <c r="D232" s="25"/>
    </row>
    <row r="233" spans="1:4">
      <c r="A233" s="72"/>
      <c r="B233" s="72"/>
      <c r="C233" s="25" t="s">
        <v>2186</v>
      </c>
      <c r="D233" s="25"/>
    </row>
    <row r="234" spans="1:4">
      <c r="A234" s="72"/>
      <c r="B234" s="72"/>
      <c r="C234" s="25" t="s">
        <v>2187</v>
      </c>
      <c r="D234" s="25"/>
    </row>
    <row r="235" spans="1:4">
      <c r="A235" s="72"/>
      <c r="B235" s="72"/>
      <c r="C235" s="25" t="s">
        <v>2188</v>
      </c>
      <c r="D235" s="25"/>
    </row>
    <row r="236" spans="1:4">
      <c r="A236" s="72"/>
      <c r="B236" s="72"/>
      <c r="C236" s="25" t="s">
        <v>2189</v>
      </c>
      <c r="D236" s="25"/>
    </row>
    <row r="237" spans="1:4">
      <c r="A237" s="72"/>
      <c r="B237" s="72"/>
      <c r="C237" s="25" t="s">
        <v>2190</v>
      </c>
      <c r="D237" s="25"/>
    </row>
    <row r="238" spans="1:4">
      <c r="A238" s="72"/>
      <c r="B238" s="72"/>
      <c r="C238" s="25" t="s">
        <v>2191</v>
      </c>
      <c r="D238" s="25"/>
    </row>
    <row r="239" spans="1:4">
      <c r="A239" s="72"/>
      <c r="B239" s="72"/>
      <c r="C239" s="25" t="s">
        <v>2192</v>
      </c>
      <c r="D239" s="25"/>
    </row>
    <row r="240" spans="1:4">
      <c r="A240" s="72"/>
      <c r="B240" s="72"/>
      <c r="C240" s="25" t="s">
        <v>2193</v>
      </c>
      <c r="D240" s="25"/>
    </row>
    <row r="241" spans="1:4">
      <c r="A241" s="72"/>
      <c r="B241" s="72"/>
      <c r="C241" s="25" t="s">
        <v>787</v>
      </c>
      <c r="D241" s="25"/>
    </row>
    <row r="242" spans="1:4">
      <c r="A242" s="72"/>
      <c r="B242" s="72"/>
      <c r="C242" s="25" t="s">
        <v>965</v>
      </c>
      <c r="D242" s="25"/>
    </row>
    <row r="243" spans="1:4">
      <c r="A243" s="72"/>
      <c r="B243" s="72"/>
      <c r="C243" s="25" t="s">
        <v>556</v>
      </c>
      <c r="D243" s="25"/>
    </row>
    <row r="244" spans="1:4">
      <c r="A244" s="72"/>
      <c r="B244" s="72"/>
      <c r="C244" s="25" t="s">
        <v>467</v>
      </c>
      <c r="D244" s="25"/>
    </row>
    <row r="245" spans="1:4">
      <c r="A245" s="72"/>
      <c r="B245" s="72"/>
      <c r="C245" s="25" t="s">
        <v>2194</v>
      </c>
      <c r="D245" s="25"/>
    </row>
    <row r="246" spans="1:4">
      <c r="A246" s="72"/>
      <c r="B246" s="72"/>
      <c r="C246" s="25" t="s">
        <v>597</v>
      </c>
      <c r="D246" s="25"/>
    </row>
    <row r="247" spans="1:4">
      <c r="A247" s="72"/>
      <c r="B247" s="72"/>
      <c r="C247" s="25" t="s">
        <v>2195</v>
      </c>
      <c r="D247" s="25"/>
    </row>
    <row r="248" spans="1:4">
      <c r="A248" s="72"/>
      <c r="B248" s="72"/>
      <c r="C248" s="25" t="s">
        <v>2196</v>
      </c>
      <c r="D248" s="25"/>
    </row>
    <row r="249" spans="1:4">
      <c r="A249" s="72"/>
      <c r="B249" s="72"/>
      <c r="C249" s="25" t="s">
        <v>2197</v>
      </c>
      <c r="D249" s="25"/>
    </row>
    <row r="250" spans="1:4">
      <c r="A250" s="72"/>
      <c r="B250" s="72"/>
      <c r="C250" s="25" t="s">
        <v>633</v>
      </c>
      <c r="D250" s="25"/>
    </row>
    <row r="251" spans="1:4">
      <c r="A251" s="72"/>
      <c r="B251" s="72"/>
      <c r="C251" s="25" t="s">
        <v>1543</v>
      </c>
      <c r="D251" s="25"/>
    </row>
    <row r="252" spans="1:4">
      <c r="A252" s="72"/>
      <c r="B252" s="72"/>
      <c r="C252" s="25" t="s">
        <v>240</v>
      </c>
      <c r="D252" s="25"/>
    </row>
    <row r="253" spans="1:4">
      <c r="A253" s="72"/>
      <c r="B253" s="72"/>
      <c r="C253" s="25" t="s">
        <v>2198</v>
      </c>
      <c r="D253" s="25"/>
    </row>
    <row r="254" spans="1:4">
      <c r="A254" s="72"/>
      <c r="B254" s="72"/>
      <c r="C254" s="25" t="s">
        <v>2199</v>
      </c>
      <c r="D254" s="25"/>
    </row>
    <row r="255" spans="1:4">
      <c r="A255" s="72"/>
      <c r="B255" s="72"/>
      <c r="C255" s="25" t="s">
        <v>2200</v>
      </c>
      <c r="D255" s="25"/>
    </row>
    <row r="256" spans="1:4">
      <c r="A256" s="72"/>
      <c r="B256" s="72"/>
      <c r="C256" s="25" t="s">
        <v>2201</v>
      </c>
      <c r="D256" s="25"/>
    </row>
    <row r="257" spans="1:5">
      <c r="A257" s="72"/>
      <c r="B257" s="72"/>
      <c r="C257" s="25" t="s">
        <v>2202</v>
      </c>
      <c r="D257" s="25"/>
    </row>
    <row r="258" spans="1:5">
      <c r="A258" s="72"/>
      <c r="B258" s="72"/>
      <c r="C258" s="25" t="s">
        <v>2203</v>
      </c>
      <c r="D258" s="25"/>
    </row>
    <row r="259" spans="1:5">
      <c r="A259" s="72"/>
      <c r="B259" s="72"/>
      <c r="C259" s="25" t="s">
        <v>2204</v>
      </c>
      <c r="D259" s="25"/>
    </row>
    <row r="260" spans="1:5">
      <c r="A260" s="72"/>
      <c r="B260" s="72"/>
      <c r="C260" s="25" t="s">
        <v>2205</v>
      </c>
      <c r="D260" s="25"/>
    </row>
    <row r="261" spans="1:5">
      <c r="A261" s="72"/>
      <c r="B261" s="72"/>
      <c r="C261" s="25" t="s">
        <v>2206</v>
      </c>
      <c r="D261" s="25"/>
    </row>
    <row r="262" spans="1:5">
      <c r="A262" s="72"/>
      <c r="B262" s="72"/>
      <c r="C262" s="25" t="s">
        <v>2207</v>
      </c>
      <c r="D262" s="25"/>
    </row>
    <row r="263" spans="1:5">
      <c r="A263" s="72"/>
      <c r="B263" s="72"/>
      <c r="C263" s="25" t="s">
        <v>2208</v>
      </c>
      <c r="D263" s="25"/>
    </row>
    <row r="264" spans="1:5">
      <c r="A264" s="72"/>
      <c r="B264" s="72"/>
      <c r="C264" s="25" t="s">
        <v>2209</v>
      </c>
      <c r="D264" s="25"/>
    </row>
    <row r="265" spans="1:5">
      <c r="A265" s="72"/>
      <c r="B265" s="72"/>
      <c r="C265" s="25" t="s">
        <v>2210</v>
      </c>
      <c r="D265" s="25"/>
    </row>
    <row r="266" spans="1:5">
      <c r="A266" s="72"/>
      <c r="B266" s="72"/>
      <c r="C266" s="25" t="s">
        <v>2211</v>
      </c>
      <c r="D266" s="25"/>
    </row>
    <row r="267" spans="1:5">
      <c r="A267" s="72"/>
      <c r="B267" s="72"/>
      <c r="C267" s="25" t="s">
        <v>1027</v>
      </c>
      <c r="D267" s="25"/>
    </row>
    <row r="268" spans="1:5">
      <c r="A268" s="72"/>
      <c r="B268" s="72"/>
      <c r="C268" s="25" t="s">
        <v>2212</v>
      </c>
      <c r="D268" s="25"/>
    </row>
    <row r="269" spans="1:5">
      <c r="A269" s="72"/>
      <c r="B269" s="72"/>
      <c r="C269" s="25" t="s">
        <v>2213</v>
      </c>
      <c r="D269" s="25"/>
    </row>
    <row r="270" spans="1:5">
      <c r="A270" s="72"/>
      <c r="B270" s="72"/>
      <c r="C270" s="25" t="s">
        <v>2214</v>
      </c>
      <c r="D270" s="25" t="s">
        <v>2215</v>
      </c>
      <c r="E270" s="18" t="s">
        <v>1997</v>
      </c>
    </row>
    <row r="271" spans="1:5">
      <c r="A271" s="72"/>
      <c r="B271" s="72"/>
      <c r="C271" s="25" t="s">
        <v>2216</v>
      </c>
      <c r="D271" s="25" t="s">
        <v>2217</v>
      </c>
      <c r="E271" s="18" t="s">
        <v>1997</v>
      </c>
    </row>
    <row r="272" spans="1:5">
      <c r="A272" s="72"/>
      <c r="B272" s="72"/>
      <c r="C272" s="25" t="s">
        <v>1132</v>
      </c>
      <c r="D272" s="25" t="s">
        <v>2218</v>
      </c>
      <c r="E272" s="18" t="s">
        <v>1997</v>
      </c>
    </row>
    <row r="273" spans="1:5">
      <c r="A273" s="72"/>
      <c r="B273" s="72"/>
      <c r="C273" s="25" t="s">
        <v>2219</v>
      </c>
      <c r="D273" s="25"/>
    </row>
    <row r="274" spans="1:5">
      <c r="A274" s="72"/>
      <c r="B274" s="72"/>
      <c r="C274" s="25" t="s">
        <v>2220</v>
      </c>
      <c r="D274" s="25" t="s">
        <v>2221</v>
      </c>
      <c r="E274" s="18" t="s">
        <v>1997</v>
      </c>
    </row>
    <row r="275" spans="1:5">
      <c r="A275" s="72"/>
      <c r="B275" s="72"/>
      <c r="C275" s="25" t="s">
        <v>870</v>
      </c>
      <c r="D275" s="25"/>
    </row>
    <row r="276" spans="1:5">
      <c r="A276" s="72"/>
      <c r="B276" s="72"/>
      <c r="C276" s="25" t="s">
        <v>2222</v>
      </c>
      <c r="D276" s="25"/>
    </row>
    <row r="277" spans="1:5">
      <c r="A277" s="72"/>
      <c r="B277" s="72"/>
      <c r="C277" s="25" t="s">
        <v>2223</v>
      </c>
      <c r="D277" s="25"/>
    </row>
    <row r="278" spans="1:5">
      <c r="A278" s="72"/>
      <c r="B278" s="72"/>
      <c r="C278" s="25" t="s">
        <v>1031</v>
      </c>
      <c r="D278" s="25"/>
    </row>
    <row r="279" spans="1:5">
      <c r="A279" s="72"/>
      <c r="B279" s="72"/>
      <c r="C279" s="25" t="s">
        <v>2224</v>
      </c>
      <c r="D279" s="25"/>
    </row>
    <row r="280" spans="1:5">
      <c r="A280" s="72"/>
      <c r="B280" s="72"/>
      <c r="C280" s="25" t="s">
        <v>1017</v>
      </c>
      <c r="D280" s="25"/>
    </row>
    <row r="281" spans="1:5">
      <c r="A281" s="72"/>
      <c r="B281" s="72"/>
      <c r="C281" s="25" t="s">
        <v>2225</v>
      </c>
      <c r="D281" s="25"/>
    </row>
    <row r="282" spans="1:5">
      <c r="A282" s="72"/>
      <c r="B282" s="72"/>
      <c r="C282" s="25" t="s">
        <v>2226</v>
      </c>
      <c r="D282" s="25" t="s">
        <v>2227</v>
      </c>
      <c r="E282" s="18" t="s">
        <v>1997</v>
      </c>
    </row>
    <row r="283" spans="1:5">
      <c r="A283" s="72"/>
      <c r="B283" s="72"/>
      <c r="C283" s="25" t="s">
        <v>2228</v>
      </c>
      <c r="D283" s="25"/>
    </row>
    <row r="284" spans="1:5">
      <c r="A284" s="72"/>
      <c r="B284" s="72"/>
      <c r="C284" s="25" t="s">
        <v>1046</v>
      </c>
      <c r="D284" s="25" t="s">
        <v>2229</v>
      </c>
      <c r="E284" s="18" t="s">
        <v>1997</v>
      </c>
    </row>
    <row r="285" spans="1:5">
      <c r="A285" s="72"/>
      <c r="B285" s="72"/>
      <c r="C285" s="25" t="s">
        <v>2230</v>
      </c>
      <c r="D285" s="25"/>
    </row>
    <row r="286" spans="1:5">
      <c r="A286" s="72"/>
      <c r="B286" s="72"/>
      <c r="C286" s="25" t="s">
        <v>2231</v>
      </c>
      <c r="D286" s="25"/>
    </row>
    <row r="287" spans="1:5">
      <c r="A287" s="72"/>
      <c r="B287" s="72"/>
      <c r="C287" s="25" t="s">
        <v>2232</v>
      </c>
      <c r="D287" s="25"/>
    </row>
    <row r="288" spans="1:5">
      <c r="A288" s="72"/>
      <c r="B288" s="72"/>
      <c r="C288" s="25" t="s">
        <v>2233</v>
      </c>
      <c r="D288" s="25"/>
    </row>
    <row r="289" spans="1:5">
      <c r="A289" s="72"/>
      <c r="B289" s="72"/>
      <c r="C289" s="25" t="s">
        <v>2234</v>
      </c>
      <c r="D289" s="25" t="s">
        <v>2235</v>
      </c>
      <c r="E289" s="18" t="s">
        <v>1997</v>
      </c>
    </row>
    <row r="290" spans="1:5">
      <c r="A290" s="72"/>
      <c r="B290" s="72"/>
      <c r="C290" s="25" t="s">
        <v>2236</v>
      </c>
      <c r="D290" s="25"/>
    </row>
    <row r="291" spans="1:5">
      <c r="A291" s="72"/>
      <c r="B291" s="72"/>
      <c r="C291" s="25" t="s">
        <v>2237</v>
      </c>
      <c r="D291" s="25"/>
    </row>
    <row r="292" spans="1:5">
      <c r="A292" s="72"/>
      <c r="B292" s="72"/>
      <c r="C292" s="25" t="s">
        <v>2238</v>
      </c>
      <c r="D292" s="25"/>
    </row>
    <row r="293" spans="1:5">
      <c r="A293" s="72"/>
      <c r="B293" s="72"/>
      <c r="C293" s="25" t="s">
        <v>2239</v>
      </c>
      <c r="D293" s="25"/>
    </row>
    <row r="294" spans="1:5">
      <c r="A294" s="72"/>
      <c r="B294" s="72"/>
      <c r="C294" s="25" t="s">
        <v>742</v>
      </c>
      <c r="D294" s="25"/>
    </row>
    <row r="295" spans="1:5">
      <c r="A295" s="72"/>
      <c r="B295" s="72"/>
      <c r="C295" s="25" t="s">
        <v>2240</v>
      </c>
      <c r="D295" s="25"/>
    </row>
    <row r="296" spans="1:5">
      <c r="A296" s="72"/>
      <c r="B296" s="72"/>
      <c r="C296" s="25" t="s">
        <v>2241</v>
      </c>
      <c r="D296" s="25"/>
    </row>
    <row r="297" spans="1:5">
      <c r="A297" s="72"/>
      <c r="B297" s="72"/>
      <c r="C297" s="25" t="s">
        <v>865</v>
      </c>
      <c r="D297" s="25" t="s">
        <v>2242</v>
      </c>
      <c r="E297" s="18" t="s">
        <v>1997</v>
      </c>
    </row>
    <row r="298" spans="1:5">
      <c r="A298" s="72"/>
      <c r="B298" s="72"/>
      <c r="C298" s="25" t="s">
        <v>2243</v>
      </c>
      <c r="D298" s="25"/>
    </row>
    <row r="299" spans="1:5">
      <c r="A299" s="72"/>
      <c r="B299" s="72"/>
      <c r="C299" s="25" t="s">
        <v>1095</v>
      </c>
      <c r="D299" s="25"/>
    </row>
    <row r="300" spans="1:5">
      <c r="A300" s="72"/>
      <c r="B300" s="72"/>
      <c r="C300" s="25" t="s">
        <v>2244</v>
      </c>
      <c r="D300" s="25"/>
      <c r="E300" s="18" t="s">
        <v>1997</v>
      </c>
    </row>
    <row r="301" spans="1:5">
      <c r="A301" s="72"/>
      <c r="B301" s="72"/>
      <c r="C301" s="25" t="s">
        <v>2245</v>
      </c>
      <c r="D301" s="25"/>
    </row>
    <row r="302" spans="1:5">
      <c r="A302" s="72"/>
      <c r="B302" s="72"/>
      <c r="C302" s="25" t="s">
        <v>2246</v>
      </c>
      <c r="D302" s="25"/>
    </row>
    <row r="303" spans="1:5">
      <c r="A303" s="72"/>
      <c r="B303" s="72"/>
      <c r="C303" s="25" t="s">
        <v>1079</v>
      </c>
      <c r="D303" s="25"/>
    </row>
    <row r="304" spans="1:5">
      <c r="A304" s="72"/>
      <c r="B304" s="72"/>
      <c r="C304" s="25" t="s">
        <v>2247</v>
      </c>
      <c r="D304" s="25"/>
    </row>
    <row r="305" spans="1:5">
      <c r="A305" s="72"/>
      <c r="B305" s="72"/>
      <c r="C305" s="25" t="s">
        <v>1055</v>
      </c>
      <c r="D305" s="25"/>
    </row>
    <row r="306" spans="1:5">
      <c r="A306" s="72"/>
      <c r="B306" s="72"/>
      <c r="C306" s="25" t="s">
        <v>2248</v>
      </c>
      <c r="D306" s="25"/>
    </row>
    <row r="307" spans="1:5">
      <c r="A307" s="72"/>
      <c r="B307" s="72"/>
      <c r="C307" s="25" t="s">
        <v>1064</v>
      </c>
      <c r="D307" s="25"/>
    </row>
    <row r="308" spans="1:5">
      <c r="A308" s="72"/>
      <c r="B308" s="72"/>
      <c r="C308" s="25" t="s">
        <v>1022</v>
      </c>
      <c r="D308" s="25"/>
    </row>
    <row r="309" spans="1:5">
      <c r="A309" s="72"/>
      <c r="B309" s="72"/>
      <c r="C309" s="25" t="s">
        <v>2249</v>
      </c>
      <c r="D309" s="25"/>
    </row>
    <row r="310" spans="1:5">
      <c r="A310" s="72"/>
      <c r="B310" s="72"/>
      <c r="C310" s="25" t="s">
        <v>2250</v>
      </c>
      <c r="D310" s="25"/>
      <c r="E310" s="18" t="s">
        <v>1997</v>
      </c>
    </row>
    <row r="311" spans="1:5">
      <c r="A311" s="72"/>
      <c r="B311" s="72"/>
      <c r="C311" s="25" t="s">
        <v>2251</v>
      </c>
      <c r="D311" s="25"/>
      <c r="E311" s="18" t="s">
        <v>1997</v>
      </c>
    </row>
    <row r="312" spans="1:5">
      <c r="A312" s="72"/>
      <c r="B312" s="72"/>
      <c r="C312" s="25" t="s">
        <v>2252</v>
      </c>
      <c r="D312" s="25"/>
      <c r="E312" s="18" t="s">
        <v>1997</v>
      </c>
    </row>
    <row r="313" spans="1:5">
      <c r="A313" s="72"/>
      <c r="B313" s="72"/>
      <c r="C313" s="25" t="s">
        <v>2253</v>
      </c>
      <c r="D313" s="25"/>
    </row>
    <row r="314" spans="1:5">
      <c r="A314" s="72"/>
      <c r="B314" s="72"/>
      <c r="C314" s="25" t="s">
        <v>2254</v>
      </c>
      <c r="D314" s="25"/>
    </row>
    <row r="315" spans="1:5">
      <c r="A315" s="72"/>
      <c r="B315" s="72"/>
      <c r="C315" s="25" t="s">
        <v>2255</v>
      </c>
      <c r="D315" s="25"/>
    </row>
    <row r="316" spans="1:5">
      <c r="A316" s="72"/>
      <c r="B316" s="72"/>
      <c r="C316" s="25" t="s">
        <v>2256</v>
      </c>
      <c r="D316" s="25"/>
    </row>
    <row r="317" spans="1:5">
      <c r="A317" s="72"/>
      <c r="B317" s="72"/>
      <c r="C317" s="25" t="s">
        <v>2257</v>
      </c>
      <c r="D317" s="25"/>
    </row>
    <row r="318" spans="1:5">
      <c r="A318" s="72"/>
      <c r="B318" s="72"/>
      <c r="C318" s="25" t="s">
        <v>2258</v>
      </c>
      <c r="D318" s="142" t="s">
        <v>2259</v>
      </c>
      <c r="E318" s="18" t="s">
        <v>1997</v>
      </c>
    </row>
    <row r="319" spans="1:5">
      <c r="A319" s="72"/>
      <c r="B319" s="72"/>
      <c r="C319" s="25" t="s">
        <v>2260</v>
      </c>
      <c r="D319" s="25"/>
    </row>
    <row r="320" spans="1:5">
      <c r="A320" s="72"/>
      <c r="B320" s="72"/>
      <c r="C320" s="25" t="s">
        <v>2261</v>
      </c>
      <c r="D320" s="25"/>
    </row>
    <row r="321" spans="1:5">
      <c r="A321" s="72"/>
      <c r="B321" s="72"/>
      <c r="C321" s="25" t="s">
        <v>2262</v>
      </c>
      <c r="D321" s="25"/>
    </row>
    <row r="322" spans="1:5">
      <c r="A322" s="72"/>
      <c r="B322" s="72"/>
      <c r="C322" s="25" t="s">
        <v>2263</v>
      </c>
      <c r="D322" s="25"/>
    </row>
    <row r="323" spans="1:5">
      <c r="A323" s="72"/>
      <c r="B323" s="72"/>
      <c r="C323" s="25" t="s">
        <v>2264</v>
      </c>
      <c r="D323" s="25"/>
    </row>
    <row r="324" spans="1:5">
      <c r="A324" s="72"/>
      <c r="B324" s="72"/>
      <c r="C324" s="25" t="s">
        <v>2265</v>
      </c>
      <c r="D324" s="25"/>
    </row>
    <row r="325" spans="1:5">
      <c r="A325" s="72"/>
      <c r="B325" s="72"/>
      <c r="C325" s="25" t="s">
        <v>2266</v>
      </c>
      <c r="D325" s="25"/>
    </row>
    <row r="326" spans="1:5">
      <c r="A326" s="72"/>
      <c r="B326" s="72"/>
      <c r="C326" s="25" t="s">
        <v>1108</v>
      </c>
      <c r="D326" s="25"/>
    </row>
    <row r="327" spans="1:5">
      <c r="A327" s="72"/>
      <c r="B327" s="72"/>
      <c r="C327" s="25" t="s">
        <v>1566</v>
      </c>
      <c r="D327" s="25"/>
    </row>
    <row r="328" spans="1:5">
      <c r="A328" s="89"/>
      <c r="B328" s="79" t="s">
        <v>1154</v>
      </c>
      <c r="C328" s="65" t="s">
        <v>2267</v>
      </c>
      <c r="D328" s="65"/>
      <c r="E328" s="18" t="s">
        <v>1997</v>
      </c>
    </row>
    <row r="329" spans="1:5">
      <c r="A329" s="90"/>
      <c r="B329" s="80"/>
      <c r="C329" s="65" t="s">
        <v>2268</v>
      </c>
      <c r="D329" s="65"/>
      <c r="E329" s="18" t="s">
        <v>1997</v>
      </c>
    </row>
    <row r="330" spans="1:5">
      <c r="A330" s="90"/>
      <c r="B330" s="80"/>
      <c r="C330" s="144" t="s">
        <v>1174</v>
      </c>
      <c r="D330" s="65"/>
      <c r="E330" s="18" t="s">
        <v>1997</v>
      </c>
    </row>
    <row r="331" spans="1:5">
      <c r="A331" s="90"/>
      <c r="B331" s="80"/>
      <c r="C331" s="143" t="s">
        <v>2269</v>
      </c>
      <c r="D331" s="65"/>
      <c r="E331" s="18" t="s">
        <v>1997</v>
      </c>
    </row>
    <row r="332" spans="1:5">
      <c r="A332" s="90"/>
      <c r="B332" s="80"/>
      <c r="C332" s="143" t="s">
        <v>1160</v>
      </c>
      <c r="D332" s="65"/>
      <c r="E332" s="18" t="s">
        <v>1997</v>
      </c>
    </row>
    <row r="333" spans="1:5">
      <c r="A333" s="90"/>
      <c r="B333" s="80"/>
      <c r="C333" s="143" t="s">
        <v>2270</v>
      </c>
      <c r="D333" s="65"/>
      <c r="E333" s="18" t="s">
        <v>1997</v>
      </c>
    </row>
    <row r="334" spans="1:5">
      <c r="A334" s="90"/>
      <c r="B334" s="80"/>
      <c r="C334" s="143" t="s">
        <v>1164</v>
      </c>
      <c r="D334" s="65"/>
      <c r="E334" s="18" t="s">
        <v>1997</v>
      </c>
    </row>
    <row r="335" spans="1:5">
      <c r="A335" s="90"/>
      <c r="B335" s="80"/>
      <c r="C335" s="65" t="s">
        <v>1179</v>
      </c>
      <c r="D335" s="65"/>
      <c r="E335" s="18" t="s">
        <v>1997</v>
      </c>
    </row>
    <row r="336" spans="1:5">
      <c r="A336" s="90"/>
      <c r="B336" s="80"/>
      <c r="C336" s="65" t="s">
        <v>2271</v>
      </c>
      <c r="D336" s="65"/>
      <c r="E336" s="18" t="s">
        <v>1997</v>
      </c>
    </row>
    <row r="337" spans="1:5">
      <c r="A337" s="90"/>
      <c r="B337" s="80"/>
      <c r="C337" s="65" t="s">
        <v>2272</v>
      </c>
      <c r="D337" s="65"/>
      <c r="E337" s="18" t="s">
        <v>1997</v>
      </c>
    </row>
    <row r="338" spans="1:5">
      <c r="A338" s="90"/>
      <c r="B338" s="80"/>
      <c r="C338" s="65" t="s">
        <v>1207</v>
      </c>
      <c r="D338" s="65"/>
      <c r="E338" s="18" t="s">
        <v>1997</v>
      </c>
    </row>
    <row r="339" spans="1:5">
      <c r="A339" s="90"/>
      <c r="B339" s="80"/>
      <c r="C339" s="65" t="s">
        <v>2273</v>
      </c>
      <c r="D339" s="65"/>
      <c r="E339" s="18" t="s">
        <v>1997</v>
      </c>
    </row>
    <row r="340" spans="1:5">
      <c r="A340" s="90"/>
      <c r="B340" s="80"/>
      <c r="C340" s="65" t="s">
        <v>2274</v>
      </c>
      <c r="D340" s="65"/>
      <c r="E340" s="18" t="s">
        <v>1997</v>
      </c>
    </row>
    <row r="341" spans="1:5">
      <c r="A341" s="90"/>
      <c r="B341" s="80"/>
      <c r="C341" s="65" t="s">
        <v>2275</v>
      </c>
      <c r="D341" s="65"/>
      <c r="E341" s="18" t="s">
        <v>1997</v>
      </c>
    </row>
    <row r="342" spans="1:5">
      <c r="A342" s="90"/>
      <c r="B342" s="80"/>
      <c r="C342" s="65" t="s">
        <v>2276</v>
      </c>
      <c r="D342" s="65"/>
      <c r="E342" s="18" t="s">
        <v>1997</v>
      </c>
    </row>
    <row r="343" spans="1:5">
      <c r="A343" s="90"/>
      <c r="B343" s="80"/>
      <c r="C343" s="65" t="s">
        <v>2277</v>
      </c>
      <c r="D343" s="65"/>
      <c r="E343" s="18" t="s">
        <v>1997</v>
      </c>
    </row>
    <row r="344" spans="1:5">
      <c r="A344" s="90"/>
      <c r="B344" s="80"/>
      <c r="C344" s="65" t="s">
        <v>1309</v>
      </c>
      <c r="D344" s="65"/>
      <c r="E344" s="18" t="s">
        <v>1997</v>
      </c>
    </row>
    <row r="345" spans="1:5">
      <c r="A345" s="90"/>
      <c r="B345" s="80"/>
      <c r="C345" s="65" t="s">
        <v>1329</v>
      </c>
      <c r="D345" s="65"/>
      <c r="E345" s="18" t="s">
        <v>1997</v>
      </c>
    </row>
    <row r="346" spans="1:5">
      <c r="A346" s="90"/>
      <c r="B346" s="80"/>
      <c r="C346" s="65" t="s">
        <v>1204</v>
      </c>
      <c r="D346" s="65"/>
      <c r="E346" s="18" t="s">
        <v>1997</v>
      </c>
    </row>
    <row r="347" spans="1:5">
      <c r="A347" s="90"/>
      <c r="B347" s="80"/>
      <c r="C347" s="65" t="s">
        <v>1320</v>
      </c>
      <c r="D347" s="65"/>
      <c r="E347" s="18" t="s">
        <v>1997</v>
      </c>
    </row>
    <row r="348" spans="1:5">
      <c r="A348" s="90"/>
      <c r="B348" s="80"/>
      <c r="C348" s="65" t="s">
        <v>2278</v>
      </c>
      <c r="D348" s="65"/>
      <c r="E348" s="18" t="s">
        <v>1997</v>
      </c>
    </row>
    <row r="349" spans="1:5">
      <c r="A349" s="90"/>
      <c r="B349" s="80"/>
      <c r="C349" s="65" t="s">
        <v>2279</v>
      </c>
      <c r="D349" s="65"/>
      <c r="E349" s="18" t="s">
        <v>1997</v>
      </c>
    </row>
    <row r="350" spans="1:5">
      <c r="A350" s="90"/>
      <c r="B350" s="80"/>
      <c r="C350" s="65" t="s">
        <v>2280</v>
      </c>
      <c r="D350" s="65"/>
      <c r="E350" s="18" t="s">
        <v>1997</v>
      </c>
    </row>
    <row r="351" spans="1:5">
      <c r="A351" s="90"/>
      <c r="B351" s="80"/>
      <c r="C351" s="65" t="s">
        <v>2281</v>
      </c>
      <c r="D351" s="65"/>
      <c r="E351" s="18" t="s">
        <v>1997</v>
      </c>
    </row>
    <row r="352" spans="1:5">
      <c r="A352" s="90"/>
      <c r="B352" s="80"/>
      <c r="C352" s="65" t="s">
        <v>2282</v>
      </c>
      <c r="D352" s="65"/>
      <c r="E352" s="18" t="s">
        <v>1997</v>
      </c>
    </row>
    <row r="353" spans="1:5">
      <c r="A353" s="90"/>
      <c r="B353" s="80"/>
      <c r="C353" s="65" t="s">
        <v>1199</v>
      </c>
      <c r="D353" s="65"/>
      <c r="E353" s="18" t="s">
        <v>1997</v>
      </c>
    </row>
    <row r="354" spans="1:5">
      <c r="A354" s="90"/>
      <c r="B354" s="80"/>
      <c r="C354" s="65" t="s">
        <v>1261</v>
      </c>
      <c r="D354" s="65"/>
      <c r="E354" s="18" t="s">
        <v>1997</v>
      </c>
    </row>
    <row r="355" spans="1:5">
      <c r="A355" s="90"/>
      <c r="B355" s="80"/>
      <c r="C355" s="65" t="s">
        <v>1242</v>
      </c>
      <c r="D355" s="65"/>
      <c r="E355" s="18" t="s">
        <v>1997</v>
      </c>
    </row>
    <row r="356" spans="1:5">
      <c r="A356" s="90"/>
      <c r="B356" s="80"/>
      <c r="C356" s="65" t="s">
        <v>2283</v>
      </c>
      <c r="D356" s="65"/>
      <c r="E356" s="18" t="s">
        <v>1997</v>
      </c>
    </row>
    <row r="357" spans="1:5">
      <c r="A357" s="90"/>
      <c r="B357" s="80"/>
      <c r="C357" s="65" t="s">
        <v>2284</v>
      </c>
      <c r="D357" s="65"/>
      <c r="E357" s="18" t="s">
        <v>1997</v>
      </c>
    </row>
    <row r="358" spans="1:5">
      <c r="A358" s="90"/>
      <c r="B358" s="80"/>
      <c r="C358" s="65" t="s">
        <v>2285</v>
      </c>
      <c r="D358" s="65"/>
      <c r="E358" s="18" t="s">
        <v>1997</v>
      </c>
    </row>
    <row r="359" spans="1:5">
      <c r="A359" s="90"/>
      <c r="B359" s="80"/>
      <c r="C359" s="65" t="s">
        <v>2286</v>
      </c>
      <c r="D359" s="65"/>
      <c r="E359" s="18" t="s">
        <v>1997</v>
      </c>
    </row>
    <row r="360" spans="1:5">
      <c r="A360" s="90"/>
      <c r="B360" s="80"/>
      <c r="C360" s="65" t="s">
        <v>2287</v>
      </c>
      <c r="D360" s="65"/>
      <c r="E360" s="18" t="s">
        <v>1997</v>
      </c>
    </row>
    <row r="361" spans="1:5">
      <c r="A361" s="90"/>
      <c r="B361" s="80"/>
      <c r="C361" s="65" t="s">
        <v>2288</v>
      </c>
      <c r="D361" s="65"/>
      <c r="E361" s="18" t="s">
        <v>1997</v>
      </c>
    </row>
    <row r="362" spans="1:5">
      <c r="A362" s="90"/>
      <c r="B362" s="80"/>
      <c r="C362" s="65" t="s">
        <v>1194</v>
      </c>
      <c r="D362" s="65"/>
      <c r="E362" s="18" t="s">
        <v>1997</v>
      </c>
    </row>
    <row r="363" spans="1:5">
      <c r="A363" s="90"/>
      <c r="B363" s="80"/>
      <c r="C363" s="65" t="s">
        <v>2289</v>
      </c>
      <c r="D363" s="65"/>
      <c r="E363" s="18" t="s">
        <v>1997</v>
      </c>
    </row>
    <row r="364" spans="1:5">
      <c r="A364" s="90"/>
      <c r="B364" s="80"/>
      <c r="C364" s="65" t="s">
        <v>2290</v>
      </c>
      <c r="D364" s="65"/>
      <c r="E364" s="18" t="s">
        <v>1997</v>
      </c>
    </row>
    <row r="365" spans="1:5">
      <c r="A365" s="90"/>
      <c r="B365" s="80"/>
      <c r="C365" s="65" t="s">
        <v>2291</v>
      </c>
      <c r="D365" s="65"/>
      <c r="E365" s="18" t="s">
        <v>1997</v>
      </c>
    </row>
    <row r="366" spans="1:5">
      <c r="A366" s="90"/>
      <c r="B366" s="80"/>
      <c r="C366" s="65" t="s">
        <v>2292</v>
      </c>
      <c r="D366" s="65"/>
      <c r="E366" s="18" t="s">
        <v>1997</v>
      </c>
    </row>
    <row r="367" spans="1:5">
      <c r="A367" s="90"/>
      <c r="B367" s="80"/>
      <c r="C367" s="65" t="s">
        <v>2293</v>
      </c>
      <c r="D367" s="65"/>
      <c r="E367" s="18" t="s">
        <v>1997</v>
      </c>
    </row>
    <row r="368" spans="1:5">
      <c r="A368" s="90"/>
      <c r="B368" s="80"/>
      <c r="C368" s="65" t="s">
        <v>1214</v>
      </c>
      <c r="D368" s="65"/>
      <c r="E368" s="18" t="s">
        <v>1997</v>
      </c>
    </row>
    <row r="369" spans="1:5">
      <c r="A369" s="90"/>
      <c r="B369" s="80"/>
      <c r="C369" s="65" t="s">
        <v>1257</v>
      </c>
      <c r="D369" s="65"/>
      <c r="E369" s="18" t="s">
        <v>1997</v>
      </c>
    </row>
    <row r="370" spans="1:5">
      <c r="A370" s="90"/>
      <c r="B370" s="80"/>
      <c r="C370" s="65" t="s">
        <v>2294</v>
      </c>
      <c r="D370" s="65"/>
      <c r="E370" s="18" t="s">
        <v>1997</v>
      </c>
    </row>
    <row r="371" spans="1:5">
      <c r="A371" s="90"/>
      <c r="B371" s="80"/>
      <c r="C371" s="65" t="s">
        <v>2295</v>
      </c>
      <c r="D371" s="65"/>
      <c r="E371" s="18" t="s">
        <v>1997</v>
      </c>
    </row>
    <row r="372" spans="1:5">
      <c r="A372" s="90"/>
      <c r="B372" s="80"/>
      <c r="C372" s="65" t="s">
        <v>2296</v>
      </c>
      <c r="D372" s="65"/>
      <c r="E372" s="18" t="s">
        <v>1997</v>
      </c>
    </row>
    <row r="373" spans="1:5">
      <c r="A373" s="90"/>
      <c r="B373" s="80"/>
      <c r="C373" s="65" t="s">
        <v>2297</v>
      </c>
      <c r="D373" s="65"/>
      <c r="E373" s="18" t="s">
        <v>1997</v>
      </c>
    </row>
    <row r="374" spans="1:5">
      <c r="A374" s="90"/>
      <c r="B374" s="80"/>
      <c r="C374" s="65" t="s">
        <v>2298</v>
      </c>
      <c r="D374" s="65"/>
      <c r="E374" s="18" t="s">
        <v>1997</v>
      </c>
    </row>
    <row r="375" spans="1:5">
      <c r="A375" s="90"/>
      <c r="B375" s="80"/>
      <c r="C375" s="65" t="s">
        <v>2299</v>
      </c>
      <c r="D375" s="65"/>
      <c r="E375" s="18" t="s">
        <v>1997</v>
      </c>
    </row>
    <row r="376" spans="1:5">
      <c r="A376" s="90"/>
      <c r="B376" s="80"/>
      <c r="C376" s="65" t="s">
        <v>2300</v>
      </c>
      <c r="D376" s="65"/>
      <c r="E376" s="18" t="s">
        <v>1997</v>
      </c>
    </row>
    <row r="377" spans="1:5">
      <c r="A377" s="90"/>
      <c r="B377" s="80"/>
      <c r="C377" s="65" t="s">
        <v>2301</v>
      </c>
      <c r="D377" s="65"/>
      <c r="E377" s="18" t="s">
        <v>1997</v>
      </c>
    </row>
    <row r="378" spans="1:5">
      <c r="A378" s="90"/>
      <c r="B378" s="80"/>
      <c r="C378" s="65" t="s">
        <v>2302</v>
      </c>
      <c r="D378" s="65"/>
      <c r="E378" s="18" t="s">
        <v>1997</v>
      </c>
    </row>
    <row r="379" spans="1:5">
      <c r="A379" s="90"/>
      <c r="B379" s="80"/>
      <c r="C379" s="65" t="s">
        <v>2303</v>
      </c>
      <c r="D379" s="65"/>
      <c r="E379" s="18" t="s">
        <v>1997</v>
      </c>
    </row>
    <row r="380" spans="1:5">
      <c r="A380" s="90"/>
      <c r="B380" s="80"/>
      <c r="C380" s="65" t="s">
        <v>2304</v>
      </c>
      <c r="D380" s="65"/>
      <c r="E380" s="18" t="s">
        <v>1997</v>
      </c>
    </row>
    <row r="381" spans="1:5">
      <c r="A381" s="90"/>
      <c r="B381" s="80"/>
      <c r="C381" s="65" t="s">
        <v>2305</v>
      </c>
      <c r="D381" s="65"/>
      <c r="E381" s="18" t="s">
        <v>1997</v>
      </c>
    </row>
    <row r="382" spans="1:5">
      <c r="A382" s="90"/>
      <c r="B382" s="80"/>
      <c r="C382" s="65" t="s">
        <v>2306</v>
      </c>
      <c r="D382" s="65"/>
      <c r="E382" s="18" t="s">
        <v>1997</v>
      </c>
    </row>
    <row r="383" spans="1:5">
      <c r="A383" s="90"/>
      <c r="B383" s="80"/>
      <c r="C383" s="65" t="s">
        <v>2307</v>
      </c>
      <c r="D383" s="65"/>
      <c r="E383" s="18" t="s">
        <v>1997</v>
      </c>
    </row>
    <row r="384" spans="1:5">
      <c r="A384" s="90"/>
      <c r="B384" s="80"/>
      <c r="C384" s="65" t="s">
        <v>2308</v>
      </c>
      <c r="D384" s="65"/>
      <c r="E384" s="18" t="s">
        <v>1997</v>
      </c>
    </row>
    <row r="385" spans="1:5">
      <c r="A385" s="90"/>
      <c r="B385" s="80"/>
      <c r="C385" s="65" t="s">
        <v>2309</v>
      </c>
      <c r="D385" s="65"/>
      <c r="E385" s="18" t="s">
        <v>1997</v>
      </c>
    </row>
    <row r="386" spans="1:5">
      <c r="A386" s="90"/>
      <c r="B386" s="80"/>
      <c r="C386" s="65" t="s">
        <v>2310</v>
      </c>
      <c r="D386" s="65"/>
      <c r="E386" s="18" t="s">
        <v>1997</v>
      </c>
    </row>
    <row r="387" spans="1:5">
      <c r="A387" s="90"/>
      <c r="B387" s="80"/>
      <c r="C387" s="65" t="s">
        <v>2311</v>
      </c>
      <c r="D387" s="65"/>
      <c r="E387" s="18" t="s">
        <v>1997</v>
      </c>
    </row>
    <row r="388" spans="1:5">
      <c r="A388" s="90"/>
      <c r="B388" s="80"/>
      <c r="C388" s="65" t="s">
        <v>2312</v>
      </c>
      <c r="D388" s="65"/>
      <c r="E388" s="18" t="s">
        <v>1997</v>
      </c>
    </row>
    <row r="389" spans="1:5">
      <c r="A389" s="90"/>
      <c r="B389" s="80"/>
      <c r="C389" s="65" t="s">
        <v>2313</v>
      </c>
      <c r="D389" s="65"/>
      <c r="E389" s="18" t="s">
        <v>1997</v>
      </c>
    </row>
    <row r="390" spans="1:5">
      <c r="A390" s="90"/>
      <c r="B390" s="80"/>
      <c r="C390" s="65" t="s">
        <v>1210</v>
      </c>
      <c r="D390" s="65"/>
      <c r="E390" s="18" t="s">
        <v>1997</v>
      </c>
    </row>
    <row r="391" spans="1:5">
      <c r="A391" s="90"/>
      <c r="B391" s="80"/>
      <c r="C391" s="65" t="s">
        <v>2314</v>
      </c>
      <c r="D391" s="65"/>
      <c r="E391" s="18" t="s">
        <v>1997</v>
      </c>
    </row>
    <row r="392" spans="1:5">
      <c r="A392" s="90"/>
      <c r="B392" s="80"/>
      <c r="C392" s="65" t="s">
        <v>1167</v>
      </c>
      <c r="D392" s="65"/>
      <c r="E392" s="18" t="s">
        <v>1997</v>
      </c>
    </row>
    <row r="393" spans="1:5">
      <c r="A393" s="90"/>
      <c r="B393" s="80"/>
      <c r="C393" s="65" t="s">
        <v>2315</v>
      </c>
      <c r="D393" s="65"/>
      <c r="E393" s="18" t="s">
        <v>1997</v>
      </c>
    </row>
    <row r="394" spans="1:5">
      <c r="A394" s="90"/>
      <c r="B394" s="80"/>
      <c r="C394" s="65" t="s">
        <v>2316</v>
      </c>
      <c r="D394" s="65"/>
      <c r="E394" s="18" t="s">
        <v>1997</v>
      </c>
    </row>
    <row r="395" spans="1:5">
      <c r="A395" s="90"/>
      <c r="B395" s="80"/>
      <c r="C395" s="65" t="s">
        <v>2317</v>
      </c>
      <c r="D395" s="65"/>
      <c r="E395" s="18" t="s">
        <v>1997</v>
      </c>
    </row>
    <row r="396" spans="1:5">
      <c r="A396" s="90"/>
      <c r="B396" s="80"/>
      <c r="C396" s="65" t="s">
        <v>2318</v>
      </c>
      <c r="D396" s="65"/>
      <c r="E396" s="18" t="s">
        <v>1997</v>
      </c>
    </row>
    <row r="397" spans="1:5">
      <c r="A397" s="90"/>
      <c r="B397" s="80"/>
      <c r="C397" s="65" t="s">
        <v>2319</v>
      </c>
      <c r="D397" s="65"/>
      <c r="E397" s="18" t="s">
        <v>1997</v>
      </c>
    </row>
    <row r="398" spans="1:5">
      <c r="A398" s="90"/>
      <c r="B398" s="80"/>
      <c r="C398" s="65" t="s">
        <v>2320</v>
      </c>
      <c r="D398" s="65"/>
      <c r="E398" s="18" t="s">
        <v>1997</v>
      </c>
    </row>
    <row r="399" spans="1:5">
      <c r="A399" s="90"/>
      <c r="B399" s="80"/>
      <c r="C399" s="65" t="s">
        <v>2321</v>
      </c>
      <c r="D399" s="65"/>
      <c r="E399" s="18" t="s">
        <v>1997</v>
      </c>
    </row>
    <row r="400" spans="1:5">
      <c r="A400" s="90"/>
      <c r="B400" s="80"/>
      <c r="C400" s="65" t="s">
        <v>2322</v>
      </c>
      <c r="D400" s="65"/>
      <c r="E400" s="18" t="s">
        <v>1997</v>
      </c>
    </row>
    <row r="401" spans="1:5">
      <c r="A401" s="90"/>
      <c r="B401" s="80"/>
      <c r="C401" s="65" t="s">
        <v>2323</v>
      </c>
      <c r="D401" s="65"/>
      <c r="E401" s="18" t="s">
        <v>1997</v>
      </c>
    </row>
    <row r="402" spans="1:5">
      <c r="A402" s="90"/>
      <c r="B402" s="80"/>
      <c r="C402" s="65" t="s">
        <v>2324</v>
      </c>
      <c r="D402" s="65"/>
      <c r="E402" s="18" t="s">
        <v>1997</v>
      </c>
    </row>
    <row r="403" spans="1:5">
      <c r="A403" s="90"/>
      <c r="B403" s="80"/>
      <c r="C403" s="65" t="s">
        <v>2325</v>
      </c>
      <c r="D403" s="65"/>
      <c r="E403" s="18" t="s">
        <v>1997</v>
      </c>
    </row>
    <row r="404" spans="1:5">
      <c r="A404" s="90"/>
      <c r="B404" s="80"/>
      <c r="C404" s="65" t="s">
        <v>2326</v>
      </c>
      <c r="D404" s="65"/>
      <c r="E404" s="18" t="s">
        <v>1997</v>
      </c>
    </row>
    <row r="405" spans="1:5">
      <c r="A405" s="90"/>
      <c r="B405" s="80"/>
      <c r="C405" s="65" t="s">
        <v>2327</v>
      </c>
      <c r="D405" s="65"/>
      <c r="E405" s="18" t="s">
        <v>1997</v>
      </c>
    </row>
    <row r="406" spans="1:5">
      <c r="A406" s="90"/>
      <c r="B406" s="80"/>
      <c r="C406" s="65" t="s">
        <v>2328</v>
      </c>
      <c r="D406" s="65"/>
      <c r="E406" s="18" t="s">
        <v>1997</v>
      </c>
    </row>
    <row r="407" spans="1:5">
      <c r="A407" s="90"/>
      <c r="B407" s="80"/>
      <c r="C407" s="65" t="s">
        <v>2329</v>
      </c>
      <c r="D407" s="65"/>
      <c r="E407" s="18" t="s">
        <v>1997</v>
      </c>
    </row>
    <row r="408" spans="1:5">
      <c r="A408" s="90"/>
      <c r="B408" s="80"/>
      <c r="C408" s="65" t="s">
        <v>2330</v>
      </c>
      <c r="D408" s="65"/>
      <c r="E408" s="18" t="s">
        <v>1997</v>
      </c>
    </row>
    <row r="409" spans="1:5">
      <c r="A409" s="90"/>
      <c r="B409" s="80"/>
      <c r="C409" s="65" t="s">
        <v>2331</v>
      </c>
      <c r="D409" s="65"/>
      <c r="E409" s="18" t="s">
        <v>1997</v>
      </c>
    </row>
    <row r="410" spans="1:5">
      <c r="A410" s="90"/>
      <c r="B410" s="80"/>
      <c r="C410" s="65" t="s">
        <v>2332</v>
      </c>
      <c r="D410" s="65"/>
      <c r="E410" s="18" t="s">
        <v>1997</v>
      </c>
    </row>
    <row r="411" spans="1:5">
      <c r="A411" s="90"/>
      <c r="B411" s="80"/>
      <c r="C411" s="65" t="s">
        <v>2333</v>
      </c>
      <c r="D411" s="65"/>
      <c r="E411" s="18" t="s">
        <v>1997</v>
      </c>
    </row>
    <row r="412" spans="1:5">
      <c r="A412" s="90"/>
      <c r="B412" s="80"/>
      <c r="C412" s="65" t="s">
        <v>2334</v>
      </c>
      <c r="D412" s="65"/>
      <c r="E412" s="18" t="s">
        <v>1997</v>
      </c>
    </row>
    <row r="413" spans="1:5">
      <c r="A413" s="90"/>
      <c r="B413" s="80"/>
      <c r="C413" s="65" t="s">
        <v>2335</v>
      </c>
      <c r="D413" s="65"/>
      <c r="E413" s="18" t="s">
        <v>1997</v>
      </c>
    </row>
    <row r="414" spans="1:5">
      <c r="A414" s="90"/>
      <c r="B414" s="80"/>
      <c r="C414" s="65" t="s">
        <v>2336</v>
      </c>
      <c r="D414" s="65"/>
      <c r="E414" s="18" t="s">
        <v>1997</v>
      </c>
    </row>
    <row r="415" spans="1:5">
      <c r="A415" s="90"/>
      <c r="B415" s="80"/>
      <c r="C415" s="65" t="s">
        <v>2337</v>
      </c>
      <c r="D415" s="65"/>
      <c r="E415" s="18" t="s">
        <v>1997</v>
      </c>
    </row>
    <row r="416" spans="1:5">
      <c r="A416" s="90"/>
      <c r="B416" s="80"/>
      <c r="C416" s="65" t="s">
        <v>2338</v>
      </c>
      <c r="D416" s="65"/>
      <c r="E416" s="18" t="s">
        <v>1997</v>
      </c>
    </row>
    <row r="417" spans="1:5">
      <c r="A417" s="90"/>
      <c r="B417" s="80"/>
      <c r="C417" s="65" t="s">
        <v>2339</v>
      </c>
      <c r="D417" s="65"/>
      <c r="E417" s="18" t="s">
        <v>1997</v>
      </c>
    </row>
    <row r="418" spans="1:5">
      <c r="A418" s="90"/>
      <c r="B418" s="80"/>
      <c r="C418" s="65" t="s">
        <v>2340</v>
      </c>
      <c r="D418" s="65"/>
      <c r="E418" s="18" t="s">
        <v>1997</v>
      </c>
    </row>
    <row r="419" spans="1:5">
      <c r="A419" s="90"/>
      <c r="B419" s="80"/>
      <c r="C419" s="65" t="s">
        <v>2341</v>
      </c>
      <c r="D419" s="65"/>
      <c r="E419" s="18" t="s">
        <v>1997</v>
      </c>
    </row>
    <row r="420" spans="1:5">
      <c r="A420" s="90"/>
      <c r="B420" s="80"/>
      <c r="C420" s="65" t="s">
        <v>2342</v>
      </c>
      <c r="D420" s="65"/>
      <c r="E420" s="18" t="s">
        <v>1997</v>
      </c>
    </row>
    <row r="421" spans="1:5">
      <c r="A421" s="90"/>
      <c r="B421" s="80"/>
      <c r="C421" s="65" t="s">
        <v>2343</v>
      </c>
      <c r="D421" s="65"/>
      <c r="E421" s="18" t="s">
        <v>1997</v>
      </c>
    </row>
    <row r="422" spans="1:5">
      <c r="A422" s="90"/>
      <c r="B422" s="80"/>
      <c r="C422" s="65" t="s">
        <v>2344</v>
      </c>
      <c r="D422" s="65"/>
      <c r="E422" s="18" t="s">
        <v>1997</v>
      </c>
    </row>
    <row r="423" spans="1:5">
      <c r="A423" s="90"/>
      <c r="B423" s="80"/>
      <c r="C423" s="65" t="s">
        <v>2345</v>
      </c>
      <c r="D423" s="65"/>
      <c r="E423" s="18" t="s">
        <v>1997</v>
      </c>
    </row>
    <row r="424" spans="1:5">
      <c r="A424" s="90"/>
      <c r="B424" s="80"/>
      <c r="C424" s="65" t="s">
        <v>2346</v>
      </c>
      <c r="D424" s="65"/>
      <c r="E424" s="18" t="s">
        <v>1997</v>
      </c>
    </row>
    <row r="425" spans="1:5">
      <c r="A425" s="90"/>
      <c r="B425" s="80"/>
      <c r="C425" s="65" t="s">
        <v>2347</v>
      </c>
      <c r="D425" s="65"/>
      <c r="E425" s="18" t="s">
        <v>1997</v>
      </c>
    </row>
    <row r="426" spans="1:5">
      <c r="A426" s="90"/>
      <c r="B426" s="80"/>
      <c r="C426" s="65" t="s">
        <v>2348</v>
      </c>
      <c r="D426" s="65"/>
      <c r="E426" s="18" t="s">
        <v>1997</v>
      </c>
    </row>
    <row r="427" spans="1:5">
      <c r="A427" s="90"/>
      <c r="B427" s="80"/>
      <c r="C427" s="65" t="s">
        <v>2349</v>
      </c>
      <c r="D427" s="65"/>
      <c r="E427" s="18" t="s">
        <v>1997</v>
      </c>
    </row>
    <row r="428" spans="1:5">
      <c r="A428" s="90"/>
      <c r="B428" s="80"/>
      <c r="C428" s="65" t="s">
        <v>2350</v>
      </c>
      <c r="D428" s="65"/>
      <c r="E428" s="18" t="s">
        <v>1997</v>
      </c>
    </row>
    <row r="429" spans="1:5">
      <c r="A429" s="90"/>
      <c r="B429" s="80"/>
      <c r="C429" s="65" t="s">
        <v>2351</v>
      </c>
      <c r="D429" s="65"/>
      <c r="E429" s="18" t="s">
        <v>1997</v>
      </c>
    </row>
    <row r="430" spans="1:5">
      <c r="A430" s="90"/>
      <c r="B430" s="80"/>
      <c r="C430" s="65" t="s">
        <v>2352</v>
      </c>
      <c r="D430" s="65"/>
      <c r="E430" s="18" t="s">
        <v>1997</v>
      </c>
    </row>
    <row r="431" spans="1:5">
      <c r="A431" s="90"/>
      <c r="B431" s="80"/>
      <c r="C431" s="65" t="s">
        <v>2353</v>
      </c>
      <c r="D431" s="65"/>
      <c r="E431" s="18" t="s">
        <v>1997</v>
      </c>
    </row>
    <row r="432" spans="1:5">
      <c r="A432" s="90"/>
      <c r="B432" s="80"/>
      <c r="C432" s="65" t="s">
        <v>2354</v>
      </c>
      <c r="D432" s="65"/>
      <c r="E432" s="18" t="s">
        <v>1997</v>
      </c>
    </row>
    <row r="433" spans="1:5">
      <c r="A433" s="90"/>
      <c r="B433" s="80"/>
      <c r="C433" s="65" t="s">
        <v>2355</v>
      </c>
      <c r="D433" s="65"/>
      <c r="E433" s="18" t="s">
        <v>1997</v>
      </c>
    </row>
    <row r="434" spans="1:5">
      <c r="A434" s="90"/>
      <c r="B434" s="80"/>
      <c r="C434" s="65" t="s">
        <v>2356</v>
      </c>
      <c r="D434" s="65"/>
      <c r="E434" s="18" t="s">
        <v>1997</v>
      </c>
    </row>
    <row r="435" spans="1:5">
      <c r="A435" s="90"/>
      <c r="B435" s="80"/>
      <c r="C435" s="65" t="s">
        <v>2357</v>
      </c>
      <c r="D435" s="65"/>
      <c r="E435" s="18" t="s">
        <v>1997</v>
      </c>
    </row>
    <row r="436" spans="1:5">
      <c r="A436" s="90"/>
      <c r="B436" s="80"/>
      <c r="C436" s="65" t="s">
        <v>1224</v>
      </c>
      <c r="D436" s="65"/>
      <c r="E436" s="18" t="s">
        <v>1997</v>
      </c>
    </row>
    <row r="437" spans="1:5">
      <c r="A437" s="90"/>
      <c r="B437" s="80"/>
      <c r="C437" s="65" t="s">
        <v>2358</v>
      </c>
      <c r="D437" s="65"/>
      <c r="E437" s="18" t="s">
        <v>1997</v>
      </c>
    </row>
    <row r="438" spans="1:5">
      <c r="A438" s="90"/>
      <c r="B438" s="80"/>
      <c r="C438" s="65" t="s">
        <v>2359</v>
      </c>
      <c r="D438" s="65"/>
      <c r="E438" s="18" t="s">
        <v>1997</v>
      </c>
    </row>
    <row r="439" spans="1:5">
      <c r="A439" s="90"/>
      <c r="B439" s="80"/>
      <c r="C439" s="65" t="s">
        <v>2360</v>
      </c>
      <c r="D439" s="65"/>
      <c r="E439" s="18" t="s">
        <v>1997</v>
      </c>
    </row>
    <row r="440" spans="1:5">
      <c r="A440" s="90"/>
      <c r="B440" s="80"/>
      <c r="C440" s="65" t="s">
        <v>2361</v>
      </c>
      <c r="D440" s="65"/>
      <c r="E440" s="18" t="s">
        <v>1997</v>
      </c>
    </row>
    <row r="441" spans="1:5">
      <c r="A441" s="90"/>
      <c r="B441" s="80"/>
      <c r="C441" s="65" t="s">
        <v>2362</v>
      </c>
      <c r="D441" s="65"/>
      <c r="E441" s="18" t="s">
        <v>1997</v>
      </c>
    </row>
    <row r="442" spans="1:5">
      <c r="A442" s="90"/>
      <c r="B442" s="80"/>
      <c r="C442" s="65" t="s">
        <v>2363</v>
      </c>
      <c r="D442" s="65"/>
      <c r="E442" s="18" t="s">
        <v>1997</v>
      </c>
    </row>
    <row r="443" spans="1:5">
      <c r="A443" s="90"/>
      <c r="B443" s="80"/>
      <c r="C443" s="65" t="s">
        <v>2364</v>
      </c>
      <c r="D443" s="65"/>
      <c r="E443" s="18" t="s">
        <v>1997</v>
      </c>
    </row>
    <row r="444" spans="1:5">
      <c r="A444" s="90"/>
      <c r="B444" s="80"/>
      <c r="C444" s="65" t="s">
        <v>2365</v>
      </c>
      <c r="D444" s="65"/>
      <c r="E444" s="18" t="s">
        <v>1997</v>
      </c>
    </row>
    <row r="445" spans="1:5">
      <c r="A445" s="90"/>
      <c r="B445" s="80"/>
      <c r="C445" s="65" t="s">
        <v>2366</v>
      </c>
      <c r="D445" s="65"/>
      <c r="E445" s="18" t="s">
        <v>1997</v>
      </c>
    </row>
    <row r="446" spans="1:5">
      <c r="A446" s="90"/>
      <c r="B446" s="80"/>
      <c r="C446" s="65" t="s">
        <v>2367</v>
      </c>
      <c r="D446" s="65"/>
      <c r="E446" s="18" t="s">
        <v>1997</v>
      </c>
    </row>
    <row r="447" spans="1:5">
      <c r="A447" s="90"/>
      <c r="B447" s="80"/>
      <c r="C447" s="65" t="s">
        <v>2368</v>
      </c>
      <c r="D447" s="65"/>
      <c r="E447" s="18" t="s">
        <v>1997</v>
      </c>
    </row>
    <row r="448" spans="1:5">
      <c r="A448" s="90"/>
      <c r="B448" s="80"/>
      <c r="C448" s="65" t="s">
        <v>2369</v>
      </c>
      <c r="D448" s="65"/>
      <c r="E448" s="18" t="s">
        <v>1997</v>
      </c>
    </row>
    <row r="449" spans="1:5">
      <c r="A449" s="90"/>
      <c r="B449" s="80"/>
      <c r="C449" s="65" t="s">
        <v>2370</v>
      </c>
      <c r="D449" s="65"/>
      <c r="E449" s="18" t="s">
        <v>1997</v>
      </c>
    </row>
    <row r="450" spans="1:5">
      <c r="A450" s="90"/>
      <c r="B450" s="80"/>
      <c r="C450" s="65" t="s">
        <v>2371</v>
      </c>
      <c r="D450" s="65"/>
      <c r="E450" s="18" t="s">
        <v>1997</v>
      </c>
    </row>
    <row r="451" spans="1:5">
      <c r="A451" s="90"/>
      <c r="B451" s="80"/>
      <c r="C451" s="65" t="s">
        <v>2372</v>
      </c>
      <c r="D451" s="65"/>
      <c r="E451" s="18" t="s">
        <v>1997</v>
      </c>
    </row>
    <row r="452" spans="1:5">
      <c r="A452" s="90"/>
      <c r="B452" s="80"/>
      <c r="C452" s="65" t="s">
        <v>2373</v>
      </c>
      <c r="D452" s="65"/>
      <c r="E452" s="18" t="s">
        <v>1997</v>
      </c>
    </row>
    <row r="453" spans="1:5">
      <c r="A453" s="90"/>
      <c r="B453" s="80"/>
      <c r="C453" s="65" t="s">
        <v>1381</v>
      </c>
      <c r="D453" s="65"/>
      <c r="E453" s="18" t="s">
        <v>1997</v>
      </c>
    </row>
    <row r="454" spans="1:5">
      <c r="A454" s="90"/>
      <c r="B454" s="80"/>
      <c r="C454" s="65" t="s">
        <v>2374</v>
      </c>
      <c r="D454" s="65"/>
      <c r="E454" s="18" t="s">
        <v>1997</v>
      </c>
    </row>
    <row r="455" spans="1:5">
      <c r="A455" s="90"/>
      <c r="B455" s="80"/>
      <c r="C455" s="65" t="s">
        <v>2375</v>
      </c>
      <c r="D455" s="65"/>
      <c r="E455" s="18" t="s">
        <v>1997</v>
      </c>
    </row>
    <row r="456" spans="1:5">
      <c r="A456" s="90"/>
      <c r="B456" s="80"/>
      <c r="C456" s="65" t="s">
        <v>2376</v>
      </c>
      <c r="D456" s="65"/>
      <c r="E456" s="18" t="s">
        <v>1997</v>
      </c>
    </row>
    <row r="457" spans="1:5">
      <c r="A457" s="90"/>
      <c r="B457" s="80"/>
      <c r="C457" s="65" t="s">
        <v>2377</v>
      </c>
      <c r="D457" s="65"/>
      <c r="E457" s="18" t="s">
        <v>1997</v>
      </c>
    </row>
    <row r="458" spans="1:5">
      <c r="A458" s="90"/>
      <c r="B458" s="80"/>
      <c r="C458" s="65" t="s">
        <v>2378</v>
      </c>
      <c r="D458" s="65"/>
      <c r="E458" s="18" t="s">
        <v>1997</v>
      </c>
    </row>
    <row r="459" spans="1:5">
      <c r="A459" s="90"/>
      <c r="B459" s="80"/>
      <c r="C459" s="65" t="s">
        <v>2379</v>
      </c>
      <c r="D459" s="65"/>
      <c r="E459" s="18" t="s">
        <v>1997</v>
      </c>
    </row>
    <row r="460" spans="1:5">
      <c r="A460" s="90"/>
      <c r="B460" s="80"/>
      <c r="C460" s="65" t="s">
        <v>1187</v>
      </c>
      <c r="D460" s="65"/>
      <c r="E460" s="18" t="s">
        <v>1997</v>
      </c>
    </row>
    <row r="461" spans="1:5">
      <c r="A461" s="90"/>
      <c r="B461" s="80"/>
      <c r="C461" s="65" t="s">
        <v>2380</v>
      </c>
      <c r="D461" s="65"/>
      <c r="E461" s="18" t="s">
        <v>1997</v>
      </c>
    </row>
    <row r="462" spans="1:5">
      <c r="A462" s="90"/>
      <c r="B462" s="80"/>
      <c r="C462" s="65" t="s">
        <v>2381</v>
      </c>
      <c r="D462" s="65"/>
      <c r="E462" s="18" t="s">
        <v>1997</v>
      </c>
    </row>
    <row r="463" spans="1:5">
      <c r="A463" s="90"/>
      <c r="B463" s="80"/>
      <c r="C463" s="65" t="s">
        <v>2382</v>
      </c>
      <c r="D463" s="65"/>
      <c r="E463" s="18" t="s">
        <v>1997</v>
      </c>
    </row>
    <row r="464" spans="1:5">
      <c r="A464" s="90"/>
      <c r="B464" s="80"/>
      <c r="C464" s="65" t="s">
        <v>2383</v>
      </c>
      <c r="D464" s="65"/>
      <c r="E464" s="18" t="s">
        <v>1997</v>
      </c>
    </row>
    <row r="465" spans="1:5">
      <c r="A465" s="90"/>
      <c r="B465" s="80"/>
      <c r="C465" s="65" t="s">
        <v>2384</v>
      </c>
      <c r="D465" s="65"/>
      <c r="E465" s="18" t="s">
        <v>1997</v>
      </c>
    </row>
    <row r="466" spans="1:5">
      <c r="A466" s="90"/>
      <c r="B466" s="80"/>
      <c r="C466" s="65" t="s">
        <v>2385</v>
      </c>
      <c r="D466" s="65"/>
      <c r="E466" s="18" t="s">
        <v>1997</v>
      </c>
    </row>
    <row r="467" spans="1:5">
      <c r="A467" s="90"/>
      <c r="B467" s="80"/>
      <c r="C467" s="65" t="s">
        <v>2386</v>
      </c>
      <c r="D467" s="65"/>
      <c r="E467" s="18" t="s">
        <v>1997</v>
      </c>
    </row>
    <row r="468" spans="1:5">
      <c r="A468" s="90"/>
      <c r="B468" s="80"/>
      <c r="C468" s="65" t="s">
        <v>2387</v>
      </c>
      <c r="D468" s="65"/>
      <c r="E468" s="18" t="s">
        <v>1997</v>
      </c>
    </row>
    <row r="469" spans="1:5">
      <c r="A469" s="90"/>
      <c r="B469" s="80"/>
      <c r="C469" s="65" t="s">
        <v>2388</v>
      </c>
      <c r="D469" s="65"/>
      <c r="E469" s="18" t="s">
        <v>1997</v>
      </c>
    </row>
    <row r="470" spans="1:5">
      <c r="A470" s="90"/>
      <c r="B470" s="80"/>
      <c r="C470" s="65" t="s">
        <v>2389</v>
      </c>
      <c r="D470" s="65"/>
      <c r="E470" s="18" t="s">
        <v>1997</v>
      </c>
    </row>
    <row r="471" spans="1:5">
      <c r="A471" s="90"/>
      <c r="B471" s="80"/>
      <c r="C471" s="65" t="s">
        <v>2390</v>
      </c>
      <c r="D471" s="65"/>
      <c r="E471" s="18" t="s">
        <v>1997</v>
      </c>
    </row>
    <row r="472" spans="1:5">
      <c r="A472" s="90"/>
      <c r="B472" s="80"/>
      <c r="C472" s="65" t="s">
        <v>2391</v>
      </c>
      <c r="D472" s="65"/>
      <c r="E472" s="18" t="s">
        <v>1997</v>
      </c>
    </row>
    <row r="473" spans="1:5">
      <c r="A473" s="90"/>
      <c r="B473" s="80"/>
      <c r="C473" s="65" t="s">
        <v>2392</v>
      </c>
      <c r="D473" s="65"/>
      <c r="E473" s="18" t="s">
        <v>1997</v>
      </c>
    </row>
    <row r="474" spans="1:5">
      <c r="A474" s="90"/>
      <c r="B474" s="80"/>
      <c r="C474" s="65" t="s">
        <v>2393</v>
      </c>
      <c r="D474" s="65"/>
      <c r="E474" s="18" t="s">
        <v>1997</v>
      </c>
    </row>
    <row r="475" spans="1:5">
      <c r="A475" s="90"/>
      <c r="B475" s="80"/>
      <c r="C475" s="65" t="s">
        <v>2394</v>
      </c>
      <c r="D475" s="65"/>
      <c r="E475" s="18" t="s">
        <v>1997</v>
      </c>
    </row>
    <row r="476" spans="1:5">
      <c r="A476" s="90"/>
      <c r="B476" s="80"/>
      <c r="C476" s="65" t="s">
        <v>2395</v>
      </c>
      <c r="D476" s="65"/>
      <c r="E476" s="18" t="s">
        <v>1997</v>
      </c>
    </row>
    <row r="477" spans="1:5">
      <c r="A477" s="90"/>
      <c r="B477" s="80"/>
      <c r="C477" s="65" t="s">
        <v>2396</v>
      </c>
      <c r="D477" s="65"/>
      <c r="E477" s="18" t="s">
        <v>1997</v>
      </c>
    </row>
    <row r="478" spans="1:5">
      <c r="A478" s="90"/>
      <c r="B478" s="80"/>
      <c r="C478" s="65" t="s">
        <v>2397</v>
      </c>
      <c r="D478" s="65"/>
      <c r="E478" s="18" t="s">
        <v>1997</v>
      </c>
    </row>
    <row r="479" spans="1:5">
      <c r="A479" s="90"/>
      <c r="B479" s="80"/>
      <c r="C479" s="65" t="s">
        <v>2398</v>
      </c>
      <c r="D479" s="65"/>
      <c r="E479" s="18" t="s">
        <v>1997</v>
      </c>
    </row>
    <row r="480" spans="1:5">
      <c r="A480" s="90"/>
      <c r="B480" s="80"/>
      <c r="C480" s="65" t="s">
        <v>2399</v>
      </c>
      <c r="D480" s="65"/>
      <c r="E480" s="18" t="s">
        <v>1997</v>
      </c>
    </row>
    <row r="481" spans="1:5">
      <c r="A481" s="90"/>
      <c r="B481" s="80"/>
      <c r="C481" s="65" t="s">
        <v>2400</v>
      </c>
      <c r="D481" s="65"/>
      <c r="E481" s="18" t="s">
        <v>1997</v>
      </c>
    </row>
    <row r="482" spans="1:5">
      <c r="A482" s="90"/>
      <c r="B482" s="80"/>
      <c r="C482" s="65" t="s">
        <v>2401</v>
      </c>
      <c r="D482" s="65"/>
      <c r="E482" s="18" t="s">
        <v>1997</v>
      </c>
    </row>
    <row r="483" spans="1:5">
      <c r="A483" s="90"/>
      <c r="B483" s="80"/>
      <c r="C483" s="65" t="s">
        <v>2402</v>
      </c>
      <c r="D483" s="65"/>
      <c r="E483" s="18" t="s">
        <v>1997</v>
      </c>
    </row>
    <row r="484" spans="1:5">
      <c r="A484" s="90"/>
      <c r="B484" s="80"/>
      <c r="C484" s="65" t="s">
        <v>2403</v>
      </c>
      <c r="D484" s="65"/>
      <c r="E484" s="18" t="s">
        <v>1997</v>
      </c>
    </row>
    <row r="485" spans="1:5">
      <c r="A485" s="90"/>
      <c r="B485" s="80"/>
      <c r="C485" s="65" t="s">
        <v>2404</v>
      </c>
      <c r="D485" s="65"/>
      <c r="E485" s="18" t="s">
        <v>1997</v>
      </c>
    </row>
    <row r="486" spans="1:5">
      <c r="A486" s="90"/>
      <c r="B486" s="80"/>
      <c r="C486" s="65" t="s">
        <v>2405</v>
      </c>
      <c r="D486" s="65"/>
      <c r="E486" s="18" t="s">
        <v>1997</v>
      </c>
    </row>
    <row r="487" spans="1:5">
      <c r="A487" s="90"/>
      <c r="B487" s="80"/>
      <c r="C487" s="65" t="s">
        <v>2406</v>
      </c>
      <c r="D487" s="65"/>
      <c r="E487" s="18" t="s">
        <v>1997</v>
      </c>
    </row>
    <row r="488" spans="1:5">
      <c r="A488" s="90"/>
      <c r="B488" s="80"/>
      <c r="C488" s="65" t="s">
        <v>1399</v>
      </c>
      <c r="D488" s="65"/>
      <c r="E488" s="18" t="s">
        <v>1997</v>
      </c>
    </row>
    <row r="489" spans="1:5">
      <c r="A489" s="90"/>
      <c r="B489" s="80"/>
      <c r="C489" s="65" t="s">
        <v>240</v>
      </c>
      <c r="D489" s="65"/>
    </row>
    <row r="490" spans="1:5">
      <c r="A490" s="90"/>
      <c r="B490" s="80"/>
      <c r="C490" s="65" t="s">
        <v>2407</v>
      </c>
      <c r="D490" s="65"/>
    </row>
    <row r="491" spans="1:5">
      <c r="A491" s="90"/>
      <c r="B491" s="80"/>
      <c r="C491" s="65" t="s">
        <v>2408</v>
      </c>
      <c r="D491" s="65"/>
    </row>
    <row r="492" spans="1:5">
      <c r="A492" s="90"/>
      <c r="B492" s="80"/>
      <c r="C492" s="65" t="s">
        <v>2409</v>
      </c>
      <c r="D492" s="65"/>
    </row>
    <row r="493" spans="1:5">
      <c r="A493" s="90"/>
      <c r="B493" s="80"/>
      <c r="C493" s="65" t="s">
        <v>2410</v>
      </c>
      <c r="D493" s="65"/>
    </row>
    <row r="494" spans="1:5">
      <c r="A494" s="90"/>
      <c r="B494" s="80"/>
      <c r="C494" s="65" t="s">
        <v>1360</v>
      </c>
      <c r="D494" s="65"/>
    </row>
    <row r="495" spans="1:5">
      <c r="A495" s="90"/>
      <c r="B495" s="80"/>
      <c r="C495" s="65" t="s">
        <v>2411</v>
      </c>
      <c r="D495" s="65"/>
    </row>
    <row r="496" spans="1:5">
      <c r="A496" s="90"/>
      <c r="B496" s="80"/>
      <c r="C496" s="65" t="s">
        <v>1349</v>
      </c>
      <c r="D496" s="65"/>
    </row>
    <row r="497" spans="1:4">
      <c r="A497" s="90"/>
      <c r="B497" s="80"/>
      <c r="C497" s="65" t="s">
        <v>2412</v>
      </c>
      <c r="D497" s="65"/>
    </row>
    <row r="498" spans="1:4">
      <c r="A498" s="91"/>
      <c r="B498" s="81"/>
      <c r="C498" s="65" t="s">
        <v>1566</v>
      </c>
      <c r="D498" s="65"/>
    </row>
    <row r="499" spans="1:4">
      <c r="A499" s="127"/>
      <c r="B499" s="132" t="s">
        <v>2413</v>
      </c>
      <c r="C499" s="62" t="s">
        <v>157</v>
      </c>
      <c r="D499" s="62"/>
    </row>
    <row r="500" spans="1:4">
      <c r="A500" s="72"/>
      <c r="B500" s="132"/>
      <c r="C500" s="62" t="s">
        <v>2414</v>
      </c>
      <c r="D500" s="62"/>
    </row>
    <row r="501" spans="1:4">
      <c r="A501" s="72"/>
      <c r="B501" s="132"/>
      <c r="C501" s="62" t="s">
        <v>2415</v>
      </c>
      <c r="D501" s="62"/>
    </row>
    <row r="502" spans="1:4">
      <c r="A502" s="72"/>
      <c r="B502" s="132"/>
      <c r="C502" s="62" t="s">
        <v>2416</v>
      </c>
      <c r="D502" s="62"/>
    </row>
    <row r="503" spans="1:4">
      <c r="A503" s="72"/>
      <c r="B503" s="132"/>
      <c r="C503" s="62" t="s">
        <v>2417</v>
      </c>
      <c r="D503" s="62"/>
    </row>
    <row r="504" spans="1:4">
      <c r="A504" s="72"/>
      <c r="B504" s="132"/>
      <c r="C504" s="62" t="s">
        <v>1457</v>
      </c>
      <c r="D504" s="62"/>
    </row>
    <row r="505" spans="1:4">
      <c r="A505" s="72"/>
      <c r="B505" s="132"/>
      <c r="C505" s="62" t="s">
        <v>2418</v>
      </c>
      <c r="D505" s="62"/>
    </row>
    <row r="506" spans="1:4">
      <c r="A506" s="72"/>
      <c r="B506" s="132"/>
      <c r="C506" s="62" t="s">
        <v>1433</v>
      </c>
      <c r="D506" s="62"/>
    </row>
    <row r="507" spans="1:4">
      <c r="A507" s="72"/>
      <c r="B507" s="132"/>
      <c r="C507" s="62" t="s">
        <v>1449</v>
      </c>
      <c r="D507" s="62"/>
    </row>
    <row r="508" spans="1:4">
      <c r="A508" s="72"/>
      <c r="B508" s="132"/>
      <c r="C508" s="62" t="s">
        <v>2419</v>
      </c>
      <c r="D508" s="62"/>
    </row>
    <row r="509" spans="1:4">
      <c r="A509" s="72"/>
      <c r="B509" s="132"/>
      <c r="C509" s="62" t="s">
        <v>2420</v>
      </c>
      <c r="D509" s="62"/>
    </row>
    <row r="510" spans="1:4">
      <c r="A510" s="72"/>
      <c r="B510" s="132"/>
      <c r="C510" s="62" t="s">
        <v>2421</v>
      </c>
      <c r="D510" s="62"/>
    </row>
    <row r="511" spans="1:4">
      <c r="A511" s="72"/>
      <c r="B511" s="132"/>
      <c r="C511" s="62" t="s">
        <v>1462</v>
      </c>
      <c r="D511" s="62"/>
    </row>
    <row r="512" spans="1:4">
      <c r="A512" s="72"/>
      <c r="B512" s="132"/>
      <c r="C512" s="62" t="s">
        <v>1543</v>
      </c>
      <c r="D512" s="62"/>
    </row>
    <row r="513" spans="1:4">
      <c r="A513" s="72"/>
      <c r="B513" s="132"/>
      <c r="C513" s="62" t="s">
        <v>240</v>
      </c>
      <c r="D513" s="62"/>
    </row>
    <row r="514" spans="1:4">
      <c r="A514" s="90"/>
      <c r="B514" s="76" t="s">
        <v>2422</v>
      </c>
      <c r="C514" s="65" t="s">
        <v>763</v>
      </c>
      <c r="D514" s="65"/>
    </row>
    <row r="515" spans="1:4">
      <c r="A515" s="91"/>
      <c r="B515" s="78"/>
      <c r="C515" s="65" t="s">
        <v>139</v>
      </c>
      <c r="D515" s="65"/>
    </row>
    <row r="516" spans="1:4">
      <c r="A516" s="72"/>
      <c r="B516" s="132" t="s">
        <v>1464</v>
      </c>
      <c r="C516" s="62" t="s">
        <v>1840</v>
      </c>
      <c r="D516" s="62"/>
    </row>
    <row r="517" spans="1:4">
      <c r="A517" s="72"/>
      <c r="B517" s="132"/>
      <c r="C517" s="62" t="s">
        <v>149</v>
      </c>
      <c r="D517" s="62"/>
    </row>
    <row r="518" spans="1:4">
      <c r="A518" s="72"/>
      <c r="B518" s="132"/>
      <c r="C518" s="62" t="s">
        <v>136</v>
      </c>
      <c r="D518" s="62"/>
    </row>
    <row r="519" spans="1:4">
      <c r="A519" s="72"/>
      <c r="B519" s="132"/>
      <c r="C519" s="62" t="s">
        <v>2423</v>
      </c>
      <c r="D519" s="62"/>
    </row>
    <row r="520" spans="1:4">
      <c r="A520" s="130"/>
      <c r="B520" s="76" t="s">
        <v>1819</v>
      </c>
      <c r="C520" s="65" t="s">
        <v>2424</v>
      </c>
      <c r="D520" s="65"/>
    </row>
    <row r="521" spans="1:4">
      <c r="A521" s="88"/>
      <c r="B521" s="77"/>
      <c r="C521" s="65" t="s">
        <v>2425</v>
      </c>
      <c r="D521" s="65"/>
    </row>
    <row r="522" spans="1:4">
      <c r="A522" s="88"/>
      <c r="B522" s="77"/>
      <c r="C522" s="65" t="s">
        <v>2426</v>
      </c>
      <c r="D522" s="65"/>
    </row>
    <row r="523" spans="1:4">
      <c r="A523" s="88"/>
      <c r="B523" s="77"/>
      <c r="C523" s="65" t="s">
        <v>2427</v>
      </c>
      <c r="D523" s="65"/>
    </row>
    <row r="524" spans="1:4">
      <c r="A524" s="88"/>
      <c r="B524" s="77"/>
      <c r="C524" s="65" t="s">
        <v>2428</v>
      </c>
      <c r="D524" s="65"/>
    </row>
    <row r="525" spans="1:4">
      <c r="A525" s="88"/>
      <c r="B525" s="77"/>
      <c r="C525" s="65" t="s">
        <v>2429</v>
      </c>
      <c r="D525" s="65"/>
    </row>
    <row r="526" spans="1:4">
      <c r="A526" s="88"/>
      <c r="B526" s="77"/>
      <c r="C526" s="65" t="s">
        <v>2430</v>
      </c>
      <c r="D526" s="65"/>
    </row>
    <row r="527" spans="1:4">
      <c r="A527" s="88"/>
      <c r="B527" s="77"/>
      <c r="C527" s="65" t="s">
        <v>2431</v>
      </c>
      <c r="D527" s="65"/>
    </row>
    <row r="528" spans="1:4">
      <c r="A528" s="88"/>
      <c r="B528" s="77"/>
      <c r="C528" s="65" t="s">
        <v>1537</v>
      </c>
      <c r="D528" s="65"/>
    </row>
    <row r="529" spans="1:4">
      <c r="A529" s="88"/>
      <c r="B529" s="77"/>
      <c r="C529" s="65" t="s">
        <v>2419</v>
      </c>
      <c r="D529" s="65"/>
    </row>
    <row r="530" spans="1:4">
      <c r="B530" s="77"/>
      <c r="C530" s="65" t="s">
        <v>2432</v>
      </c>
      <c r="D530" s="65"/>
    </row>
    <row r="531" spans="1:4" ht="15">
      <c r="A531" s="88"/>
      <c r="B531" s="77"/>
      <c r="C531" s="65" t="s">
        <v>2433</v>
      </c>
      <c r="D531" s="65" t="s">
        <v>2434</v>
      </c>
    </row>
    <row r="532" spans="1:4" ht="15">
      <c r="A532" s="88"/>
      <c r="B532" s="77"/>
      <c r="C532" s="65" t="s">
        <v>2435</v>
      </c>
      <c r="D532" s="65" t="s">
        <v>2434</v>
      </c>
    </row>
    <row r="533" spans="1:4" ht="15">
      <c r="A533" s="88"/>
      <c r="B533" s="77"/>
      <c r="C533" s="65" t="s">
        <v>2436</v>
      </c>
      <c r="D533" s="65" t="s">
        <v>2434</v>
      </c>
    </row>
    <row r="534" spans="1:4">
      <c r="A534" s="88"/>
      <c r="B534" s="77"/>
      <c r="C534" s="65" t="s">
        <v>2437</v>
      </c>
      <c r="D534" s="65"/>
    </row>
    <row r="535" spans="1:4">
      <c r="A535" s="88"/>
      <c r="B535" s="77"/>
      <c r="C535" s="65" t="s">
        <v>2438</v>
      </c>
      <c r="D535" s="65"/>
    </row>
    <row r="536" spans="1:4">
      <c r="A536" s="88"/>
      <c r="B536" s="77"/>
      <c r="C536" s="65" t="s">
        <v>2439</v>
      </c>
      <c r="D536" s="65"/>
    </row>
    <row r="537" spans="1:4">
      <c r="A537" s="88"/>
      <c r="B537" s="77"/>
      <c r="C537" s="65" t="s">
        <v>1841</v>
      </c>
      <c r="D537" s="65"/>
    </row>
    <row r="538" spans="1:4">
      <c r="A538" s="88"/>
      <c r="B538" s="77"/>
      <c r="C538" s="65" t="s">
        <v>2440</v>
      </c>
      <c r="D538" s="65"/>
    </row>
    <row r="539" spans="1:4">
      <c r="A539" s="88"/>
      <c r="B539" s="77"/>
      <c r="C539" s="65" t="s">
        <v>2441</v>
      </c>
      <c r="D539" s="65"/>
    </row>
    <row r="540" spans="1:4">
      <c r="A540" s="88"/>
      <c r="B540" s="77"/>
      <c r="C540" s="65" t="s">
        <v>2442</v>
      </c>
      <c r="D540" s="65"/>
    </row>
    <row r="541" spans="1:4">
      <c r="A541" s="88"/>
      <c r="B541" s="77"/>
      <c r="C541" s="65" t="s">
        <v>2443</v>
      </c>
      <c r="D541" s="65"/>
    </row>
    <row r="542" spans="1:4">
      <c r="A542" s="88"/>
      <c r="B542" s="77"/>
      <c r="C542" s="65" t="s">
        <v>1543</v>
      </c>
      <c r="D542" s="65"/>
    </row>
    <row r="543" spans="1:4">
      <c r="A543" s="88"/>
      <c r="B543" s="77"/>
      <c r="C543" s="65" t="s">
        <v>240</v>
      </c>
      <c r="D543" s="66"/>
    </row>
    <row r="544" spans="1:4">
      <c r="A544" s="94"/>
      <c r="B544" s="67" t="s">
        <v>1823</v>
      </c>
      <c r="C544" s="62" t="s">
        <v>763</v>
      </c>
      <c r="D544" s="62"/>
    </row>
    <row r="545" spans="1:4">
      <c r="A545" s="95"/>
      <c r="B545" s="131"/>
      <c r="C545" s="62" t="s">
        <v>139</v>
      </c>
      <c r="D545" s="62"/>
    </row>
    <row r="546" spans="1:4">
      <c r="A546" s="88"/>
      <c r="B546" s="76" t="s">
        <v>1824</v>
      </c>
      <c r="C546" s="65" t="s">
        <v>2444</v>
      </c>
      <c r="D546" s="65"/>
    </row>
    <row r="547" spans="1:4">
      <c r="A547" s="88"/>
      <c r="B547" s="77"/>
      <c r="C547" s="65" t="s">
        <v>1842</v>
      </c>
      <c r="D547" s="65"/>
    </row>
    <row r="548" spans="1:4">
      <c r="A548" s="88"/>
      <c r="B548" s="77"/>
      <c r="C548" s="65" t="s">
        <v>2445</v>
      </c>
      <c r="D548" s="65"/>
    </row>
    <row r="549" spans="1:4">
      <c r="A549" s="88"/>
      <c r="B549" s="77"/>
      <c r="C549" s="65" t="s">
        <v>2446</v>
      </c>
      <c r="D549" s="65"/>
    </row>
    <row r="550" spans="1:4">
      <c r="A550" s="88"/>
      <c r="B550" s="77"/>
      <c r="C550" s="65" t="s">
        <v>2447</v>
      </c>
      <c r="D550" s="65"/>
    </row>
    <row r="551" spans="1:4">
      <c r="A551" s="94"/>
      <c r="B551" s="67" t="s">
        <v>1826</v>
      </c>
      <c r="C551" s="62" t="s">
        <v>763</v>
      </c>
      <c r="D551" s="62"/>
    </row>
    <row r="552" spans="1:4">
      <c r="A552" s="95"/>
      <c r="B552" s="131"/>
      <c r="C552" s="62" t="s">
        <v>139</v>
      </c>
      <c r="D552" s="62"/>
    </row>
    <row r="553" spans="1:4">
      <c r="A553" s="73"/>
      <c r="B553" s="76" t="s">
        <v>2448</v>
      </c>
      <c r="C553" s="65" t="s">
        <v>2449</v>
      </c>
      <c r="D553" s="65"/>
    </row>
    <row r="554" spans="1:4">
      <c r="A554" s="74"/>
      <c r="B554" s="74"/>
      <c r="C554" s="65" t="s">
        <v>2450</v>
      </c>
      <c r="D554" s="65"/>
    </row>
    <row r="555" spans="1:4">
      <c r="A555" s="74"/>
      <c r="B555" s="74"/>
      <c r="C555" s="65" t="s">
        <v>2451</v>
      </c>
      <c r="D555" s="65"/>
    </row>
    <row r="556" spans="1:4">
      <c r="A556" s="74"/>
      <c r="B556" s="74"/>
      <c r="C556" s="65" t="s">
        <v>2452</v>
      </c>
      <c r="D556" s="65"/>
    </row>
    <row r="557" spans="1:4">
      <c r="A557" s="74"/>
      <c r="B557" s="74"/>
      <c r="C557" s="65" t="s">
        <v>2453</v>
      </c>
      <c r="D557" s="65"/>
    </row>
    <row r="558" spans="1:4">
      <c r="A558" s="74"/>
      <c r="B558" s="74"/>
      <c r="C558" s="65" t="s">
        <v>2454</v>
      </c>
      <c r="D558" s="65"/>
    </row>
    <row r="559" spans="1:4">
      <c r="A559" s="74"/>
      <c r="B559" s="74"/>
      <c r="C559" s="65" t="s">
        <v>2455</v>
      </c>
      <c r="D559" s="65"/>
    </row>
    <row r="560" spans="1:4">
      <c r="A560" s="74"/>
      <c r="B560" s="74"/>
      <c r="C560" s="65" t="s">
        <v>2456</v>
      </c>
      <c r="D560" s="65"/>
    </row>
    <row r="561" spans="1:4">
      <c r="A561" s="74"/>
      <c r="B561" s="74"/>
      <c r="C561" s="65" t="s">
        <v>2457</v>
      </c>
      <c r="D561" s="65"/>
    </row>
    <row r="562" spans="1:4">
      <c r="A562" s="74"/>
      <c r="B562" s="74"/>
      <c r="C562" s="65" t="s">
        <v>2458</v>
      </c>
      <c r="D562" s="65"/>
    </row>
    <row r="563" spans="1:4">
      <c r="A563" s="74"/>
      <c r="B563" s="74"/>
      <c r="C563" s="65" t="s">
        <v>2459</v>
      </c>
      <c r="D563" s="65"/>
    </row>
    <row r="564" spans="1:4">
      <c r="A564" s="74"/>
      <c r="B564" s="74"/>
      <c r="C564" s="65" t="s">
        <v>2460</v>
      </c>
      <c r="D564" s="65"/>
    </row>
    <row r="565" spans="1:4">
      <c r="A565" s="74"/>
      <c r="B565" s="74"/>
      <c r="C565" s="65" t="s">
        <v>2461</v>
      </c>
      <c r="D565" s="65"/>
    </row>
    <row r="566" spans="1:4">
      <c r="A566" s="74"/>
      <c r="B566" s="74"/>
      <c r="C566" s="65" t="s">
        <v>2462</v>
      </c>
      <c r="D566" s="65"/>
    </row>
    <row r="567" spans="1:4">
      <c r="A567" s="74"/>
      <c r="B567" s="74"/>
      <c r="C567" s="65" t="s">
        <v>2463</v>
      </c>
      <c r="D567" s="65"/>
    </row>
    <row r="568" spans="1:4">
      <c r="A568" s="74"/>
      <c r="B568" s="74"/>
      <c r="C568" s="65" t="s">
        <v>2464</v>
      </c>
      <c r="D568" s="65"/>
    </row>
    <row r="569" spans="1:4">
      <c r="A569" s="74"/>
      <c r="B569" s="74"/>
      <c r="C569" s="65" t="s">
        <v>2465</v>
      </c>
      <c r="D569" s="65"/>
    </row>
    <row r="570" spans="1:4">
      <c r="A570" s="74"/>
      <c r="B570" s="74"/>
      <c r="C570" s="65" t="s">
        <v>2466</v>
      </c>
      <c r="D570" s="65"/>
    </row>
    <row r="571" spans="1:4">
      <c r="A571" s="74"/>
      <c r="B571" s="74"/>
      <c r="C571" s="65" t="s">
        <v>2467</v>
      </c>
      <c r="D571" s="65"/>
    </row>
    <row r="572" spans="1:4">
      <c r="A572" s="74"/>
      <c r="B572" s="74"/>
      <c r="C572" s="65" t="s">
        <v>2468</v>
      </c>
      <c r="D572" s="65"/>
    </row>
    <row r="573" spans="1:4">
      <c r="A573" s="74"/>
      <c r="B573" s="74"/>
      <c r="C573" s="65" t="s">
        <v>2469</v>
      </c>
      <c r="D573" s="65"/>
    </row>
    <row r="574" spans="1:4">
      <c r="A574" s="74"/>
      <c r="B574" s="74"/>
      <c r="C574" s="65" t="s">
        <v>2470</v>
      </c>
      <c r="D574" s="65"/>
    </row>
    <row r="575" spans="1:4">
      <c r="A575" s="74"/>
      <c r="B575" s="74"/>
      <c r="C575" s="65" t="s">
        <v>2471</v>
      </c>
      <c r="D575" s="65"/>
    </row>
    <row r="576" spans="1:4">
      <c r="A576" s="74"/>
      <c r="B576" s="74"/>
      <c r="C576" s="65" t="s">
        <v>2472</v>
      </c>
      <c r="D576" s="65"/>
    </row>
    <row r="577" spans="1:5">
      <c r="A577" s="74"/>
      <c r="B577" s="74"/>
      <c r="C577" s="65" t="s">
        <v>2473</v>
      </c>
      <c r="D577" s="65"/>
    </row>
    <row r="578" spans="1:5">
      <c r="A578" s="74"/>
      <c r="B578" s="74"/>
      <c r="C578" s="65" t="s">
        <v>1835</v>
      </c>
      <c r="D578" s="65"/>
    </row>
    <row r="579" spans="1:5">
      <c r="A579" s="74"/>
      <c r="B579" s="74"/>
      <c r="C579" s="65" t="s">
        <v>2474</v>
      </c>
      <c r="D579" s="65"/>
    </row>
    <row r="580" spans="1:5">
      <c r="A580" s="74"/>
      <c r="B580" s="74"/>
      <c r="C580" s="65" t="s">
        <v>2475</v>
      </c>
      <c r="D580" s="65"/>
      <c r="E580" s="18" t="s">
        <v>1997</v>
      </c>
    </row>
    <row r="581" spans="1:5">
      <c r="A581" s="74"/>
      <c r="B581" s="74"/>
      <c r="C581" s="65" t="s">
        <v>2476</v>
      </c>
      <c r="D581" s="65"/>
      <c r="E581" s="18" t="s">
        <v>1997</v>
      </c>
    </row>
    <row r="582" spans="1:5">
      <c r="A582" s="74"/>
      <c r="B582" s="74"/>
      <c r="C582" s="65" t="s">
        <v>2477</v>
      </c>
      <c r="D582" s="65"/>
    </row>
    <row r="583" spans="1:5">
      <c r="A583" s="74"/>
      <c r="B583" s="74"/>
      <c r="C583" s="65" t="s">
        <v>2478</v>
      </c>
      <c r="D583" s="65"/>
    </row>
    <row r="584" spans="1:5">
      <c r="A584" s="74"/>
      <c r="B584" s="74"/>
      <c r="C584" s="65" t="s">
        <v>2479</v>
      </c>
      <c r="D584" s="65"/>
    </row>
    <row r="585" spans="1:5">
      <c r="A585" s="74"/>
      <c r="B585" s="74"/>
      <c r="C585" s="65" t="s">
        <v>2480</v>
      </c>
      <c r="D585" s="65"/>
    </row>
    <row r="586" spans="1:5">
      <c r="A586" s="74"/>
      <c r="B586" s="74"/>
      <c r="C586" s="65" t="s">
        <v>2481</v>
      </c>
      <c r="D586" s="65"/>
    </row>
    <row r="587" spans="1:5">
      <c r="A587" s="74"/>
      <c r="B587" s="74"/>
      <c r="C587" s="65" t="s">
        <v>2482</v>
      </c>
      <c r="D587" s="65"/>
    </row>
    <row r="588" spans="1:5">
      <c r="A588" s="74"/>
      <c r="B588" s="74"/>
      <c r="C588" s="65" t="s">
        <v>2483</v>
      </c>
      <c r="D588" s="65"/>
    </row>
    <row r="589" spans="1:5">
      <c r="A589" s="74"/>
      <c r="B589" s="74"/>
      <c r="C589" s="65" t="s">
        <v>2484</v>
      </c>
      <c r="D589" s="65"/>
    </row>
    <row r="590" spans="1:5">
      <c r="A590" s="74"/>
      <c r="B590" s="74"/>
      <c r="C590" s="65" t="s">
        <v>2485</v>
      </c>
      <c r="D590" s="65"/>
    </row>
    <row r="591" spans="1:5">
      <c r="A591" s="75"/>
      <c r="B591" s="75"/>
      <c r="C591" s="65" t="s">
        <v>2486</v>
      </c>
      <c r="D591" s="65"/>
    </row>
    <row r="592" spans="1:5">
      <c r="A592" s="72"/>
      <c r="B592" s="132" t="s">
        <v>1817</v>
      </c>
      <c r="C592" s="62" t="s">
        <v>1850</v>
      </c>
      <c r="D592" s="62"/>
    </row>
    <row r="593" spans="1:5">
      <c r="A593" s="72"/>
      <c r="B593" s="132"/>
      <c r="C593" s="62" t="s">
        <v>2487</v>
      </c>
      <c r="D593" s="62"/>
    </row>
    <row r="594" spans="1:5">
      <c r="A594" s="72"/>
      <c r="B594" s="132"/>
      <c r="C594" s="62" t="s">
        <v>240</v>
      </c>
      <c r="D594" s="62"/>
    </row>
    <row r="595" spans="1:5">
      <c r="A595" s="76"/>
      <c r="B595" s="82" t="s">
        <v>127</v>
      </c>
      <c r="C595" s="65" t="s">
        <v>763</v>
      </c>
      <c r="D595" s="65"/>
      <c r="E595" s="139"/>
    </row>
    <row r="596" spans="1:5">
      <c r="A596" s="133"/>
      <c r="B596" s="135"/>
      <c r="C596" s="134" t="s">
        <v>139</v>
      </c>
      <c r="D596" s="65"/>
    </row>
    <row r="597" spans="1:5">
      <c r="A597" s="127"/>
      <c r="B597" s="127" t="s">
        <v>1557</v>
      </c>
      <c r="C597" s="62" t="s">
        <v>1739</v>
      </c>
      <c r="D597" s="62"/>
    </row>
    <row r="598" spans="1:5">
      <c r="A598" s="72"/>
      <c r="B598" s="72"/>
      <c r="C598" s="62" t="s">
        <v>1682</v>
      </c>
      <c r="D598" s="62"/>
    </row>
    <row r="599" spans="1:5">
      <c r="A599" s="72"/>
      <c r="B599" s="72"/>
      <c r="C599" s="62" t="s">
        <v>2488</v>
      </c>
      <c r="D599" s="62"/>
    </row>
    <row r="600" spans="1:5">
      <c r="A600" s="72"/>
      <c r="B600" s="72"/>
      <c r="C600" s="62" t="s">
        <v>2489</v>
      </c>
      <c r="D600" s="62"/>
    </row>
    <row r="601" spans="1:5">
      <c r="A601" s="72"/>
      <c r="B601" s="72"/>
      <c r="C601" s="62" t="s">
        <v>2490</v>
      </c>
      <c r="D601" s="62"/>
    </row>
    <row r="602" spans="1:5">
      <c r="A602" s="72"/>
      <c r="B602" s="72"/>
      <c r="C602" s="62" t="s">
        <v>1627</v>
      </c>
      <c r="D602" s="62"/>
    </row>
    <row r="603" spans="1:5">
      <c r="A603" s="72"/>
      <c r="B603" s="72"/>
      <c r="C603" s="62" t="s">
        <v>1673</v>
      </c>
      <c r="D603" s="62"/>
    </row>
    <row r="604" spans="1:5">
      <c r="A604" s="72"/>
      <c r="B604" s="72"/>
      <c r="C604" s="62" t="s">
        <v>1577</v>
      </c>
      <c r="D604" s="62"/>
    </row>
    <row r="605" spans="1:5">
      <c r="A605" s="72"/>
      <c r="B605" s="72"/>
      <c r="C605" s="62" t="s">
        <v>2491</v>
      </c>
      <c r="D605" s="62"/>
    </row>
    <row r="606" spans="1:5">
      <c r="A606" s="72"/>
      <c r="B606" s="72"/>
      <c r="C606" s="62" t="s">
        <v>2492</v>
      </c>
      <c r="D606" s="62"/>
    </row>
    <row r="607" spans="1:5">
      <c r="A607" s="72"/>
      <c r="B607" s="72"/>
      <c r="C607" s="62" t="s">
        <v>2493</v>
      </c>
      <c r="D607" s="62"/>
    </row>
    <row r="608" spans="1:5">
      <c r="A608" s="72"/>
      <c r="B608" s="72"/>
      <c r="C608" s="62" t="s">
        <v>1583</v>
      </c>
      <c r="D608" s="62"/>
    </row>
    <row r="609" spans="1:5">
      <c r="A609" s="72"/>
      <c r="B609" s="72"/>
      <c r="C609" s="62" t="s">
        <v>2494</v>
      </c>
      <c r="D609" s="62"/>
    </row>
    <row r="610" spans="1:5">
      <c r="A610" s="72"/>
      <c r="B610" s="72"/>
      <c r="C610" s="62" t="s">
        <v>1589</v>
      </c>
      <c r="D610" s="62"/>
    </row>
    <row r="611" spans="1:5">
      <c r="A611" s="72"/>
      <c r="B611" s="72"/>
      <c r="C611" s="62" t="s">
        <v>1640</v>
      </c>
      <c r="D611" s="62"/>
    </row>
    <row r="612" spans="1:5">
      <c r="A612" s="72"/>
      <c r="B612" s="72"/>
      <c r="C612" s="62" t="s">
        <v>2495</v>
      </c>
      <c r="D612" s="62"/>
    </row>
    <row r="613" spans="1:5">
      <c r="A613" s="72"/>
      <c r="B613" s="72"/>
      <c r="C613" s="62" t="s">
        <v>2496</v>
      </c>
      <c r="D613" s="62"/>
    </row>
    <row r="614" spans="1:5">
      <c r="A614" s="72"/>
      <c r="B614" s="72"/>
      <c r="C614" s="62" t="s">
        <v>1600</v>
      </c>
      <c r="D614" s="62"/>
    </row>
    <row r="615" spans="1:5">
      <c r="A615" s="72"/>
      <c r="B615" s="72"/>
      <c r="C615" s="62" t="s">
        <v>2497</v>
      </c>
      <c r="D615" s="62"/>
    </row>
    <row r="616" spans="1:5">
      <c r="A616" s="72"/>
      <c r="B616" s="72"/>
      <c r="C616" s="62" t="s">
        <v>1571</v>
      </c>
      <c r="D616" s="62"/>
    </row>
    <row r="617" spans="1:5">
      <c r="A617" s="72"/>
      <c r="B617" s="72"/>
      <c r="C617" s="62" t="s">
        <v>2498</v>
      </c>
      <c r="D617" s="62"/>
    </row>
    <row r="618" spans="1:5">
      <c r="A618" s="72"/>
      <c r="B618" s="72"/>
      <c r="C618" s="62" t="s">
        <v>1657</v>
      </c>
      <c r="D618" s="62"/>
    </row>
    <row r="619" spans="1:5">
      <c r="A619" s="72"/>
      <c r="B619" s="72"/>
      <c r="C619" s="62" t="s">
        <v>2499</v>
      </c>
      <c r="D619" s="62"/>
    </row>
    <row r="620" spans="1:5">
      <c r="A620" s="72"/>
      <c r="B620" s="72"/>
      <c r="C620" s="62" t="s">
        <v>1566</v>
      </c>
      <c r="D620" s="62"/>
    </row>
    <row r="621" spans="1:5">
      <c r="A621" s="72"/>
      <c r="B621" s="72"/>
      <c r="C621" s="62" t="s">
        <v>2500</v>
      </c>
      <c r="D621" s="62"/>
      <c r="E621" s="18" t="s">
        <v>1997</v>
      </c>
    </row>
    <row r="622" spans="1:5">
      <c r="A622" s="76"/>
      <c r="B622" s="76" t="s">
        <v>1864</v>
      </c>
      <c r="C622" s="65" t="s">
        <v>2501</v>
      </c>
      <c r="D622" s="65"/>
    </row>
    <row r="623" spans="1:5">
      <c r="A623" s="77"/>
      <c r="B623" s="77"/>
      <c r="C623" s="65" t="s">
        <v>2502</v>
      </c>
      <c r="D623" s="65"/>
    </row>
    <row r="624" spans="1:5">
      <c r="A624" s="77"/>
      <c r="B624" s="77"/>
      <c r="C624" s="65" t="s">
        <v>2503</v>
      </c>
      <c r="D624" s="65"/>
    </row>
    <row r="625" spans="1:5">
      <c r="A625" s="77"/>
      <c r="B625" s="77"/>
      <c r="C625" s="65" t="s">
        <v>2504</v>
      </c>
      <c r="D625" s="65"/>
    </row>
    <row r="626" spans="1:5">
      <c r="A626" s="77"/>
      <c r="B626" s="77"/>
      <c r="C626" s="65" t="s">
        <v>2505</v>
      </c>
      <c r="D626" s="65"/>
      <c r="E626" s="18" t="s">
        <v>1997</v>
      </c>
    </row>
    <row r="627" spans="1:5">
      <c r="A627" s="77"/>
      <c r="B627" s="77"/>
      <c r="C627" s="65" t="s">
        <v>2506</v>
      </c>
      <c r="D627" s="65"/>
    </row>
    <row r="628" spans="1:5">
      <c r="A628" s="77"/>
      <c r="B628" s="77"/>
      <c r="C628" s="65" t="s">
        <v>2507</v>
      </c>
      <c r="D628" s="65"/>
    </row>
    <row r="629" spans="1:5">
      <c r="A629" s="77"/>
      <c r="B629" s="77"/>
      <c r="C629" s="65" t="s">
        <v>705</v>
      </c>
      <c r="D629" s="65"/>
    </row>
    <row r="630" spans="1:5">
      <c r="A630" s="77"/>
      <c r="B630" s="77"/>
      <c r="C630" s="65" t="s">
        <v>2508</v>
      </c>
      <c r="D630" s="65"/>
    </row>
    <row r="631" spans="1:5">
      <c r="A631" s="77"/>
      <c r="B631" s="77"/>
      <c r="C631" s="65" t="s">
        <v>2509</v>
      </c>
      <c r="D631" s="65"/>
    </row>
    <row r="632" spans="1:5">
      <c r="A632" s="77"/>
      <c r="B632" s="77"/>
      <c r="C632" s="65" t="s">
        <v>2510</v>
      </c>
      <c r="D632" s="65"/>
    </row>
    <row r="633" spans="1:5">
      <c r="A633" s="78"/>
      <c r="B633" s="78"/>
      <c r="C633" s="65" t="s">
        <v>240</v>
      </c>
      <c r="D633" s="65"/>
    </row>
    <row r="634" spans="1:5">
      <c r="A634" s="72"/>
      <c r="B634" s="132" t="s">
        <v>1865</v>
      </c>
      <c r="C634" s="62" t="s">
        <v>2511</v>
      </c>
      <c r="D634" s="62" t="s">
        <v>2512</v>
      </c>
    </row>
    <row r="635" spans="1:5">
      <c r="A635" s="72"/>
      <c r="B635" s="132"/>
      <c r="C635" s="62" t="s">
        <v>2513</v>
      </c>
      <c r="D635" s="62" t="s">
        <v>2514</v>
      </c>
    </row>
    <row r="636" spans="1:5">
      <c r="A636" s="72"/>
      <c r="B636" s="132"/>
      <c r="C636" s="62" t="s">
        <v>2515</v>
      </c>
      <c r="D636" s="62" t="s">
        <v>2516</v>
      </c>
    </row>
    <row r="637" spans="1:5">
      <c r="A637" s="72"/>
      <c r="B637" s="132"/>
      <c r="C637" s="62" t="s">
        <v>2517</v>
      </c>
      <c r="D637" s="62" t="s">
        <v>2518</v>
      </c>
    </row>
    <row r="638" spans="1:5">
      <c r="A638" s="72"/>
      <c r="B638" s="132"/>
      <c r="C638" s="62" t="s">
        <v>2519</v>
      </c>
      <c r="D638" s="62" t="s">
        <v>2520</v>
      </c>
    </row>
    <row r="639" spans="1:5">
      <c r="A639" s="72"/>
      <c r="B639" s="132"/>
      <c r="C639" s="62" t="s">
        <v>2521</v>
      </c>
      <c r="D639" s="62" t="s">
        <v>2522</v>
      </c>
    </row>
    <row r="640" spans="1:5">
      <c r="A640" s="72"/>
      <c r="B640" s="132"/>
      <c r="C640" s="62" t="s">
        <v>2523</v>
      </c>
      <c r="D640" s="62" t="s">
        <v>2524</v>
      </c>
    </row>
    <row r="641" spans="1:4">
      <c r="A641" s="72"/>
      <c r="B641" s="132"/>
      <c r="C641" s="62" t="s">
        <v>2525</v>
      </c>
      <c r="D641" s="62" t="s">
        <v>2525</v>
      </c>
    </row>
    <row r="642" spans="1:4">
      <c r="A642" s="72"/>
      <c r="B642" s="132"/>
      <c r="C642" s="62" t="s">
        <v>240</v>
      </c>
      <c r="D642" s="62"/>
    </row>
    <row r="643" spans="1:4">
      <c r="A643" s="79"/>
      <c r="B643" s="79" t="s">
        <v>2526</v>
      </c>
      <c r="C643" s="65" t="s">
        <v>2527</v>
      </c>
      <c r="D643" s="65" t="s">
        <v>2528</v>
      </c>
    </row>
    <row r="644" spans="1:4">
      <c r="A644" s="80"/>
      <c r="B644" s="80"/>
      <c r="C644" s="65" t="s">
        <v>2529</v>
      </c>
      <c r="D644" s="65" t="s">
        <v>2530</v>
      </c>
    </row>
    <row r="645" spans="1:4">
      <c r="A645" s="80"/>
      <c r="B645" s="80"/>
      <c r="C645" s="65" t="s">
        <v>2531</v>
      </c>
      <c r="D645" s="65" t="s">
        <v>2532</v>
      </c>
    </row>
    <row r="646" spans="1:4">
      <c r="A646" s="80"/>
      <c r="B646" s="80"/>
      <c r="C646" s="65" t="s">
        <v>2533</v>
      </c>
      <c r="D646" s="65" t="s">
        <v>2534</v>
      </c>
    </row>
    <row r="647" spans="1:4">
      <c r="A647" s="80"/>
      <c r="B647" s="80"/>
      <c r="C647" s="65" t="s">
        <v>2535</v>
      </c>
      <c r="D647" s="65"/>
    </row>
    <row r="648" spans="1:4">
      <c r="A648" s="81"/>
      <c r="B648" s="81"/>
      <c r="C648" s="65" t="s">
        <v>240</v>
      </c>
      <c r="D648" s="65"/>
    </row>
    <row r="649" spans="1:4">
      <c r="A649" s="72"/>
      <c r="B649" s="132" t="s">
        <v>1469</v>
      </c>
      <c r="C649" s="62" t="s">
        <v>1538</v>
      </c>
      <c r="D649" s="62"/>
    </row>
    <row r="650" spans="1:4">
      <c r="A650" s="72"/>
      <c r="B650" s="132"/>
      <c r="C650" s="62" t="s">
        <v>1545</v>
      </c>
      <c r="D650" s="62"/>
    </row>
    <row r="651" spans="1:4">
      <c r="A651" s="72"/>
      <c r="B651" s="132"/>
      <c r="C651" s="62" t="s">
        <v>1501</v>
      </c>
      <c r="D651" s="62"/>
    </row>
    <row r="652" spans="1:4">
      <c r="A652" s="72"/>
      <c r="B652" s="132"/>
      <c r="C652" s="62" t="s">
        <v>2536</v>
      </c>
      <c r="D652" s="62"/>
    </row>
    <row r="653" spans="1:4">
      <c r="A653" s="72"/>
      <c r="B653" s="132"/>
      <c r="C653" s="62" t="s">
        <v>240</v>
      </c>
      <c r="D653" s="62"/>
    </row>
    <row r="654" spans="1:4">
      <c r="A654" s="79"/>
      <c r="B654" s="79" t="s">
        <v>1470</v>
      </c>
      <c r="C654" s="65" t="s">
        <v>1481</v>
      </c>
      <c r="D654" s="65"/>
    </row>
    <row r="655" spans="1:4">
      <c r="A655" s="80"/>
      <c r="B655" s="80"/>
      <c r="C655" s="65" t="s">
        <v>1502</v>
      </c>
      <c r="D655" s="65"/>
    </row>
    <row r="656" spans="1:4">
      <c r="A656" s="72"/>
      <c r="B656" s="132" t="s">
        <v>22</v>
      </c>
      <c r="C656" s="62" t="s">
        <v>36</v>
      </c>
      <c r="D656" s="62"/>
    </row>
    <row r="657" spans="1:4">
      <c r="A657" s="72"/>
      <c r="B657" s="132"/>
      <c r="C657" s="62" t="s">
        <v>2537</v>
      </c>
      <c r="D657" s="62"/>
    </row>
    <row r="658" spans="1:4">
      <c r="A658" s="79"/>
      <c r="B658" s="79" t="s">
        <v>1780</v>
      </c>
      <c r="C658" s="65" t="s">
        <v>2538</v>
      </c>
      <c r="D658" s="65"/>
    </row>
    <row r="659" spans="1:4">
      <c r="A659" s="80"/>
      <c r="B659" s="80"/>
      <c r="C659" s="65" t="s">
        <v>2539</v>
      </c>
      <c r="D659" s="65"/>
    </row>
    <row r="660" spans="1:4">
      <c r="A660" s="80"/>
      <c r="B660" s="80"/>
      <c r="C660" s="65" t="s">
        <v>2540</v>
      </c>
      <c r="D660" s="65"/>
    </row>
    <row r="661" spans="1:4">
      <c r="A661" s="80"/>
      <c r="B661" s="80"/>
      <c r="C661" s="65" t="s">
        <v>2541</v>
      </c>
      <c r="D661" s="65"/>
    </row>
    <row r="662" spans="1:4">
      <c r="A662" s="80"/>
      <c r="B662" s="80"/>
      <c r="C662" s="65" t="s">
        <v>2542</v>
      </c>
      <c r="D662" s="65"/>
    </row>
    <row r="663" spans="1:4">
      <c r="A663" s="80"/>
      <c r="B663" s="80"/>
      <c r="C663" s="65" t="s">
        <v>2543</v>
      </c>
      <c r="D663" s="65"/>
    </row>
    <row r="664" spans="1:4">
      <c r="A664" s="80"/>
      <c r="B664" s="80"/>
      <c r="C664" s="65" t="s">
        <v>240</v>
      </c>
      <c r="D664" s="65"/>
    </row>
    <row r="665" spans="1:4">
      <c r="A665" s="81"/>
      <c r="B665" s="81"/>
      <c r="C665" s="65" t="s">
        <v>1800</v>
      </c>
      <c r="D665" s="65"/>
    </row>
    <row r="666" spans="1:4">
      <c r="A666" s="72"/>
      <c r="B666" s="132" t="s">
        <v>1781</v>
      </c>
      <c r="C666" s="62" t="s">
        <v>1801</v>
      </c>
      <c r="D666" s="62"/>
    </row>
    <row r="667" spans="1:4">
      <c r="A667" s="72"/>
      <c r="B667" s="132"/>
      <c r="C667" s="62" t="s">
        <v>2544</v>
      </c>
      <c r="D667" s="62"/>
    </row>
    <row r="668" spans="1:4">
      <c r="A668" s="79"/>
      <c r="B668" s="79" t="s">
        <v>125</v>
      </c>
      <c r="C668" s="65" t="s">
        <v>2545</v>
      </c>
      <c r="D668" s="65"/>
    </row>
    <row r="669" spans="1:4">
      <c r="A669" s="80"/>
      <c r="B669" s="80"/>
      <c r="C669" s="65" t="s">
        <v>2546</v>
      </c>
      <c r="D669" s="65"/>
    </row>
    <row r="670" spans="1:4">
      <c r="A670" s="80"/>
      <c r="B670" s="80"/>
      <c r="C670" s="65" t="s">
        <v>2547</v>
      </c>
      <c r="D670" s="65"/>
    </row>
    <row r="671" spans="1:4">
      <c r="A671" s="80"/>
      <c r="B671" s="80"/>
      <c r="C671" s="65" t="s">
        <v>2548</v>
      </c>
      <c r="D671" s="65"/>
    </row>
    <row r="672" spans="1:4">
      <c r="A672" s="80"/>
      <c r="B672" s="80"/>
      <c r="C672" s="65" t="s">
        <v>2549</v>
      </c>
      <c r="D672" s="65"/>
    </row>
    <row r="673" spans="1:4">
      <c r="A673" s="80"/>
      <c r="B673" s="80"/>
      <c r="C673" s="65" t="s">
        <v>2550</v>
      </c>
      <c r="D673" s="65"/>
    </row>
    <row r="674" spans="1:4">
      <c r="A674" s="80"/>
      <c r="B674" s="80"/>
      <c r="C674" s="65" t="s">
        <v>2551</v>
      </c>
      <c r="D674" s="65"/>
    </row>
    <row r="675" spans="1:4">
      <c r="A675" s="80"/>
      <c r="B675" s="80"/>
      <c r="C675" s="65" t="s">
        <v>2552</v>
      </c>
      <c r="D675" s="65"/>
    </row>
    <row r="676" spans="1:4">
      <c r="A676" s="80"/>
      <c r="B676" s="80"/>
      <c r="C676" s="65" t="s">
        <v>2553</v>
      </c>
      <c r="D676" s="65"/>
    </row>
    <row r="677" spans="1:4">
      <c r="A677" s="80"/>
      <c r="B677" s="80"/>
      <c r="C677" s="65" t="s">
        <v>2554</v>
      </c>
      <c r="D677" s="65"/>
    </row>
    <row r="678" spans="1:4">
      <c r="A678" s="80"/>
      <c r="B678" s="80"/>
      <c r="C678" s="65" t="s">
        <v>1566</v>
      </c>
      <c r="D678" s="65"/>
    </row>
    <row r="679" spans="1:4">
      <c r="A679" s="81"/>
      <c r="B679" s="81"/>
      <c r="C679" s="65" t="s">
        <v>1800</v>
      </c>
      <c r="D679" s="65"/>
    </row>
    <row r="680" spans="1:4">
      <c r="A680" s="101"/>
      <c r="B680" s="101" t="s">
        <v>1784</v>
      </c>
      <c r="C680" s="62" t="s">
        <v>2538</v>
      </c>
      <c r="D680" s="62"/>
    </row>
    <row r="681" spans="1:4">
      <c r="A681" s="103"/>
      <c r="B681" s="103"/>
      <c r="C681" s="62" t="s">
        <v>2539</v>
      </c>
      <c r="D681" s="62"/>
    </row>
    <row r="682" spans="1:4">
      <c r="A682" s="103"/>
      <c r="B682" s="103"/>
      <c r="C682" s="62" t="s">
        <v>2540</v>
      </c>
      <c r="D682" s="62"/>
    </row>
    <row r="683" spans="1:4">
      <c r="A683" s="103"/>
      <c r="B683" s="103"/>
      <c r="C683" s="62" t="s">
        <v>2541</v>
      </c>
      <c r="D683" s="62"/>
    </row>
    <row r="684" spans="1:4">
      <c r="A684" s="103"/>
      <c r="B684" s="103"/>
      <c r="C684" s="62" t="s">
        <v>2542</v>
      </c>
      <c r="D684" s="62"/>
    </row>
    <row r="685" spans="1:4">
      <c r="A685" s="103"/>
      <c r="B685" s="103"/>
      <c r="C685" s="62" t="s">
        <v>2543</v>
      </c>
      <c r="D685" s="62"/>
    </row>
    <row r="686" spans="1:4">
      <c r="A686" s="103"/>
      <c r="B686" s="103"/>
      <c r="C686" s="62" t="s">
        <v>240</v>
      </c>
      <c r="D686" s="62"/>
    </row>
    <row r="687" spans="1:4">
      <c r="A687" s="103"/>
      <c r="B687" s="103"/>
      <c r="C687" s="62" t="s">
        <v>1800</v>
      </c>
      <c r="D687" s="62"/>
    </row>
    <row r="688" spans="1:4">
      <c r="A688" s="79"/>
      <c r="B688" s="76" t="s">
        <v>2555</v>
      </c>
      <c r="C688" s="65" t="s">
        <v>2556</v>
      </c>
      <c r="D688" s="65"/>
    </row>
    <row r="689" spans="1:4">
      <c r="A689" s="80"/>
      <c r="B689" s="78"/>
      <c r="C689" s="65" t="s">
        <v>2557</v>
      </c>
      <c r="D689" s="65"/>
    </row>
    <row r="690" spans="1:4">
      <c r="A690" s="101"/>
      <c r="B690" s="101" t="s">
        <v>1783</v>
      </c>
      <c r="C690" s="62" t="s">
        <v>1802</v>
      </c>
      <c r="D690" s="62"/>
    </row>
    <row r="691" spans="1:4">
      <c r="A691" s="103"/>
      <c r="B691" s="103"/>
      <c r="C691" s="62" t="s">
        <v>2558</v>
      </c>
      <c r="D691" s="62"/>
    </row>
    <row r="692" spans="1:4">
      <c r="A692" s="79"/>
      <c r="B692" s="79" t="s">
        <v>1775</v>
      </c>
      <c r="C692" s="65" t="s">
        <v>2559</v>
      </c>
      <c r="D692" s="65"/>
    </row>
    <row r="693" spans="1:4">
      <c r="A693" s="80"/>
      <c r="B693" s="80"/>
      <c r="C693" s="65" t="s">
        <v>2418</v>
      </c>
      <c r="D693" s="65"/>
    </row>
    <row r="694" spans="1:4">
      <c r="A694" s="80"/>
      <c r="B694" s="80"/>
      <c r="C694" s="65" t="s">
        <v>1795</v>
      </c>
      <c r="D694" s="65"/>
    </row>
    <row r="695" spans="1:4">
      <c r="A695" s="80"/>
      <c r="B695" s="80"/>
      <c r="C695" s="65" t="s">
        <v>2560</v>
      </c>
      <c r="D695" s="65"/>
    </row>
    <row r="696" spans="1:4">
      <c r="A696" s="80"/>
      <c r="B696" s="80"/>
      <c r="C696" s="65" t="s">
        <v>804</v>
      </c>
      <c r="D696" s="65"/>
    </row>
    <row r="697" spans="1:4">
      <c r="A697" s="80"/>
      <c r="B697" s="80"/>
      <c r="C697" s="65" t="s">
        <v>122</v>
      </c>
      <c r="D697" s="65"/>
    </row>
    <row r="698" spans="1:4">
      <c r="A698" s="80"/>
      <c r="B698" s="80"/>
      <c r="C698" s="65" t="s">
        <v>2561</v>
      </c>
      <c r="D698" s="65"/>
    </row>
    <row r="699" spans="1:4">
      <c r="A699" s="80"/>
      <c r="B699" s="80"/>
      <c r="C699" s="65" t="s">
        <v>2562</v>
      </c>
      <c r="D699" s="65"/>
    </row>
    <row r="700" spans="1:4">
      <c r="A700" s="80"/>
      <c r="B700" s="80"/>
      <c r="C700" s="65" t="s">
        <v>240</v>
      </c>
      <c r="D700" s="65"/>
    </row>
    <row r="701" spans="1:4">
      <c r="A701" s="101"/>
      <c r="B701" s="101" t="s">
        <v>1776</v>
      </c>
      <c r="C701" s="62" t="s">
        <v>1478</v>
      </c>
      <c r="D701" s="62"/>
    </row>
    <row r="702" spans="1:4">
      <c r="A702" s="103"/>
      <c r="B702" s="103"/>
      <c r="C702" s="62" t="s">
        <v>828</v>
      </c>
      <c r="D702" s="62"/>
    </row>
    <row r="703" spans="1:4">
      <c r="A703" s="103"/>
      <c r="B703" s="103"/>
      <c r="C703" s="62" t="s">
        <v>2178</v>
      </c>
      <c r="D703" s="62"/>
    </row>
    <row r="704" spans="1:4">
      <c r="A704" s="103"/>
      <c r="B704" s="103"/>
      <c r="C704" s="62" t="s">
        <v>913</v>
      </c>
      <c r="D704" s="62"/>
    </row>
    <row r="705" spans="1:5">
      <c r="A705" s="103"/>
      <c r="B705" s="103"/>
      <c r="C705" s="62" t="s">
        <v>157</v>
      </c>
      <c r="D705" s="62"/>
    </row>
    <row r="706" spans="1:5">
      <c r="A706" s="103"/>
      <c r="B706" s="103"/>
      <c r="C706" s="62" t="s">
        <v>241</v>
      </c>
      <c r="D706" s="62"/>
    </row>
    <row r="707" spans="1:5">
      <c r="A707" s="103"/>
      <c r="B707" s="103"/>
      <c r="C707" s="62" t="s">
        <v>561</v>
      </c>
      <c r="D707" s="62"/>
    </row>
    <row r="708" spans="1:5">
      <c r="A708" s="103"/>
      <c r="B708" s="103"/>
      <c r="C708" s="62" t="s">
        <v>2180</v>
      </c>
      <c r="D708" s="62"/>
    </row>
    <row r="709" spans="1:5">
      <c r="A709" s="103"/>
      <c r="B709" s="103"/>
      <c r="C709" s="62" t="s">
        <v>185</v>
      </c>
      <c r="D709" s="62"/>
    </row>
    <row r="710" spans="1:5">
      <c r="A710" s="103"/>
      <c r="B710" s="103"/>
      <c r="C710" s="62" t="s">
        <v>889</v>
      </c>
      <c r="D710" s="62"/>
    </row>
    <row r="711" spans="1:5">
      <c r="A711" s="103"/>
      <c r="B711" s="103"/>
      <c r="C711" s="62" t="s">
        <v>178</v>
      </c>
      <c r="D711" s="62"/>
    </row>
    <row r="712" spans="1:5">
      <c r="A712" s="103"/>
      <c r="B712" s="103"/>
      <c r="C712" s="62" t="s">
        <v>309</v>
      </c>
      <c r="D712" s="62"/>
    </row>
    <row r="713" spans="1:5">
      <c r="A713" s="103"/>
      <c r="B713" s="103"/>
      <c r="C713" s="62" t="s">
        <v>2181</v>
      </c>
      <c r="D713" s="62"/>
    </row>
    <row r="714" spans="1:5">
      <c r="A714" s="103"/>
      <c r="B714" s="103"/>
      <c r="C714" s="62" t="s">
        <v>2182</v>
      </c>
      <c r="D714" s="62"/>
    </row>
    <row r="715" spans="1:5">
      <c r="A715" s="103"/>
      <c r="B715" s="103"/>
      <c r="C715" s="62" t="s">
        <v>217</v>
      </c>
      <c r="D715" s="62"/>
    </row>
    <row r="716" spans="1:5">
      <c r="A716" s="103"/>
      <c r="B716" s="103"/>
      <c r="C716" s="62" t="s">
        <v>2183</v>
      </c>
      <c r="D716" s="62" t="s">
        <v>2184</v>
      </c>
      <c r="E716" s="18" t="s">
        <v>1997</v>
      </c>
    </row>
    <row r="717" spans="1:5">
      <c r="A717" s="103"/>
      <c r="B717" s="103"/>
      <c r="C717" s="62" t="s">
        <v>357</v>
      </c>
      <c r="D717" s="62"/>
    </row>
    <row r="718" spans="1:5">
      <c r="A718" s="103"/>
      <c r="B718" s="103"/>
      <c r="C718" s="62" t="s">
        <v>860</v>
      </c>
      <c r="D718" s="62"/>
    </row>
    <row r="719" spans="1:5">
      <c r="A719" s="103"/>
      <c r="B719" s="103"/>
      <c r="C719" s="62" t="s">
        <v>150</v>
      </c>
      <c r="D719" s="62"/>
    </row>
    <row r="720" spans="1:5">
      <c r="A720" s="103"/>
      <c r="B720" s="103"/>
      <c r="C720" s="62" t="s">
        <v>2185</v>
      </c>
      <c r="D720" s="62"/>
    </row>
    <row r="721" spans="1:4">
      <c r="A721" s="103"/>
      <c r="B721" s="103"/>
      <c r="C721" s="62" t="s">
        <v>834</v>
      </c>
      <c r="D721" s="62"/>
    </row>
    <row r="722" spans="1:4">
      <c r="A722" s="103"/>
      <c r="B722" s="103"/>
      <c r="C722" s="62" t="s">
        <v>793</v>
      </c>
      <c r="D722" s="62"/>
    </row>
    <row r="723" spans="1:4">
      <c r="A723" s="103"/>
      <c r="B723" s="103"/>
      <c r="C723" s="62" t="s">
        <v>936</v>
      </c>
      <c r="D723" s="62"/>
    </row>
    <row r="724" spans="1:4">
      <c r="A724" s="103"/>
      <c r="B724" s="103"/>
      <c r="C724" s="62" t="s">
        <v>692</v>
      </c>
      <c r="D724" s="62"/>
    </row>
    <row r="725" spans="1:4">
      <c r="A725" s="103"/>
      <c r="B725" s="103"/>
      <c r="C725" s="62" t="s">
        <v>705</v>
      </c>
      <c r="D725" s="62"/>
    </row>
    <row r="726" spans="1:4">
      <c r="A726" s="103"/>
      <c r="B726" s="103"/>
      <c r="C726" s="62" t="s">
        <v>726</v>
      </c>
      <c r="D726" s="62"/>
    </row>
    <row r="727" spans="1:4">
      <c r="A727" s="103"/>
      <c r="B727" s="103"/>
      <c r="C727" s="62" t="s">
        <v>204</v>
      </c>
      <c r="D727" s="62"/>
    </row>
    <row r="728" spans="1:4">
      <c r="A728" s="103"/>
      <c r="B728" s="103"/>
      <c r="C728" s="62" t="s">
        <v>170</v>
      </c>
      <c r="D728" s="62"/>
    </row>
    <row r="729" spans="1:4">
      <c r="A729" s="103"/>
      <c r="B729" s="103"/>
      <c r="C729" s="62" t="s">
        <v>138</v>
      </c>
      <c r="D729" s="62"/>
    </row>
    <row r="730" spans="1:4">
      <c r="A730" s="103"/>
      <c r="B730" s="103"/>
      <c r="C730" s="62" t="s">
        <v>837</v>
      </c>
      <c r="D730" s="62"/>
    </row>
    <row r="731" spans="1:4">
      <c r="A731" s="103"/>
      <c r="B731" s="103"/>
      <c r="C731" s="62" t="s">
        <v>2186</v>
      </c>
      <c r="D731" s="62"/>
    </row>
    <row r="732" spans="1:4">
      <c r="A732" s="103"/>
      <c r="B732" s="103"/>
      <c r="C732" s="62" t="s">
        <v>2187</v>
      </c>
      <c r="D732" s="62"/>
    </row>
    <row r="733" spans="1:4">
      <c r="A733" s="103"/>
      <c r="B733" s="103"/>
      <c r="C733" s="62" t="s">
        <v>2188</v>
      </c>
      <c r="D733" s="62"/>
    </row>
    <row r="734" spans="1:4">
      <c r="A734" s="103"/>
      <c r="B734" s="103"/>
      <c r="C734" s="62" t="s">
        <v>2189</v>
      </c>
      <c r="D734" s="62"/>
    </row>
    <row r="735" spans="1:4">
      <c r="A735" s="103"/>
      <c r="B735" s="103"/>
      <c r="C735" s="62" t="s">
        <v>2190</v>
      </c>
      <c r="D735" s="62"/>
    </row>
    <row r="736" spans="1:4">
      <c r="A736" s="103"/>
      <c r="B736" s="103"/>
      <c r="C736" s="62" t="s">
        <v>2191</v>
      </c>
      <c r="D736" s="62"/>
    </row>
    <row r="737" spans="1:4">
      <c r="A737" s="103"/>
      <c r="B737" s="103"/>
      <c r="C737" s="62" t="s">
        <v>2192</v>
      </c>
      <c r="D737" s="62"/>
    </row>
    <row r="738" spans="1:4">
      <c r="A738" s="103"/>
      <c r="B738" s="103"/>
      <c r="C738" s="62" t="s">
        <v>2193</v>
      </c>
      <c r="D738" s="62"/>
    </row>
    <row r="739" spans="1:4">
      <c r="A739" s="103"/>
      <c r="B739" s="103"/>
      <c r="C739" s="62" t="s">
        <v>787</v>
      </c>
      <c r="D739" s="62"/>
    </row>
    <row r="740" spans="1:4">
      <c r="A740" s="103"/>
      <c r="B740" s="103"/>
      <c r="C740" s="62" t="s">
        <v>965</v>
      </c>
      <c r="D740" s="62"/>
    </row>
    <row r="741" spans="1:4">
      <c r="A741" s="103"/>
      <c r="B741" s="103"/>
      <c r="C741" s="62" t="s">
        <v>556</v>
      </c>
      <c r="D741" s="62"/>
    </row>
    <row r="742" spans="1:4">
      <c r="A742" s="103"/>
      <c r="B742" s="103"/>
      <c r="C742" s="62" t="s">
        <v>467</v>
      </c>
      <c r="D742" s="62"/>
    </row>
    <row r="743" spans="1:4">
      <c r="A743" s="103"/>
      <c r="B743" s="103"/>
      <c r="C743" s="62" t="s">
        <v>2194</v>
      </c>
      <c r="D743" s="62"/>
    </row>
    <row r="744" spans="1:4">
      <c r="A744" s="103"/>
      <c r="B744" s="103"/>
      <c r="C744" s="62" t="s">
        <v>597</v>
      </c>
      <c r="D744" s="62"/>
    </row>
    <row r="745" spans="1:4">
      <c r="A745" s="103"/>
      <c r="B745" s="103"/>
      <c r="C745" s="62" t="s">
        <v>2195</v>
      </c>
      <c r="D745" s="62"/>
    </row>
    <row r="746" spans="1:4">
      <c r="A746" s="103"/>
      <c r="B746" s="103"/>
      <c r="C746" s="62" t="s">
        <v>2196</v>
      </c>
      <c r="D746" s="62"/>
    </row>
    <row r="747" spans="1:4">
      <c r="A747" s="103"/>
      <c r="B747" s="103"/>
      <c r="C747" s="62" t="s">
        <v>2197</v>
      </c>
      <c r="D747" s="62"/>
    </row>
    <row r="748" spans="1:4">
      <c r="A748" s="103"/>
      <c r="B748" s="103"/>
      <c r="C748" s="62" t="s">
        <v>633</v>
      </c>
      <c r="D748" s="62"/>
    </row>
    <row r="749" spans="1:4">
      <c r="A749" s="103"/>
      <c r="B749" s="103"/>
      <c r="C749" s="62" t="s">
        <v>1543</v>
      </c>
      <c r="D749" s="62"/>
    </row>
    <row r="750" spans="1:4">
      <c r="A750" s="103"/>
      <c r="B750" s="103"/>
      <c r="C750" s="62" t="s">
        <v>30</v>
      </c>
      <c r="D750" s="62"/>
    </row>
    <row r="751" spans="1:4">
      <c r="A751" s="103"/>
      <c r="B751" s="103"/>
      <c r="C751" s="62" t="s">
        <v>1990</v>
      </c>
      <c r="D751" s="62"/>
    </row>
    <row r="752" spans="1:4">
      <c r="A752" s="103"/>
      <c r="B752" s="103"/>
      <c r="C752" s="62" t="s">
        <v>1991</v>
      </c>
      <c r="D752" s="62"/>
    </row>
    <row r="753" spans="1:4">
      <c r="A753" s="103"/>
      <c r="B753" s="103"/>
      <c r="C753" s="62" t="s">
        <v>1992</v>
      </c>
      <c r="D753" s="62"/>
    </row>
    <row r="754" spans="1:4">
      <c r="A754" s="103"/>
      <c r="B754" s="103"/>
      <c r="C754" s="62" t="s">
        <v>1993</v>
      </c>
      <c r="D754" s="62"/>
    </row>
    <row r="755" spans="1:4">
      <c r="A755" s="103"/>
      <c r="B755" s="103"/>
      <c r="C755" s="62" t="s">
        <v>1994</v>
      </c>
      <c r="D755" s="62"/>
    </row>
    <row r="756" spans="1:4">
      <c r="A756" s="103"/>
      <c r="B756" s="103"/>
      <c r="C756" s="62" t="s">
        <v>1995</v>
      </c>
      <c r="D756" s="62"/>
    </row>
    <row r="757" spans="1:4">
      <c r="A757" s="103"/>
      <c r="B757" s="103"/>
      <c r="C757" s="62" t="s">
        <v>1996</v>
      </c>
      <c r="D757" s="62"/>
    </row>
    <row r="758" spans="1:4">
      <c r="A758" s="103"/>
      <c r="B758" s="103"/>
      <c r="C758" s="62" t="s">
        <v>1998</v>
      </c>
      <c r="D758" s="62"/>
    </row>
    <row r="759" spans="1:4">
      <c r="A759" s="103"/>
      <c r="B759" s="103"/>
      <c r="C759" s="62" t="s">
        <v>1999</v>
      </c>
      <c r="D759" s="62"/>
    </row>
    <row r="760" spans="1:4">
      <c r="A760" s="103"/>
      <c r="B760" s="103"/>
      <c r="C760" s="62" t="s">
        <v>1487</v>
      </c>
      <c r="D760" s="62"/>
    </row>
    <row r="761" spans="1:4">
      <c r="A761" s="103"/>
      <c r="B761" s="103"/>
      <c r="C761" s="62" t="s">
        <v>2000</v>
      </c>
      <c r="D761" s="62"/>
    </row>
    <row r="762" spans="1:4">
      <c r="A762" s="103"/>
      <c r="B762" s="103"/>
      <c r="C762" s="62" t="s">
        <v>1408</v>
      </c>
      <c r="D762" s="62"/>
    </row>
    <row r="763" spans="1:4">
      <c r="A763" s="103"/>
      <c r="B763" s="103"/>
      <c r="C763" s="62" t="s">
        <v>2001</v>
      </c>
      <c r="D763" s="62"/>
    </row>
    <row r="764" spans="1:4">
      <c r="A764" s="103"/>
      <c r="B764" s="103"/>
      <c r="C764" s="62" t="s">
        <v>2002</v>
      </c>
      <c r="D764" s="62"/>
    </row>
    <row r="765" spans="1:4">
      <c r="A765" s="103"/>
      <c r="B765" s="103"/>
      <c r="C765" s="62" t="s">
        <v>2003</v>
      </c>
      <c r="D765" s="62"/>
    </row>
    <row r="766" spans="1:4">
      <c r="A766" s="103"/>
      <c r="B766" s="103"/>
      <c r="C766" s="62" t="s">
        <v>1074</v>
      </c>
      <c r="D766" s="62"/>
    </row>
    <row r="767" spans="1:4">
      <c r="A767" s="103"/>
      <c r="B767" s="103"/>
      <c r="C767" s="62" t="s">
        <v>168</v>
      </c>
      <c r="D767" s="62"/>
    </row>
    <row r="768" spans="1:4">
      <c r="A768" s="103"/>
      <c r="B768" s="103"/>
      <c r="C768" s="62" t="s">
        <v>2004</v>
      </c>
      <c r="D768" s="62"/>
    </row>
    <row r="769" spans="1:5">
      <c r="A769" s="103"/>
      <c r="B769" s="103"/>
      <c r="C769" s="62" t="s">
        <v>2005</v>
      </c>
      <c r="D769" s="62"/>
    </row>
    <row r="770" spans="1:5">
      <c r="A770" s="103"/>
      <c r="B770" s="103"/>
      <c r="C770" s="62" t="s">
        <v>2006</v>
      </c>
      <c r="D770" s="62"/>
    </row>
    <row r="771" spans="1:5">
      <c r="A771" s="103"/>
      <c r="B771" s="103"/>
      <c r="C771" s="62" t="s">
        <v>2007</v>
      </c>
      <c r="D771" s="62"/>
    </row>
    <row r="772" spans="1:5">
      <c r="A772" s="103"/>
      <c r="B772" s="103"/>
      <c r="C772" s="62" t="s">
        <v>2008</v>
      </c>
      <c r="D772" s="62"/>
    </row>
    <row r="773" spans="1:5">
      <c r="A773" s="103"/>
      <c r="B773" s="103"/>
      <c r="C773" s="62" t="s">
        <v>2009</v>
      </c>
      <c r="D773" s="62"/>
    </row>
    <row r="774" spans="1:5">
      <c r="A774" s="103"/>
      <c r="B774" s="103"/>
      <c r="C774" s="62" t="s">
        <v>2010</v>
      </c>
      <c r="D774" s="62"/>
    </row>
    <row r="775" spans="1:5">
      <c r="A775" s="103"/>
      <c r="B775" s="103"/>
      <c r="C775" s="62" t="s">
        <v>2011</v>
      </c>
      <c r="D775" s="62"/>
    </row>
    <row r="776" spans="1:5">
      <c r="A776" s="103"/>
      <c r="B776" s="103"/>
      <c r="C776" s="62" t="s">
        <v>720</v>
      </c>
      <c r="D776" s="62"/>
    </row>
    <row r="777" spans="1:5">
      <c r="A777" s="103"/>
      <c r="B777" s="103"/>
      <c r="C777" s="62" t="s">
        <v>2012</v>
      </c>
      <c r="D777" s="62"/>
    </row>
    <row r="778" spans="1:5">
      <c r="A778" s="103"/>
      <c r="B778" s="103"/>
      <c r="C778" s="62" t="s">
        <v>2013</v>
      </c>
      <c r="D778" s="62"/>
    </row>
    <row r="779" spans="1:5">
      <c r="A779" s="103"/>
      <c r="B779" s="103"/>
      <c r="C779" s="62" t="s">
        <v>2014</v>
      </c>
      <c r="D779" s="62"/>
    </row>
    <row r="780" spans="1:5">
      <c r="A780" s="103"/>
      <c r="B780" s="103"/>
      <c r="C780" s="62" t="s">
        <v>2015</v>
      </c>
      <c r="D780" s="62"/>
    </row>
    <row r="781" spans="1:5">
      <c r="A781" s="103"/>
      <c r="B781" s="103"/>
      <c r="C781" s="62" t="s">
        <v>905</v>
      </c>
      <c r="D781" s="62"/>
    </row>
    <row r="782" spans="1:5">
      <c r="A782" s="103"/>
      <c r="B782" s="103"/>
      <c r="C782" s="62" t="s">
        <v>2016</v>
      </c>
      <c r="D782" s="62"/>
      <c r="E782" s="18" t="s">
        <v>1997</v>
      </c>
    </row>
    <row r="783" spans="1:5">
      <c r="A783" s="103"/>
      <c r="B783" s="103"/>
      <c r="C783" s="62" t="s">
        <v>2017</v>
      </c>
      <c r="D783" s="62"/>
      <c r="E783" s="18" t="s">
        <v>1997</v>
      </c>
    </row>
    <row r="784" spans="1:5">
      <c r="A784" s="103"/>
      <c r="B784" s="103"/>
      <c r="C784" s="62" t="s">
        <v>2020</v>
      </c>
      <c r="D784" s="62"/>
      <c r="E784" s="18" t="s">
        <v>1997</v>
      </c>
    </row>
    <row r="785" spans="1:5">
      <c r="A785" s="103"/>
      <c r="B785" s="103"/>
      <c r="C785" s="62" t="s">
        <v>1285</v>
      </c>
      <c r="D785" s="62"/>
    </row>
    <row r="786" spans="1:5">
      <c r="A786" s="103"/>
      <c r="B786" s="103"/>
      <c r="C786" s="62" t="s">
        <v>2021</v>
      </c>
      <c r="D786" s="62"/>
    </row>
    <row r="787" spans="1:5">
      <c r="A787" s="103"/>
      <c r="B787" s="103"/>
      <c r="C787" s="62" t="s">
        <v>2022</v>
      </c>
      <c r="D787" s="62"/>
    </row>
    <row r="788" spans="1:5">
      <c r="A788" s="103"/>
      <c r="B788" s="103"/>
      <c r="C788" s="62" t="s">
        <v>2023</v>
      </c>
      <c r="D788" s="62"/>
    </row>
    <row r="789" spans="1:5">
      <c r="A789" s="103"/>
      <c r="B789" s="103"/>
      <c r="C789" s="62" t="s">
        <v>2024</v>
      </c>
      <c r="D789" s="62"/>
    </row>
    <row r="790" spans="1:5">
      <c r="A790" s="103"/>
      <c r="B790" s="103"/>
      <c r="C790" s="62" t="s">
        <v>2025</v>
      </c>
      <c r="D790" s="62"/>
      <c r="E790" s="18" t="s">
        <v>1997</v>
      </c>
    </row>
    <row r="791" spans="1:5">
      <c r="A791" s="103"/>
      <c r="B791" s="103"/>
      <c r="C791" s="62" t="s">
        <v>2026</v>
      </c>
      <c r="D791" s="62"/>
    </row>
    <row r="792" spans="1:5">
      <c r="A792" s="103"/>
      <c r="B792" s="103"/>
      <c r="C792" s="62" t="s">
        <v>2027</v>
      </c>
      <c r="D792" s="62"/>
    </row>
    <row r="793" spans="1:5">
      <c r="A793" s="103"/>
      <c r="B793" s="103"/>
      <c r="C793" s="62" t="s">
        <v>2028</v>
      </c>
      <c r="D793" s="62"/>
    </row>
    <row r="794" spans="1:5">
      <c r="A794" s="103"/>
      <c r="B794" s="103"/>
      <c r="C794" s="62" t="s">
        <v>2563</v>
      </c>
      <c r="D794" s="62"/>
    </row>
    <row r="795" spans="1:5">
      <c r="A795" s="103"/>
      <c r="B795" s="103"/>
      <c r="C795" s="62" t="s">
        <v>1403</v>
      </c>
      <c r="D795" s="62"/>
    </row>
    <row r="796" spans="1:5">
      <c r="A796" s="103"/>
      <c r="B796" s="103"/>
      <c r="C796" s="62" t="s">
        <v>2029</v>
      </c>
      <c r="D796" s="62"/>
    </row>
    <row r="797" spans="1:5">
      <c r="A797" s="103"/>
      <c r="B797" s="103"/>
      <c r="C797" s="62" t="s">
        <v>2030</v>
      </c>
      <c r="D797" s="62"/>
    </row>
    <row r="798" spans="1:5">
      <c r="A798" s="103"/>
      <c r="B798" s="103"/>
      <c r="C798" s="62" t="s">
        <v>2031</v>
      </c>
      <c r="D798" s="62"/>
    </row>
    <row r="799" spans="1:5">
      <c r="A799" s="103"/>
      <c r="B799" s="103"/>
      <c r="C799" s="62" t="s">
        <v>2032</v>
      </c>
      <c r="D799" s="62"/>
    </row>
    <row r="800" spans="1:5">
      <c r="A800" s="103"/>
      <c r="B800" s="103"/>
      <c r="C800" s="62" t="s">
        <v>2033</v>
      </c>
      <c r="D800" s="62"/>
    </row>
    <row r="801" spans="1:5">
      <c r="A801" s="103"/>
      <c r="B801" s="103"/>
      <c r="C801" s="62" t="s">
        <v>2034</v>
      </c>
      <c r="D801" s="62"/>
    </row>
    <row r="802" spans="1:5">
      <c r="A802" s="103"/>
      <c r="B802" s="103"/>
      <c r="C802" s="62" t="s">
        <v>2035</v>
      </c>
      <c r="D802" s="62"/>
    </row>
    <row r="803" spans="1:5">
      <c r="A803" s="103"/>
      <c r="B803" s="103"/>
      <c r="C803" s="62" t="s">
        <v>2036</v>
      </c>
      <c r="D803" s="62"/>
    </row>
    <row r="804" spans="1:5">
      <c r="A804" s="103"/>
      <c r="B804" s="103"/>
      <c r="C804" s="62" t="s">
        <v>2037</v>
      </c>
      <c r="D804" s="62"/>
    </row>
    <row r="805" spans="1:5">
      <c r="A805" s="103"/>
      <c r="B805" s="103"/>
      <c r="C805" s="62" t="s">
        <v>2038</v>
      </c>
      <c r="D805" s="62"/>
    </row>
    <row r="806" spans="1:5">
      <c r="A806" s="103"/>
      <c r="B806" s="103"/>
      <c r="C806" s="62" t="s">
        <v>2039</v>
      </c>
      <c r="D806" s="62"/>
    </row>
    <row r="807" spans="1:5">
      <c r="A807" s="103"/>
      <c r="B807" s="103"/>
      <c r="C807" s="62" t="s">
        <v>2040</v>
      </c>
      <c r="D807" s="62"/>
    </row>
    <row r="808" spans="1:5">
      <c r="A808" s="103"/>
      <c r="B808" s="103"/>
      <c r="C808" s="62" t="s">
        <v>2042</v>
      </c>
      <c r="D808" s="62"/>
    </row>
    <row r="809" spans="1:5">
      <c r="A809" s="103"/>
      <c r="B809" s="103"/>
      <c r="C809" s="62" t="s">
        <v>2041</v>
      </c>
      <c r="D809" s="62"/>
      <c r="E809" s="18" t="s">
        <v>1997</v>
      </c>
    </row>
    <row r="810" spans="1:5">
      <c r="A810" s="103"/>
      <c r="B810" s="103"/>
      <c r="C810" s="62" t="s">
        <v>1272</v>
      </c>
      <c r="D810" s="62"/>
    </row>
    <row r="811" spans="1:5">
      <c r="A811" s="103"/>
      <c r="B811" s="103"/>
      <c r="C811" s="62" t="s">
        <v>2043</v>
      </c>
      <c r="D811" s="62"/>
    </row>
    <row r="812" spans="1:5">
      <c r="A812" s="103"/>
      <c r="B812" s="103"/>
      <c r="C812" s="62" t="s">
        <v>2044</v>
      </c>
      <c r="D812" s="62"/>
    </row>
    <row r="813" spans="1:5">
      <c r="A813" s="103"/>
      <c r="B813" s="103"/>
      <c r="C813" s="62" t="s">
        <v>2045</v>
      </c>
      <c r="D813" s="62"/>
    </row>
    <row r="814" spans="1:5">
      <c r="A814" s="103"/>
      <c r="B814" s="103"/>
      <c r="C814" s="62" t="s">
        <v>2046</v>
      </c>
      <c r="D814" s="62"/>
    </row>
    <row r="815" spans="1:5">
      <c r="A815" s="103"/>
      <c r="B815" s="103"/>
      <c r="C815" s="62" t="s">
        <v>2047</v>
      </c>
      <c r="D815" s="62"/>
    </row>
    <row r="816" spans="1:5">
      <c r="A816" s="103"/>
      <c r="B816" s="103"/>
      <c r="C816" s="62" t="s">
        <v>2048</v>
      </c>
      <c r="D816" s="62"/>
    </row>
    <row r="817" spans="1:4">
      <c r="A817" s="103"/>
      <c r="B817" s="103"/>
      <c r="C817" s="62" t="s">
        <v>2049</v>
      </c>
      <c r="D817" s="62"/>
    </row>
    <row r="818" spans="1:4">
      <c r="A818" s="103"/>
      <c r="B818" s="103"/>
      <c r="C818" s="62" t="s">
        <v>2050</v>
      </c>
      <c r="D818" s="62"/>
    </row>
    <row r="819" spans="1:4">
      <c r="A819" s="103"/>
      <c r="B819" s="103"/>
      <c r="C819" s="62" t="s">
        <v>2051</v>
      </c>
      <c r="D819" s="62"/>
    </row>
    <row r="820" spans="1:4">
      <c r="A820" s="103"/>
      <c r="B820" s="103"/>
      <c r="C820" s="62" t="s">
        <v>2052</v>
      </c>
      <c r="D820" s="62"/>
    </row>
    <row r="821" spans="1:4">
      <c r="A821" s="103"/>
      <c r="B821" s="103"/>
      <c r="C821" s="62" t="s">
        <v>2053</v>
      </c>
      <c r="D821" s="62"/>
    </row>
    <row r="822" spans="1:4">
      <c r="A822" s="103"/>
      <c r="B822" s="103"/>
      <c r="C822" s="62" t="s">
        <v>2054</v>
      </c>
      <c r="D822" s="62"/>
    </row>
    <row r="823" spans="1:4">
      <c r="A823" s="103"/>
      <c r="B823" s="103"/>
      <c r="C823" s="62" t="s">
        <v>2055</v>
      </c>
      <c r="D823" s="62"/>
    </row>
    <row r="824" spans="1:4">
      <c r="A824" s="103"/>
      <c r="B824" s="103"/>
      <c r="C824" s="62" t="s">
        <v>2056</v>
      </c>
      <c r="D824" s="62"/>
    </row>
    <row r="825" spans="1:4">
      <c r="A825" s="103"/>
      <c r="B825" s="103"/>
      <c r="C825" s="62" t="s">
        <v>1652</v>
      </c>
      <c r="D825" s="62"/>
    </row>
    <row r="826" spans="1:4">
      <c r="A826" s="103"/>
      <c r="B826" s="103"/>
      <c r="C826" s="62" t="s">
        <v>2057</v>
      </c>
      <c r="D826" s="62"/>
    </row>
    <row r="827" spans="1:4">
      <c r="A827" s="103"/>
      <c r="B827" s="103"/>
      <c r="C827" s="62" t="s">
        <v>2058</v>
      </c>
      <c r="D827" s="62"/>
    </row>
    <row r="828" spans="1:4">
      <c r="A828" s="103"/>
      <c r="B828" s="103"/>
      <c r="C828" s="62" t="s">
        <v>2059</v>
      </c>
      <c r="D828" s="62"/>
    </row>
    <row r="829" spans="1:4">
      <c r="A829" s="103"/>
      <c r="B829" s="103"/>
      <c r="C829" s="62" t="s">
        <v>2060</v>
      </c>
      <c r="D829" s="62"/>
    </row>
    <row r="830" spans="1:4">
      <c r="A830" s="103"/>
      <c r="B830" s="103"/>
      <c r="C830" s="62" t="s">
        <v>2061</v>
      </c>
      <c r="D830" s="62"/>
    </row>
    <row r="831" spans="1:4">
      <c r="A831" s="103"/>
      <c r="B831" s="103"/>
      <c r="C831" s="62" t="s">
        <v>2564</v>
      </c>
      <c r="D831" s="140" t="s">
        <v>2565</v>
      </c>
    </row>
    <row r="832" spans="1:4">
      <c r="A832" s="103"/>
      <c r="B832" s="103"/>
      <c r="C832" s="62" t="s">
        <v>2566</v>
      </c>
      <c r="D832" s="140" t="s">
        <v>2070</v>
      </c>
    </row>
    <row r="833" spans="1:4">
      <c r="A833" s="103"/>
      <c r="B833" s="103"/>
      <c r="C833" s="62" t="s">
        <v>2567</v>
      </c>
      <c r="D833" s="140" t="s">
        <v>2070</v>
      </c>
    </row>
    <row r="834" spans="1:4" ht="15">
      <c r="A834" s="103"/>
      <c r="B834" s="103"/>
      <c r="C834" s="62" t="s">
        <v>2568</v>
      </c>
      <c r="D834" s="138"/>
    </row>
    <row r="835" spans="1:4">
      <c r="A835" s="103"/>
      <c r="B835" s="103"/>
      <c r="C835" s="62" t="s">
        <v>833</v>
      </c>
      <c r="D835" s="62"/>
    </row>
    <row r="836" spans="1:4">
      <c r="A836" s="103"/>
      <c r="B836" s="103"/>
      <c r="C836" s="62" t="s">
        <v>2063</v>
      </c>
      <c r="D836" s="62"/>
    </row>
    <row r="837" spans="1:4">
      <c r="A837" s="103"/>
      <c r="B837" s="103"/>
      <c r="C837" s="62" t="s">
        <v>2064</v>
      </c>
      <c r="D837" s="62"/>
    </row>
    <row r="838" spans="1:4">
      <c r="A838" s="103"/>
      <c r="B838" s="103"/>
      <c r="C838" s="62" t="s">
        <v>1113</v>
      </c>
      <c r="D838" s="62"/>
    </row>
    <row r="839" spans="1:4">
      <c r="A839" s="103"/>
      <c r="B839" s="103"/>
      <c r="C839" s="62" t="s">
        <v>1213</v>
      </c>
      <c r="D839" s="62"/>
    </row>
    <row r="840" spans="1:4">
      <c r="A840" s="103"/>
      <c r="B840" s="103"/>
      <c r="C840" s="62" t="s">
        <v>2062</v>
      </c>
      <c r="D840" s="62"/>
    </row>
    <row r="841" spans="1:4">
      <c r="A841" s="103"/>
      <c r="B841" s="103"/>
      <c r="C841" s="62" t="s">
        <v>2065</v>
      </c>
      <c r="D841" s="62"/>
    </row>
    <row r="842" spans="1:4">
      <c r="A842" s="103"/>
      <c r="B842" s="103"/>
      <c r="C842" s="62" t="s">
        <v>2569</v>
      </c>
      <c r="D842" s="62"/>
    </row>
    <row r="843" spans="1:4">
      <c r="A843" s="103"/>
      <c r="B843" s="103"/>
      <c r="C843" s="62" t="s">
        <v>2570</v>
      </c>
      <c r="D843" s="62"/>
    </row>
    <row r="844" spans="1:4">
      <c r="A844" s="103"/>
      <c r="B844" s="103"/>
      <c r="C844" s="62" t="s">
        <v>1796</v>
      </c>
      <c r="D844" s="62"/>
    </row>
    <row r="845" spans="1:4">
      <c r="A845" s="103"/>
      <c r="B845" s="103"/>
      <c r="C845" s="62" t="s">
        <v>2571</v>
      </c>
      <c r="D845" s="62"/>
    </row>
    <row r="846" spans="1:4">
      <c r="A846" s="103"/>
      <c r="B846" s="103"/>
      <c r="C846" s="62" t="s">
        <v>2572</v>
      </c>
      <c r="D846" s="62"/>
    </row>
    <row r="847" spans="1:4">
      <c r="A847" s="103"/>
      <c r="B847" s="103"/>
      <c r="C847" s="62" t="s">
        <v>2573</v>
      </c>
      <c r="D847" s="62"/>
    </row>
    <row r="848" spans="1:4">
      <c r="A848" s="103"/>
      <c r="B848" s="103"/>
      <c r="C848" s="62" t="s">
        <v>2574</v>
      </c>
      <c r="D848" s="62"/>
    </row>
    <row r="849" spans="1:4">
      <c r="A849" s="103"/>
      <c r="B849" s="103"/>
      <c r="C849" s="62" t="s">
        <v>2575</v>
      </c>
      <c r="D849" s="62"/>
    </row>
    <row r="850" spans="1:4">
      <c r="A850" s="103"/>
      <c r="B850" s="103"/>
      <c r="C850" s="62" t="s">
        <v>240</v>
      </c>
      <c r="D850" s="62"/>
    </row>
    <row r="851" spans="1:4">
      <c r="A851" s="76" t="s">
        <v>1788</v>
      </c>
      <c r="B851" s="76"/>
      <c r="C851" s="65" t="s">
        <v>763</v>
      </c>
      <c r="D851" s="65"/>
    </row>
    <row r="852" spans="1:4">
      <c r="A852" s="77"/>
      <c r="B852" s="77"/>
      <c r="C852" s="65" t="s">
        <v>139</v>
      </c>
      <c r="D852" s="65"/>
    </row>
    <row r="853" spans="1:4">
      <c r="A853" s="103" t="s">
        <v>2576</v>
      </c>
      <c r="B853" s="103" t="s">
        <v>5</v>
      </c>
      <c r="C853" s="62" t="s">
        <v>2577</v>
      </c>
      <c r="D853" s="62"/>
    </row>
    <row r="854" spans="1:4">
      <c r="A854" s="103"/>
      <c r="B854" s="103"/>
      <c r="C854" s="62" t="s">
        <v>2578</v>
      </c>
      <c r="D854" s="62"/>
    </row>
    <row r="855" spans="1:4">
      <c r="A855" s="103"/>
      <c r="B855" s="103"/>
      <c r="C855" s="62" t="s">
        <v>2579</v>
      </c>
      <c r="D855" s="62"/>
    </row>
    <row r="856" spans="1:4">
      <c r="A856" s="103"/>
      <c r="B856" s="103"/>
      <c r="C856" s="62" t="s">
        <v>2580</v>
      </c>
      <c r="D856" s="62"/>
    </row>
    <row r="857" spans="1:4">
      <c r="A857" s="103"/>
      <c r="B857" s="103"/>
      <c r="C857" s="62" t="s">
        <v>2581</v>
      </c>
      <c r="D857" s="62"/>
    </row>
    <row r="858" spans="1:4">
      <c r="A858" s="103"/>
      <c r="B858" s="103"/>
      <c r="C858" s="62" t="s">
        <v>2582</v>
      </c>
      <c r="D858" s="62"/>
    </row>
    <row r="859" spans="1:4">
      <c r="A859" s="103"/>
      <c r="B859" s="103"/>
      <c r="C859" s="62" t="s">
        <v>2583</v>
      </c>
      <c r="D859" s="62"/>
    </row>
    <row r="860" spans="1:4">
      <c r="A860" s="103"/>
      <c r="B860" s="103"/>
      <c r="C860" s="62" t="s">
        <v>2584</v>
      </c>
      <c r="D860" s="62"/>
    </row>
    <row r="861" spans="1:4">
      <c r="A861" s="103"/>
      <c r="B861" s="103"/>
      <c r="C861" s="62" t="s">
        <v>2585</v>
      </c>
      <c r="D861" s="62"/>
    </row>
    <row r="862" spans="1:4">
      <c r="A862" s="76" t="s">
        <v>2586</v>
      </c>
      <c r="B862" s="76" t="s">
        <v>5</v>
      </c>
      <c r="C862" s="65" t="s">
        <v>29</v>
      </c>
      <c r="D862" s="65"/>
    </row>
    <row r="863" spans="1:4">
      <c r="A863" s="77"/>
      <c r="B863" s="77"/>
      <c r="C863" s="65" t="s">
        <v>2587</v>
      </c>
      <c r="D863" s="65"/>
    </row>
    <row r="864" spans="1:4">
      <c r="A864" s="77"/>
      <c r="B864" s="77"/>
      <c r="C864" s="65" t="s">
        <v>43</v>
      </c>
      <c r="D864" s="65"/>
    </row>
    <row r="865" spans="1:4">
      <c r="A865" s="77"/>
      <c r="B865" s="77"/>
      <c r="C865" s="65" t="s">
        <v>90</v>
      </c>
      <c r="D865" s="65"/>
    </row>
    <row r="866" spans="1:4">
      <c r="A866" s="77"/>
      <c r="B866" s="77"/>
      <c r="C866" s="65" t="s">
        <v>2588</v>
      </c>
      <c r="D866" s="65"/>
    </row>
    <row r="867" spans="1:4">
      <c r="A867" s="77"/>
      <c r="B867" s="77"/>
      <c r="C867" s="65" t="s">
        <v>2589</v>
      </c>
      <c r="D867" s="65"/>
    </row>
    <row r="868" spans="1:4">
      <c r="A868" s="77"/>
      <c r="B868" s="77"/>
      <c r="C868" s="65" t="s">
        <v>48</v>
      </c>
      <c r="D868" s="65"/>
    </row>
    <row r="869" spans="1:4">
      <c r="A869" s="77"/>
      <c r="B869" s="77"/>
      <c r="C869" s="65" t="s">
        <v>2590</v>
      </c>
      <c r="D869" s="65"/>
    </row>
    <row r="870" spans="1:4">
      <c r="A870" s="103" t="s">
        <v>2591</v>
      </c>
      <c r="B870" s="103" t="s">
        <v>5</v>
      </c>
      <c r="C870" s="62" t="s">
        <v>29</v>
      </c>
      <c r="D870" s="62"/>
    </row>
    <row r="871" spans="1:4">
      <c r="A871" s="103"/>
      <c r="B871" s="103"/>
      <c r="C871" s="62" t="s">
        <v>43</v>
      </c>
      <c r="D871" s="62"/>
    </row>
    <row r="872" spans="1:4">
      <c r="A872" s="103"/>
      <c r="B872" s="103"/>
      <c r="C872" s="62" t="s">
        <v>2588</v>
      </c>
      <c r="D872" s="62"/>
    </row>
    <row r="873" spans="1:4">
      <c r="A873" s="103"/>
      <c r="B873" s="103"/>
      <c r="C873" s="62" t="s">
        <v>240</v>
      </c>
      <c r="D873" s="62"/>
    </row>
    <row r="874" spans="1:4">
      <c r="A874" s="76" t="s">
        <v>2592</v>
      </c>
      <c r="B874" s="76" t="s">
        <v>5</v>
      </c>
      <c r="C874" s="65" t="s">
        <v>161</v>
      </c>
      <c r="D874" s="65"/>
    </row>
    <row r="875" spans="1:4">
      <c r="A875" s="77"/>
      <c r="B875" s="77"/>
      <c r="C875" s="65" t="s">
        <v>149</v>
      </c>
      <c r="D875" s="65"/>
    </row>
    <row r="876" spans="1:4">
      <c r="A876" s="77"/>
      <c r="B876" s="77"/>
      <c r="C876" s="65" t="s">
        <v>136</v>
      </c>
      <c r="D876" s="65"/>
    </row>
    <row r="877" spans="1:4">
      <c r="A877" s="77"/>
      <c r="B877" s="77"/>
      <c r="C877" s="65" t="s">
        <v>2423</v>
      </c>
      <c r="D877" s="65"/>
    </row>
    <row r="878" spans="1:4">
      <c r="A878" s="77"/>
      <c r="B878" s="77"/>
      <c r="C878" s="65" t="s">
        <v>2593</v>
      </c>
      <c r="D878" s="65"/>
    </row>
    <row r="879" spans="1:4">
      <c r="A879" s="77"/>
      <c r="B879" s="77"/>
      <c r="C879" s="65" t="s">
        <v>2594</v>
      </c>
      <c r="D879" s="65"/>
    </row>
    <row r="880" spans="1:4">
      <c r="A880" s="77"/>
      <c r="B880" s="77"/>
      <c r="C880" s="65" t="s">
        <v>2595</v>
      </c>
      <c r="D880" s="65"/>
    </row>
    <row r="881" spans="1:5">
      <c r="A881" s="77"/>
      <c r="B881" s="77"/>
      <c r="C881" s="65" t="s">
        <v>2596</v>
      </c>
      <c r="D881" s="65"/>
    </row>
    <row r="882" spans="1:5">
      <c r="A882" s="77"/>
      <c r="B882" s="77"/>
      <c r="C882" s="65" t="s">
        <v>2597</v>
      </c>
      <c r="D882" s="65" t="s">
        <v>2597</v>
      </c>
      <c r="E882" s="18" t="s">
        <v>1997</v>
      </c>
    </row>
    <row r="883" spans="1:5">
      <c r="A883" s="78"/>
      <c r="B883" s="78"/>
      <c r="C883" s="65" t="s">
        <v>240</v>
      </c>
      <c r="D883" s="65"/>
    </row>
    <row r="884" spans="1:5">
      <c r="A884" s="92" t="s">
        <v>2598</v>
      </c>
      <c r="B884" s="92" t="s">
        <v>5</v>
      </c>
      <c r="C884" s="62" t="s">
        <v>804</v>
      </c>
      <c r="D884" s="62"/>
    </row>
    <row r="885" spans="1:5">
      <c r="A885" s="93"/>
      <c r="B885" s="93"/>
      <c r="C885" s="62" t="s">
        <v>2599</v>
      </c>
      <c r="D885" s="62"/>
    </row>
    <row r="886" spans="1:5">
      <c r="A886" s="93"/>
      <c r="B886" s="93"/>
      <c r="C886" s="62" t="s">
        <v>2600</v>
      </c>
      <c r="D886" s="62"/>
    </row>
    <row r="887" spans="1:5">
      <c r="A887" s="93"/>
      <c r="B887" s="93"/>
      <c r="C887" s="62" t="s">
        <v>2601</v>
      </c>
      <c r="D887" s="62"/>
    </row>
    <row r="888" spans="1:5">
      <c r="A888" s="93"/>
      <c r="B888" s="93"/>
      <c r="C888" s="62" t="s">
        <v>2602</v>
      </c>
      <c r="D888" s="62"/>
    </row>
    <row r="889" spans="1:5">
      <c r="A889" s="93"/>
      <c r="B889" s="93"/>
      <c r="C889" s="62" t="s">
        <v>2603</v>
      </c>
      <c r="D889" s="62" t="s">
        <v>2604</v>
      </c>
    </row>
    <row r="890" spans="1:5">
      <c r="A890" s="93"/>
      <c r="B890" s="93"/>
      <c r="C890" s="62" t="s">
        <v>2605</v>
      </c>
      <c r="D890" s="62"/>
    </row>
    <row r="891" spans="1:5">
      <c r="A891" s="76" t="s">
        <v>2191</v>
      </c>
      <c r="B891" s="76" t="s">
        <v>5</v>
      </c>
      <c r="C891" s="65" t="s">
        <v>1159</v>
      </c>
      <c r="D891" s="65"/>
    </row>
    <row r="892" spans="1:5">
      <c r="A892" s="77"/>
      <c r="B892" s="77"/>
      <c r="C892" s="65" t="s">
        <v>1186</v>
      </c>
      <c r="D892" s="65"/>
    </row>
    <row r="893" spans="1:5">
      <c r="A893" s="77"/>
      <c r="B893" s="77"/>
      <c r="C893" s="65" t="s">
        <v>1163</v>
      </c>
      <c r="D893" s="65"/>
    </row>
    <row r="894" spans="1:5">
      <c r="A894" s="77"/>
      <c r="B894" s="77"/>
      <c r="C894" s="65" t="s">
        <v>1223</v>
      </c>
      <c r="D894" s="65"/>
    </row>
    <row r="895" spans="1:5">
      <c r="A895" s="77"/>
      <c r="B895" s="77"/>
      <c r="C895" s="65" t="s">
        <v>2606</v>
      </c>
      <c r="D895" s="65"/>
    </row>
    <row r="896" spans="1:5">
      <c r="A896" s="77"/>
      <c r="B896" s="77"/>
      <c r="C896" s="65" t="s">
        <v>240</v>
      </c>
      <c r="D896" s="65"/>
    </row>
    <row r="897" spans="1:4">
      <c r="A897" s="92" t="s">
        <v>2607</v>
      </c>
      <c r="B897" s="92" t="s">
        <v>5</v>
      </c>
      <c r="C897" s="62" t="s">
        <v>1402</v>
      </c>
      <c r="D897" s="62"/>
    </row>
    <row r="898" spans="1:4">
      <c r="A898" s="93"/>
      <c r="B898" s="93"/>
      <c r="C898" s="62" t="s">
        <v>2608</v>
      </c>
      <c r="D898" s="62"/>
    </row>
    <row r="899" spans="1:4">
      <c r="A899" s="93"/>
      <c r="B899" s="93"/>
      <c r="C899" s="62" t="s">
        <v>804</v>
      </c>
      <c r="D899" s="62"/>
    </row>
    <row r="900" spans="1:4">
      <c r="A900" s="93"/>
      <c r="B900" s="93"/>
      <c r="C900" s="62" t="s">
        <v>240</v>
      </c>
      <c r="D900" s="62"/>
    </row>
    <row r="901" spans="1:4">
      <c r="A901" s="76" t="s">
        <v>2609</v>
      </c>
      <c r="B901" s="76" t="s">
        <v>5</v>
      </c>
      <c r="C901" s="65" t="s">
        <v>2610</v>
      </c>
      <c r="D901" s="65"/>
    </row>
    <row r="902" spans="1:4">
      <c r="A902" s="77"/>
      <c r="B902" s="77"/>
      <c r="C902" s="65" t="s">
        <v>2611</v>
      </c>
      <c r="D902" s="65"/>
    </row>
    <row r="903" spans="1:4">
      <c r="A903" s="77"/>
      <c r="B903" s="77"/>
      <c r="C903" s="65" t="s">
        <v>1433</v>
      </c>
      <c r="D903" s="65"/>
    </row>
    <row r="904" spans="1:4">
      <c r="A904" s="77"/>
      <c r="B904" s="77"/>
      <c r="C904" s="65" t="s">
        <v>2612</v>
      </c>
      <c r="D904" s="65"/>
    </row>
    <row r="905" spans="1:4">
      <c r="A905" s="77"/>
      <c r="B905" s="77"/>
      <c r="C905" s="65" t="s">
        <v>2613</v>
      </c>
      <c r="D905" s="65"/>
    </row>
    <row r="906" spans="1:4">
      <c r="A906" s="102" t="s">
        <v>2614</v>
      </c>
      <c r="B906" s="102" t="s">
        <v>5</v>
      </c>
      <c r="C906" s="68" t="s">
        <v>1456</v>
      </c>
      <c r="D906" s="68"/>
    </row>
    <row r="907" spans="1:4">
      <c r="A907" s="103"/>
      <c r="B907" s="103"/>
      <c r="C907" s="68" t="s">
        <v>2615</v>
      </c>
      <c r="D907" s="68"/>
    </row>
    <row r="908" spans="1:4">
      <c r="A908" s="103"/>
      <c r="B908" s="103"/>
      <c r="C908" s="62" t="s">
        <v>2616</v>
      </c>
      <c r="D908" s="62"/>
    </row>
    <row r="909" spans="1:4">
      <c r="A909" s="103"/>
      <c r="B909" s="103"/>
      <c r="C909" s="62" t="s">
        <v>2617</v>
      </c>
      <c r="D909" s="62"/>
    </row>
    <row r="910" spans="1:4">
      <c r="A910" s="103"/>
      <c r="B910" s="103"/>
      <c r="C910" s="62" t="s">
        <v>2618</v>
      </c>
      <c r="D910" s="62"/>
    </row>
    <row r="911" spans="1:4">
      <c r="A911" s="103"/>
      <c r="B911" s="103"/>
      <c r="C911" s="62" t="s">
        <v>2619</v>
      </c>
      <c r="D911" s="62"/>
    </row>
    <row r="912" spans="1:4">
      <c r="A912" s="98" t="s">
        <v>2620</v>
      </c>
      <c r="B912" s="98" t="s">
        <v>5</v>
      </c>
      <c r="C912" s="70" t="s">
        <v>29</v>
      </c>
      <c r="D912" s="70"/>
    </row>
    <row r="913" spans="1:5">
      <c r="A913" s="80"/>
      <c r="B913" s="80"/>
      <c r="C913" s="70" t="s">
        <v>2587</v>
      </c>
      <c r="D913" s="70"/>
    </row>
    <row r="914" spans="1:5">
      <c r="A914" s="80"/>
      <c r="B914" s="80"/>
      <c r="C914" s="65" t="s">
        <v>43</v>
      </c>
      <c r="D914" s="65"/>
    </row>
    <row r="915" spans="1:5">
      <c r="A915" s="80"/>
      <c r="B915" s="80"/>
      <c r="C915" s="65" t="s">
        <v>90</v>
      </c>
      <c r="D915" s="65"/>
    </row>
    <row r="916" spans="1:5">
      <c r="A916" s="80"/>
      <c r="B916" s="80"/>
      <c r="C916" s="65" t="s">
        <v>2588</v>
      </c>
      <c r="D916" s="65"/>
    </row>
    <row r="917" spans="1:5">
      <c r="A917" s="80"/>
      <c r="B917" s="80"/>
      <c r="C917" s="65" t="s">
        <v>2589</v>
      </c>
      <c r="D917" s="65"/>
    </row>
    <row r="918" spans="1:5">
      <c r="A918" s="80"/>
      <c r="B918" s="80"/>
      <c r="C918" s="70" t="s">
        <v>48</v>
      </c>
      <c r="D918" s="70"/>
    </row>
    <row r="919" spans="1:5">
      <c r="A919" s="80"/>
      <c r="B919" s="80"/>
      <c r="C919" s="70" t="s">
        <v>2590</v>
      </c>
      <c r="D919" s="70"/>
    </row>
    <row r="920" spans="1:5" ht="15">
      <c r="A920" s="102" t="s">
        <v>2621</v>
      </c>
      <c r="B920" s="102" t="s">
        <v>5</v>
      </c>
      <c r="C920" s="68" t="s">
        <v>2622</v>
      </c>
      <c r="D920" s="68"/>
      <c r="E920" s="69"/>
    </row>
    <row r="921" spans="1:5" ht="15">
      <c r="A921" s="103"/>
      <c r="B921" s="103"/>
      <c r="C921" s="68" t="s">
        <v>2623</v>
      </c>
      <c r="D921" s="68"/>
      <c r="E921" s="69"/>
    </row>
    <row r="922" spans="1:5" ht="15">
      <c r="A922" s="103"/>
      <c r="B922" s="103"/>
      <c r="C922" s="62" t="s">
        <v>2624</v>
      </c>
      <c r="D922" s="62"/>
      <c r="E922" s="69"/>
    </row>
    <row r="923" spans="1:5" ht="15">
      <c r="A923" s="103"/>
      <c r="B923" s="103"/>
      <c r="C923" s="62" t="s">
        <v>2625</v>
      </c>
      <c r="D923" s="62"/>
      <c r="E923" s="69"/>
    </row>
    <row r="924" spans="1:5" ht="15">
      <c r="A924" s="103"/>
      <c r="B924" s="103"/>
      <c r="C924" s="62" t="s">
        <v>2626</v>
      </c>
      <c r="D924" s="62"/>
      <c r="E924" s="69"/>
    </row>
    <row r="925" spans="1:5">
      <c r="A925" s="103"/>
      <c r="B925" s="103"/>
      <c r="C925" s="62" t="s">
        <v>240</v>
      </c>
      <c r="D925" s="62"/>
    </row>
    <row r="926" spans="1:5">
      <c r="A926" s="98" t="s">
        <v>2627</v>
      </c>
      <c r="B926" s="98" t="s">
        <v>5</v>
      </c>
      <c r="C926" s="65" t="s">
        <v>2628</v>
      </c>
      <c r="D926" s="65"/>
    </row>
    <row r="927" spans="1:5">
      <c r="A927" s="80"/>
      <c r="B927" s="80"/>
      <c r="C927" s="65" t="s">
        <v>2629</v>
      </c>
      <c r="D927" s="65"/>
    </row>
    <row r="928" spans="1:5">
      <c r="A928" s="80"/>
      <c r="B928" s="80"/>
      <c r="C928" s="65" t="s">
        <v>2630</v>
      </c>
      <c r="D928" s="65"/>
    </row>
    <row r="929" spans="1:5">
      <c r="A929" s="99" t="s">
        <v>2631</v>
      </c>
      <c r="B929" s="99" t="s">
        <v>5</v>
      </c>
      <c r="C929" s="68" t="s">
        <v>2632</v>
      </c>
      <c r="D929" s="68"/>
    </row>
    <row r="930" spans="1:5">
      <c r="A930" s="100"/>
      <c r="B930" s="100"/>
      <c r="C930" s="68" t="s">
        <v>149</v>
      </c>
      <c r="D930" s="68"/>
    </row>
    <row r="931" spans="1:5">
      <c r="A931" s="100"/>
      <c r="B931" s="100"/>
      <c r="C931" s="62" t="s">
        <v>161</v>
      </c>
      <c r="D931" s="62"/>
    </row>
    <row r="932" spans="1:5">
      <c r="A932" s="100"/>
      <c r="B932" s="100"/>
      <c r="C932" s="62" t="s">
        <v>136</v>
      </c>
      <c r="D932" s="62"/>
    </row>
    <row r="933" spans="1:5">
      <c r="A933" s="100"/>
      <c r="B933" s="100"/>
      <c r="C933" s="62" t="s">
        <v>240</v>
      </c>
      <c r="D933" s="62"/>
    </row>
    <row r="934" spans="1:5">
      <c r="A934" s="106" t="s">
        <v>2633</v>
      </c>
      <c r="B934" s="106" t="s">
        <v>5</v>
      </c>
      <c r="C934" s="70" t="s">
        <v>161</v>
      </c>
      <c r="D934" s="70"/>
    </row>
    <row r="935" spans="1:5">
      <c r="A935" s="107"/>
      <c r="B935" s="107"/>
      <c r="C935" s="70" t="s">
        <v>149</v>
      </c>
      <c r="D935" s="70"/>
    </row>
    <row r="936" spans="1:5">
      <c r="A936" s="107"/>
      <c r="B936" s="107"/>
      <c r="C936" s="65" t="s">
        <v>136</v>
      </c>
      <c r="D936" s="65"/>
    </row>
    <row r="937" spans="1:5">
      <c r="A937" s="107"/>
      <c r="B937" s="107"/>
      <c r="C937" s="65" t="s">
        <v>2423</v>
      </c>
      <c r="D937" s="65"/>
    </row>
    <row r="938" spans="1:5">
      <c r="A938" s="107"/>
      <c r="B938" s="107"/>
      <c r="C938" s="65" t="s">
        <v>2634</v>
      </c>
      <c r="D938" s="65"/>
    </row>
    <row r="939" spans="1:5">
      <c r="A939" s="107"/>
      <c r="B939" s="107"/>
      <c r="C939" s="70" t="s">
        <v>2634</v>
      </c>
      <c r="D939" s="70"/>
    </row>
    <row r="940" spans="1:5">
      <c r="A940" s="107"/>
      <c r="B940" s="107"/>
      <c r="C940" s="70" t="s">
        <v>2594</v>
      </c>
      <c r="D940" s="70"/>
    </row>
    <row r="941" spans="1:5">
      <c r="A941" s="107"/>
      <c r="B941" s="107"/>
      <c r="C941" s="65" t="s">
        <v>2595</v>
      </c>
      <c r="D941" s="65"/>
    </row>
    <row r="942" spans="1:5">
      <c r="A942" s="107"/>
      <c r="B942" s="107"/>
      <c r="C942" s="70" t="s">
        <v>2596</v>
      </c>
      <c r="D942" s="70"/>
    </row>
    <row r="943" spans="1:5">
      <c r="A943" s="107"/>
      <c r="B943" s="107"/>
      <c r="C943" s="70" t="s">
        <v>2632</v>
      </c>
      <c r="D943" s="70"/>
    </row>
    <row r="944" spans="1:5">
      <c r="A944" s="107"/>
      <c r="B944" s="107"/>
      <c r="C944" s="65" t="s">
        <v>2635</v>
      </c>
      <c r="D944" s="65" t="s">
        <v>2635</v>
      </c>
      <c r="E944" s="18" t="s">
        <v>1997</v>
      </c>
    </row>
    <row r="945" spans="1:4">
      <c r="A945" s="136"/>
      <c r="B945" s="136"/>
      <c r="C945" s="65" t="s">
        <v>240</v>
      </c>
      <c r="D945" s="65"/>
    </row>
    <row r="946" spans="1:4" ht="14.25" customHeight="1">
      <c r="A946" s="99" t="s">
        <v>2636</v>
      </c>
      <c r="B946" s="99" t="s">
        <v>5</v>
      </c>
      <c r="C946" s="68" t="s">
        <v>2637</v>
      </c>
      <c r="D946" s="68"/>
    </row>
    <row r="947" spans="1:4">
      <c r="A947" s="100"/>
      <c r="B947" s="100"/>
      <c r="C947" s="68" t="s">
        <v>2638</v>
      </c>
      <c r="D947" s="68"/>
    </row>
    <row r="948" spans="1:4">
      <c r="A948" s="100"/>
      <c r="B948" s="100"/>
      <c r="C948" s="62" t="s">
        <v>2639</v>
      </c>
      <c r="D948" s="62"/>
    </row>
    <row r="949" spans="1:4">
      <c r="A949" s="100"/>
      <c r="B949" s="100"/>
      <c r="C949" s="62" t="s">
        <v>2640</v>
      </c>
      <c r="D949" s="62"/>
    </row>
    <row r="950" spans="1:4">
      <c r="A950" s="100"/>
      <c r="B950" s="100"/>
      <c r="C950" s="62" t="s">
        <v>2641</v>
      </c>
      <c r="D950" s="62"/>
    </row>
    <row r="951" spans="1:4">
      <c r="A951" s="100"/>
      <c r="B951" s="100"/>
      <c r="C951" s="68" t="s">
        <v>1537</v>
      </c>
      <c r="D951" s="68"/>
    </row>
    <row r="952" spans="1:4">
      <c r="A952" s="100"/>
      <c r="B952" s="100"/>
      <c r="C952" s="68" t="s">
        <v>2632</v>
      </c>
      <c r="D952" s="68"/>
    </row>
    <row r="953" spans="1:4">
      <c r="A953" s="100"/>
      <c r="B953" s="100"/>
      <c r="C953" s="62" t="s">
        <v>2642</v>
      </c>
      <c r="D953" s="62" t="s">
        <v>2643</v>
      </c>
    </row>
    <row r="954" spans="1:4">
      <c r="A954" s="100"/>
      <c r="B954" s="100"/>
      <c r="C954" s="62" t="s">
        <v>2603</v>
      </c>
      <c r="D954" s="62" t="s">
        <v>2604</v>
      </c>
    </row>
    <row r="955" spans="1:4">
      <c r="A955" s="100"/>
      <c r="B955" s="100"/>
      <c r="C955" s="62" t="s">
        <v>240</v>
      </c>
      <c r="D955" s="62"/>
    </row>
    <row r="956" spans="1:4">
      <c r="A956" s="106" t="s">
        <v>2439</v>
      </c>
      <c r="B956" s="106" t="s">
        <v>5</v>
      </c>
      <c r="C956" s="65" t="s">
        <v>2644</v>
      </c>
      <c r="D956" s="65"/>
    </row>
    <row r="957" spans="1:4">
      <c r="A957" s="107"/>
      <c r="B957" s="107"/>
      <c r="C957" s="65" t="s">
        <v>1570</v>
      </c>
      <c r="D957" s="65"/>
    </row>
    <row r="958" spans="1:4">
      <c r="A958" s="107"/>
      <c r="B958" s="107"/>
      <c r="C958" s="65" t="s">
        <v>2645</v>
      </c>
      <c r="D958" s="65"/>
    </row>
    <row r="959" spans="1:4">
      <c r="A959" s="107"/>
      <c r="B959" s="107"/>
      <c r="C959" s="65" t="s">
        <v>1565</v>
      </c>
      <c r="D959" s="65"/>
    </row>
    <row r="960" spans="1:4">
      <c r="A960" s="107"/>
      <c r="B960" s="107"/>
      <c r="C960" s="65" t="s">
        <v>1738</v>
      </c>
      <c r="D960" s="65"/>
    </row>
    <row r="961" spans="1:5">
      <c r="A961" s="107"/>
      <c r="B961" s="107"/>
      <c r="C961" s="65" t="s">
        <v>1622</v>
      </c>
      <c r="D961" s="65"/>
    </row>
    <row r="962" spans="1:5">
      <c r="A962" s="107"/>
      <c r="B962" s="107"/>
      <c r="C962" s="65" t="s">
        <v>2646</v>
      </c>
      <c r="D962" s="65"/>
    </row>
    <row r="963" spans="1:5">
      <c r="A963" s="107"/>
      <c r="B963" s="107"/>
      <c r="C963" s="65" t="s">
        <v>2500</v>
      </c>
      <c r="D963" s="65"/>
      <c r="E963" s="18" t="s">
        <v>1997</v>
      </c>
    </row>
    <row r="964" spans="1:5">
      <c r="A964" s="108" t="s">
        <v>2647</v>
      </c>
      <c r="B964" s="99" t="s">
        <v>5</v>
      </c>
      <c r="C964" s="62" t="s">
        <v>2610</v>
      </c>
      <c r="D964" s="62"/>
    </row>
    <row r="965" spans="1:5">
      <c r="A965" s="109"/>
      <c r="B965" s="100"/>
      <c r="C965" s="62" t="s">
        <v>2611</v>
      </c>
      <c r="D965" s="62"/>
    </row>
    <row r="966" spans="1:5">
      <c r="A966" s="109"/>
      <c r="B966" s="100"/>
      <c r="C966" s="62" t="s">
        <v>1433</v>
      </c>
      <c r="D966" s="62"/>
    </row>
    <row r="967" spans="1:5">
      <c r="A967" s="109"/>
      <c r="B967" s="100"/>
      <c r="C967" s="62" t="s">
        <v>2612</v>
      </c>
      <c r="D967" s="62"/>
    </row>
    <row r="968" spans="1:5">
      <c r="A968" s="109"/>
      <c r="B968" s="100"/>
      <c r="C968" s="62" t="s">
        <v>2613</v>
      </c>
      <c r="D968" s="62"/>
    </row>
    <row r="969" spans="1:5">
      <c r="A969" s="109"/>
      <c r="B969" s="100"/>
      <c r="C969" s="62" t="s">
        <v>2648</v>
      </c>
      <c r="D969" s="62"/>
      <c r="E969" s="18" t="s">
        <v>1997</v>
      </c>
    </row>
    <row r="970" spans="1:5">
      <c r="A970" s="110" t="s">
        <v>2649</v>
      </c>
      <c r="B970" s="106" t="s">
        <v>5</v>
      </c>
      <c r="C970" s="65" t="s">
        <v>2650</v>
      </c>
      <c r="D970" s="65"/>
    </row>
    <row r="971" spans="1:5">
      <c r="A971" s="111"/>
      <c r="B971" s="107"/>
      <c r="C971" s="65" t="s">
        <v>2651</v>
      </c>
      <c r="D971" s="65"/>
    </row>
    <row r="972" spans="1:5">
      <c r="A972" s="111"/>
      <c r="B972" s="107"/>
      <c r="C972" s="65" t="s">
        <v>2652</v>
      </c>
      <c r="D972" s="65"/>
    </row>
    <row r="973" spans="1:5">
      <c r="A973" s="111"/>
      <c r="B973" s="107"/>
      <c r="C973" s="65" t="s">
        <v>2653</v>
      </c>
      <c r="D973" s="65"/>
    </row>
    <row r="974" spans="1:5">
      <c r="A974" s="111"/>
      <c r="B974" s="107"/>
      <c r="C974" s="65" t="s">
        <v>1848</v>
      </c>
      <c r="D974" s="65"/>
    </row>
    <row r="975" spans="1:5">
      <c r="A975" s="111"/>
      <c r="B975" s="107"/>
      <c r="C975" s="65" t="s">
        <v>1834</v>
      </c>
      <c r="D975" s="65"/>
    </row>
    <row r="976" spans="1:5">
      <c r="A976" s="137"/>
      <c r="B976" s="136"/>
      <c r="C976" s="65" t="s">
        <v>240</v>
      </c>
      <c r="D976" s="65"/>
    </row>
    <row r="977" spans="1:5">
      <c r="A977" s="99" t="s">
        <v>2654</v>
      </c>
      <c r="B977" s="99" t="s">
        <v>5</v>
      </c>
      <c r="C977" s="62" t="s">
        <v>2655</v>
      </c>
      <c r="D977" s="62"/>
      <c r="E977" s="18" t="s">
        <v>2656</v>
      </c>
    </row>
    <row r="978" spans="1:5">
      <c r="A978" s="100"/>
      <c r="B978" s="100"/>
      <c r="C978" s="62" t="s">
        <v>2657</v>
      </c>
      <c r="D978" s="62"/>
    </row>
    <row r="979" spans="1:5">
      <c r="A979" s="100"/>
      <c r="B979" s="100"/>
      <c r="C979" s="62" t="s">
        <v>2658</v>
      </c>
      <c r="D979" s="62"/>
    </row>
    <row r="980" spans="1:5">
      <c r="A980" s="100"/>
      <c r="B980" s="100"/>
      <c r="C980" s="62" t="s">
        <v>1793</v>
      </c>
      <c r="D980" s="62"/>
    </row>
    <row r="981" spans="1:5">
      <c r="A981" s="100"/>
      <c r="B981" s="100"/>
      <c r="C981" s="62" t="s">
        <v>2659</v>
      </c>
      <c r="D981" s="62"/>
    </row>
    <row r="982" spans="1:5">
      <c r="A982" s="100"/>
      <c r="B982" s="100"/>
      <c r="C982" s="62" t="s">
        <v>2660</v>
      </c>
      <c r="D982" s="62"/>
    </row>
    <row r="983" spans="1:5">
      <c r="A983" s="100"/>
      <c r="B983" s="100"/>
      <c r="C983" s="62" t="s">
        <v>2661</v>
      </c>
      <c r="D983" s="62"/>
    </row>
    <row r="984" spans="1:5">
      <c r="A984" s="100"/>
      <c r="B984" s="100"/>
      <c r="C984" s="62" t="s">
        <v>2662</v>
      </c>
      <c r="D984" s="62"/>
    </row>
    <row r="985" spans="1:5">
      <c r="A985" s="100"/>
      <c r="B985" s="100"/>
      <c r="C985" s="62" t="s">
        <v>2663</v>
      </c>
      <c r="D985" s="62" t="s">
        <v>2664</v>
      </c>
      <c r="E985" s="18" t="s">
        <v>1997</v>
      </c>
    </row>
    <row r="986" spans="1:5">
      <c r="A986" s="110" t="s">
        <v>2665</v>
      </c>
      <c r="B986" s="106" t="s">
        <v>5</v>
      </c>
      <c r="C986" s="65" t="s">
        <v>1456</v>
      </c>
      <c r="D986" s="65"/>
    </row>
    <row r="987" spans="1:5">
      <c r="A987" s="111"/>
      <c r="B987" s="107"/>
      <c r="C987" s="65" t="s">
        <v>2615</v>
      </c>
      <c r="D987" s="65"/>
    </row>
    <row r="988" spans="1:5">
      <c r="A988" s="111"/>
      <c r="B988" s="107"/>
      <c r="C988" s="65" t="s">
        <v>2666</v>
      </c>
      <c r="D988" s="65"/>
    </row>
    <row r="989" spans="1:5">
      <c r="A989" s="111"/>
      <c r="B989" s="107"/>
      <c r="C989" s="65" t="s">
        <v>2667</v>
      </c>
      <c r="D989" s="65"/>
    </row>
    <row r="990" spans="1:5">
      <c r="A990" s="111"/>
      <c r="B990" s="107"/>
      <c r="C990" s="65" t="s">
        <v>2668</v>
      </c>
      <c r="D990" s="65"/>
    </row>
    <row r="991" spans="1:5">
      <c r="A991" s="111"/>
      <c r="B991" s="107"/>
      <c r="C991" s="65" t="s">
        <v>2669</v>
      </c>
      <c r="D991" s="65"/>
    </row>
    <row r="992" spans="1:5">
      <c r="A992" s="99" t="s">
        <v>2670</v>
      </c>
      <c r="B992" s="99" t="s">
        <v>5</v>
      </c>
      <c r="C992" s="62" t="s">
        <v>149</v>
      </c>
      <c r="D992" s="62"/>
    </row>
    <row r="993" spans="1:5">
      <c r="A993" s="100"/>
      <c r="B993" s="100"/>
      <c r="C993" s="62" t="s">
        <v>161</v>
      </c>
      <c r="D993" s="62"/>
    </row>
    <row r="994" spans="1:5">
      <c r="A994" s="100"/>
      <c r="B994" s="100"/>
      <c r="C994" s="62" t="s">
        <v>2590</v>
      </c>
      <c r="D994" s="62"/>
    </row>
    <row r="995" spans="1:5">
      <c r="A995" s="100"/>
      <c r="B995" s="100"/>
      <c r="C995" s="62" t="s">
        <v>136</v>
      </c>
      <c r="D995" s="62"/>
    </row>
    <row r="996" spans="1:5">
      <c r="A996" s="100"/>
      <c r="B996" s="100"/>
      <c r="C996" s="62" t="s">
        <v>2671</v>
      </c>
      <c r="D996" s="62" t="s">
        <v>2672</v>
      </c>
    </row>
    <row r="997" spans="1:5">
      <c r="A997" s="100"/>
      <c r="B997" s="100"/>
      <c r="C997" s="62" t="s">
        <v>240</v>
      </c>
      <c r="D997" s="62"/>
    </row>
    <row r="998" spans="1:5">
      <c r="A998" s="106" t="s">
        <v>2673</v>
      </c>
      <c r="B998" s="106" t="s">
        <v>5</v>
      </c>
      <c r="C998" s="65" t="s">
        <v>2674</v>
      </c>
      <c r="D998" s="65"/>
      <c r="E998" s="18" t="s">
        <v>2656</v>
      </c>
    </row>
    <row r="999" spans="1:5">
      <c r="A999" s="107"/>
      <c r="B999" s="107"/>
      <c r="C999" s="65" t="s">
        <v>2675</v>
      </c>
      <c r="D999" s="65"/>
    </row>
    <row r="1000" spans="1:5">
      <c r="A1000" s="99" t="s">
        <v>2676</v>
      </c>
      <c r="B1000" s="99" t="s">
        <v>5</v>
      </c>
      <c r="C1000" s="62" t="s">
        <v>2677</v>
      </c>
      <c r="D1000" s="62"/>
    </row>
    <row r="1001" spans="1:5">
      <c r="A1001" s="100"/>
      <c r="B1001" s="100"/>
      <c r="C1001" s="62" t="s">
        <v>2678</v>
      </c>
      <c r="D1001" s="62"/>
    </row>
    <row r="1002" spans="1:5">
      <c r="A1002" s="100"/>
      <c r="B1002" s="100"/>
      <c r="C1002" s="62" t="s">
        <v>2679</v>
      </c>
      <c r="D1002" s="62"/>
    </row>
    <row r="1003" spans="1:5">
      <c r="A1003" s="100"/>
      <c r="B1003" s="100"/>
      <c r="C1003" s="62" t="s">
        <v>2680</v>
      </c>
      <c r="D1003" s="62"/>
      <c r="E1003" s="18" t="s">
        <v>1997</v>
      </c>
    </row>
    <row r="1004" spans="1:5">
      <c r="A1004" s="100"/>
      <c r="B1004" s="100"/>
      <c r="C1004" s="62" t="s">
        <v>2681</v>
      </c>
      <c r="D1004" s="62"/>
    </row>
    <row r="1005" spans="1:5">
      <c r="A1005" s="100"/>
      <c r="B1005" s="100"/>
      <c r="C1005" s="62" t="s">
        <v>2682</v>
      </c>
      <c r="D1005" s="62"/>
    </row>
    <row r="1006" spans="1:5">
      <c r="A1006" s="100"/>
      <c r="B1006" s="100"/>
      <c r="C1006" s="62" t="s">
        <v>2683</v>
      </c>
      <c r="D1006" s="62"/>
      <c r="E1006" s="18" t="s">
        <v>1997</v>
      </c>
    </row>
    <row r="1007" spans="1:5">
      <c r="A1007" s="100"/>
      <c r="B1007" s="100"/>
      <c r="C1007" s="62" t="s">
        <v>2684</v>
      </c>
      <c r="D1007" s="62"/>
    </row>
    <row r="1008" spans="1:5">
      <c r="A1008" s="100"/>
      <c r="B1008" s="100"/>
      <c r="C1008" s="62" t="s">
        <v>2685</v>
      </c>
      <c r="D1008" s="62"/>
    </row>
    <row r="1009" spans="1:4">
      <c r="A1009" s="100"/>
      <c r="B1009" s="100"/>
      <c r="C1009" s="62" t="s">
        <v>2686</v>
      </c>
      <c r="D1009" s="62"/>
    </row>
    <row r="1010" spans="1:4">
      <c r="A1010" s="100"/>
      <c r="B1010" s="100"/>
      <c r="C1010" s="62" t="s">
        <v>2687</v>
      </c>
      <c r="D1010" s="62"/>
    </row>
    <row r="1011" spans="1:4">
      <c r="A1011" s="100"/>
      <c r="B1011" s="100"/>
      <c r="C1011" s="62" t="s">
        <v>2688</v>
      </c>
      <c r="D1011" s="62"/>
    </row>
    <row r="1012" spans="1:4">
      <c r="A1012" s="100"/>
      <c r="B1012" s="100"/>
      <c r="C1012" s="62" t="s">
        <v>2689</v>
      </c>
      <c r="D1012" s="62"/>
    </row>
    <row r="1013" spans="1:4">
      <c r="A1013" s="100"/>
      <c r="B1013" s="100"/>
      <c r="C1013" s="62" t="s">
        <v>2690</v>
      </c>
      <c r="D1013" s="62"/>
    </row>
    <row r="1014" spans="1:4">
      <c r="A1014" s="100"/>
      <c r="B1014" s="100"/>
      <c r="C1014" s="62" t="s">
        <v>2691</v>
      </c>
      <c r="D1014" s="62"/>
    </row>
    <row r="1015" spans="1:4">
      <c r="A1015" s="100"/>
      <c r="B1015" s="100"/>
      <c r="C1015" s="62" t="s">
        <v>1876</v>
      </c>
      <c r="D1015" s="62"/>
    </row>
    <row r="1016" spans="1:4">
      <c r="A1016" s="100"/>
      <c r="B1016" s="100"/>
      <c r="C1016" s="62" t="s">
        <v>2692</v>
      </c>
      <c r="D1016" s="62"/>
    </row>
    <row r="1017" spans="1:4">
      <c r="A1017" s="100"/>
      <c r="B1017" s="100"/>
      <c r="C1017" s="62" t="s">
        <v>1879</v>
      </c>
      <c r="D1017" s="62"/>
    </row>
    <row r="1018" spans="1:4">
      <c r="A1018" s="100"/>
      <c r="B1018" s="100"/>
      <c r="C1018" s="62" t="s">
        <v>2693</v>
      </c>
      <c r="D1018" s="62"/>
    </row>
    <row r="1019" spans="1:4">
      <c r="A1019" s="100"/>
      <c r="B1019" s="100"/>
      <c r="C1019" s="62" t="s">
        <v>2694</v>
      </c>
      <c r="D1019" s="62"/>
    </row>
    <row r="1020" spans="1:4">
      <c r="A1020" s="100"/>
      <c r="B1020" s="100"/>
      <c r="C1020" s="62" t="s">
        <v>2695</v>
      </c>
      <c r="D1020" s="62"/>
    </row>
    <row r="1021" spans="1:4">
      <c r="A1021" s="100"/>
      <c r="B1021" s="100"/>
      <c r="C1021" s="62" t="s">
        <v>2696</v>
      </c>
      <c r="D1021" s="62"/>
    </row>
    <row r="1022" spans="1:4">
      <c r="A1022" s="100"/>
      <c r="B1022" s="100"/>
      <c r="C1022" s="62" t="s">
        <v>2697</v>
      </c>
      <c r="D1022" s="62"/>
    </row>
    <row r="1023" spans="1:4">
      <c r="A1023" s="100"/>
      <c r="B1023" s="100"/>
      <c r="C1023" s="62" t="s">
        <v>2698</v>
      </c>
      <c r="D1023" s="62"/>
    </row>
    <row r="1024" spans="1:4">
      <c r="A1024" s="100"/>
      <c r="B1024" s="100"/>
      <c r="C1024" s="62" t="s">
        <v>2699</v>
      </c>
      <c r="D1024" s="62"/>
    </row>
    <row r="1025" spans="1:5">
      <c r="A1025" s="100"/>
      <c r="B1025" s="100"/>
      <c r="C1025" s="62" t="s">
        <v>2700</v>
      </c>
      <c r="D1025" s="62"/>
    </row>
    <row r="1026" spans="1:5">
      <c r="A1026" s="100"/>
      <c r="B1026" s="100"/>
      <c r="C1026" s="62" t="s">
        <v>2701</v>
      </c>
      <c r="D1026" s="62"/>
    </row>
    <row r="1027" spans="1:5">
      <c r="A1027" s="100"/>
      <c r="B1027" s="100"/>
      <c r="C1027" s="62" t="s">
        <v>2702</v>
      </c>
      <c r="D1027" s="62"/>
    </row>
    <row r="1028" spans="1:5">
      <c r="A1028" s="100"/>
      <c r="B1028" s="100"/>
      <c r="C1028" s="62" t="s">
        <v>2703</v>
      </c>
      <c r="D1028" s="62"/>
    </row>
    <row r="1029" spans="1:5">
      <c r="A1029" s="100"/>
      <c r="B1029" s="100"/>
      <c r="C1029" s="62" t="s">
        <v>2704</v>
      </c>
      <c r="D1029" s="62"/>
    </row>
    <row r="1030" spans="1:5">
      <c r="A1030" s="100"/>
      <c r="B1030" s="100"/>
      <c r="C1030" s="62" t="s">
        <v>2705</v>
      </c>
      <c r="D1030" s="62"/>
    </row>
    <row r="1031" spans="1:5">
      <c r="A1031" s="100"/>
      <c r="B1031" s="100"/>
      <c r="C1031" s="146" t="s">
        <v>2706</v>
      </c>
      <c r="D1031" s="62"/>
      <c r="E1031" s="18" t="s">
        <v>1997</v>
      </c>
    </row>
    <row r="1032" spans="1:5">
      <c r="A1032" s="100"/>
      <c r="B1032" s="100"/>
      <c r="C1032" s="62" t="s">
        <v>2707</v>
      </c>
      <c r="D1032" s="62"/>
    </row>
    <row r="1033" spans="1:5">
      <c r="A1033" s="100"/>
      <c r="B1033" s="100"/>
      <c r="C1033" s="62" t="s">
        <v>240</v>
      </c>
      <c r="D1033" s="62"/>
    </row>
    <row r="1034" spans="1:5">
      <c r="A1034" s="76" t="s">
        <v>2708</v>
      </c>
      <c r="B1034" s="76" t="s">
        <v>5</v>
      </c>
      <c r="C1034" s="65" t="s">
        <v>2709</v>
      </c>
      <c r="D1034" s="65"/>
      <c r="E1034" s="18" t="s">
        <v>2656</v>
      </c>
    </row>
    <row r="1035" spans="1:5">
      <c r="A1035" s="77"/>
      <c r="B1035" s="77"/>
      <c r="C1035" s="65" t="s">
        <v>2710</v>
      </c>
      <c r="D1035" s="65"/>
    </row>
    <row r="1036" spans="1:5">
      <c r="A1036" s="77"/>
      <c r="B1036" s="77"/>
      <c r="C1036" s="65" t="s">
        <v>240</v>
      </c>
      <c r="D1036" s="65"/>
    </row>
    <row r="1037" spans="1:5">
      <c r="A1037" s="99" t="s">
        <v>2711</v>
      </c>
      <c r="B1037" s="99" t="s">
        <v>5</v>
      </c>
      <c r="C1037" s="62" t="s">
        <v>1891</v>
      </c>
      <c r="D1037" s="62"/>
    </row>
    <row r="1038" spans="1:5">
      <c r="A1038" s="100"/>
      <c r="B1038" s="100"/>
      <c r="C1038" s="62" t="s">
        <v>2712</v>
      </c>
      <c r="D1038" s="62" t="s">
        <v>2713</v>
      </c>
    </row>
    <row r="1039" spans="1:5">
      <c r="A1039" s="100"/>
      <c r="B1039" s="100"/>
      <c r="C1039" s="62" t="s">
        <v>2714</v>
      </c>
      <c r="D1039" s="62" t="s">
        <v>2715</v>
      </c>
    </row>
    <row r="1040" spans="1:5">
      <c r="A1040" s="100"/>
      <c r="B1040" s="100"/>
      <c r="C1040" s="62" t="s">
        <v>2716</v>
      </c>
      <c r="D1040" s="62" t="s">
        <v>2717</v>
      </c>
    </row>
    <row r="1044" spans="4:4">
      <c r="D1044" s="64"/>
    </row>
    <row r="1045" spans="4:4">
      <c r="D1045" s="64"/>
    </row>
    <row r="1046" spans="4:4">
      <c r="D1046" s="64"/>
    </row>
    <row r="1047" spans="4:4">
      <c r="D1047" s="64"/>
    </row>
    <row r="1065" spans="1:4">
      <c r="D1065" s="39"/>
    </row>
    <row r="1070" spans="1:4">
      <c r="A1070" s="39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1"/>
      <c r="B1074" s="18"/>
      <c r="C1074" s="18"/>
      <c r="E1074" s="18"/>
    </row>
    <row r="1075" spans="1:5" s="9" customFormat="1">
      <c r="B1075" s="18"/>
      <c r="C1075" s="64"/>
      <c r="E1075" s="18"/>
    </row>
    <row r="1076" spans="1:5" s="9" customFormat="1">
      <c r="B1076" s="18"/>
      <c r="C1076" s="64" t="s">
        <v>132</v>
      </c>
      <c r="E1076" s="18"/>
    </row>
    <row r="1077" spans="1:5" s="9" customFormat="1">
      <c r="B1077" s="18"/>
      <c r="C1077" s="64" t="s">
        <v>119</v>
      </c>
      <c r="E1077" s="18"/>
    </row>
    <row r="1078" spans="1:5" s="9" customFormat="1">
      <c r="B1078" s="18"/>
      <c r="C1078" s="64" t="s">
        <v>441</v>
      </c>
      <c r="E1078" s="18"/>
    </row>
    <row r="1079" spans="1:5" s="9" customFormat="1">
      <c r="B1079" s="18"/>
      <c r="C1079" s="64" t="s">
        <v>809</v>
      </c>
      <c r="E1079" s="18"/>
    </row>
    <row r="1080" spans="1:5" s="9" customFormat="1">
      <c r="B1080" s="18"/>
      <c r="C1080" s="64"/>
      <c r="E1080" s="18"/>
    </row>
    <row r="1081" spans="1:5" s="9" customFormat="1">
      <c r="B1081" s="18"/>
      <c r="C1081" s="64" t="s">
        <v>132</v>
      </c>
      <c r="E1081" s="18"/>
    </row>
    <row r="1082" spans="1:5" s="9" customFormat="1">
      <c r="B1082" s="18"/>
      <c r="C1082" s="64" t="s">
        <v>119</v>
      </c>
      <c r="E1082" s="18"/>
    </row>
    <row r="1083" spans="1:5" s="9" customFormat="1">
      <c r="B1083" s="18"/>
      <c r="C1083" s="64" t="s">
        <v>441</v>
      </c>
      <c r="E1083" s="18"/>
    </row>
    <row r="1084" spans="1:5" s="9" customFormat="1">
      <c r="B1084" s="18"/>
      <c r="C1084" s="64" t="s">
        <v>809</v>
      </c>
      <c r="E1084" s="18"/>
    </row>
    <row r="1085" spans="1:5" s="9" customFormat="1">
      <c r="B1085" s="18"/>
      <c r="C1085" s="64" t="s">
        <v>165</v>
      </c>
      <c r="E1085" s="18"/>
    </row>
    <row r="1086" spans="1:5" s="9" customFormat="1">
      <c r="B1086" s="18"/>
      <c r="C1086" s="64"/>
      <c r="E1086" s="18"/>
    </row>
    <row r="1087" spans="1:5" s="9" customFormat="1">
      <c r="A1087" s="39"/>
      <c r="B1087" s="18"/>
      <c r="C1087" s="64" t="s">
        <v>132</v>
      </c>
      <c r="E1087" s="18"/>
    </row>
    <row r="1088" spans="1:5" s="9" customFormat="1">
      <c r="B1088" s="18"/>
      <c r="C1088" s="64" t="s">
        <v>119</v>
      </c>
      <c r="E1088" s="18"/>
    </row>
    <row r="1089" spans="2:5" s="9" customFormat="1">
      <c r="B1089" s="18"/>
      <c r="C1089" s="64" t="s">
        <v>809</v>
      </c>
      <c r="E1089" s="18"/>
    </row>
    <row r="1090" spans="2:5" s="9" customFormat="1">
      <c r="B1090" s="18"/>
      <c r="C1090" s="64"/>
      <c r="E1090" s="18"/>
    </row>
    <row r="1091" spans="2:5" s="9" customFormat="1">
      <c r="B1091" s="18"/>
      <c r="C1091" s="64" t="s">
        <v>1501</v>
      </c>
      <c r="E1091" s="18"/>
    </row>
    <row r="1092" spans="2:5" s="9" customFormat="1">
      <c r="B1092" s="18"/>
      <c r="C1092" s="64" t="s">
        <v>240</v>
      </c>
      <c r="E1092" s="18"/>
    </row>
    <row r="1093" spans="2:5" s="9" customFormat="1">
      <c r="B1093" s="18"/>
      <c r="C1093" s="64"/>
      <c r="E1093" s="18"/>
    </row>
    <row r="1094" spans="2:5" s="9" customFormat="1">
      <c r="B1094" s="18"/>
      <c r="C1094" s="64" t="s">
        <v>157</v>
      </c>
      <c r="E1094" s="18"/>
    </row>
    <row r="1095" spans="2:5" s="9" customFormat="1">
      <c r="B1095" s="18"/>
      <c r="C1095" s="64" t="s">
        <v>2414</v>
      </c>
      <c r="E1095" s="18"/>
    </row>
    <row r="1096" spans="2:5" s="9" customFormat="1">
      <c r="B1096" s="18"/>
      <c r="C1096" s="64" t="s">
        <v>2415</v>
      </c>
      <c r="E1096" s="18"/>
    </row>
    <row r="1097" spans="2:5" s="9" customFormat="1">
      <c r="B1097" s="18"/>
      <c r="C1097" s="64" t="s">
        <v>1457</v>
      </c>
      <c r="E1097" s="18"/>
    </row>
    <row r="1098" spans="2:5" s="9" customFormat="1">
      <c r="B1098" s="18"/>
      <c r="C1098" s="64" t="s">
        <v>2418</v>
      </c>
      <c r="E1098" s="18"/>
    </row>
    <row r="1099" spans="2:5" s="9" customFormat="1">
      <c r="B1099" s="18"/>
      <c r="C1099" s="64" t="s">
        <v>1433</v>
      </c>
      <c r="E1099" s="18"/>
    </row>
    <row r="1100" spans="2:5" s="9" customFormat="1">
      <c r="B1100" s="18"/>
      <c r="C1100" s="64" t="s">
        <v>1449</v>
      </c>
      <c r="E1100" s="18"/>
    </row>
    <row r="1101" spans="2:5" s="9" customFormat="1">
      <c r="B1101" s="18"/>
      <c r="C1101" s="64" t="s">
        <v>2419</v>
      </c>
      <c r="E1101" s="18"/>
    </row>
    <row r="1102" spans="2:5" s="9" customFormat="1">
      <c r="B1102" s="18"/>
      <c r="C1102" s="64" t="s">
        <v>2420</v>
      </c>
      <c r="E1102" s="18"/>
    </row>
    <row r="1103" spans="2:5" s="9" customFormat="1">
      <c r="B1103" s="18"/>
      <c r="C1103" s="64" t="s">
        <v>1462</v>
      </c>
      <c r="E1103" s="18"/>
    </row>
    <row r="1104" spans="2:5" s="9" customFormat="1">
      <c r="B1104" s="18"/>
      <c r="C1104" s="64" t="s">
        <v>1543</v>
      </c>
      <c r="E1104" s="18"/>
    </row>
    <row r="1105" spans="2:5" s="9" customFormat="1">
      <c r="B1105" s="18"/>
      <c r="C1105" s="64" t="s">
        <v>240</v>
      </c>
      <c r="E1105" s="18"/>
    </row>
    <row r="1106" spans="2:5" s="9" customFormat="1">
      <c r="B1106" s="18"/>
      <c r="C1106" s="64"/>
      <c r="E1106" s="18"/>
    </row>
    <row r="1107" spans="2:5" s="9" customFormat="1">
      <c r="B1107" s="18"/>
      <c r="C1107" s="64"/>
      <c r="E1107" s="18"/>
    </row>
    <row r="1108" spans="2:5">
      <c r="C1108" s="64" t="s">
        <v>1538</v>
      </c>
    </row>
    <row r="1109" spans="2:5" s="9" customFormat="1">
      <c r="B1109" s="18"/>
      <c r="C1109" s="64" t="s">
        <v>1545</v>
      </c>
      <c r="E1109" s="18"/>
    </row>
    <row r="1110" spans="2:5" s="9" customFormat="1">
      <c r="B1110" s="18"/>
      <c r="C1110" s="64" t="s">
        <v>2536</v>
      </c>
      <c r="E1110" s="18"/>
    </row>
    <row r="1111" spans="2:5" s="9" customFormat="1">
      <c r="B1111" s="18"/>
      <c r="C1111" s="64" t="s">
        <v>240</v>
      </c>
      <c r="E1111" s="18"/>
    </row>
    <row r="1112" spans="2:5" s="9" customFormat="1">
      <c r="B1112" s="18"/>
      <c r="C1112" s="64"/>
      <c r="E1112" s="18"/>
    </row>
    <row r="1113" spans="2:5" s="9" customFormat="1">
      <c r="B1113" s="18"/>
      <c r="C1113" s="64" t="s">
        <v>135</v>
      </c>
      <c r="E1113" s="18"/>
    </row>
    <row r="1114" spans="2:5" s="9" customFormat="1">
      <c r="B1114" s="18"/>
      <c r="C1114" s="64" t="s">
        <v>2085</v>
      </c>
      <c r="E1114" s="18"/>
    </row>
    <row r="1115" spans="2:5" s="9" customFormat="1">
      <c r="B1115" s="18"/>
      <c r="C1115" s="64" t="s">
        <v>33</v>
      </c>
      <c r="E1115" s="18"/>
    </row>
    <row r="1116" spans="2:5" s="9" customFormat="1">
      <c r="B1116" s="18"/>
      <c r="C1116" s="64" t="s">
        <v>240</v>
      </c>
      <c r="E1116" s="18"/>
    </row>
    <row r="1117" spans="2:5" s="9" customFormat="1">
      <c r="B1117" s="18"/>
      <c r="C1117" s="64"/>
      <c r="E1117" s="18"/>
    </row>
    <row r="1118" spans="2:5" s="9" customFormat="1">
      <c r="B1118" s="18"/>
      <c r="C1118" s="64" t="s">
        <v>137</v>
      </c>
      <c r="E1118" s="18"/>
    </row>
    <row r="1119" spans="2:5" s="9" customFormat="1">
      <c r="B1119" s="18"/>
      <c r="C1119" s="64" t="s">
        <v>2718</v>
      </c>
      <c r="E1119" s="18"/>
    </row>
    <row r="1120" spans="2:5" s="9" customFormat="1">
      <c r="B1120" s="18"/>
      <c r="C1120" s="64"/>
      <c r="E1120" s="18"/>
    </row>
    <row r="1121" spans="2:5">
      <c r="C1121" s="64" t="s">
        <v>137</v>
      </c>
    </row>
    <row r="1122" spans="2:5" s="9" customFormat="1">
      <c r="B1122" s="18"/>
      <c r="C1122" s="64" t="s">
        <v>2088</v>
      </c>
      <c r="E1122" s="18"/>
    </row>
    <row r="1123" spans="2:5" s="9" customFormat="1">
      <c r="B1123" s="18"/>
      <c r="C1123" s="64" t="s">
        <v>169</v>
      </c>
      <c r="E1123" s="18"/>
    </row>
    <row r="1124" spans="2:5" s="9" customFormat="1">
      <c r="B1124" s="18"/>
      <c r="C1124" s="64" t="s">
        <v>2091</v>
      </c>
      <c r="E1124" s="18"/>
    </row>
    <row r="1125" spans="2:5">
      <c r="C1125" s="64" t="s">
        <v>2096</v>
      </c>
    </row>
    <row r="1126" spans="2:5">
      <c r="C1126" s="64" t="s">
        <v>240</v>
      </c>
    </row>
    <row r="1129" spans="2:5">
      <c r="C1129" s="64" t="s">
        <v>1478</v>
      </c>
    </row>
    <row r="1130" spans="2:5">
      <c r="C1130" s="64" t="s">
        <v>828</v>
      </c>
    </row>
    <row r="1131" spans="2:5">
      <c r="C1131" s="64" t="s">
        <v>913</v>
      </c>
    </row>
    <row r="1132" spans="2:5">
      <c r="C1132" s="64" t="s">
        <v>157</v>
      </c>
    </row>
    <row r="1133" spans="2:5">
      <c r="C1133" s="64" t="s">
        <v>241</v>
      </c>
    </row>
    <row r="1134" spans="2:5">
      <c r="C1134" s="64" t="s">
        <v>561</v>
      </c>
    </row>
    <row r="1135" spans="2:5">
      <c r="C1135" s="64" t="s">
        <v>2180</v>
      </c>
    </row>
    <row r="1136" spans="2:5">
      <c r="C1136" s="64" t="s">
        <v>185</v>
      </c>
    </row>
    <row r="1137" spans="3:3">
      <c r="C1137" s="64" t="s">
        <v>889</v>
      </c>
    </row>
    <row r="1138" spans="3:3">
      <c r="C1138" s="64" t="s">
        <v>178</v>
      </c>
    </row>
    <row r="1139" spans="3:3">
      <c r="C1139" s="64" t="s">
        <v>309</v>
      </c>
    </row>
    <row r="1140" spans="3:3">
      <c r="C1140" s="64" t="s">
        <v>2181</v>
      </c>
    </row>
    <row r="1141" spans="3:3">
      <c r="C1141" s="64" t="s">
        <v>2182</v>
      </c>
    </row>
    <row r="1142" spans="3:3">
      <c r="C1142" s="64" t="s">
        <v>217</v>
      </c>
    </row>
    <row r="1143" spans="3:3">
      <c r="C1143" s="64" t="s">
        <v>2183</v>
      </c>
    </row>
    <row r="1144" spans="3:3">
      <c r="C1144" s="64" t="s">
        <v>357</v>
      </c>
    </row>
    <row r="1145" spans="3:3">
      <c r="C1145" s="64" t="s">
        <v>860</v>
      </c>
    </row>
    <row r="1146" spans="3:3">
      <c r="C1146" s="64" t="s">
        <v>150</v>
      </c>
    </row>
    <row r="1147" spans="3:3">
      <c r="C1147" s="64" t="s">
        <v>834</v>
      </c>
    </row>
    <row r="1148" spans="3:3">
      <c r="C1148" s="64" t="s">
        <v>793</v>
      </c>
    </row>
    <row r="1149" spans="3:3">
      <c r="C1149" s="64" t="s">
        <v>936</v>
      </c>
    </row>
    <row r="1150" spans="3:3">
      <c r="C1150" s="64" t="s">
        <v>692</v>
      </c>
    </row>
    <row r="1151" spans="3:3">
      <c r="C1151" s="64" t="s">
        <v>705</v>
      </c>
    </row>
    <row r="1152" spans="3:3">
      <c r="C1152" s="64" t="s">
        <v>726</v>
      </c>
    </row>
    <row r="1153" spans="3:3">
      <c r="C1153" s="64" t="s">
        <v>204</v>
      </c>
    </row>
    <row r="1154" spans="3:3">
      <c r="C1154" s="64" t="s">
        <v>170</v>
      </c>
    </row>
    <row r="1155" spans="3:3">
      <c r="C1155" s="64" t="s">
        <v>138</v>
      </c>
    </row>
    <row r="1156" spans="3:3">
      <c r="C1156" s="64" t="s">
        <v>837</v>
      </c>
    </row>
    <row r="1157" spans="3:3">
      <c r="C1157" s="64" t="s">
        <v>2186</v>
      </c>
    </row>
    <row r="1158" spans="3:3">
      <c r="C1158" s="64" t="s">
        <v>2187</v>
      </c>
    </row>
    <row r="1159" spans="3:3">
      <c r="C1159" s="64" t="s">
        <v>2188</v>
      </c>
    </row>
    <row r="1160" spans="3:3">
      <c r="C1160" s="64" t="s">
        <v>2189</v>
      </c>
    </row>
    <row r="1161" spans="3:3">
      <c r="C1161" s="64" t="s">
        <v>2190</v>
      </c>
    </row>
    <row r="1162" spans="3:3">
      <c r="C1162" s="64" t="s">
        <v>2191</v>
      </c>
    </row>
    <row r="1163" spans="3:3" ht="14.45" customHeight="1">
      <c r="C1163" s="64" t="s">
        <v>2192</v>
      </c>
    </row>
    <row r="1164" spans="3:3">
      <c r="C1164" s="64" t="s">
        <v>787</v>
      </c>
    </row>
    <row r="1165" spans="3:3">
      <c r="C1165" s="64" t="s">
        <v>965</v>
      </c>
    </row>
    <row r="1166" spans="3:3">
      <c r="C1166" s="64" t="s">
        <v>556</v>
      </c>
    </row>
    <row r="1167" spans="3:3">
      <c r="C1167" s="64" t="s">
        <v>467</v>
      </c>
    </row>
    <row r="1168" spans="3:3">
      <c r="C1168" s="64" t="s">
        <v>597</v>
      </c>
    </row>
    <row r="1169" spans="3:3">
      <c r="C1169" s="64" t="s">
        <v>633</v>
      </c>
    </row>
    <row r="1170" spans="3:3">
      <c r="C1170" s="64" t="s">
        <v>240</v>
      </c>
    </row>
    <row r="1171" spans="3:3">
      <c r="C1171" s="64" t="s">
        <v>2198</v>
      </c>
    </row>
    <row r="1172" spans="3:3">
      <c r="C1172" s="64" t="s">
        <v>2199</v>
      </c>
    </row>
    <row r="1173" spans="3:3">
      <c r="C1173" s="64" t="s">
        <v>2200</v>
      </c>
    </row>
    <row r="1174" spans="3:3">
      <c r="C1174" s="64" t="s">
        <v>2201</v>
      </c>
    </row>
    <row r="1175" spans="3:3">
      <c r="C1175" s="64" t="s">
        <v>2202</v>
      </c>
    </row>
    <row r="1176" spans="3:3">
      <c r="C1176" s="64" t="s">
        <v>2203</v>
      </c>
    </row>
    <row r="1177" spans="3:3">
      <c r="C1177" s="64" t="s">
        <v>2204</v>
      </c>
    </row>
    <row r="1178" spans="3:3">
      <c r="C1178" s="64" t="s">
        <v>2205</v>
      </c>
    </row>
    <row r="1179" spans="3:3">
      <c r="C1179" s="64" t="s">
        <v>2206</v>
      </c>
    </row>
    <row r="1180" spans="3:3">
      <c r="C1180" s="64" t="s">
        <v>2207</v>
      </c>
    </row>
    <row r="1181" spans="3:3">
      <c r="C1181" s="64" t="s">
        <v>2208</v>
      </c>
    </row>
    <row r="1182" spans="3:3">
      <c r="C1182" s="64" t="s">
        <v>2209</v>
      </c>
    </row>
    <row r="1183" spans="3:3">
      <c r="C1183" s="64" t="s">
        <v>2210</v>
      </c>
    </row>
    <row r="1184" spans="3:3">
      <c r="C1184" s="64" t="s">
        <v>2211</v>
      </c>
    </row>
    <row r="1185" spans="3:3">
      <c r="C1185" s="64" t="s">
        <v>1027</v>
      </c>
    </row>
    <row r="1186" spans="3:3">
      <c r="C1186" s="64" t="s">
        <v>2212</v>
      </c>
    </row>
    <row r="1187" spans="3:3">
      <c r="C1187" s="64" t="s">
        <v>2213</v>
      </c>
    </row>
    <row r="1188" spans="3:3">
      <c r="C1188" s="64" t="s">
        <v>2214</v>
      </c>
    </row>
    <row r="1189" spans="3:3">
      <c r="C1189" s="64" t="s">
        <v>2216</v>
      </c>
    </row>
    <row r="1190" spans="3:3">
      <c r="C1190" s="64" t="s">
        <v>1132</v>
      </c>
    </row>
    <row r="1191" spans="3:3">
      <c r="C1191" s="64" t="s">
        <v>2219</v>
      </c>
    </row>
    <row r="1192" spans="3:3">
      <c r="C1192" s="145" t="s">
        <v>2220</v>
      </c>
    </row>
    <row r="1193" spans="3:3">
      <c r="C1193" s="64" t="s">
        <v>870</v>
      </c>
    </row>
    <row r="1194" spans="3:3">
      <c r="C1194" s="64" t="s">
        <v>2222</v>
      </c>
    </row>
    <row r="1195" spans="3:3">
      <c r="C1195" s="64" t="s">
        <v>2223</v>
      </c>
    </row>
    <row r="1196" spans="3:3">
      <c r="C1196" s="64" t="s">
        <v>1031</v>
      </c>
    </row>
    <row r="1197" spans="3:3">
      <c r="C1197" s="64" t="s">
        <v>2224</v>
      </c>
    </row>
    <row r="1198" spans="3:3">
      <c r="C1198" s="64" t="s">
        <v>1017</v>
      </c>
    </row>
    <row r="1199" spans="3:3">
      <c r="C1199" s="64" t="s">
        <v>2225</v>
      </c>
    </row>
    <row r="1200" spans="3:3">
      <c r="C1200" s="64" t="s">
        <v>2226</v>
      </c>
    </row>
    <row r="1201" spans="3:3">
      <c r="C1201" s="64" t="s">
        <v>2228</v>
      </c>
    </row>
    <row r="1202" spans="3:3">
      <c r="C1202" s="64" t="s">
        <v>1046</v>
      </c>
    </row>
    <row r="1203" spans="3:3">
      <c r="C1203" s="64" t="s">
        <v>2230</v>
      </c>
    </row>
    <row r="1204" spans="3:3">
      <c r="C1204" s="64" t="s">
        <v>2231</v>
      </c>
    </row>
    <row r="1205" spans="3:3">
      <c r="C1205" s="64" t="s">
        <v>2232</v>
      </c>
    </row>
    <row r="1206" spans="3:3">
      <c r="C1206" s="64" t="s">
        <v>2233</v>
      </c>
    </row>
    <row r="1207" spans="3:3">
      <c r="C1207" s="64" t="s">
        <v>2234</v>
      </c>
    </row>
    <row r="1208" spans="3:3">
      <c r="C1208" s="64" t="s">
        <v>2236</v>
      </c>
    </row>
    <row r="1209" spans="3:3">
      <c r="C1209" s="64" t="s">
        <v>2237</v>
      </c>
    </row>
    <row r="1210" spans="3:3">
      <c r="C1210" s="64" t="s">
        <v>2238</v>
      </c>
    </row>
    <row r="1211" spans="3:3">
      <c r="C1211" s="64" t="s">
        <v>2239</v>
      </c>
    </row>
    <row r="1212" spans="3:3">
      <c r="C1212" s="64" t="s">
        <v>742</v>
      </c>
    </row>
    <row r="1213" spans="3:3">
      <c r="C1213" s="64" t="s">
        <v>2240</v>
      </c>
    </row>
    <row r="1214" spans="3:3">
      <c r="C1214" s="64" t="s">
        <v>2241</v>
      </c>
    </row>
    <row r="1215" spans="3:3">
      <c r="C1215" s="64" t="s">
        <v>865</v>
      </c>
    </row>
    <row r="1216" spans="3:3">
      <c r="C1216" s="64" t="s">
        <v>2243</v>
      </c>
    </row>
    <row r="1217" spans="3:3">
      <c r="C1217" s="64" t="s">
        <v>1095</v>
      </c>
    </row>
    <row r="1218" spans="3:3">
      <c r="C1218" s="64" t="s">
        <v>2244</v>
      </c>
    </row>
    <row r="1219" spans="3:3">
      <c r="C1219" s="64" t="s">
        <v>2245</v>
      </c>
    </row>
    <row r="1220" spans="3:3">
      <c r="C1220" s="64" t="s">
        <v>2246</v>
      </c>
    </row>
    <row r="1221" spans="3:3">
      <c r="C1221" s="64" t="s">
        <v>1079</v>
      </c>
    </row>
    <row r="1222" spans="3:3">
      <c r="C1222" s="64" t="s">
        <v>2247</v>
      </c>
    </row>
    <row r="1223" spans="3:3">
      <c r="C1223" s="64" t="s">
        <v>1055</v>
      </c>
    </row>
    <row r="1224" spans="3:3">
      <c r="C1224" s="64" t="s">
        <v>2248</v>
      </c>
    </row>
    <row r="1225" spans="3:3">
      <c r="C1225" s="64" t="s">
        <v>1064</v>
      </c>
    </row>
    <row r="1226" spans="3:3">
      <c r="C1226" s="64" t="s">
        <v>1022</v>
      </c>
    </row>
    <row r="1227" spans="3:3">
      <c r="C1227" s="64" t="s">
        <v>2249</v>
      </c>
    </row>
    <row r="1228" spans="3:3">
      <c r="C1228" s="64" t="s">
        <v>2250</v>
      </c>
    </row>
    <row r="1229" spans="3:3">
      <c r="C1229" s="64" t="s">
        <v>2251</v>
      </c>
    </row>
    <row r="1230" spans="3:3">
      <c r="C1230" s="64" t="s">
        <v>2252</v>
      </c>
    </row>
    <row r="1231" spans="3:3">
      <c r="C1231" s="64" t="s">
        <v>2253</v>
      </c>
    </row>
    <row r="1232" spans="3:3">
      <c r="C1232" s="64" t="s">
        <v>2254</v>
      </c>
    </row>
    <row r="1233" spans="3:3">
      <c r="C1233" s="64" t="s">
        <v>2255</v>
      </c>
    </row>
    <row r="1234" spans="3:3">
      <c r="C1234" s="64" t="s">
        <v>2256</v>
      </c>
    </row>
    <row r="1235" spans="3:3">
      <c r="C1235" s="64" t="s">
        <v>2257</v>
      </c>
    </row>
    <row r="1236" spans="3:3">
      <c r="C1236" s="64" t="s">
        <v>2258</v>
      </c>
    </row>
    <row r="1237" spans="3:3">
      <c r="C1237" s="64" t="s">
        <v>2260</v>
      </c>
    </row>
    <row r="1238" spans="3:3">
      <c r="C1238" s="64" t="s">
        <v>2261</v>
      </c>
    </row>
    <row r="1239" spans="3:3">
      <c r="C1239" s="64" t="s">
        <v>2262</v>
      </c>
    </row>
    <row r="1240" spans="3:3">
      <c r="C1240" s="64" t="s">
        <v>2263</v>
      </c>
    </row>
    <row r="1241" spans="3:3">
      <c r="C1241" s="64" t="s">
        <v>2264</v>
      </c>
    </row>
    <row r="1242" spans="3:3">
      <c r="C1242" s="64" t="s">
        <v>2265</v>
      </c>
    </row>
    <row r="1243" spans="3:3">
      <c r="C1243" s="64" t="s">
        <v>2266</v>
      </c>
    </row>
    <row r="1244" spans="3:3">
      <c r="C1244" s="64" t="s">
        <v>1108</v>
      </c>
    </row>
    <row r="1245" spans="3:3">
      <c r="C1245" s="64" t="s">
        <v>1566</v>
      </c>
    </row>
    <row r="1248" spans="3:3">
      <c r="C1248" s="64" t="s">
        <v>1527</v>
      </c>
    </row>
    <row r="1249" spans="3:3">
      <c r="C1249" s="64" t="s">
        <v>2088</v>
      </c>
    </row>
    <row r="1250" spans="3:3">
      <c r="C1250" s="64" t="s">
        <v>169</v>
      </c>
    </row>
    <row r="1251" spans="3:3">
      <c r="C1251" s="64" t="s">
        <v>2092</v>
      </c>
    </row>
    <row r="1252" spans="3:3">
      <c r="C1252" s="64" t="s">
        <v>2094</v>
      </c>
    </row>
    <row r="1253" spans="3:3">
      <c r="C1253" s="64" t="s">
        <v>240</v>
      </c>
    </row>
    <row r="1255" spans="3:3">
      <c r="C1255" s="64" t="s">
        <v>1527</v>
      </c>
    </row>
    <row r="1256" spans="3:3">
      <c r="C1256" s="64" t="s">
        <v>2091</v>
      </c>
    </row>
    <row r="1257" spans="3:3">
      <c r="C1257" s="64" t="s">
        <v>2096</v>
      </c>
    </row>
    <row r="1258" spans="3:3">
      <c r="C1258" s="64" t="s">
        <v>2088</v>
      </c>
    </row>
    <row r="1259" spans="3:3">
      <c r="C1259" s="64" t="s">
        <v>240</v>
      </c>
    </row>
    <row r="1261" spans="3:3">
      <c r="C1261" s="64" t="s">
        <v>137</v>
      </c>
    </row>
    <row r="1262" spans="3:3">
      <c r="C1262" s="64" t="s">
        <v>2088</v>
      </c>
    </row>
    <row r="1263" spans="3:3">
      <c r="C1263" s="64" t="s">
        <v>2094</v>
      </c>
    </row>
    <row r="1264" spans="3:3">
      <c r="C1264" s="64" t="s">
        <v>2092</v>
      </c>
    </row>
    <row r="1265" spans="3:3">
      <c r="C1265" s="64" t="s">
        <v>240</v>
      </c>
    </row>
    <row r="1267" spans="3:3">
      <c r="C1267" s="64" t="s">
        <v>1527</v>
      </c>
    </row>
    <row r="1268" spans="3:3">
      <c r="C1268" s="64" t="s">
        <v>2088</v>
      </c>
    </row>
    <row r="1269" spans="3:3">
      <c r="C1269" s="64" t="s">
        <v>240</v>
      </c>
    </row>
    <row r="1272" spans="3:3">
      <c r="C1272" s="64" t="s">
        <v>137</v>
      </c>
    </row>
    <row r="1273" spans="3:3">
      <c r="C1273" s="64" t="s">
        <v>2088</v>
      </c>
    </row>
    <row r="1274" spans="3:3">
      <c r="C1274" s="64" t="s">
        <v>169</v>
      </c>
    </row>
    <row r="1275" spans="3:3">
      <c r="C1275" s="64" t="s">
        <v>2091</v>
      </c>
    </row>
    <row r="1276" spans="3:3">
      <c r="C1276" s="64" t="s">
        <v>2092</v>
      </c>
    </row>
    <row r="1277" spans="3:3">
      <c r="C1277" s="64" t="s">
        <v>2093</v>
      </c>
    </row>
    <row r="1278" spans="3:3">
      <c r="C1278" s="64" t="s">
        <v>2094</v>
      </c>
    </row>
    <row r="1279" spans="3:3">
      <c r="C1279" s="64" t="s">
        <v>2095</v>
      </c>
    </row>
    <row r="1280" spans="3:3">
      <c r="C1280" s="64" t="s">
        <v>2096</v>
      </c>
    </row>
    <row r="1281" spans="3:3">
      <c r="C1281" s="64" t="s">
        <v>240</v>
      </c>
    </row>
    <row r="1283" spans="3:3">
      <c r="C1283" s="64" t="s">
        <v>31</v>
      </c>
    </row>
    <row r="1284" spans="3:3">
      <c r="C1284" s="64" t="s">
        <v>2099</v>
      </c>
    </row>
    <row r="1285" spans="3:3">
      <c r="C1285" s="64" t="s">
        <v>1036</v>
      </c>
    </row>
    <row r="1286" spans="3:3">
      <c r="C1286" s="64" t="s">
        <v>1016</v>
      </c>
    </row>
    <row r="1287" spans="3:3">
      <c r="C1287" s="64" t="s">
        <v>2103</v>
      </c>
    </row>
    <row r="1288" spans="3:3">
      <c r="C1288" s="64" t="s">
        <v>2105</v>
      </c>
    </row>
    <row r="1289" spans="3:3">
      <c r="C1289" s="64" t="s">
        <v>2107</v>
      </c>
    </row>
    <row r="1290" spans="3:3">
      <c r="C1290" s="64" t="s">
        <v>2109</v>
      </c>
    </row>
    <row r="1291" spans="3:3">
      <c r="C1291" s="64" t="s">
        <v>2111</v>
      </c>
    </row>
    <row r="1292" spans="3:3">
      <c r="C1292" s="64" t="s">
        <v>2113</v>
      </c>
    </row>
    <row r="1293" spans="3:3">
      <c r="C1293" s="64" t="s">
        <v>2115</v>
      </c>
    </row>
    <row r="1294" spans="3:3">
      <c r="C1294" s="64" t="s">
        <v>1448</v>
      </c>
    </row>
    <row r="1295" spans="3:3">
      <c r="C1295" s="64" t="s">
        <v>1340</v>
      </c>
    </row>
    <row r="1296" spans="3:3">
      <c r="C1296" s="64" t="s">
        <v>1229</v>
      </c>
    </row>
    <row r="1297" spans="3:3">
      <c r="C1297" s="64" t="s">
        <v>1335</v>
      </c>
    </row>
    <row r="1298" spans="3:3">
      <c r="C1298" s="64" t="s">
        <v>2121</v>
      </c>
    </row>
    <row r="1299" spans="3:3">
      <c r="C1299" s="64" t="s">
        <v>2123</v>
      </c>
    </row>
    <row r="1300" spans="3:3">
      <c r="C1300" s="64" t="s">
        <v>2125</v>
      </c>
    </row>
    <row r="1301" spans="3:3">
      <c r="C1301" s="64" t="s">
        <v>2127</v>
      </c>
    </row>
    <row r="1302" spans="3:3">
      <c r="C1302" s="64" t="s">
        <v>2129</v>
      </c>
    </row>
    <row r="1303" spans="3:3">
      <c r="C1303" s="64" t="s">
        <v>1114</v>
      </c>
    </row>
    <row r="1304" spans="3:3">
      <c r="C1304" s="64" t="s">
        <v>2132</v>
      </c>
    </row>
    <row r="1305" spans="3:3">
      <c r="C1305" s="64" t="s">
        <v>2134</v>
      </c>
    </row>
    <row r="1306" spans="3:3">
      <c r="C1306" s="64" t="s">
        <v>2136</v>
      </c>
    </row>
    <row r="1307" spans="3:3">
      <c r="C1307" s="64" t="s">
        <v>2138</v>
      </c>
    </row>
    <row r="1308" spans="3:3">
      <c r="C1308" s="64" t="s">
        <v>2140</v>
      </c>
    </row>
    <row r="1309" spans="3:3">
      <c r="C1309" s="64" t="s">
        <v>2142</v>
      </c>
    </row>
    <row r="1310" spans="3:3">
      <c r="C1310" s="64" t="s">
        <v>2144</v>
      </c>
    </row>
    <row r="1311" spans="3:3">
      <c r="C1311" s="64" t="s">
        <v>2146</v>
      </c>
    </row>
    <row r="1312" spans="3:3">
      <c r="C1312" s="64" t="s">
        <v>2148</v>
      </c>
    </row>
    <row r="1313" spans="3:3">
      <c r="C1313" s="64" t="s">
        <v>2150</v>
      </c>
    </row>
    <row r="1314" spans="3:3">
      <c r="C1314" s="64" t="s">
        <v>2152</v>
      </c>
    </row>
    <row r="1315" spans="3:3">
      <c r="C1315" s="64" t="s">
        <v>240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9" customWidth="1"/>
    <col min="2" max="2" width="48.75" style="69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22" t="s">
        <v>2852</v>
      </c>
      <c r="B1" s="123" t="s">
        <v>2853</v>
      </c>
      <c r="C1" s="123" t="s">
        <v>2854</v>
      </c>
      <c r="D1" s="124" t="s">
        <v>2855</v>
      </c>
    </row>
    <row r="2" spans="1:4" ht="15.75" hidden="1" outlineLevel="1">
      <c r="A2" s="46" t="s">
        <v>2576</v>
      </c>
      <c r="B2" s="47" t="s">
        <v>0</v>
      </c>
      <c r="C2" s="46">
        <v>5.0999999999999996</v>
      </c>
      <c r="D2" s="126"/>
    </row>
    <row r="3" spans="1:4" ht="15.75" hidden="1" outlineLevel="1">
      <c r="A3" s="46" t="s">
        <v>2576</v>
      </c>
      <c r="B3" s="47" t="s">
        <v>1</v>
      </c>
      <c r="C3" s="46">
        <v>5.2</v>
      </c>
      <c r="D3" s="126"/>
    </row>
    <row r="4" spans="1:4" ht="15.75" hidden="1" outlineLevel="1">
      <c r="A4" s="46" t="s">
        <v>2576</v>
      </c>
      <c r="B4" s="47" t="s">
        <v>1855</v>
      </c>
      <c r="C4" s="46">
        <v>5.4</v>
      </c>
      <c r="D4" s="126"/>
    </row>
    <row r="5" spans="1:4" ht="15.75" hidden="1" outlineLevel="1">
      <c r="A5" s="46" t="s">
        <v>2576</v>
      </c>
      <c r="B5" s="47" t="s">
        <v>1856</v>
      </c>
      <c r="C5" s="46">
        <v>5.7</v>
      </c>
      <c r="D5" s="126"/>
    </row>
    <row r="6" spans="1:4" ht="15.75" hidden="1" outlineLevel="1">
      <c r="A6" s="46" t="s">
        <v>2576</v>
      </c>
      <c r="B6" s="47" t="s">
        <v>1857</v>
      </c>
      <c r="C6" s="46">
        <v>5.1100000000000003</v>
      </c>
      <c r="D6" s="126"/>
    </row>
    <row r="7" spans="1:4" ht="15.75" hidden="1" outlineLevel="1">
      <c r="A7" s="46" t="s">
        <v>2576</v>
      </c>
      <c r="B7" s="47" t="s">
        <v>5</v>
      </c>
      <c r="C7" s="46">
        <v>5.26</v>
      </c>
      <c r="D7" s="126"/>
    </row>
    <row r="8" spans="1:4" ht="15.75" hidden="1" outlineLevel="1">
      <c r="A8" s="46" t="s">
        <v>2576</v>
      </c>
      <c r="B8" s="47" t="s">
        <v>6</v>
      </c>
      <c r="C8" s="46">
        <v>5.27</v>
      </c>
      <c r="D8" s="126"/>
    </row>
    <row r="9" spans="1:4" ht="15.75" hidden="1" outlineLevel="1">
      <c r="A9" s="46" t="s">
        <v>2576</v>
      </c>
      <c r="B9" s="47" t="s">
        <v>123</v>
      </c>
      <c r="C9" s="46">
        <v>5.36</v>
      </c>
      <c r="D9" s="126"/>
    </row>
    <row r="10" spans="1:4" ht="15.75" hidden="1" outlineLevel="1">
      <c r="A10" s="46" t="s">
        <v>2576</v>
      </c>
      <c r="B10" s="47" t="s">
        <v>1859</v>
      </c>
      <c r="C10" s="48">
        <v>5.5</v>
      </c>
      <c r="D10" s="126"/>
    </row>
    <row r="11" spans="1:4" ht="15.75" hidden="1" outlineLevel="1">
      <c r="A11" s="46" t="s">
        <v>2576</v>
      </c>
      <c r="B11" s="47" t="s">
        <v>10</v>
      </c>
      <c r="C11" s="46">
        <v>5.51</v>
      </c>
      <c r="D11" s="126"/>
    </row>
    <row r="12" spans="1:4" ht="15.75" hidden="1" outlineLevel="1">
      <c r="A12" s="46" t="s">
        <v>2576</v>
      </c>
      <c r="B12" s="47" t="s">
        <v>11</v>
      </c>
      <c r="C12" s="46">
        <v>5.53</v>
      </c>
      <c r="D12" s="126"/>
    </row>
    <row r="13" spans="1:4" ht="15.75" hidden="1" outlineLevel="1">
      <c r="A13" s="46" t="s">
        <v>2576</v>
      </c>
      <c r="B13" s="47" t="s">
        <v>1860</v>
      </c>
      <c r="C13" s="46">
        <v>5.59</v>
      </c>
      <c r="D13" s="126"/>
    </row>
    <row r="14" spans="1:4" ht="15.75" hidden="1" outlineLevel="1">
      <c r="A14" s="46" t="s">
        <v>2576</v>
      </c>
      <c r="B14" s="47" t="s">
        <v>18</v>
      </c>
      <c r="C14" s="46">
        <v>5.54</v>
      </c>
      <c r="D14" s="126"/>
    </row>
    <row r="15" spans="1:4" ht="15.75" hidden="1" outlineLevel="1">
      <c r="A15" s="46" t="s">
        <v>2576</v>
      </c>
      <c r="B15" s="47" t="s">
        <v>14</v>
      </c>
      <c r="C15" s="48">
        <v>5.7</v>
      </c>
      <c r="D15" s="125" t="s">
        <v>2856</v>
      </c>
    </row>
    <row r="16" spans="1:4" ht="15.75" hidden="1" outlineLevel="1">
      <c r="A16" s="46" t="s">
        <v>2576</v>
      </c>
      <c r="B16" s="47" t="s">
        <v>20</v>
      </c>
      <c r="C16" s="46">
        <v>5.63</v>
      </c>
      <c r="D16" s="126"/>
    </row>
    <row r="17" spans="1:4" ht="15.75" hidden="1" outlineLevel="1">
      <c r="A17" s="46" t="s">
        <v>2576</v>
      </c>
      <c r="B17" s="47" t="s">
        <v>24</v>
      </c>
      <c r="C17" s="46">
        <v>5.47</v>
      </c>
      <c r="D17" s="126"/>
    </row>
    <row r="18" spans="1:4" ht="15.75" hidden="1" outlineLevel="1">
      <c r="A18" s="46" t="s">
        <v>2576</v>
      </c>
      <c r="B18" s="47" t="s">
        <v>25</v>
      </c>
      <c r="C18" s="46">
        <v>5.48</v>
      </c>
      <c r="D18" s="126"/>
    </row>
    <row r="19" spans="1:4" ht="15.75">
      <c r="A19" s="52" t="s">
        <v>2576</v>
      </c>
      <c r="B19" s="47"/>
      <c r="C19" s="46"/>
      <c r="D19" s="126"/>
    </row>
    <row r="20" spans="1:4" ht="15.75" hidden="1" outlineLevel="1">
      <c r="A20" s="46" t="s">
        <v>2586</v>
      </c>
      <c r="B20" s="47" t="s">
        <v>0</v>
      </c>
      <c r="C20" s="46">
        <v>5.0999999999999996</v>
      </c>
      <c r="D20" s="126"/>
    </row>
    <row r="21" spans="1:4" ht="15.75" hidden="1" outlineLevel="1">
      <c r="A21" s="46" t="s">
        <v>2586</v>
      </c>
      <c r="B21" s="47" t="s">
        <v>1</v>
      </c>
      <c r="C21" s="46">
        <v>5.2</v>
      </c>
      <c r="D21" s="126"/>
    </row>
    <row r="22" spans="1:4" ht="15.75" hidden="1" outlineLevel="1">
      <c r="A22" s="46" t="s">
        <v>2586</v>
      </c>
      <c r="B22" s="47" t="s">
        <v>2</v>
      </c>
      <c r="C22" s="46">
        <v>5.3</v>
      </c>
      <c r="D22" s="126"/>
    </row>
    <row r="23" spans="1:4" ht="15.75" hidden="1" outlineLevel="1">
      <c r="A23" s="46" t="s">
        <v>2586</v>
      </c>
      <c r="B23" s="47" t="s">
        <v>1378</v>
      </c>
      <c r="C23" s="46">
        <v>5.14</v>
      </c>
      <c r="D23" s="126"/>
    </row>
    <row r="24" spans="1:4" ht="15.75" hidden="1" outlineLevel="1">
      <c r="A24" s="46" t="s">
        <v>2586</v>
      </c>
      <c r="B24" s="47" t="s">
        <v>4</v>
      </c>
      <c r="C24" s="46">
        <v>5.19</v>
      </c>
      <c r="D24" s="126"/>
    </row>
    <row r="25" spans="1:4" ht="15.75" hidden="1" outlineLevel="1">
      <c r="A25" s="46" t="s">
        <v>2586</v>
      </c>
      <c r="B25" s="47" t="s">
        <v>5</v>
      </c>
      <c r="C25" s="46">
        <v>5.26</v>
      </c>
      <c r="D25" s="126"/>
    </row>
    <row r="26" spans="1:4" ht="15.75" hidden="1" outlineLevel="1">
      <c r="A26" s="46" t="s">
        <v>2586</v>
      </c>
      <c r="B26" s="47" t="s">
        <v>6</v>
      </c>
      <c r="C26" s="46">
        <v>5.27</v>
      </c>
      <c r="D26" s="126"/>
    </row>
    <row r="27" spans="1:4" ht="15.75" hidden="1" outlineLevel="1">
      <c r="A27" s="46" t="s">
        <v>2586</v>
      </c>
      <c r="B27" s="47" t="s">
        <v>7</v>
      </c>
      <c r="C27" s="46">
        <v>5.28</v>
      </c>
      <c r="D27" s="126"/>
    </row>
    <row r="28" spans="1:4" ht="15.75" hidden="1" outlineLevel="1">
      <c r="A28" s="46" t="s">
        <v>2586</v>
      </c>
      <c r="B28" s="47" t="s">
        <v>8</v>
      </c>
      <c r="C28" s="48">
        <v>5.3</v>
      </c>
      <c r="D28" s="126"/>
    </row>
    <row r="29" spans="1:4" ht="15.75" hidden="1" outlineLevel="1">
      <c r="A29" s="46" t="s">
        <v>2586</v>
      </c>
      <c r="B29" s="47" t="s">
        <v>9</v>
      </c>
      <c r="C29" s="46">
        <v>5.49</v>
      </c>
      <c r="D29" s="126"/>
    </row>
    <row r="30" spans="1:4" ht="15.75" hidden="1" outlineLevel="1">
      <c r="A30" s="46" t="s">
        <v>2586</v>
      </c>
      <c r="B30" s="47" t="s">
        <v>10</v>
      </c>
      <c r="C30" s="46">
        <v>5.51</v>
      </c>
      <c r="D30" s="126"/>
    </row>
    <row r="31" spans="1:4" ht="15.75" hidden="1" outlineLevel="1">
      <c r="A31" s="46" t="s">
        <v>2586</v>
      </c>
      <c r="B31" s="47" t="s">
        <v>11</v>
      </c>
      <c r="C31" s="46">
        <v>5.53</v>
      </c>
      <c r="D31" s="126"/>
    </row>
    <row r="32" spans="1:4" ht="15.75" hidden="1" outlineLevel="1">
      <c r="A32" s="46" t="s">
        <v>2586</v>
      </c>
      <c r="B32" s="47" t="s">
        <v>12</v>
      </c>
      <c r="C32" s="46">
        <v>5.69</v>
      </c>
      <c r="D32" s="126"/>
    </row>
    <row r="33" spans="1:4" ht="15.75" hidden="1" outlineLevel="1">
      <c r="A33" s="46" t="s">
        <v>2586</v>
      </c>
      <c r="B33" s="47" t="s">
        <v>13</v>
      </c>
      <c r="C33" s="46">
        <v>5.75</v>
      </c>
      <c r="D33" s="126"/>
    </row>
    <row r="34" spans="1:4" ht="15.75" hidden="1" outlineLevel="1">
      <c r="A34" s="46" t="s">
        <v>2586</v>
      </c>
      <c r="B34" s="47" t="s">
        <v>14</v>
      </c>
      <c r="C34" s="48">
        <v>5.7</v>
      </c>
      <c r="D34" s="126"/>
    </row>
    <row r="35" spans="1:4" ht="15.75" hidden="1" outlineLevel="1">
      <c r="A35" s="46" t="s">
        <v>2586</v>
      </c>
      <c r="B35" s="47" t="s">
        <v>15</v>
      </c>
      <c r="C35" s="46">
        <v>5.74</v>
      </c>
      <c r="D35" s="126"/>
    </row>
    <row r="36" spans="1:4" ht="15.75" hidden="1" outlineLevel="1">
      <c r="A36" s="46" t="s">
        <v>2586</v>
      </c>
      <c r="B36" s="47" t="s">
        <v>16</v>
      </c>
      <c r="C36" s="46">
        <v>5.62</v>
      </c>
      <c r="D36" s="126"/>
    </row>
    <row r="37" spans="1:4" ht="15.75" hidden="1" outlineLevel="1">
      <c r="A37" s="46" t="s">
        <v>2586</v>
      </c>
      <c r="B37" s="47" t="s">
        <v>17</v>
      </c>
      <c r="C37" s="46">
        <v>5.58</v>
      </c>
      <c r="D37" s="126"/>
    </row>
    <row r="38" spans="1:4" ht="15.75" hidden="1" outlineLevel="1">
      <c r="A38" s="46" t="s">
        <v>2586</v>
      </c>
      <c r="B38" s="47" t="s">
        <v>18</v>
      </c>
      <c r="C38" s="46">
        <v>5.54</v>
      </c>
      <c r="D38" s="126"/>
    </row>
    <row r="39" spans="1:4" ht="15.75" hidden="1" outlineLevel="1">
      <c r="A39" s="46" t="s">
        <v>2586</v>
      </c>
      <c r="B39" s="47" t="s">
        <v>19</v>
      </c>
      <c r="C39" s="46">
        <v>5.55</v>
      </c>
      <c r="D39" s="126"/>
    </row>
    <row r="40" spans="1:4" ht="15.75" hidden="1" outlineLevel="1">
      <c r="A40" s="46" t="s">
        <v>2586</v>
      </c>
      <c r="B40" s="47" t="s">
        <v>20</v>
      </c>
      <c r="C40" s="46">
        <v>5.63</v>
      </c>
      <c r="D40" s="126"/>
    </row>
    <row r="41" spans="1:4" ht="15.75" hidden="1" outlineLevel="1">
      <c r="A41" s="46" t="s">
        <v>2586</v>
      </c>
      <c r="B41" s="47" t="s">
        <v>21</v>
      </c>
      <c r="C41" s="46">
        <v>5.65</v>
      </c>
      <c r="D41" s="126"/>
    </row>
    <row r="42" spans="1:4" ht="15.75" hidden="1" outlineLevel="1">
      <c r="A42" s="46" t="s">
        <v>2586</v>
      </c>
      <c r="B42" s="47" t="s">
        <v>22</v>
      </c>
      <c r="C42" s="46">
        <v>5.68</v>
      </c>
      <c r="D42" s="126"/>
    </row>
    <row r="43" spans="1:4" ht="15.75" hidden="1" outlineLevel="1">
      <c r="A43" s="46" t="s">
        <v>2586</v>
      </c>
      <c r="B43" s="47" t="s">
        <v>23</v>
      </c>
      <c r="C43" s="46">
        <v>5.45</v>
      </c>
      <c r="D43" s="126"/>
    </row>
    <row r="44" spans="1:4" ht="15.75" hidden="1" outlineLevel="1">
      <c r="A44" s="46" t="s">
        <v>2586</v>
      </c>
      <c r="B44" s="47" t="s">
        <v>24</v>
      </c>
      <c r="C44" s="46">
        <v>5.47</v>
      </c>
      <c r="D44" s="126"/>
    </row>
    <row r="45" spans="1:4" ht="15.75" hidden="1" outlineLevel="1">
      <c r="A45" s="46" t="s">
        <v>2586</v>
      </c>
      <c r="B45" s="47" t="s">
        <v>25</v>
      </c>
      <c r="C45" s="46">
        <v>5.48</v>
      </c>
      <c r="D45" s="126"/>
    </row>
    <row r="46" spans="1:4" ht="15.75">
      <c r="A46" s="52" t="s">
        <v>2586</v>
      </c>
      <c r="B46" s="47"/>
      <c r="C46" s="46"/>
      <c r="D46" s="126"/>
    </row>
    <row r="47" spans="1:4" ht="15.75" hidden="1" outlineLevel="1">
      <c r="A47" s="46" t="s">
        <v>2591</v>
      </c>
      <c r="B47" s="47" t="s">
        <v>0</v>
      </c>
      <c r="C47" s="46">
        <v>5.0999999999999996</v>
      </c>
      <c r="D47" s="126"/>
    </row>
    <row r="48" spans="1:4" ht="15.75" hidden="1" outlineLevel="1">
      <c r="A48" s="46" t="s">
        <v>2591</v>
      </c>
      <c r="B48" s="47" t="s">
        <v>1</v>
      </c>
      <c r="C48" s="46">
        <v>5.2</v>
      </c>
      <c r="D48" s="126"/>
    </row>
    <row r="49" spans="1:4" ht="15.75" hidden="1" outlineLevel="1">
      <c r="A49" s="46" t="s">
        <v>2591</v>
      </c>
      <c r="B49" s="47" t="s">
        <v>2</v>
      </c>
      <c r="C49" s="46">
        <v>5.3</v>
      </c>
      <c r="D49" s="126"/>
    </row>
    <row r="50" spans="1:4" ht="15.75" hidden="1" outlineLevel="1">
      <c r="A50" s="46" t="s">
        <v>2591</v>
      </c>
      <c r="B50" s="47" t="s">
        <v>119</v>
      </c>
      <c r="C50" s="46">
        <v>5.6</v>
      </c>
      <c r="D50" s="126"/>
    </row>
    <row r="51" spans="1:4" ht="15.75" hidden="1" outlineLevel="1">
      <c r="A51" s="46" t="s">
        <v>2591</v>
      </c>
      <c r="B51" s="47" t="s">
        <v>2857</v>
      </c>
      <c r="C51" s="48">
        <v>5.0999999999999996</v>
      </c>
      <c r="D51" s="126"/>
    </row>
    <row r="52" spans="1:4" ht="15.75" hidden="1" outlineLevel="1">
      <c r="A52" s="46" t="s">
        <v>2591</v>
      </c>
      <c r="B52" s="47" t="s">
        <v>1378</v>
      </c>
      <c r="C52" s="46">
        <v>5.14</v>
      </c>
      <c r="D52" s="126"/>
    </row>
    <row r="53" spans="1:4" ht="15.75" hidden="1" outlineLevel="1">
      <c r="A53" s="46" t="s">
        <v>2591</v>
      </c>
      <c r="B53" s="47" t="s">
        <v>4</v>
      </c>
      <c r="C53" s="46">
        <v>5.19</v>
      </c>
      <c r="D53" s="126"/>
    </row>
    <row r="54" spans="1:4" ht="15.75" hidden="1" outlineLevel="1">
      <c r="A54" s="46" t="s">
        <v>2591</v>
      </c>
      <c r="B54" s="47" t="s">
        <v>121</v>
      </c>
      <c r="C54" s="46">
        <v>5.24</v>
      </c>
      <c r="D54" s="126"/>
    </row>
    <row r="55" spans="1:4" ht="15.75" hidden="1" outlineLevel="1">
      <c r="A55" s="46" t="s">
        <v>2591</v>
      </c>
      <c r="B55" s="47" t="s">
        <v>5</v>
      </c>
      <c r="C55" s="46">
        <v>5.26</v>
      </c>
      <c r="D55" s="126"/>
    </row>
    <row r="56" spans="1:4" ht="15.75" hidden="1" outlineLevel="1">
      <c r="A56" s="46" t="s">
        <v>2591</v>
      </c>
      <c r="B56" s="47" t="s">
        <v>6</v>
      </c>
      <c r="C56" s="46">
        <v>5.27</v>
      </c>
      <c r="D56" s="126"/>
    </row>
    <row r="57" spans="1:4" ht="15.75" hidden="1" outlineLevel="1">
      <c r="A57" s="46" t="s">
        <v>2591</v>
      </c>
      <c r="B57" s="47" t="s">
        <v>7</v>
      </c>
      <c r="C57" s="46">
        <v>5.28</v>
      </c>
      <c r="D57" s="126"/>
    </row>
    <row r="58" spans="1:4" ht="15.75" hidden="1" outlineLevel="1">
      <c r="A58" s="46" t="s">
        <v>2591</v>
      </c>
      <c r="B58" s="47" t="s">
        <v>8</v>
      </c>
      <c r="C58" s="48">
        <v>5.3</v>
      </c>
      <c r="D58" s="126"/>
    </row>
    <row r="59" spans="1:4" ht="15.75" hidden="1" outlineLevel="1">
      <c r="A59" s="46" t="s">
        <v>2591</v>
      </c>
      <c r="B59" s="47" t="s">
        <v>122</v>
      </c>
      <c r="C59" s="46">
        <v>5.31</v>
      </c>
      <c r="D59" s="126"/>
    </row>
    <row r="60" spans="1:4" ht="15.75" hidden="1" outlineLevel="1">
      <c r="A60" s="46" t="s">
        <v>2591</v>
      </c>
      <c r="B60" s="47" t="s">
        <v>123</v>
      </c>
      <c r="C60" s="46">
        <v>5.36</v>
      </c>
      <c r="D60" s="126"/>
    </row>
    <row r="61" spans="1:4" ht="15.75" hidden="1" outlineLevel="1">
      <c r="A61" s="46" t="s">
        <v>2591</v>
      </c>
      <c r="B61" s="47" t="s">
        <v>9</v>
      </c>
      <c r="C61" s="46">
        <v>5.49</v>
      </c>
      <c r="D61" s="126"/>
    </row>
    <row r="62" spans="1:4" ht="15.75" hidden="1" outlineLevel="1">
      <c r="A62" s="46" t="s">
        <v>2591</v>
      </c>
      <c r="B62" s="47" t="s">
        <v>10</v>
      </c>
      <c r="C62" s="46">
        <v>5.51</v>
      </c>
      <c r="D62" s="126"/>
    </row>
    <row r="63" spans="1:4" ht="15.75" hidden="1" outlineLevel="1">
      <c r="A63" s="46" t="s">
        <v>2591</v>
      </c>
      <c r="B63" s="47" t="s">
        <v>2858</v>
      </c>
      <c r="C63" s="46">
        <v>5.52</v>
      </c>
      <c r="D63" s="126"/>
    </row>
    <row r="64" spans="1:4" ht="15.75" hidden="1" outlineLevel="1">
      <c r="A64" s="46" t="s">
        <v>2591</v>
      </c>
      <c r="B64" s="47" t="s">
        <v>11</v>
      </c>
      <c r="C64" s="46">
        <v>5.53</v>
      </c>
      <c r="D64" s="126"/>
    </row>
    <row r="65" spans="1:4" ht="15.75" hidden="1" outlineLevel="1">
      <c r="A65" s="46" t="s">
        <v>2591</v>
      </c>
      <c r="B65" s="47" t="s">
        <v>12</v>
      </c>
      <c r="C65" s="46">
        <v>5.69</v>
      </c>
      <c r="D65" s="126"/>
    </row>
    <row r="66" spans="1:4" ht="15.75" hidden="1" outlineLevel="1">
      <c r="A66" s="46" t="s">
        <v>2591</v>
      </c>
      <c r="B66" s="47" t="s">
        <v>125</v>
      </c>
      <c r="C66" s="48">
        <v>5.72</v>
      </c>
      <c r="D66" s="126"/>
    </row>
    <row r="67" spans="1:4" ht="15.75" hidden="1" outlineLevel="1">
      <c r="A67" s="46" t="s">
        <v>2591</v>
      </c>
      <c r="B67" s="47" t="s">
        <v>13</v>
      </c>
      <c r="C67" s="46">
        <v>5.75</v>
      </c>
      <c r="D67" s="126"/>
    </row>
    <row r="68" spans="1:4" ht="15.75" hidden="1" outlineLevel="1">
      <c r="A68" s="46" t="s">
        <v>2591</v>
      </c>
      <c r="B68" s="47" t="s">
        <v>14</v>
      </c>
      <c r="C68" s="48">
        <v>5.7</v>
      </c>
      <c r="D68" s="126"/>
    </row>
    <row r="69" spans="1:4" ht="15.75" hidden="1" outlineLevel="1">
      <c r="A69" s="46" t="s">
        <v>2591</v>
      </c>
      <c r="B69" s="47" t="s">
        <v>15</v>
      </c>
      <c r="C69" s="46">
        <v>5.74</v>
      </c>
      <c r="D69" s="126"/>
    </row>
    <row r="70" spans="1:4" ht="15.75" hidden="1" outlineLevel="1">
      <c r="A70" s="46" t="s">
        <v>2591</v>
      </c>
      <c r="B70" s="47" t="s">
        <v>126</v>
      </c>
      <c r="C70" s="46">
        <v>5.76</v>
      </c>
      <c r="D70" s="126"/>
    </row>
    <row r="71" spans="1:4" ht="15.75" hidden="1" outlineLevel="1">
      <c r="A71" s="46" t="s">
        <v>2591</v>
      </c>
      <c r="B71" s="47" t="s">
        <v>127</v>
      </c>
      <c r="C71" s="46">
        <v>5.89</v>
      </c>
      <c r="D71" s="125" t="s">
        <v>2856</v>
      </c>
    </row>
    <row r="72" spans="1:4" ht="15.75" hidden="1" outlineLevel="1">
      <c r="A72" s="46" t="s">
        <v>2591</v>
      </c>
      <c r="B72" s="47" t="s">
        <v>17</v>
      </c>
      <c r="C72" s="46">
        <v>5.58</v>
      </c>
      <c r="D72" s="126"/>
    </row>
    <row r="73" spans="1:4" ht="15.75" hidden="1" outlineLevel="1">
      <c r="A73" s="46" t="s">
        <v>2591</v>
      </c>
      <c r="B73" s="47" t="s">
        <v>16</v>
      </c>
      <c r="C73" s="46">
        <v>5.62</v>
      </c>
      <c r="D73" s="126"/>
    </row>
    <row r="74" spans="1:4" ht="15.75" hidden="1" outlineLevel="1">
      <c r="A74" s="46" t="s">
        <v>2591</v>
      </c>
      <c r="B74" s="47" t="s">
        <v>18</v>
      </c>
      <c r="C74" s="46">
        <v>5.54</v>
      </c>
      <c r="D74" s="126"/>
    </row>
    <row r="75" spans="1:4" ht="15.75" hidden="1" outlineLevel="1">
      <c r="A75" s="46" t="s">
        <v>2591</v>
      </c>
      <c r="B75" s="47" t="s">
        <v>19</v>
      </c>
      <c r="C75" s="46">
        <v>5.55</v>
      </c>
      <c r="D75" s="126"/>
    </row>
    <row r="76" spans="1:4" ht="15.75" hidden="1" outlineLevel="1">
      <c r="A76" s="46" t="s">
        <v>2591</v>
      </c>
      <c r="B76" s="47" t="s">
        <v>20</v>
      </c>
      <c r="C76" s="46">
        <v>5.63</v>
      </c>
      <c r="D76" s="126"/>
    </row>
    <row r="77" spans="1:4" ht="15.75" hidden="1" outlineLevel="1">
      <c r="A77" s="46" t="s">
        <v>2591</v>
      </c>
      <c r="B77" s="47" t="s">
        <v>21</v>
      </c>
      <c r="C77" s="46">
        <v>5.65</v>
      </c>
      <c r="D77" s="126"/>
    </row>
    <row r="78" spans="1:4" ht="15.75" hidden="1" outlineLevel="1">
      <c r="A78" s="46" t="s">
        <v>2591</v>
      </c>
      <c r="B78" s="47" t="s">
        <v>128</v>
      </c>
      <c r="C78" s="46">
        <v>5.66</v>
      </c>
      <c r="D78" s="126"/>
    </row>
    <row r="79" spans="1:4" ht="15.75" hidden="1" outlineLevel="1">
      <c r="A79" s="46" t="s">
        <v>2591</v>
      </c>
      <c r="B79" s="47" t="s">
        <v>22</v>
      </c>
      <c r="C79" s="46">
        <v>5.68</v>
      </c>
      <c r="D79" s="126"/>
    </row>
    <row r="80" spans="1:4" ht="15.75" hidden="1" outlineLevel="1">
      <c r="A80" s="46" t="s">
        <v>2591</v>
      </c>
      <c r="B80" s="47" t="s">
        <v>23</v>
      </c>
      <c r="C80" s="46">
        <v>5.45</v>
      </c>
      <c r="D80" s="126"/>
    </row>
    <row r="81" spans="1:4" ht="15.75" hidden="1" outlineLevel="1">
      <c r="A81" s="46" t="s">
        <v>2591</v>
      </c>
      <c r="B81" s="47" t="s">
        <v>24</v>
      </c>
      <c r="C81" s="46">
        <v>5.47</v>
      </c>
      <c r="D81" s="126"/>
    </row>
    <row r="82" spans="1:4" ht="15.75" hidden="1" outlineLevel="1">
      <c r="A82" s="46" t="s">
        <v>2591</v>
      </c>
      <c r="B82" s="47" t="s">
        <v>25</v>
      </c>
      <c r="C82" s="46">
        <v>5.48</v>
      </c>
      <c r="D82" s="126"/>
    </row>
    <row r="83" spans="1:4" ht="15.75">
      <c r="A83" s="52" t="s">
        <v>2591</v>
      </c>
      <c r="B83" s="47"/>
      <c r="C83" s="46"/>
      <c r="D83" s="126"/>
    </row>
    <row r="84" spans="1:4" ht="15.75" hidden="1" outlineLevel="1">
      <c r="A84" s="46" t="s">
        <v>2592</v>
      </c>
      <c r="B84" s="47" t="s">
        <v>0</v>
      </c>
      <c r="C84" s="46">
        <v>5.0999999999999996</v>
      </c>
      <c r="D84" s="126"/>
    </row>
    <row r="85" spans="1:4" ht="15.75" hidden="1" outlineLevel="1">
      <c r="A85" s="46" t="s">
        <v>2592</v>
      </c>
      <c r="B85" s="47" t="s">
        <v>1</v>
      </c>
      <c r="C85" s="46">
        <v>5.2</v>
      </c>
      <c r="D85" s="126"/>
    </row>
    <row r="86" spans="1:4" ht="15.75" hidden="1" outlineLevel="1">
      <c r="A86" s="46" t="s">
        <v>2592</v>
      </c>
      <c r="B86" s="47" t="s">
        <v>2</v>
      </c>
      <c r="C86" s="46">
        <v>5.3</v>
      </c>
      <c r="D86" s="126"/>
    </row>
    <row r="87" spans="1:4" ht="15.75" hidden="1" outlineLevel="1">
      <c r="A87" s="46" t="s">
        <v>2592</v>
      </c>
      <c r="B87" s="47" t="s">
        <v>119</v>
      </c>
      <c r="C87" s="46">
        <v>5.6</v>
      </c>
      <c r="D87" s="126"/>
    </row>
    <row r="88" spans="1:4" ht="15.75" hidden="1" outlineLevel="1">
      <c r="A88" s="46" t="s">
        <v>2592</v>
      </c>
      <c r="B88" s="47" t="s">
        <v>2857</v>
      </c>
      <c r="C88" s="48">
        <v>5.0999999999999996</v>
      </c>
      <c r="D88" s="126"/>
    </row>
    <row r="89" spans="1:4" ht="15.75" hidden="1" outlineLevel="1">
      <c r="A89" s="46" t="s">
        <v>2592</v>
      </c>
      <c r="B89" s="47" t="s">
        <v>1378</v>
      </c>
      <c r="C89" s="46">
        <v>5.14</v>
      </c>
      <c r="D89" s="126"/>
    </row>
    <row r="90" spans="1:4" ht="15.75" hidden="1" outlineLevel="1">
      <c r="A90" s="46" t="s">
        <v>2592</v>
      </c>
      <c r="B90" s="47" t="s">
        <v>4</v>
      </c>
      <c r="C90" s="46">
        <v>5.19</v>
      </c>
      <c r="D90" s="126"/>
    </row>
    <row r="91" spans="1:4" ht="15.75" hidden="1" outlineLevel="1">
      <c r="A91" s="46" t="s">
        <v>2592</v>
      </c>
      <c r="B91" s="47" t="s">
        <v>121</v>
      </c>
      <c r="C91" s="46">
        <v>5.24</v>
      </c>
      <c r="D91" s="126"/>
    </row>
    <row r="92" spans="1:4" ht="15.75" hidden="1" outlineLevel="1">
      <c r="A92" s="46" t="s">
        <v>2592</v>
      </c>
      <c r="B92" s="47" t="s">
        <v>5</v>
      </c>
      <c r="C92" s="46">
        <v>5.26</v>
      </c>
      <c r="D92" s="126"/>
    </row>
    <row r="93" spans="1:4" ht="15.75" hidden="1" outlineLevel="1">
      <c r="A93" s="46" t="s">
        <v>2592</v>
      </c>
      <c r="B93" s="47" t="s">
        <v>6</v>
      </c>
      <c r="C93" s="46">
        <v>5.27</v>
      </c>
      <c r="D93" s="126"/>
    </row>
    <row r="94" spans="1:4" ht="15.75" hidden="1" outlineLevel="1">
      <c r="A94" s="46" t="s">
        <v>2592</v>
      </c>
      <c r="B94" s="47" t="s">
        <v>7</v>
      </c>
      <c r="C94" s="46">
        <v>5.28</v>
      </c>
      <c r="D94" s="126"/>
    </row>
    <row r="95" spans="1:4" ht="15.75" hidden="1" outlineLevel="1">
      <c r="A95" s="46" t="s">
        <v>2592</v>
      </c>
      <c r="B95" s="47" t="s">
        <v>129</v>
      </c>
      <c r="C95" s="46">
        <v>5.29</v>
      </c>
      <c r="D95" s="126"/>
    </row>
    <row r="96" spans="1:4" ht="15.75" hidden="1" outlineLevel="1">
      <c r="A96" s="46" t="s">
        <v>2592</v>
      </c>
      <c r="B96" s="47" t="s">
        <v>8</v>
      </c>
      <c r="C96" s="48">
        <v>5.3</v>
      </c>
      <c r="D96" s="126"/>
    </row>
    <row r="97" spans="1:4" ht="15.75" hidden="1" outlineLevel="1">
      <c r="A97" s="46" t="s">
        <v>2592</v>
      </c>
      <c r="B97" s="47" t="s">
        <v>122</v>
      </c>
      <c r="C97" s="46">
        <v>5.31</v>
      </c>
      <c r="D97" s="126"/>
    </row>
    <row r="98" spans="1:4" ht="15.75" hidden="1" outlineLevel="1">
      <c r="A98" s="46" t="s">
        <v>2592</v>
      </c>
      <c r="B98" s="47" t="s">
        <v>123</v>
      </c>
      <c r="C98" s="46">
        <v>5.36</v>
      </c>
      <c r="D98" s="126"/>
    </row>
    <row r="99" spans="1:4" ht="15.75" hidden="1" outlineLevel="1">
      <c r="A99" s="46" t="s">
        <v>2592</v>
      </c>
      <c r="B99" s="47" t="s">
        <v>9</v>
      </c>
      <c r="C99" s="46">
        <v>5.49</v>
      </c>
      <c r="D99" s="126"/>
    </row>
    <row r="100" spans="1:4" ht="15.75" hidden="1" outlineLevel="1">
      <c r="A100" s="46" t="s">
        <v>2592</v>
      </c>
      <c r="B100" s="47" t="s">
        <v>10</v>
      </c>
      <c r="C100" s="46">
        <v>5.51</v>
      </c>
      <c r="D100" s="126"/>
    </row>
    <row r="101" spans="1:4" ht="15.75" hidden="1" outlineLevel="1">
      <c r="A101" s="46" t="s">
        <v>2592</v>
      </c>
      <c r="B101" s="47" t="s">
        <v>2858</v>
      </c>
      <c r="C101" s="46">
        <v>5.52</v>
      </c>
      <c r="D101" s="126"/>
    </row>
    <row r="102" spans="1:4" ht="15.75" hidden="1" outlineLevel="1">
      <c r="A102" s="46" t="s">
        <v>2592</v>
      </c>
      <c r="B102" s="47" t="s">
        <v>11</v>
      </c>
      <c r="C102" s="46">
        <v>5.53</v>
      </c>
      <c r="D102" s="126"/>
    </row>
    <row r="103" spans="1:4" ht="15.75" hidden="1" outlineLevel="1">
      <c r="A103" s="46" t="s">
        <v>2592</v>
      </c>
      <c r="B103" s="47" t="s">
        <v>12</v>
      </c>
      <c r="C103" s="46">
        <v>5.69</v>
      </c>
      <c r="D103" s="126"/>
    </row>
    <row r="104" spans="1:4" ht="15.75" hidden="1" outlineLevel="1">
      <c r="A104" s="46" t="s">
        <v>2592</v>
      </c>
      <c r="B104" s="47" t="s">
        <v>13</v>
      </c>
      <c r="C104" s="46">
        <v>5.75</v>
      </c>
      <c r="D104" s="126"/>
    </row>
    <row r="105" spans="1:4" ht="15.75" hidden="1" outlineLevel="1">
      <c r="A105" s="46" t="s">
        <v>2592</v>
      </c>
      <c r="B105" s="47" t="s">
        <v>14</v>
      </c>
      <c r="C105" s="48">
        <v>5.7</v>
      </c>
      <c r="D105" s="126"/>
    </row>
    <row r="106" spans="1:4" ht="15.75" hidden="1" outlineLevel="1">
      <c r="A106" s="46" t="s">
        <v>2592</v>
      </c>
      <c r="B106" s="47" t="s">
        <v>15</v>
      </c>
      <c r="C106" s="46">
        <v>5.74</v>
      </c>
      <c r="D106" s="126"/>
    </row>
    <row r="107" spans="1:4" ht="15.75" hidden="1" outlineLevel="1">
      <c r="A107" s="46" t="s">
        <v>2592</v>
      </c>
      <c r="B107" s="47" t="s">
        <v>126</v>
      </c>
      <c r="C107" s="46">
        <v>5.76</v>
      </c>
      <c r="D107" s="126"/>
    </row>
    <row r="108" spans="1:4" ht="15.75" hidden="1" outlineLevel="1">
      <c r="A108" s="46" t="s">
        <v>2592</v>
      </c>
      <c r="B108" s="47" t="s">
        <v>127</v>
      </c>
      <c r="C108" s="46">
        <v>5.89</v>
      </c>
      <c r="D108" s="125" t="s">
        <v>2856</v>
      </c>
    </row>
    <row r="109" spans="1:4" ht="15.75" hidden="1" outlineLevel="1">
      <c r="A109" s="46" t="s">
        <v>2592</v>
      </c>
      <c r="B109" s="47" t="s">
        <v>17</v>
      </c>
      <c r="C109" s="46">
        <v>5.58</v>
      </c>
      <c r="D109" s="126"/>
    </row>
    <row r="110" spans="1:4" ht="15.75" hidden="1" outlineLevel="1">
      <c r="A110" s="46" t="s">
        <v>2592</v>
      </c>
      <c r="B110" s="47" t="s">
        <v>16</v>
      </c>
      <c r="C110" s="46">
        <v>5.62</v>
      </c>
      <c r="D110" s="126"/>
    </row>
    <row r="111" spans="1:4" ht="15.75" hidden="1" outlineLevel="1">
      <c r="A111" s="46" t="s">
        <v>2592</v>
      </c>
      <c r="B111" s="47" t="s">
        <v>18</v>
      </c>
      <c r="C111" s="46">
        <v>5.54</v>
      </c>
      <c r="D111" s="126"/>
    </row>
    <row r="112" spans="1:4" ht="15.75" hidden="1" outlineLevel="1">
      <c r="A112" s="46" t="s">
        <v>2592</v>
      </c>
      <c r="B112" s="47" t="s">
        <v>19</v>
      </c>
      <c r="C112" s="46">
        <v>5.55</v>
      </c>
      <c r="D112" s="126"/>
    </row>
    <row r="113" spans="1:4" ht="15.75" hidden="1" outlineLevel="1">
      <c r="A113" s="46" t="s">
        <v>2592</v>
      </c>
      <c r="B113" s="47" t="s">
        <v>21</v>
      </c>
      <c r="C113" s="46">
        <v>5.65</v>
      </c>
      <c r="D113" s="126"/>
    </row>
    <row r="114" spans="1:4" ht="15.75" hidden="1" outlineLevel="1">
      <c r="A114" s="46" t="s">
        <v>2592</v>
      </c>
      <c r="B114" s="47" t="s">
        <v>128</v>
      </c>
      <c r="C114" s="46">
        <v>5.66</v>
      </c>
      <c r="D114" s="126"/>
    </row>
    <row r="115" spans="1:4" ht="15.75" hidden="1" outlineLevel="1">
      <c r="A115" s="46" t="s">
        <v>2592</v>
      </c>
      <c r="B115" s="47" t="s">
        <v>22</v>
      </c>
      <c r="C115" s="46">
        <v>5.68</v>
      </c>
      <c r="D115" s="126"/>
    </row>
    <row r="116" spans="1:4" ht="15.75" hidden="1" outlineLevel="1">
      <c r="A116" s="46" t="s">
        <v>2592</v>
      </c>
      <c r="B116" s="47" t="s">
        <v>23</v>
      </c>
      <c r="C116" s="46">
        <v>5.45</v>
      </c>
      <c r="D116" s="126"/>
    </row>
    <row r="117" spans="1:4" ht="15.75" hidden="1" outlineLevel="1">
      <c r="A117" s="46" t="s">
        <v>2592</v>
      </c>
      <c r="B117" s="47" t="s">
        <v>24</v>
      </c>
      <c r="C117" s="46">
        <v>5.47</v>
      </c>
      <c r="D117" s="126"/>
    </row>
    <row r="118" spans="1:4" ht="15.75" hidden="1" outlineLevel="1">
      <c r="A118" s="46" t="s">
        <v>2592</v>
      </c>
      <c r="B118" s="47" t="s">
        <v>25</v>
      </c>
      <c r="C118" s="46">
        <v>5.48</v>
      </c>
      <c r="D118" s="126"/>
    </row>
    <row r="119" spans="1:4" ht="15.75">
      <c r="A119" s="52" t="s">
        <v>2592</v>
      </c>
      <c r="B119" s="47"/>
      <c r="C119" s="46"/>
      <c r="D119" s="126"/>
    </row>
    <row r="120" spans="1:4" ht="15.75" hidden="1" outlineLevel="1">
      <c r="A120" s="46" t="s">
        <v>2859</v>
      </c>
      <c r="B120" s="47" t="s">
        <v>0</v>
      </c>
      <c r="C120" s="46">
        <v>5.0999999999999996</v>
      </c>
      <c r="D120" s="126"/>
    </row>
    <row r="121" spans="1:4" ht="15.75" hidden="1" outlineLevel="1">
      <c r="A121" s="46" t="s">
        <v>2859</v>
      </c>
      <c r="B121" s="47" t="s">
        <v>1</v>
      </c>
      <c r="C121" s="46">
        <v>5.2</v>
      </c>
      <c r="D121" s="126"/>
    </row>
    <row r="122" spans="1:4" ht="15.75" hidden="1" outlineLevel="1">
      <c r="A122" s="46" t="s">
        <v>2859</v>
      </c>
      <c r="B122" s="47" t="s">
        <v>2</v>
      </c>
      <c r="C122" s="46">
        <v>5.3</v>
      </c>
      <c r="D122" s="126"/>
    </row>
    <row r="123" spans="1:4" ht="15.75" hidden="1" outlineLevel="1">
      <c r="A123" s="46" t="s">
        <v>2859</v>
      </c>
      <c r="B123" s="47" t="s">
        <v>119</v>
      </c>
      <c r="C123" s="46">
        <v>5.6</v>
      </c>
      <c r="D123" s="126"/>
    </row>
    <row r="124" spans="1:4" ht="15.75" hidden="1" outlineLevel="1">
      <c r="A124" s="46" t="s">
        <v>2859</v>
      </c>
      <c r="B124" s="47" t="s">
        <v>2857</v>
      </c>
      <c r="C124" s="48">
        <v>5.0999999999999996</v>
      </c>
      <c r="D124" s="126"/>
    </row>
    <row r="125" spans="1:4" ht="15.75" hidden="1" outlineLevel="1">
      <c r="A125" s="46" t="s">
        <v>2859</v>
      </c>
      <c r="B125" s="47" t="s">
        <v>1378</v>
      </c>
      <c r="C125" s="46">
        <v>5.14</v>
      </c>
      <c r="D125" s="126"/>
    </row>
    <row r="126" spans="1:4" ht="15.75" hidden="1" outlineLevel="1">
      <c r="A126" s="46" t="s">
        <v>2859</v>
      </c>
      <c r="B126" s="47" t="s">
        <v>4</v>
      </c>
      <c r="C126" s="46">
        <v>5.19</v>
      </c>
      <c r="D126" s="126"/>
    </row>
    <row r="127" spans="1:4" ht="15.75" hidden="1" outlineLevel="1">
      <c r="A127" s="46" t="s">
        <v>2859</v>
      </c>
      <c r="B127" s="47" t="s">
        <v>121</v>
      </c>
      <c r="C127" s="46">
        <v>5.24</v>
      </c>
      <c r="D127" s="126"/>
    </row>
    <row r="128" spans="1:4" ht="15.75" hidden="1" outlineLevel="1">
      <c r="A128" s="46" t="s">
        <v>2859</v>
      </c>
      <c r="B128" s="47" t="s">
        <v>5</v>
      </c>
      <c r="C128" s="46">
        <v>5.26</v>
      </c>
      <c r="D128" s="126"/>
    </row>
    <row r="129" spans="1:4" ht="15.75" hidden="1" outlineLevel="1">
      <c r="A129" s="46" t="s">
        <v>2859</v>
      </c>
      <c r="B129" s="47" t="s">
        <v>6</v>
      </c>
      <c r="C129" s="46">
        <v>5.27</v>
      </c>
      <c r="D129" s="126"/>
    </row>
    <row r="130" spans="1:4" ht="15.75" hidden="1" outlineLevel="1">
      <c r="A130" s="46" t="s">
        <v>2859</v>
      </c>
      <c r="B130" s="47" t="s">
        <v>7</v>
      </c>
      <c r="C130" s="46">
        <v>5.28</v>
      </c>
      <c r="D130" s="126"/>
    </row>
    <row r="131" spans="1:4" ht="15.75" hidden="1" outlineLevel="1">
      <c r="A131" s="46" t="s">
        <v>2859</v>
      </c>
      <c r="B131" s="47" t="s">
        <v>129</v>
      </c>
      <c r="C131" s="46">
        <v>5.29</v>
      </c>
      <c r="D131" s="126"/>
    </row>
    <row r="132" spans="1:4" ht="15.75" hidden="1" outlineLevel="1">
      <c r="A132" s="46" t="s">
        <v>2859</v>
      </c>
      <c r="B132" s="47" t="s">
        <v>8</v>
      </c>
      <c r="C132" s="48">
        <v>5.3</v>
      </c>
      <c r="D132" s="126"/>
    </row>
    <row r="133" spans="1:4" ht="15.75" hidden="1" outlineLevel="1">
      <c r="A133" s="46" t="s">
        <v>2859</v>
      </c>
      <c r="B133" s="47" t="s">
        <v>122</v>
      </c>
      <c r="C133" s="46">
        <v>5.31</v>
      </c>
      <c r="D133" s="126"/>
    </row>
    <row r="134" spans="1:4" ht="15.75" hidden="1" outlineLevel="1">
      <c r="A134" s="46" t="s">
        <v>2859</v>
      </c>
      <c r="B134" s="47" t="s">
        <v>123</v>
      </c>
      <c r="C134" s="46">
        <v>5.36</v>
      </c>
      <c r="D134" s="126"/>
    </row>
    <row r="135" spans="1:4" ht="15.75" hidden="1" outlineLevel="1">
      <c r="A135" s="46" t="s">
        <v>2859</v>
      </c>
      <c r="B135" s="47" t="s">
        <v>11</v>
      </c>
      <c r="C135" s="46">
        <v>5.53</v>
      </c>
      <c r="D135" s="126"/>
    </row>
    <row r="136" spans="1:4" ht="15.75" hidden="1" outlineLevel="1">
      <c r="A136" s="46" t="s">
        <v>2859</v>
      </c>
      <c r="B136" s="47" t="s">
        <v>17</v>
      </c>
      <c r="C136" s="46">
        <v>5.58</v>
      </c>
      <c r="D136" s="126"/>
    </row>
    <row r="137" spans="1:4" ht="15.75" hidden="1" outlineLevel="1">
      <c r="A137" s="46" t="s">
        <v>2859</v>
      </c>
      <c r="B137" s="47" t="s">
        <v>16</v>
      </c>
      <c r="C137" s="46">
        <v>5.62</v>
      </c>
      <c r="D137" s="126"/>
    </row>
    <row r="138" spans="1:4" ht="15.75" hidden="1" outlineLevel="1">
      <c r="A138" s="46" t="s">
        <v>2859</v>
      </c>
      <c r="B138" s="47" t="s">
        <v>18</v>
      </c>
      <c r="C138" s="46">
        <v>5.54</v>
      </c>
      <c r="D138" s="126"/>
    </row>
    <row r="139" spans="1:4" ht="15.75" hidden="1" outlineLevel="1">
      <c r="A139" s="46" t="s">
        <v>2859</v>
      </c>
      <c r="B139" s="47" t="s">
        <v>19</v>
      </c>
      <c r="C139" s="46">
        <v>5.55</v>
      </c>
      <c r="D139" s="126"/>
    </row>
    <row r="140" spans="1:4" ht="15.75" hidden="1" outlineLevel="1">
      <c r="A140" s="46" t="s">
        <v>2859</v>
      </c>
      <c r="B140" s="47" t="s">
        <v>20</v>
      </c>
      <c r="C140" s="46">
        <v>5.63</v>
      </c>
      <c r="D140" s="126"/>
    </row>
    <row r="141" spans="1:4" ht="15.75" hidden="1" outlineLevel="1">
      <c r="A141" s="46" t="s">
        <v>2859</v>
      </c>
      <c r="B141" s="47" t="s">
        <v>23</v>
      </c>
      <c r="C141" s="46">
        <v>5.45</v>
      </c>
      <c r="D141" s="126"/>
    </row>
    <row r="142" spans="1:4" ht="15.75" hidden="1" outlineLevel="1">
      <c r="A142" s="46" t="s">
        <v>2859</v>
      </c>
      <c r="B142" s="47" t="s">
        <v>24</v>
      </c>
      <c r="C142" s="46">
        <v>5.47</v>
      </c>
      <c r="D142" s="126"/>
    </row>
    <row r="143" spans="1:4" ht="15.75" hidden="1" outlineLevel="1">
      <c r="A143" s="46" t="s">
        <v>2859</v>
      </c>
      <c r="B143" s="47" t="s">
        <v>25</v>
      </c>
      <c r="C143" s="46">
        <v>5.48</v>
      </c>
      <c r="D143" s="126"/>
    </row>
    <row r="144" spans="1:4" ht="15.75">
      <c r="A144" s="52" t="s">
        <v>2859</v>
      </c>
      <c r="B144" s="47"/>
      <c r="C144" s="46"/>
      <c r="D144" s="126"/>
    </row>
    <row r="145" spans="1:4" ht="15.75" hidden="1" outlineLevel="1">
      <c r="A145" s="46" t="s">
        <v>2191</v>
      </c>
      <c r="B145" s="47" t="s">
        <v>0</v>
      </c>
      <c r="C145" s="46">
        <v>5.0999999999999996</v>
      </c>
      <c r="D145" s="126"/>
    </row>
    <row r="146" spans="1:4" ht="15.75" hidden="1" outlineLevel="1">
      <c r="A146" s="46" t="s">
        <v>2191</v>
      </c>
      <c r="B146" s="47" t="s">
        <v>1</v>
      </c>
      <c r="C146" s="46">
        <v>5.2</v>
      </c>
      <c r="D146" s="126"/>
    </row>
    <row r="147" spans="1:4" ht="15.75" hidden="1" outlineLevel="1">
      <c r="A147" s="46" t="s">
        <v>2191</v>
      </c>
      <c r="B147" s="47" t="s">
        <v>2</v>
      </c>
      <c r="C147" s="46">
        <v>5.3</v>
      </c>
      <c r="D147" s="126"/>
    </row>
    <row r="148" spans="1:4" ht="15.75" hidden="1" outlineLevel="1">
      <c r="A148" s="46" t="s">
        <v>2191</v>
      </c>
      <c r="B148" s="47" t="s">
        <v>119</v>
      </c>
      <c r="C148" s="46">
        <v>5.6</v>
      </c>
      <c r="D148" s="126"/>
    </row>
    <row r="149" spans="1:4" ht="15.75" hidden="1" outlineLevel="1">
      <c r="A149" s="46" t="s">
        <v>2191</v>
      </c>
      <c r="B149" s="47" t="s">
        <v>2857</v>
      </c>
      <c r="C149" s="48">
        <v>5.0999999999999996</v>
      </c>
      <c r="D149" s="126"/>
    </row>
    <row r="150" spans="1:4" ht="15.75" hidden="1" outlineLevel="1">
      <c r="A150" s="46" t="s">
        <v>2191</v>
      </c>
      <c r="B150" s="47" t="s">
        <v>1378</v>
      </c>
      <c r="C150" s="46">
        <v>5.14</v>
      </c>
      <c r="D150" s="126"/>
    </row>
    <row r="151" spans="1:4" ht="15.75" hidden="1" outlineLevel="1">
      <c r="A151" s="46" t="s">
        <v>2191</v>
      </c>
      <c r="B151" s="47" t="s">
        <v>4</v>
      </c>
      <c r="C151" s="46">
        <v>5.19</v>
      </c>
      <c r="D151" s="126"/>
    </row>
    <row r="152" spans="1:4" ht="15.75" hidden="1" outlineLevel="1">
      <c r="A152" s="46" t="s">
        <v>2191</v>
      </c>
      <c r="B152" s="47" t="s">
        <v>121</v>
      </c>
      <c r="C152" s="46">
        <v>5.24</v>
      </c>
      <c r="D152" s="126"/>
    </row>
    <row r="153" spans="1:4" ht="15.75" hidden="1" outlineLevel="1">
      <c r="A153" s="46" t="s">
        <v>2191</v>
      </c>
      <c r="B153" s="47" t="s">
        <v>5</v>
      </c>
      <c r="C153" s="46">
        <v>5.26</v>
      </c>
      <c r="D153" s="126"/>
    </row>
    <row r="154" spans="1:4" ht="15.75" hidden="1" outlineLevel="1">
      <c r="A154" s="46" t="s">
        <v>2191</v>
      </c>
      <c r="B154" s="47" t="s">
        <v>6</v>
      </c>
      <c r="C154" s="46">
        <v>5.27</v>
      </c>
      <c r="D154" s="126"/>
    </row>
    <row r="155" spans="1:4" ht="15.75" hidden="1" outlineLevel="1">
      <c r="A155" s="46" t="s">
        <v>2191</v>
      </c>
      <c r="B155" s="47" t="s">
        <v>7</v>
      </c>
      <c r="C155" s="46">
        <v>5.28</v>
      </c>
      <c r="D155" s="126"/>
    </row>
    <row r="156" spans="1:4" ht="15.75" hidden="1" outlineLevel="1">
      <c r="A156" s="46" t="s">
        <v>2191</v>
      </c>
      <c r="B156" s="47" t="s">
        <v>8</v>
      </c>
      <c r="C156" s="48">
        <v>5.3</v>
      </c>
      <c r="D156" s="126"/>
    </row>
    <row r="157" spans="1:4" ht="15.75" hidden="1" outlineLevel="1">
      <c r="A157" s="46" t="s">
        <v>2191</v>
      </c>
      <c r="B157" s="47" t="s">
        <v>1154</v>
      </c>
      <c r="C157" s="46">
        <v>5.32</v>
      </c>
      <c r="D157" s="126"/>
    </row>
    <row r="158" spans="1:4" ht="15.75" hidden="1" outlineLevel="1">
      <c r="A158" s="46" t="s">
        <v>2191</v>
      </c>
      <c r="B158" s="47" t="s">
        <v>123</v>
      </c>
      <c r="C158" s="46">
        <v>5.36</v>
      </c>
      <c r="D158" s="126"/>
    </row>
    <row r="159" spans="1:4" ht="15.75" hidden="1" outlineLevel="1">
      <c r="A159" s="46" t="s">
        <v>2191</v>
      </c>
      <c r="B159" s="47" t="s">
        <v>11</v>
      </c>
      <c r="C159" s="46">
        <v>5.53</v>
      </c>
      <c r="D159" s="126"/>
    </row>
    <row r="160" spans="1:4" ht="15.75" hidden="1" outlineLevel="1">
      <c r="A160" s="46" t="s">
        <v>2191</v>
      </c>
      <c r="B160" s="47" t="s">
        <v>17</v>
      </c>
      <c r="C160" s="46">
        <v>5.58</v>
      </c>
      <c r="D160" s="126"/>
    </row>
    <row r="161" spans="1:4" ht="15.75" hidden="1" outlineLevel="1">
      <c r="A161" s="46" t="s">
        <v>2191</v>
      </c>
      <c r="B161" s="47" t="s">
        <v>18</v>
      </c>
      <c r="C161" s="46">
        <v>5.54</v>
      </c>
      <c r="D161" s="126"/>
    </row>
    <row r="162" spans="1:4" ht="15.75" hidden="1" outlineLevel="1">
      <c r="A162" s="46" t="s">
        <v>2191</v>
      </c>
      <c r="B162" s="47" t="s">
        <v>19</v>
      </c>
      <c r="C162" s="46">
        <v>5.55</v>
      </c>
      <c r="D162" s="126"/>
    </row>
    <row r="163" spans="1:4" ht="15.75" hidden="1" outlineLevel="1">
      <c r="A163" s="46" t="s">
        <v>2191</v>
      </c>
      <c r="B163" s="47" t="s">
        <v>16</v>
      </c>
      <c r="C163" s="46">
        <v>5.62</v>
      </c>
      <c r="D163" s="126"/>
    </row>
    <row r="164" spans="1:4" ht="15.75" hidden="1" outlineLevel="1">
      <c r="A164" s="46" t="s">
        <v>2191</v>
      </c>
      <c r="B164" s="47" t="s">
        <v>20</v>
      </c>
      <c r="C164" s="46">
        <v>5.63</v>
      </c>
      <c r="D164" s="126"/>
    </row>
    <row r="165" spans="1:4" ht="15.75" hidden="1" outlineLevel="1">
      <c r="A165" s="46" t="s">
        <v>2191</v>
      </c>
      <c r="B165" s="47" t="s">
        <v>23</v>
      </c>
      <c r="C165" s="46">
        <v>5.45</v>
      </c>
      <c r="D165" s="126"/>
    </row>
    <row r="166" spans="1:4" ht="15.75" hidden="1" outlineLevel="1">
      <c r="A166" s="46" t="s">
        <v>2191</v>
      </c>
      <c r="B166" s="47" t="s">
        <v>24</v>
      </c>
      <c r="C166" s="46">
        <v>5.47</v>
      </c>
      <c r="D166" s="126"/>
    </row>
    <row r="167" spans="1:4" ht="15.75" hidden="1" outlineLevel="1">
      <c r="A167" s="46" t="s">
        <v>2191</v>
      </c>
      <c r="B167" s="47" t="s">
        <v>25</v>
      </c>
      <c r="C167" s="46">
        <v>5.48</v>
      </c>
      <c r="D167" s="126"/>
    </row>
    <row r="168" spans="1:4" ht="15.75">
      <c r="A168" s="52" t="s">
        <v>2191</v>
      </c>
      <c r="B168" s="47"/>
      <c r="C168" s="46"/>
      <c r="D168" s="126"/>
    </row>
    <row r="169" spans="1:4" ht="15.75" hidden="1" outlineLevel="1">
      <c r="A169" s="46" t="s">
        <v>2607</v>
      </c>
      <c r="B169" s="47" t="s">
        <v>0</v>
      </c>
      <c r="C169" s="46">
        <v>5.0999999999999996</v>
      </c>
      <c r="D169" s="126"/>
    </row>
    <row r="170" spans="1:4" ht="15.75" hidden="1" outlineLevel="1">
      <c r="A170" s="46" t="s">
        <v>2607</v>
      </c>
      <c r="B170" s="47" t="s">
        <v>1</v>
      </c>
      <c r="C170" s="46">
        <v>5.2</v>
      </c>
      <c r="D170" s="126"/>
    </row>
    <row r="171" spans="1:4" ht="15.75" hidden="1" outlineLevel="1">
      <c r="A171" s="46" t="s">
        <v>2607</v>
      </c>
      <c r="B171" s="47" t="s">
        <v>2</v>
      </c>
      <c r="C171" s="46">
        <v>5.3</v>
      </c>
      <c r="D171" s="126"/>
    </row>
    <row r="172" spans="1:4" ht="15.75" hidden="1" outlineLevel="1">
      <c r="A172" s="46" t="s">
        <v>2607</v>
      </c>
      <c r="B172" s="47" t="s">
        <v>119</v>
      </c>
      <c r="C172" s="46">
        <v>5.6</v>
      </c>
      <c r="D172" s="126"/>
    </row>
    <row r="173" spans="1:4" ht="15.75" hidden="1" outlineLevel="1">
      <c r="A173" s="46" t="s">
        <v>2607</v>
      </c>
      <c r="B173" s="47" t="s">
        <v>2857</v>
      </c>
      <c r="C173" s="48">
        <v>5.0999999999999996</v>
      </c>
      <c r="D173" s="126"/>
    </row>
    <row r="174" spans="1:4" ht="15.75" hidden="1" outlineLevel="1">
      <c r="A174" s="46" t="s">
        <v>2607</v>
      </c>
      <c r="B174" s="47" t="s">
        <v>1378</v>
      </c>
      <c r="C174" s="46">
        <v>5.14</v>
      </c>
      <c r="D174" s="126"/>
    </row>
    <row r="175" spans="1:4" ht="15.75" hidden="1" outlineLevel="1">
      <c r="A175" s="46" t="s">
        <v>2607</v>
      </c>
      <c r="B175" s="47" t="s">
        <v>4</v>
      </c>
      <c r="C175" s="46">
        <v>5.19</v>
      </c>
      <c r="D175" s="126"/>
    </row>
    <row r="176" spans="1:4" ht="15.75" hidden="1" outlineLevel="1">
      <c r="A176" s="46" t="s">
        <v>2607</v>
      </c>
      <c r="B176" s="47" t="s">
        <v>121</v>
      </c>
      <c r="C176" s="46">
        <v>5.24</v>
      </c>
      <c r="D176" s="126"/>
    </row>
    <row r="177" spans="1:4" ht="15.75" hidden="1" outlineLevel="1">
      <c r="A177" s="46" t="s">
        <v>2607</v>
      </c>
      <c r="B177" s="47" t="s">
        <v>5</v>
      </c>
      <c r="C177" s="46">
        <v>5.26</v>
      </c>
      <c r="D177" s="126"/>
    </row>
    <row r="178" spans="1:4" ht="15.75" hidden="1" outlineLevel="1">
      <c r="A178" s="46" t="s">
        <v>2607</v>
      </c>
      <c r="B178" s="47" t="s">
        <v>6</v>
      </c>
      <c r="C178" s="46">
        <v>5.27</v>
      </c>
      <c r="D178" s="126"/>
    </row>
    <row r="179" spans="1:4" ht="15.75" hidden="1" outlineLevel="1">
      <c r="A179" s="46" t="s">
        <v>2607</v>
      </c>
      <c r="B179" s="47" t="s">
        <v>7</v>
      </c>
      <c r="C179" s="46">
        <v>5.28</v>
      </c>
      <c r="D179" s="126"/>
    </row>
    <row r="180" spans="1:4" ht="15.75" hidden="1" outlineLevel="1">
      <c r="A180" s="46" t="s">
        <v>2607</v>
      </c>
      <c r="B180" s="47" t="s">
        <v>129</v>
      </c>
      <c r="C180" s="46">
        <v>5.29</v>
      </c>
      <c r="D180" s="126"/>
    </row>
    <row r="181" spans="1:4" ht="15.75" hidden="1" outlineLevel="1">
      <c r="A181" s="46" t="s">
        <v>2607</v>
      </c>
      <c r="B181" s="47" t="s">
        <v>8</v>
      </c>
      <c r="C181" s="48">
        <v>5.3</v>
      </c>
      <c r="D181" s="126"/>
    </row>
    <row r="182" spans="1:4" ht="15.75" hidden="1" outlineLevel="1">
      <c r="A182" s="46" t="s">
        <v>2607</v>
      </c>
      <c r="B182" s="47" t="s">
        <v>1154</v>
      </c>
      <c r="C182" s="46">
        <v>5.32</v>
      </c>
      <c r="D182" s="126"/>
    </row>
    <row r="183" spans="1:4" ht="15.75" hidden="1" outlineLevel="1">
      <c r="A183" s="46" t="s">
        <v>2607</v>
      </c>
      <c r="B183" s="47" t="s">
        <v>123</v>
      </c>
      <c r="C183" s="46">
        <v>5.36</v>
      </c>
      <c r="D183" s="126"/>
    </row>
    <row r="184" spans="1:4" ht="15.75" hidden="1" outlineLevel="1">
      <c r="A184" s="46" t="s">
        <v>2607</v>
      </c>
      <c r="B184" s="47" t="s">
        <v>11</v>
      </c>
      <c r="C184" s="46">
        <v>5.53</v>
      </c>
      <c r="D184" s="126"/>
    </row>
    <row r="185" spans="1:4" ht="15.75" hidden="1" outlineLevel="1">
      <c r="A185" s="46" t="s">
        <v>2607</v>
      </c>
      <c r="B185" s="47" t="s">
        <v>17</v>
      </c>
      <c r="C185" s="46">
        <v>5.58</v>
      </c>
      <c r="D185" s="126"/>
    </row>
    <row r="186" spans="1:4" ht="15.75" hidden="1" outlineLevel="1">
      <c r="A186" s="46" t="s">
        <v>2607</v>
      </c>
      <c r="B186" s="47" t="s">
        <v>18</v>
      </c>
      <c r="C186" s="46">
        <v>5.54</v>
      </c>
      <c r="D186" s="126"/>
    </row>
    <row r="187" spans="1:4" ht="15.75" hidden="1" outlineLevel="1">
      <c r="A187" s="46" t="s">
        <v>2607</v>
      </c>
      <c r="B187" s="47" t="s">
        <v>19</v>
      </c>
      <c r="C187" s="46">
        <v>5.55</v>
      </c>
      <c r="D187" s="126"/>
    </row>
    <row r="188" spans="1:4" ht="15.75" hidden="1" outlineLevel="1">
      <c r="A188" s="46" t="s">
        <v>2607</v>
      </c>
      <c r="B188" s="47" t="s">
        <v>20</v>
      </c>
      <c r="C188" s="46">
        <v>5.63</v>
      </c>
      <c r="D188" s="126"/>
    </row>
    <row r="189" spans="1:4" ht="15.75" hidden="1" outlineLevel="1">
      <c r="A189" s="46" t="s">
        <v>2607</v>
      </c>
      <c r="B189" s="47" t="s">
        <v>23</v>
      </c>
      <c r="C189" s="46">
        <v>5.45</v>
      </c>
      <c r="D189" s="126"/>
    </row>
    <row r="190" spans="1:4" ht="15.75" hidden="1" outlineLevel="1">
      <c r="A190" s="46" t="s">
        <v>2607</v>
      </c>
      <c r="B190" s="47" t="s">
        <v>24</v>
      </c>
      <c r="C190" s="46">
        <v>5.47</v>
      </c>
      <c r="D190" s="126"/>
    </row>
    <row r="191" spans="1:4" ht="15.75" hidden="1" outlineLevel="1">
      <c r="A191" s="46" t="s">
        <v>2607</v>
      </c>
      <c r="B191" s="47" t="s">
        <v>25</v>
      </c>
      <c r="C191" s="46">
        <v>5.48</v>
      </c>
      <c r="D191" s="126"/>
    </row>
    <row r="192" spans="1:4" ht="15.75">
      <c r="A192" s="52" t="s">
        <v>2607</v>
      </c>
      <c r="B192" s="47"/>
      <c r="C192" s="46"/>
      <c r="D192" s="126"/>
    </row>
    <row r="193" spans="1:4" ht="15.75" hidden="1" outlineLevel="1">
      <c r="A193" s="46" t="s">
        <v>2860</v>
      </c>
      <c r="B193" s="47" t="s">
        <v>0</v>
      </c>
      <c r="C193" s="46">
        <v>5.0999999999999996</v>
      </c>
      <c r="D193" s="126"/>
    </row>
    <row r="194" spans="1:4" ht="15.75" hidden="1" outlineLevel="1">
      <c r="A194" s="46" t="s">
        <v>2860</v>
      </c>
      <c r="B194" s="47" t="s">
        <v>1</v>
      </c>
      <c r="C194" s="46">
        <v>5.2</v>
      </c>
      <c r="D194" s="126"/>
    </row>
    <row r="195" spans="1:4" ht="15.75" hidden="1" outlineLevel="1">
      <c r="A195" s="46" t="s">
        <v>2860</v>
      </c>
      <c r="B195" s="47" t="s">
        <v>2</v>
      </c>
      <c r="C195" s="46">
        <v>5.3</v>
      </c>
      <c r="D195" s="126"/>
    </row>
    <row r="196" spans="1:4" ht="15.75" hidden="1" outlineLevel="1">
      <c r="A196" s="46" t="s">
        <v>2860</v>
      </c>
      <c r="B196" s="47" t="s">
        <v>119</v>
      </c>
      <c r="C196" s="46">
        <v>5.6</v>
      </c>
      <c r="D196" s="126"/>
    </row>
    <row r="197" spans="1:4" ht="15.75" hidden="1" outlineLevel="1">
      <c r="A197" s="46" t="s">
        <v>2860</v>
      </c>
      <c r="B197" s="47" t="s">
        <v>2857</v>
      </c>
      <c r="C197" s="48">
        <v>5.0999999999999996</v>
      </c>
      <c r="D197" s="126"/>
    </row>
    <row r="198" spans="1:4" ht="15.75" hidden="1" outlineLevel="1">
      <c r="A198" s="46" t="s">
        <v>2860</v>
      </c>
      <c r="B198" s="47" t="s">
        <v>1378</v>
      </c>
      <c r="C198" s="46">
        <v>5.14</v>
      </c>
      <c r="D198" s="126"/>
    </row>
    <row r="199" spans="1:4" ht="15.75" hidden="1" outlineLevel="1">
      <c r="A199" s="46" t="s">
        <v>2860</v>
      </c>
      <c r="B199" s="47" t="s">
        <v>4</v>
      </c>
      <c r="C199" s="46">
        <v>5.19</v>
      </c>
      <c r="D199" s="126"/>
    </row>
    <row r="200" spans="1:4" ht="15.75" hidden="1" outlineLevel="1">
      <c r="A200" s="46" t="s">
        <v>2860</v>
      </c>
      <c r="B200" s="47" t="s">
        <v>121</v>
      </c>
      <c r="C200" s="46">
        <v>5.24</v>
      </c>
      <c r="D200" s="126"/>
    </row>
    <row r="201" spans="1:4" ht="15.75" hidden="1" outlineLevel="1">
      <c r="A201" s="46" t="s">
        <v>2860</v>
      </c>
      <c r="B201" s="47" t="s">
        <v>6</v>
      </c>
      <c r="C201" s="46">
        <v>5.27</v>
      </c>
      <c r="D201" s="126"/>
    </row>
    <row r="202" spans="1:4" ht="15.75" hidden="1" outlineLevel="1">
      <c r="A202" s="46" t="s">
        <v>2860</v>
      </c>
      <c r="B202" s="47" t="s">
        <v>7</v>
      </c>
      <c r="C202" s="46">
        <v>5.28</v>
      </c>
      <c r="D202" s="126"/>
    </row>
    <row r="203" spans="1:4" ht="15.75" hidden="1" outlineLevel="1">
      <c r="A203" s="46" t="s">
        <v>2860</v>
      </c>
      <c r="B203" s="47" t="s">
        <v>129</v>
      </c>
      <c r="C203" s="46">
        <v>5.29</v>
      </c>
      <c r="D203" s="126"/>
    </row>
    <row r="204" spans="1:4" ht="15.75" hidden="1" outlineLevel="1">
      <c r="A204" s="46" t="s">
        <v>2860</v>
      </c>
      <c r="B204" s="47" t="s">
        <v>8</v>
      </c>
      <c r="C204" s="48">
        <v>5.3</v>
      </c>
      <c r="D204" s="126"/>
    </row>
    <row r="205" spans="1:4" ht="15.75" hidden="1" outlineLevel="1">
      <c r="A205" s="46" t="s">
        <v>2860</v>
      </c>
      <c r="B205" s="47" t="s">
        <v>1421</v>
      </c>
      <c r="C205" s="46">
        <v>5.34</v>
      </c>
      <c r="D205" s="126"/>
    </row>
    <row r="206" spans="1:4" ht="15.75" hidden="1" outlineLevel="1">
      <c r="A206" s="46" t="s">
        <v>2860</v>
      </c>
      <c r="B206" s="47" t="s">
        <v>122</v>
      </c>
      <c r="C206" s="46">
        <v>5.31</v>
      </c>
      <c r="D206" s="126"/>
    </row>
    <row r="207" spans="1:4" ht="15.75" hidden="1" outlineLevel="1">
      <c r="A207" s="46" t="s">
        <v>2860</v>
      </c>
      <c r="B207" s="47" t="s">
        <v>1422</v>
      </c>
      <c r="C207" s="46">
        <v>5.101</v>
      </c>
      <c r="D207" s="126"/>
    </row>
    <row r="208" spans="1:4" ht="15.75" hidden="1" outlineLevel="1">
      <c r="A208" s="46" t="s">
        <v>2860</v>
      </c>
      <c r="B208" s="47" t="s">
        <v>123</v>
      </c>
      <c r="C208" s="46">
        <v>5.36</v>
      </c>
      <c r="D208" s="126"/>
    </row>
    <row r="209" spans="1:4" ht="15.75" hidden="1" outlineLevel="1">
      <c r="A209" s="46" t="s">
        <v>2860</v>
      </c>
      <c r="B209" s="47" t="s">
        <v>11</v>
      </c>
      <c r="C209" s="46">
        <v>5.53</v>
      </c>
      <c r="D209" s="126"/>
    </row>
    <row r="210" spans="1:4" ht="15.75" hidden="1" outlineLevel="1">
      <c r="A210" s="46" t="s">
        <v>2860</v>
      </c>
      <c r="B210" s="47" t="s">
        <v>1423</v>
      </c>
      <c r="C210" s="46">
        <v>5.1020000000000003</v>
      </c>
      <c r="D210" s="126"/>
    </row>
    <row r="211" spans="1:4" ht="15.75" hidden="1" outlineLevel="1">
      <c r="A211" s="46" t="s">
        <v>2860</v>
      </c>
      <c r="B211" s="47" t="s">
        <v>1424</v>
      </c>
      <c r="C211" s="49">
        <v>5.0999999999999996</v>
      </c>
      <c r="D211" s="126"/>
    </row>
    <row r="212" spans="1:4" ht="15.75" hidden="1" outlineLevel="1">
      <c r="A212" s="46" t="s">
        <v>2860</v>
      </c>
      <c r="B212" s="47" t="s">
        <v>17</v>
      </c>
      <c r="C212" s="46">
        <v>5.58</v>
      </c>
      <c r="D212" s="126"/>
    </row>
    <row r="213" spans="1:4" ht="15.75" hidden="1" outlineLevel="1">
      <c r="A213" s="46" t="s">
        <v>2860</v>
      </c>
      <c r="B213" s="47" t="s">
        <v>18</v>
      </c>
      <c r="C213" s="46">
        <v>5.54</v>
      </c>
      <c r="D213" s="126"/>
    </row>
    <row r="214" spans="1:4" ht="15.75" hidden="1" outlineLevel="1">
      <c r="A214" s="46" t="s">
        <v>2860</v>
      </c>
      <c r="B214" s="47" t="s">
        <v>19</v>
      </c>
      <c r="C214" s="46">
        <v>5.55</v>
      </c>
      <c r="D214" s="126"/>
    </row>
    <row r="215" spans="1:4" ht="15.75" hidden="1" outlineLevel="1">
      <c r="A215" s="46" t="s">
        <v>2860</v>
      </c>
      <c r="B215" s="47" t="s">
        <v>20</v>
      </c>
      <c r="C215" s="46">
        <v>5.63</v>
      </c>
      <c r="D215" s="126"/>
    </row>
    <row r="216" spans="1:4" ht="15.75" hidden="1" outlineLevel="1">
      <c r="A216" s="46" t="s">
        <v>2860</v>
      </c>
      <c r="B216" s="47" t="s">
        <v>24</v>
      </c>
      <c r="C216" s="46">
        <v>5.47</v>
      </c>
      <c r="D216" s="126"/>
    </row>
    <row r="217" spans="1:4" ht="15.75" hidden="1" outlineLevel="1">
      <c r="A217" s="46" t="s">
        <v>2860</v>
      </c>
      <c r="B217" s="47" t="s">
        <v>25</v>
      </c>
      <c r="C217" s="46">
        <v>5.48</v>
      </c>
      <c r="D217" s="126"/>
    </row>
    <row r="218" spans="1:4" ht="15.75">
      <c r="A218" s="52" t="s">
        <v>2860</v>
      </c>
      <c r="B218" s="47"/>
      <c r="C218" s="46"/>
      <c r="D218" s="126"/>
    </row>
    <row r="219" spans="1:4" ht="15.75" hidden="1" outlineLevel="1">
      <c r="A219" s="46" t="s">
        <v>2609</v>
      </c>
      <c r="B219" s="47" t="s">
        <v>0</v>
      </c>
      <c r="C219" s="46">
        <v>5.0999999999999996</v>
      </c>
      <c r="D219" s="126"/>
    </row>
    <row r="220" spans="1:4" ht="15.75" hidden="1" outlineLevel="1">
      <c r="A220" s="46" t="s">
        <v>2609</v>
      </c>
      <c r="B220" s="47" t="s">
        <v>1</v>
      </c>
      <c r="C220" s="46">
        <v>5.2</v>
      </c>
      <c r="D220" s="126"/>
    </row>
    <row r="221" spans="1:4" ht="15.75" hidden="1" outlineLevel="1">
      <c r="A221" s="46" t="s">
        <v>2609</v>
      </c>
      <c r="B221" s="47" t="s">
        <v>2</v>
      </c>
      <c r="C221" s="46">
        <v>5.3</v>
      </c>
      <c r="D221" s="126"/>
    </row>
    <row r="222" spans="1:4" ht="15.75" hidden="1" outlineLevel="1">
      <c r="A222" s="46" t="s">
        <v>2609</v>
      </c>
      <c r="B222" s="47" t="s">
        <v>119</v>
      </c>
      <c r="C222" s="46">
        <v>5.6</v>
      </c>
      <c r="D222" s="126"/>
    </row>
    <row r="223" spans="1:4" ht="15.75" hidden="1" outlineLevel="1">
      <c r="A223" s="46" t="s">
        <v>2609</v>
      </c>
      <c r="B223" s="47" t="s">
        <v>2857</v>
      </c>
      <c r="C223" s="48">
        <v>5.0999999999999996</v>
      </c>
      <c r="D223" s="126"/>
    </row>
    <row r="224" spans="1:4" ht="15.75" hidden="1" outlineLevel="1">
      <c r="A224" s="46" t="s">
        <v>2609</v>
      </c>
      <c r="B224" s="47" t="s">
        <v>1378</v>
      </c>
      <c r="C224" s="46">
        <v>5.14</v>
      </c>
      <c r="D224" s="126"/>
    </row>
    <row r="225" spans="1:4" ht="15.75" hidden="1" outlineLevel="1">
      <c r="A225" s="46" t="s">
        <v>2609</v>
      </c>
      <c r="B225" s="47" t="s">
        <v>4</v>
      </c>
      <c r="C225" s="46">
        <v>5.19</v>
      </c>
      <c r="D225" s="126"/>
    </row>
    <row r="226" spans="1:4" ht="15.75" hidden="1" outlineLevel="1">
      <c r="A226" s="46" t="s">
        <v>2609</v>
      </c>
      <c r="B226" s="47" t="s">
        <v>121</v>
      </c>
      <c r="C226" s="46">
        <v>5.24</v>
      </c>
      <c r="D226" s="126"/>
    </row>
    <row r="227" spans="1:4" ht="15.75" hidden="1" outlineLevel="1">
      <c r="A227" s="46" t="s">
        <v>2609</v>
      </c>
      <c r="B227" s="47" t="s">
        <v>5</v>
      </c>
      <c r="C227" s="46">
        <v>5.26</v>
      </c>
      <c r="D227" s="126"/>
    </row>
    <row r="228" spans="1:4" ht="15.75" hidden="1" outlineLevel="1">
      <c r="A228" s="46" t="s">
        <v>2609</v>
      </c>
      <c r="B228" s="47" t="s">
        <v>6</v>
      </c>
      <c r="C228" s="46">
        <v>5.27</v>
      </c>
      <c r="D228" s="126"/>
    </row>
    <row r="229" spans="1:4" ht="15.75" hidden="1" outlineLevel="1">
      <c r="A229" s="46" t="s">
        <v>2609</v>
      </c>
      <c r="B229" s="47" t="s">
        <v>7</v>
      </c>
      <c r="C229" s="46">
        <v>5.28</v>
      </c>
      <c r="D229" s="126"/>
    </row>
    <row r="230" spans="1:4" ht="15.75" hidden="1" outlineLevel="1">
      <c r="A230" s="46" t="s">
        <v>2609</v>
      </c>
      <c r="B230" s="47" t="s">
        <v>129</v>
      </c>
      <c r="C230" s="46">
        <v>5.29</v>
      </c>
      <c r="D230" s="126"/>
    </row>
    <row r="231" spans="1:4" ht="15.75" hidden="1" outlineLevel="1">
      <c r="A231" s="46" t="s">
        <v>2609</v>
      </c>
      <c r="B231" s="47" t="s">
        <v>8</v>
      </c>
      <c r="C231" s="48">
        <v>5.3</v>
      </c>
      <c r="D231" s="126"/>
    </row>
    <row r="232" spans="1:4" ht="15.75" hidden="1" outlineLevel="1">
      <c r="A232" s="46" t="s">
        <v>2609</v>
      </c>
      <c r="B232" s="47" t="s">
        <v>122</v>
      </c>
      <c r="C232" s="46">
        <v>5.31</v>
      </c>
      <c r="D232" s="126"/>
    </row>
    <row r="233" spans="1:4" ht="15.75" hidden="1" outlineLevel="1">
      <c r="A233" s="46" t="s">
        <v>2609</v>
      </c>
      <c r="B233" s="47" t="s">
        <v>1428</v>
      </c>
      <c r="C233" s="46">
        <v>5.33</v>
      </c>
      <c r="D233" s="126"/>
    </row>
    <row r="234" spans="1:4" ht="15.75" hidden="1" outlineLevel="1">
      <c r="A234" s="46" t="s">
        <v>2609</v>
      </c>
      <c r="B234" s="47" t="s">
        <v>1422</v>
      </c>
      <c r="C234" s="46">
        <v>5.101</v>
      </c>
      <c r="D234" s="126"/>
    </row>
    <row r="235" spans="1:4" ht="15.75" hidden="1" outlineLevel="1">
      <c r="A235" s="46" t="s">
        <v>2609</v>
      </c>
      <c r="B235" s="47" t="s">
        <v>123</v>
      </c>
      <c r="C235" s="46">
        <v>5.36</v>
      </c>
      <c r="D235" s="126"/>
    </row>
    <row r="236" spans="1:4" ht="15.75" hidden="1" outlineLevel="1">
      <c r="A236" s="46" t="s">
        <v>2609</v>
      </c>
      <c r="B236" s="47" t="s">
        <v>11</v>
      </c>
      <c r="C236" s="46">
        <v>5.53</v>
      </c>
      <c r="D236" s="126"/>
    </row>
    <row r="237" spans="1:4" ht="15.75" hidden="1" outlineLevel="1">
      <c r="A237" s="46" t="s">
        <v>2609</v>
      </c>
      <c r="B237" s="47" t="s">
        <v>1423</v>
      </c>
      <c r="C237" s="46">
        <v>5.1020000000000003</v>
      </c>
      <c r="D237" s="126"/>
    </row>
    <row r="238" spans="1:4" ht="15.75" hidden="1" outlineLevel="1">
      <c r="A238" s="46" t="s">
        <v>2609</v>
      </c>
      <c r="B238" s="47" t="s">
        <v>17</v>
      </c>
      <c r="C238" s="46">
        <v>5.58</v>
      </c>
      <c r="D238" s="126"/>
    </row>
    <row r="239" spans="1:4" ht="15.75" hidden="1" outlineLevel="1">
      <c r="A239" s="46" t="s">
        <v>2609</v>
      </c>
      <c r="B239" s="47" t="s">
        <v>18</v>
      </c>
      <c r="C239" s="46">
        <v>5.54</v>
      </c>
      <c r="D239" s="126"/>
    </row>
    <row r="240" spans="1:4" ht="15.75" hidden="1" outlineLevel="1">
      <c r="A240" s="46" t="s">
        <v>2609</v>
      </c>
      <c r="B240" s="47" t="s">
        <v>19</v>
      </c>
      <c r="C240" s="46">
        <v>5.55</v>
      </c>
      <c r="D240" s="126"/>
    </row>
    <row r="241" spans="1:4" ht="15.75" hidden="1" outlineLevel="1">
      <c r="A241" s="46" t="s">
        <v>2609</v>
      </c>
      <c r="B241" s="47" t="s">
        <v>20</v>
      </c>
      <c r="C241" s="46">
        <v>5.63</v>
      </c>
      <c r="D241" s="126"/>
    </row>
    <row r="242" spans="1:4" ht="15.75" hidden="1" outlineLevel="1">
      <c r="A242" s="46" t="s">
        <v>2609</v>
      </c>
      <c r="B242" s="47" t="s">
        <v>24</v>
      </c>
      <c r="C242" s="46">
        <v>5.47</v>
      </c>
      <c r="D242" s="126"/>
    </row>
    <row r="243" spans="1:4" ht="15.75" hidden="1" outlineLevel="1">
      <c r="A243" s="46" t="s">
        <v>2609</v>
      </c>
      <c r="B243" s="47" t="s">
        <v>25</v>
      </c>
      <c r="C243" s="46">
        <v>5.48</v>
      </c>
      <c r="D243" s="126"/>
    </row>
    <row r="244" spans="1:4" ht="15.75">
      <c r="A244" s="52" t="s">
        <v>2609</v>
      </c>
      <c r="B244" s="47"/>
      <c r="C244" s="46"/>
      <c r="D244" s="126"/>
    </row>
    <row r="245" spans="1:4" ht="15.75" hidden="1" outlineLevel="1">
      <c r="A245" s="46" t="s">
        <v>2861</v>
      </c>
      <c r="B245" s="47" t="s">
        <v>0</v>
      </c>
      <c r="C245" s="46">
        <v>5.0999999999999996</v>
      </c>
      <c r="D245" s="126"/>
    </row>
    <row r="246" spans="1:4" ht="15.75" hidden="1" outlineLevel="1">
      <c r="A246" s="46" t="s">
        <v>2861</v>
      </c>
      <c r="B246" s="47" t="s">
        <v>1</v>
      </c>
      <c r="C246" s="46">
        <v>5.2</v>
      </c>
      <c r="D246" s="126"/>
    </row>
    <row r="247" spans="1:4" ht="15.75" hidden="1" outlineLevel="1">
      <c r="A247" s="46" t="s">
        <v>2861</v>
      </c>
      <c r="B247" s="47" t="s">
        <v>2</v>
      </c>
      <c r="C247" s="46">
        <v>5.3</v>
      </c>
      <c r="D247" s="126"/>
    </row>
    <row r="248" spans="1:4" ht="15.75" hidden="1" outlineLevel="1">
      <c r="A248" s="46" t="s">
        <v>2861</v>
      </c>
      <c r="B248" s="47" t="s">
        <v>119</v>
      </c>
      <c r="C248" s="46">
        <v>5.6</v>
      </c>
      <c r="D248" s="126"/>
    </row>
    <row r="249" spans="1:4" ht="15.75" hidden="1" outlineLevel="1">
      <c r="A249" s="46" t="s">
        <v>2861</v>
      </c>
      <c r="B249" s="47" t="s">
        <v>2857</v>
      </c>
      <c r="C249" s="48">
        <v>5.0999999999999996</v>
      </c>
      <c r="D249" s="126"/>
    </row>
    <row r="250" spans="1:4" ht="15.75" hidden="1" outlineLevel="1">
      <c r="A250" s="46" t="s">
        <v>2861</v>
      </c>
      <c r="B250" s="47" t="s">
        <v>1378</v>
      </c>
      <c r="C250" s="46">
        <v>5.14</v>
      </c>
      <c r="D250" s="126"/>
    </row>
    <row r="251" spans="1:4" ht="15.75" hidden="1" outlineLevel="1">
      <c r="A251" s="46" t="s">
        <v>2861</v>
      </c>
      <c r="B251" s="47" t="s">
        <v>4</v>
      </c>
      <c r="C251" s="46">
        <v>5.19</v>
      </c>
      <c r="D251" s="126"/>
    </row>
    <row r="252" spans="1:4" ht="15.75" hidden="1" outlineLevel="1">
      <c r="A252" s="46" t="s">
        <v>2861</v>
      </c>
      <c r="B252" s="47" t="s">
        <v>121</v>
      </c>
      <c r="C252" s="46">
        <v>5.24</v>
      </c>
      <c r="D252" s="126"/>
    </row>
    <row r="253" spans="1:4" ht="15.75" hidden="1" outlineLevel="1">
      <c r="A253" s="46" t="s">
        <v>2861</v>
      </c>
      <c r="B253" s="47" t="s">
        <v>6</v>
      </c>
      <c r="C253" s="46">
        <v>5.27</v>
      </c>
      <c r="D253" s="126"/>
    </row>
    <row r="254" spans="1:4" ht="15.75" hidden="1" outlineLevel="1">
      <c r="A254" s="46" t="s">
        <v>2861</v>
      </c>
      <c r="B254" s="47" t="s">
        <v>7</v>
      </c>
      <c r="C254" s="46">
        <v>5.28</v>
      </c>
      <c r="D254" s="126"/>
    </row>
    <row r="255" spans="1:4" ht="15.75" hidden="1" outlineLevel="1">
      <c r="A255" s="46" t="s">
        <v>2861</v>
      </c>
      <c r="B255" s="47" t="s">
        <v>8</v>
      </c>
      <c r="C255" s="48">
        <v>5.3</v>
      </c>
      <c r="D255" s="126"/>
    </row>
    <row r="256" spans="1:4" ht="15.75" hidden="1" outlineLevel="1">
      <c r="A256" s="46" t="s">
        <v>2861</v>
      </c>
      <c r="B256" s="47" t="s">
        <v>1428</v>
      </c>
      <c r="C256" s="46">
        <v>5.33</v>
      </c>
      <c r="D256" s="126"/>
    </row>
    <row r="257" spans="1:4" ht="15.75" hidden="1" outlineLevel="1">
      <c r="A257" s="46" t="s">
        <v>2861</v>
      </c>
      <c r="B257" s="47" t="s">
        <v>123</v>
      </c>
      <c r="C257" s="46">
        <v>5.36</v>
      </c>
      <c r="D257" s="126"/>
    </row>
    <row r="258" spans="1:4" ht="15.75" hidden="1" outlineLevel="1">
      <c r="A258" s="46" t="s">
        <v>2861</v>
      </c>
      <c r="B258" s="47" t="s">
        <v>11</v>
      </c>
      <c r="C258" s="46">
        <v>5.53</v>
      </c>
      <c r="D258" s="126"/>
    </row>
    <row r="259" spans="1:4" ht="15.75" hidden="1" outlineLevel="1">
      <c r="A259" s="46" t="s">
        <v>2861</v>
      </c>
      <c r="B259" s="47" t="s">
        <v>17</v>
      </c>
      <c r="C259" s="46">
        <v>5.58</v>
      </c>
      <c r="D259" s="126"/>
    </row>
    <row r="260" spans="1:4" ht="15.75" hidden="1" outlineLevel="1">
      <c r="A260" s="46" t="s">
        <v>2861</v>
      </c>
      <c r="B260" s="47" t="s">
        <v>18</v>
      </c>
      <c r="C260" s="46">
        <v>5.54</v>
      </c>
      <c r="D260" s="126"/>
    </row>
    <row r="261" spans="1:4" ht="15.75" hidden="1" outlineLevel="1">
      <c r="A261" s="46" t="s">
        <v>2861</v>
      </c>
      <c r="B261" s="47" t="s">
        <v>19</v>
      </c>
      <c r="C261" s="46">
        <v>5.55</v>
      </c>
      <c r="D261" s="126"/>
    </row>
    <row r="262" spans="1:4" ht="15.75" hidden="1" outlineLevel="1">
      <c r="A262" s="46" t="s">
        <v>2861</v>
      </c>
      <c r="B262" s="47" t="s">
        <v>20</v>
      </c>
      <c r="C262" s="46">
        <v>5.63</v>
      </c>
      <c r="D262" s="126"/>
    </row>
    <row r="263" spans="1:4" ht="15.75" hidden="1" outlineLevel="1">
      <c r="A263" s="46" t="s">
        <v>2861</v>
      </c>
      <c r="B263" s="47" t="s">
        <v>24</v>
      </c>
      <c r="C263" s="46">
        <v>5.47</v>
      </c>
      <c r="D263" s="126"/>
    </row>
    <row r="264" spans="1:4" ht="15.75" hidden="1" outlineLevel="1">
      <c r="A264" s="46" t="s">
        <v>2861</v>
      </c>
      <c r="B264" s="47" t="s">
        <v>25</v>
      </c>
      <c r="C264" s="46">
        <v>5.48</v>
      </c>
      <c r="D264" s="126"/>
    </row>
    <row r="265" spans="1:4" ht="15.75">
      <c r="A265" s="52" t="s">
        <v>2861</v>
      </c>
      <c r="B265" s="47"/>
      <c r="C265" s="46"/>
      <c r="D265" s="126"/>
    </row>
    <row r="266" spans="1:4" ht="15.75" hidden="1" outlineLevel="1">
      <c r="A266" s="46" t="s">
        <v>2614</v>
      </c>
      <c r="B266" s="47" t="s">
        <v>0</v>
      </c>
      <c r="C266" s="46">
        <v>5.0999999999999996</v>
      </c>
      <c r="D266" s="126"/>
    </row>
    <row r="267" spans="1:4" ht="15.75" hidden="1" outlineLevel="1">
      <c r="A267" s="46" t="s">
        <v>2614</v>
      </c>
      <c r="B267" s="47" t="s">
        <v>1</v>
      </c>
      <c r="C267" s="46">
        <v>5.2</v>
      </c>
      <c r="D267" s="126"/>
    </row>
    <row r="268" spans="1:4" ht="15.75" hidden="1" outlineLevel="1">
      <c r="A268" s="46" t="s">
        <v>2614</v>
      </c>
      <c r="B268" s="47" t="s">
        <v>2</v>
      </c>
      <c r="C268" s="46">
        <v>5.3</v>
      </c>
      <c r="D268" s="126"/>
    </row>
    <row r="269" spans="1:4" ht="15.75" hidden="1" outlineLevel="1">
      <c r="A269" s="46" t="s">
        <v>2614</v>
      </c>
      <c r="B269" s="47" t="s">
        <v>119</v>
      </c>
      <c r="C269" s="46">
        <v>5.6</v>
      </c>
      <c r="D269" s="126"/>
    </row>
    <row r="270" spans="1:4" ht="15.75" hidden="1" outlineLevel="1">
      <c r="A270" s="46" t="s">
        <v>2614</v>
      </c>
      <c r="B270" s="47" t="s">
        <v>2857</v>
      </c>
      <c r="C270" s="48">
        <v>5.0999999999999996</v>
      </c>
      <c r="D270" s="126"/>
    </row>
    <row r="271" spans="1:4" ht="15.75" hidden="1" outlineLevel="1">
      <c r="A271" s="46" t="s">
        <v>2614</v>
      </c>
      <c r="B271" s="47" t="s">
        <v>1378</v>
      </c>
      <c r="C271" s="46">
        <v>5.14</v>
      </c>
      <c r="D271" s="126"/>
    </row>
    <row r="272" spans="1:4" ht="15.75" hidden="1" outlineLevel="1">
      <c r="A272" s="46" t="s">
        <v>2614</v>
      </c>
      <c r="B272" s="47" t="s">
        <v>4</v>
      </c>
      <c r="C272" s="46">
        <v>5.19</v>
      </c>
      <c r="D272" s="126"/>
    </row>
    <row r="273" spans="1:4" ht="15.75" hidden="1" outlineLevel="1">
      <c r="A273" s="46" t="s">
        <v>2614</v>
      </c>
      <c r="B273" s="47" t="s">
        <v>121</v>
      </c>
      <c r="C273" s="46">
        <v>5.24</v>
      </c>
      <c r="D273" s="126"/>
    </row>
    <row r="274" spans="1:4" ht="15.75" hidden="1" outlineLevel="1">
      <c r="A274" s="46" t="s">
        <v>2614</v>
      </c>
      <c r="B274" s="47" t="s">
        <v>5</v>
      </c>
      <c r="C274" s="46">
        <v>5.26</v>
      </c>
      <c r="D274" s="126"/>
    </row>
    <row r="275" spans="1:4" ht="15.75" hidden="1" outlineLevel="1">
      <c r="A275" s="46" t="s">
        <v>2614</v>
      </c>
      <c r="B275" s="47" t="s">
        <v>6</v>
      </c>
      <c r="C275" s="46">
        <v>5.27</v>
      </c>
      <c r="D275" s="126"/>
    </row>
    <row r="276" spans="1:4" ht="15.75" hidden="1" outlineLevel="1">
      <c r="A276" s="46" t="s">
        <v>2614</v>
      </c>
      <c r="B276" s="47" t="s">
        <v>7</v>
      </c>
      <c r="C276" s="46">
        <v>5.28</v>
      </c>
      <c r="D276" s="126"/>
    </row>
    <row r="277" spans="1:4" ht="15.75" hidden="1" outlineLevel="1">
      <c r="A277" s="46" t="s">
        <v>2614</v>
      </c>
      <c r="B277" s="47" t="s">
        <v>129</v>
      </c>
      <c r="C277" s="46">
        <v>5.29</v>
      </c>
      <c r="D277" s="126"/>
    </row>
    <row r="278" spans="1:4" ht="15.75" hidden="1" outlineLevel="1">
      <c r="A278" s="46" t="s">
        <v>2614</v>
      </c>
      <c r="B278" s="47" t="s">
        <v>8</v>
      </c>
      <c r="C278" s="48">
        <v>5.3</v>
      </c>
      <c r="D278" s="126"/>
    </row>
    <row r="279" spans="1:4" ht="15.75" hidden="1" outlineLevel="1">
      <c r="A279" s="46" t="s">
        <v>2614</v>
      </c>
      <c r="B279" s="47" t="s">
        <v>1428</v>
      </c>
      <c r="C279" s="46">
        <v>5.33</v>
      </c>
      <c r="D279" s="126"/>
    </row>
    <row r="280" spans="1:4" ht="15.75" hidden="1" outlineLevel="1">
      <c r="A280" s="46" t="s">
        <v>2614</v>
      </c>
      <c r="B280" s="47" t="s">
        <v>123</v>
      </c>
      <c r="C280" s="46">
        <v>5.36</v>
      </c>
      <c r="D280" s="126"/>
    </row>
    <row r="281" spans="1:4" ht="15.75" hidden="1" outlineLevel="1">
      <c r="A281" s="46" t="s">
        <v>2614</v>
      </c>
      <c r="B281" s="47" t="s">
        <v>12</v>
      </c>
      <c r="C281" s="46">
        <v>5.69</v>
      </c>
      <c r="D281" s="126"/>
    </row>
    <row r="282" spans="1:4" ht="15.75" hidden="1" outlineLevel="1">
      <c r="A282" s="46" t="s">
        <v>2614</v>
      </c>
      <c r="B282" s="47" t="s">
        <v>14</v>
      </c>
      <c r="C282" s="48">
        <v>5.7</v>
      </c>
      <c r="D282" s="126"/>
    </row>
    <row r="283" spans="1:4" ht="15.75" hidden="1" outlineLevel="1">
      <c r="A283" s="46" t="s">
        <v>2614</v>
      </c>
      <c r="B283" s="47" t="s">
        <v>15</v>
      </c>
      <c r="C283" s="46">
        <v>5.74</v>
      </c>
      <c r="D283" s="126"/>
    </row>
    <row r="284" spans="1:4" ht="15.75" hidden="1" outlineLevel="1">
      <c r="A284" s="46" t="s">
        <v>2614</v>
      </c>
      <c r="B284" s="47" t="s">
        <v>9</v>
      </c>
      <c r="C284" s="46">
        <v>5.49</v>
      </c>
      <c r="D284" s="126"/>
    </row>
    <row r="285" spans="1:4" ht="15.75" hidden="1" outlineLevel="1">
      <c r="A285" s="46" t="s">
        <v>2614</v>
      </c>
      <c r="B285" s="47" t="s">
        <v>10</v>
      </c>
      <c r="C285" s="46">
        <v>5.51</v>
      </c>
      <c r="D285" s="126"/>
    </row>
    <row r="286" spans="1:4" ht="15.75" hidden="1" outlineLevel="1">
      <c r="A286" s="46" t="s">
        <v>2614</v>
      </c>
      <c r="B286" s="47" t="s">
        <v>2858</v>
      </c>
      <c r="C286" s="46">
        <v>5.52</v>
      </c>
      <c r="D286" s="126"/>
    </row>
    <row r="287" spans="1:4" ht="15.75" hidden="1" outlineLevel="1">
      <c r="A287" s="46" t="s">
        <v>2614</v>
      </c>
      <c r="B287" s="47" t="s">
        <v>11</v>
      </c>
      <c r="C287" s="46">
        <v>5.53</v>
      </c>
      <c r="D287" s="126"/>
    </row>
    <row r="288" spans="1:4" ht="15.75" hidden="1" outlineLevel="1">
      <c r="A288" s="46" t="s">
        <v>2614</v>
      </c>
      <c r="B288" s="47" t="s">
        <v>17</v>
      </c>
      <c r="C288" s="46">
        <v>5.58</v>
      </c>
      <c r="D288" s="126"/>
    </row>
    <row r="289" spans="1:4" ht="15.75" hidden="1" outlineLevel="1">
      <c r="A289" s="46" t="s">
        <v>2614</v>
      </c>
      <c r="B289" s="47" t="s">
        <v>18</v>
      </c>
      <c r="C289" s="46">
        <v>5.54</v>
      </c>
      <c r="D289" s="126"/>
    </row>
    <row r="290" spans="1:4" ht="15.75" hidden="1" outlineLevel="1">
      <c r="A290" s="46" t="s">
        <v>2614</v>
      </c>
      <c r="B290" s="47" t="s">
        <v>19</v>
      </c>
      <c r="C290" s="46">
        <v>5.55</v>
      </c>
      <c r="D290" s="126"/>
    </row>
    <row r="291" spans="1:4" ht="15.75" hidden="1" outlineLevel="1">
      <c r="A291" s="46" t="s">
        <v>2614</v>
      </c>
      <c r="B291" s="47" t="s">
        <v>20</v>
      </c>
      <c r="C291" s="46">
        <v>5.63</v>
      </c>
      <c r="D291" s="126"/>
    </row>
    <row r="292" spans="1:4" ht="15.75" hidden="1" outlineLevel="1">
      <c r="A292" s="46" t="s">
        <v>2614</v>
      </c>
      <c r="B292" s="47" t="s">
        <v>24</v>
      </c>
      <c r="C292" s="46">
        <v>5.47</v>
      </c>
      <c r="D292" s="126"/>
    </row>
    <row r="293" spans="1:4" ht="15.75" hidden="1" outlineLevel="1">
      <c r="A293" s="46" t="s">
        <v>2614</v>
      </c>
      <c r="B293" s="47" t="s">
        <v>25</v>
      </c>
      <c r="C293" s="46">
        <v>5.48</v>
      </c>
      <c r="D293" s="126"/>
    </row>
    <row r="294" spans="1:4" ht="15.75">
      <c r="A294" s="52" t="s">
        <v>2614</v>
      </c>
      <c r="B294" s="47"/>
      <c r="C294" s="46"/>
      <c r="D294" s="126"/>
    </row>
    <row r="295" spans="1:4" ht="31.5" hidden="1" outlineLevel="1">
      <c r="A295" s="46" t="s">
        <v>2620</v>
      </c>
      <c r="B295" s="47" t="s">
        <v>0</v>
      </c>
      <c r="C295" s="46">
        <v>5.0999999999999996</v>
      </c>
      <c r="D295" s="126"/>
    </row>
    <row r="296" spans="1:4" ht="31.5" hidden="1" outlineLevel="1">
      <c r="A296" s="46" t="s">
        <v>2620</v>
      </c>
      <c r="B296" s="47" t="s">
        <v>1</v>
      </c>
      <c r="C296" s="46">
        <v>5.2</v>
      </c>
      <c r="D296" s="126"/>
    </row>
    <row r="297" spans="1:4" ht="31.5" hidden="1" outlineLevel="1">
      <c r="A297" s="46" t="s">
        <v>2620</v>
      </c>
      <c r="B297" s="47" t="s">
        <v>2</v>
      </c>
      <c r="C297" s="46">
        <v>5.3</v>
      </c>
      <c r="D297" s="126"/>
    </row>
    <row r="298" spans="1:4" ht="31.5" hidden="1" outlineLevel="1">
      <c r="A298" s="46" t="s">
        <v>2620</v>
      </c>
      <c r="B298" s="47" t="s">
        <v>1378</v>
      </c>
      <c r="C298" s="46">
        <v>5.14</v>
      </c>
      <c r="D298" s="126"/>
    </row>
    <row r="299" spans="1:4" ht="31.5" hidden="1" outlineLevel="1">
      <c r="A299" s="46" t="s">
        <v>2620</v>
      </c>
      <c r="B299" s="47" t="s">
        <v>4</v>
      </c>
      <c r="C299" s="46">
        <v>5.19</v>
      </c>
      <c r="D299" s="126"/>
    </row>
    <row r="300" spans="1:4" ht="31.5" hidden="1" outlineLevel="1">
      <c r="A300" s="46" t="s">
        <v>2620</v>
      </c>
      <c r="B300" s="47" t="s">
        <v>121</v>
      </c>
      <c r="C300" s="46">
        <v>5.24</v>
      </c>
      <c r="D300" s="126"/>
    </row>
    <row r="301" spans="1:4" ht="31.5" hidden="1" outlineLevel="1">
      <c r="A301" s="46" t="s">
        <v>2620</v>
      </c>
      <c r="B301" s="47" t="s">
        <v>5</v>
      </c>
      <c r="C301" s="46">
        <v>5.26</v>
      </c>
      <c r="D301" s="126"/>
    </row>
    <row r="302" spans="1:4" ht="31.5" hidden="1" outlineLevel="1">
      <c r="A302" s="46" t="s">
        <v>2620</v>
      </c>
      <c r="B302" s="47" t="s">
        <v>6</v>
      </c>
      <c r="C302" s="46">
        <v>5.27</v>
      </c>
      <c r="D302" s="126"/>
    </row>
    <row r="303" spans="1:4" ht="31.5" hidden="1" outlineLevel="1">
      <c r="A303" s="46" t="s">
        <v>2620</v>
      </c>
      <c r="B303" s="47" t="s">
        <v>7</v>
      </c>
      <c r="C303" s="46">
        <v>5.28</v>
      </c>
      <c r="D303" s="126"/>
    </row>
    <row r="304" spans="1:4" ht="31.5" hidden="1" outlineLevel="1">
      <c r="A304" s="46" t="s">
        <v>2620</v>
      </c>
      <c r="B304" s="47" t="s">
        <v>1463</v>
      </c>
      <c r="C304" s="46">
        <v>5.37</v>
      </c>
      <c r="D304" s="126"/>
    </row>
    <row r="305" spans="1:4" ht="31.5" hidden="1" outlineLevel="1">
      <c r="A305" s="46" t="s">
        <v>2620</v>
      </c>
      <c r="B305" s="47" t="s">
        <v>9</v>
      </c>
      <c r="C305" s="46">
        <v>5.49</v>
      </c>
      <c r="D305" s="126"/>
    </row>
    <row r="306" spans="1:4" ht="31.5" hidden="1" outlineLevel="1">
      <c r="A306" s="46" t="s">
        <v>2620</v>
      </c>
      <c r="B306" s="47" t="s">
        <v>10</v>
      </c>
      <c r="C306" s="46">
        <v>5.51</v>
      </c>
      <c r="D306" s="126"/>
    </row>
    <row r="307" spans="1:4" ht="31.5" hidden="1" outlineLevel="1">
      <c r="A307" s="46" t="s">
        <v>2620</v>
      </c>
      <c r="B307" s="47" t="s">
        <v>11</v>
      </c>
      <c r="C307" s="46">
        <v>5.53</v>
      </c>
      <c r="D307" s="126"/>
    </row>
    <row r="308" spans="1:4" ht="31.5" hidden="1" outlineLevel="1">
      <c r="A308" s="46" t="s">
        <v>2620</v>
      </c>
      <c r="B308" s="47" t="s">
        <v>12</v>
      </c>
      <c r="C308" s="46">
        <v>5.69</v>
      </c>
      <c r="D308" s="126"/>
    </row>
    <row r="309" spans="1:4" ht="31.5" hidden="1" outlineLevel="1">
      <c r="A309" s="46" t="s">
        <v>2620</v>
      </c>
      <c r="B309" s="47" t="s">
        <v>13</v>
      </c>
      <c r="C309" s="46">
        <v>5.75</v>
      </c>
      <c r="D309" s="126"/>
    </row>
    <row r="310" spans="1:4" ht="31.5" hidden="1" outlineLevel="1">
      <c r="A310" s="46" t="s">
        <v>2620</v>
      </c>
      <c r="B310" s="47" t="s">
        <v>14</v>
      </c>
      <c r="C310" s="48">
        <v>5.7</v>
      </c>
      <c r="D310" s="126"/>
    </row>
    <row r="311" spans="1:4" ht="31.5" hidden="1" outlineLevel="1">
      <c r="A311" s="46" t="s">
        <v>2620</v>
      </c>
      <c r="B311" s="47" t="s">
        <v>15</v>
      </c>
      <c r="C311" s="46">
        <v>5.74</v>
      </c>
      <c r="D311" s="126"/>
    </row>
    <row r="312" spans="1:4" ht="31.5" hidden="1" outlineLevel="1">
      <c r="A312" s="46" t="s">
        <v>2620</v>
      </c>
      <c r="B312" s="47" t="s">
        <v>17</v>
      </c>
      <c r="C312" s="46">
        <v>5.58</v>
      </c>
      <c r="D312" s="126"/>
    </row>
    <row r="313" spans="1:4" ht="31.5" hidden="1" outlineLevel="1">
      <c r="A313" s="46" t="s">
        <v>2620</v>
      </c>
      <c r="B313" s="47" t="s">
        <v>18</v>
      </c>
      <c r="C313" s="46">
        <v>5.54</v>
      </c>
      <c r="D313" s="126"/>
    </row>
    <row r="314" spans="1:4" ht="31.5" hidden="1" outlineLevel="1">
      <c r="A314" s="46" t="s">
        <v>2620</v>
      </c>
      <c r="B314" s="47" t="s">
        <v>19</v>
      </c>
      <c r="C314" s="46">
        <v>5.55</v>
      </c>
      <c r="D314" s="126"/>
    </row>
    <row r="315" spans="1:4" ht="31.5" hidden="1" outlineLevel="1">
      <c r="A315" s="46" t="s">
        <v>2620</v>
      </c>
      <c r="B315" s="47" t="s">
        <v>20</v>
      </c>
      <c r="C315" s="46">
        <v>5.63</v>
      </c>
      <c r="D315" s="126"/>
    </row>
    <row r="316" spans="1:4" ht="31.5" hidden="1" outlineLevel="1">
      <c r="A316" s="46" t="s">
        <v>2620</v>
      </c>
      <c r="B316" s="47" t="s">
        <v>21</v>
      </c>
      <c r="C316" s="46">
        <v>5.65</v>
      </c>
      <c r="D316" s="126"/>
    </row>
    <row r="317" spans="1:4" ht="31.5" hidden="1" outlineLevel="1">
      <c r="A317" s="46" t="s">
        <v>2620</v>
      </c>
      <c r="B317" s="47" t="s">
        <v>22</v>
      </c>
      <c r="C317" s="46">
        <v>5.68</v>
      </c>
      <c r="D317" s="126"/>
    </row>
    <row r="318" spans="1:4" ht="31.5" hidden="1" outlineLevel="1">
      <c r="A318" s="46" t="s">
        <v>2620</v>
      </c>
      <c r="B318" s="47" t="s">
        <v>24</v>
      </c>
      <c r="C318" s="46">
        <v>5.47</v>
      </c>
      <c r="D318" s="126"/>
    </row>
    <row r="319" spans="1:4" ht="31.5" hidden="1" outlineLevel="1">
      <c r="A319" s="46" t="s">
        <v>2620</v>
      </c>
      <c r="B319" s="47" t="s">
        <v>25</v>
      </c>
      <c r="C319" s="46">
        <v>5.48</v>
      </c>
      <c r="D319" s="126"/>
    </row>
    <row r="320" spans="1:4" ht="31.5">
      <c r="A320" s="52" t="s">
        <v>2620</v>
      </c>
      <c r="B320" s="47"/>
      <c r="C320" s="46"/>
      <c r="D320" s="126"/>
    </row>
    <row r="321" spans="1:4" ht="31.5" hidden="1" outlineLevel="1">
      <c r="A321" s="46" t="s">
        <v>2621</v>
      </c>
      <c r="B321" s="47" t="s">
        <v>0</v>
      </c>
      <c r="C321" s="46">
        <v>5.0999999999999996</v>
      </c>
      <c r="D321" s="126"/>
    </row>
    <row r="322" spans="1:4" ht="31.5" hidden="1" outlineLevel="1">
      <c r="A322" s="46" t="s">
        <v>2621</v>
      </c>
      <c r="B322" s="47" t="s">
        <v>1</v>
      </c>
      <c r="C322" s="46">
        <v>5.2</v>
      </c>
      <c r="D322" s="126"/>
    </row>
    <row r="323" spans="1:4" ht="31.5" hidden="1" outlineLevel="1">
      <c r="A323" s="46" t="s">
        <v>2621</v>
      </c>
      <c r="B323" s="47" t="s">
        <v>5</v>
      </c>
      <c r="C323" s="46">
        <v>5.26</v>
      </c>
      <c r="D323" s="126"/>
    </row>
    <row r="324" spans="1:4" ht="31.5" hidden="1" outlineLevel="1">
      <c r="A324" s="46" t="s">
        <v>2621</v>
      </c>
      <c r="B324" s="47" t="s">
        <v>1378</v>
      </c>
      <c r="C324" s="46">
        <v>5.14</v>
      </c>
      <c r="D324" s="126"/>
    </row>
    <row r="325" spans="1:4" ht="31.5" hidden="1" outlineLevel="1">
      <c r="A325" s="46" t="s">
        <v>2621</v>
      </c>
      <c r="B325" s="47" t="s">
        <v>4</v>
      </c>
      <c r="C325" s="46">
        <v>5.19</v>
      </c>
      <c r="D325" s="126"/>
    </row>
    <row r="326" spans="1:4" ht="31.5" hidden="1" outlineLevel="1">
      <c r="A326" s="46" t="s">
        <v>2621</v>
      </c>
      <c r="B326" s="47" t="s">
        <v>1463</v>
      </c>
      <c r="C326" s="46">
        <v>5.37</v>
      </c>
      <c r="D326" s="126"/>
    </row>
    <row r="327" spans="1:4" ht="31.5" hidden="1" outlineLevel="1">
      <c r="A327" s="46" t="s">
        <v>2621</v>
      </c>
      <c r="B327" s="47" t="s">
        <v>12</v>
      </c>
      <c r="C327" s="46">
        <v>5.69</v>
      </c>
      <c r="D327" s="126"/>
    </row>
    <row r="328" spans="1:4" ht="31.5" hidden="1" outlineLevel="1">
      <c r="A328" s="46" t="s">
        <v>2621</v>
      </c>
      <c r="B328" s="47" t="s">
        <v>1464</v>
      </c>
      <c r="C328" s="48">
        <v>5.8</v>
      </c>
      <c r="D328" s="126"/>
    </row>
    <row r="329" spans="1:4" ht="31.5" hidden="1" outlineLevel="1">
      <c r="A329" s="46" t="s">
        <v>2621</v>
      </c>
      <c r="B329" s="47" t="s">
        <v>13</v>
      </c>
      <c r="C329" s="46">
        <v>5.75</v>
      </c>
      <c r="D329" s="126"/>
    </row>
    <row r="330" spans="1:4" ht="31.5" hidden="1" outlineLevel="1">
      <c r="A330" s="46" t="s">
        <v>2621</v>
      </c>
      <c r="B330" s="47" t="s">
        <v>14</v>
      </c>
      <c r="C330" s="48">
        <v>5.7</v>
      </c>
      <c r="D330" s="126"/>
    </row>
    <row r="331" spans="1:4" ht="31.5" hidden="1" outlineLevel="1">
      <c r="A331" s="46" t="s">
        <v>2621</v>
      </c>
      <c r="B331" s="47" t="s">
        <v>15</v>
      </c>
      <c r="C331" s="46">
        <v>5.74</v>
      </c>
      <c r="D331" s="126"/>
    </row>
    <row r="332" spans="1:4" ht="31.5" hidden="1" outlineLevel="1">
      <c r="A332" s="46" t="s">
        <v>2621</v>
      </c>
      <c r="B332" s="47" t="s">
        <v>17</v>
      </c>
      <c r="C332" s="46">
        <v>5.58</v>
      </c>
      <c r="D332" s="126"/>
    </row>
    <row r="333" spans="1:4" ht="31.5" hidden="1" outlineLevel="1">
      <c r="A333" s="46" t="s">
        <v>2621</v>
      </c>
      <c r="B333" s="47" t="s">
        <v>19</v>
      </c>
      <c r="C333" s="46">
        <v>5.55</v>
      </c>
      <c r="D333" s="126"/>
    </row>
    <row r="334" spans="1:4" ht="31.5" hidden="1" outlineLevel="1">
      <c r="A334" s="46" t="s">
        <v>2621</v>
      </c>
      <c r="B334" s="47" t="s">
        <v>20</v>
      </c>
      <c r="C334" s="46">
        <v>5.63</v>
      </c>
      <c r="D334" s="126"/>
    </row>
    <row r="335" spans="1:4" ht="31.5" hidden="1" outlineLevel="1">
      <c r="A335" s="46" t="s">
        <v>2621</v>
      </c>
      <c r="B335" s="47" t="s">
        <v>21</v>
      </c>
      <c r="C335" s="46">
        <v>5.65</v>
      </c>
      <c r="D335" s="126"/>
    </row>
    <row r="336" spans="1:4" ht="31.5" hidden="1" outlineLevel="1">
      <c r="A336" s="46" t="s">
        <v>2621</v>
      </c>
      <c r="B336" s="47" t="s">
        <v>22</v>
      </c>
      <c r="C336" s="46">
        <v>5.68</v>
      </c>
      <c r="D336" s="126"/>
    </row>
    <row r="337" spans="1:4" ht="31.5" hidden="1" outlineLevel="1">
      <c r="A337" s="46" t="s">
        <v>2621</v>
      </c>
      <c r="B337" s="47" t="s">
        <v>24</v>
      </c>
      <c r="C337" s="46">
        <v>5.47</v>
      </c>
      <c r="D337" s="126"/>
    </row>
    <row r="338" spans="1:4" ht="31.5" hidden="1" outlineLevel="1">
      <c r="A338" s="46" t="s">
        <v>2621</v>
      </c>
      <c r="B338" s="47" t="s">
        <v>25</v>
      </c>
      <c r="C338" s="46">
        <v>5.48</v>
      </c>
      <c r="D338" s="126"/>
    </row>
    <row r="339" spans="1:4" ht="31.5">
      <c r="A339" s="52" t="s">
        <v>2621</v>
      </c>
      <c r="B339" s="47"/>
      <c r="C339" s="46"/>
      <c r="D339" s="126"/>
    </row>
    <row r="340" spans="1:4" ht="31.5" hidden="1" outlineLevel="1">
      <c r="A340" s="46" t="s">
        <v>2627</v>
      </c>
      <c r="B340" s="47" t="s">
        <v>1465</v>
      </c>
      <c r="C340" s="46">
        <v>5.0999999999999996</v>
      </c>
      <c r="D340" s="126"/>
    </row>
    <row r="341" spans="1:4" ht="31.5" hidden="1" outlineLevel="1">
      <c r="A341" s="46" t="s">
        <v>2627</v>
      </c>
      <c r="B341" s="47" t="s">
        <v>1</v>
      </c>
      <c r="C341" s="46">
        <v>5.2</v>
      </c>
      <c r="D341" s="126"/>
    </row>
    <row r="342" spans="1:4" ht="31.5" hidden="1" outlineLevel="1">
      <c r="A342" s="46" t="s">
        <v>2627</v>
      </c>
      <c r="B342" s="47" t="s">
        <v>5</v>
      </c>
      <c r="C342" s="46">
        <v>5.26</v>
      </c>
      <c r="D342" s="126"/>
    </row>
    <row r="343" spans="1:4" ht="31.5" hidden="1" outlineLevel="1">
      <c r="A343" s="46" t="s">
        <v>2627</v>
      </c>
      <c r="B343" s="47" t="s">
        <v>1466</v>
      </c>
      <c r="C343" s="46">
        <v>5.38</v>
      </c>
      <c r="D343" s="126"/>
    </row>
    <row r="344" spans="1:4" ht="31.5" hidden="1" outlineLevel="1">
      <c r="A344" s="46" t="s">
        <v>2627</v>
      </c>
      <c r="B344" s="47" t="s">
        <v>1467</v>
      </c>
      <c r="C344" s="46">
        <v>5.39</v>
      </c>
      <c r="D344" s="126"/>
    </row>
    <row r="345" spans="1:4" ht="31.5" hidden="1" outlineLevel="1">
      <c r="A345" s="46" t="s">
        <v>2627</v>
      </c>
      <c r="B345" s="47" t="s">
        <v>1468</v>
      </c>
      <c r="C345" s="48">
        <v>5.6</v>
      </c>
      <c r="D345" s="126"/>
    </row>
    <row r="346" spans="1:4" ht="31.5" hidden="1" outlineLevel="1">
      <c r="A346" s="46" t="s">
        <v>2627</v>
      </c>
      <c r="B346" s="47" t="s">
        <v>25</v>
      </c>
      <c r="C346" s="46">
        <v>5.48</v>
      </c>
      <c r="D346" s="126"/>
    </row>
    <row r="347" spans="1:4" ht="31.5">
      <c r="A347" s="52" t="s">
        <v>2627</v>
      </c>
      <c r="B347" s="47"/>
      <c r="C347" s="46"/>
      <c r="D347" s="126"/>
    </row>
    <row r="348" spans="1:4" ht="31.5" hidden="1" outlineLevel="1">
      <c r="A348" s="46" t="s">
        <v>2631</v>
      </c>
      <c r="B348" s="47" t="s">
        <v>0</v>
      </c>
      <c r="C348" s="46">
        <v>5.0999999999999996</v>
      </c>
      <c r="D348" s="126"/>
    </row>
    <row r="349" spans="1:4" ht="31.5" hidden="1" outlineLevel="1">
      <c r="A349" s="46" t="s">
        <v>2631</v>
      </c>
      <c r="B349" s="47" t="s">
        <v>1</v>
      </c>
      <c r="C349" s="46">
        <v>5.2</v>
      </c>
      <c r="D349" s="126"/>
    </row>
    <row r="350" spans="1:4" ht="31.5" hidden="1" outlineLevel="1">
      <c r="A350" s="46" t="s">
        <v>2631</v>
      </c>
      <c r="B350" s="47" t="s">
        <v>2</v>
      </c>
      <c r="C350" s="46">
        <v>5.3</v>
      </c>
      <c r="D350" s="126"/>
    </row>
    <row r="351" spans="1:4" ht="31.5" hidden="1" outlineLevel="1">
      <c r="A351" s="46" t="s">
        <v>2631</v>
      </c>
      <c r="B351" s="47" t="s">
        <v>119</v>
      </c>
      <c r="C351" s="46">
        <v>5.6</v>
      </c>
      <c r="D351" s="126"/>
    </row>
    <row r="352" spans="1:4" ht="31.5" hidden="1" outlineLevel="1">
      <c r="A352" s="46" t="s">
        <v>2631</v>
      </c>
      <c r="B352" s="47" t="s">
        <v>2857</v>
      </c>
      <c r="C352" s="48">
        <v>5.0999999999999996</v>
      </c>
      <c r="D352" s="126"/>
    </row>
    <row r="353" spans="1:4" ht="31.5" hidden="1" outlineLevel="1">
      <c r="A353" s="46" t="s">
        <v>2631</v>
      </c>
      <c r="B353" s="47" t="s">
        <v>1378</v>
      </c>
      <c r="C353" s="46">
        <v>5.14</v>
      </c>
      <c r="D353" s="126"/>
    </row>
    <row r="354" spans="1:4" ht="31.5" hidden="1" outlineLevel="1">
      <c r="A354" s="46" t="s">
        <v>2631</v>
      </c>
      <c r="B354" s="47" t="s">
        <v>4</v>
      </c>
      <c r="C354" s="46">
        <v>5.19</v>
      </c>
      <c r="D354" s="126"/>
    </row>
    <row r="355" spans="1:4" ht="31.5" hidden="1" outlineLevel="1">
      <c r="A355" s="46" t="s">
        <v>2631</v>
      </c>
      <c r="B355" s="47" t="s">
        <v>121</v>
      </c>
      <c r="C355" s="46">
        <v>5.24</v>
      </c>
      <c r="D355" s="126"/>
    </row>
    <row r="356" spans="1:4" ht="31.5" hidden="1" outlineLevel="1">
      <c r="A356" s="46" t="s">
        <v>2631</v>
      </c>
      <c r="B356" s="47" t="s">
        <v>5</v>
      </c>
      <c r="C356" s="46">
        <v>5.26</v>
      </c>
      <c r="D356" s="126"/>
    </row>
    <row r="357" spans="1:4" ht="31.5" hidden="1" outlineLevel="1">
      <c r="A357" s="46" t="s">
        <v>2631</v>
      </c>
      <c r="B357" s="47" t="s">
        <v>6</v>
      </c>
      <c r="C357" s="46">
        <v>5.27</v>
      </c>
      <c r="D357" s="126"/>
    </row>
    <row r="358" spans="1:4" ht="31.5" hidden="1" outlineLevel="1">
      <c r="A358" s="46" t="s">
        <v>2631</v>
      </c>
      <c r="B358" s="47" t="s">
        <v>7</v>
      </c>
      <c r="C358" s="46">
        <v>5.28</v>
      </c>
      <c r="D358" s="126"/>
    </row>
    <row r="359" spans="1:4" ht="31.5" hidden="1" outlineLevel="1">
      <c r="A359" s="46" t="s">
        <v>2631</v>
      </c>
      <c r="B359" s="47" t="s">
        <v>122</v>
      </c>
      <c r="C359" s="46">
        <v>5.31</v>
      </c>
      <c r="D359" s="126"/>
    </row>
    <row r="360" spans="1:4" ht="31.5" hidden="1" outlineLevel="1">
      <c r="A360" s="46" t="s">
        <v>2631</v>
      </c>
      <c r="B360" s="47" t="s">
        <v>123</v>
      </c>
      <c r="C360" s="46">
        <v>5.36</v>
      </c>
      <c r="D360" s="126"/>
    </row>
    <row r="361" spans="1:4" ht="31.5" hidden="1" outlineLevel="1">
      <c r="A361" s="46" t="s">
        <v>2631</v>
      </c>
      <c r="B361" s="47" t="s">
        <v>1463</v>
      </c>
      <c r="C361" s="46">
        <v>5.37</v>
      </c>
      <c r="D361" s="126"/>
    </row>
    <row r="362" spans="1:4" ht="31.5" hidden="1" outlineLevel="1">
      <c r="A362" s="46" t="s">
        <v>2631</v>
      </c>
      <c r="B362" s="47" t="s">
        <v>9</v>
      </c>
      <c r="C362" s="46">
        <v>5.49</v>
      </c>
      <c r="D362" s="126"/>
    </row>
    <row r="363" spans="1:4" ht="31.5" hidden="1" outlineLevel="1">
      <c r="A363" s="46" t="s">
        <v>2631</v>
      </c>
      <c r="B363" s="47" t="s">
        <v>10</v>
      </c>
      <c r="C363" s="46">
        <v>5.51</v>
      </c>
      <c r="D363" s="126"/>
    </row>
    <row r="364" spans="1:4" ht="31.5" hidden="1" outlineLevel="1">
      <c r="A364" s="46" t="s">
        <v>2631</v>
      </c>
      <c r="B364" s="47" t="s">
        <v>2858</v>
      </c>
      <c r="C364" s="46">
        <v>5.52</v>
      </c>
      <c r="D364" s="126"/>
    </row>
    <row r="365" spans="1:4" ht="31.5" hidden="1" outlineLevel="1">
      <c r="A365" s="46" t="s">
        <v>2631</v>
      </c>
      <c r="B365" s="47" t="s">
        <v>11</v>
      </c>
      <c r="C365" s="46">
        <v>5.53</v>
      </c>
      <c r="D365" s="126"/>
    </row>
    <row r="366" spans="1:4" ht="31.5" hidden="1" outlineLevel="1">
      <c r="A366" s="46" t="s">
        <v>2631</v>
      </c>
      <c r="B366" s="47" t="s">
        <v>12</v>
      </c>
      <c r="C366" s="46">
        <v>5.69</v>
      </c>
      <c r="D366" s="126"/>
    </row>
    <row r="367" spans="1:4" ht="31.5" hidden="1" outlineLevel="1">
      <c r="A367" s="46" t="s">
        <v>2631</v>
      </c>
      <c r="B367" s="47" t="s">
        <v>1464</v>
      </c>
      <c r="C367" s="48">
        <v>5.8</v>
      </c>
      <c r="D367" s="126"/>
    </row>
    <row r="368" spans="1:4" ht="31.5" hidden="1" outlineLevel="1">
      <c r="A368" s="46" t="s">
        <v>2631</v>
      </c>
      <c r="B368" s="47" t="s">
        <v>125</v>
      </c>
      <c r="C368" s="48">
        <v>5.72</v>
      </c>
      <c r="D368" s="126"/>
    </row>
    <row r="369" spans="1:4" ht="31.5" hidden="1" outlineLevel="1">
      <c r="A369" s="46" t="s">
        <v>2631</v>
      </c>
      <c r="B369" s="47" t="s">
        <v>13</v>
      </c>
      <c r="C369" s="46">
        <v>5.75</v>
      </c>
      <c r="D369" s="126"/>
    </row>
    <row r="370" spans="1:4" ht="31.5" hidden="1" outlineLevel="1">
      <c r="A370" s="46" t="s">
        <v>2631</v>
      </c>
      <c r="B370" s="47" t="s">
        <v>14</v>
      </c>
      <c r="C370" s="48">
        <v>5.7</v>
      </c>
      <c r="D370" s="126"/>
    </row>
    <row r="371" spans="1:4" ht="31.5" hidden="1" outlineLevel="1">
      <c r="A371" s="46" t="s">
        <v>2631</v>
      </c>
      <c r="B371" s="47" t="s">
        <v>15</v>
      </c>
      <c r="C371" s="46">
        <v>5.74</v>
      </c>
      <c r="D371" s="126"/>
    </row>
    <row r="372" spans="1:4" ht="31.5" hidden="1" outlineLevel="1">
      <c r="A372" s="46" t="s">
        <v>2631</v>
      </c>
      <c r="B372" s="47" t="s">
        <v>126</v>
      </c>
      <c r="C372" s="46">
        <v>5.76</v>
      </c>
      <c r="D372" s="126"/>
    </row>
    <row r="373" spans="1:4" ht="31.5" hidden="1" outlineLevel="1">
      <c r="A373" s="46" t="s">
        <v>2631</v>
      </c>
      <c r="B373" s="47" t="s">
        <v>127</v>
      </c>
      <c r="C373" s="46">
        <v>5.89</v>
      </c>
      <c r="D373" s="125" t="s">
        <v>2856</v>
      </c>
    </row>
    <row r="374" spans="1:4" ht="31.5" hidden="1" outlineLevel="1">
      <c r="A374" s="46" t="s">
        <v>2631</v>
      </c>
      <c r="B374" s="47" t="s">
        <v>1469</v>
      </c>
      <c r="C374" s="46">
        <v>5.109</v>
      </c>
      <c r="D374" s="125"/>
    </row>
    <row r="375" spans="1:4" ht="31.5" hidden="1" outlineLevel="1">
      <c r="A375" s="46" t="s">
        <v>2631</v>
      </c>
      <c r="B375" s="47" t="s">
        <v>1470</v>
      </c>
      <c r="C375" s="46">
        <v>5.1109999999999998</v>
      </c>
      <c r="D375" s="126"/>
    </row>
    <row r="376" spans="1:4" ht="31.5" hidden="1" outlineLevel="1">
      <c r="A376" s="46" t="s">
        <v>2631</v>
      </c>
      <c r="B376" s="47" t="s">
        <v>1472</v>
      </c>
      <c r="C376" s="46">
        <v>5.1120000000000001</v>
      </c>
      <c r="D376" s="126"/>
    </row>
    <row r="377" spans="1:4" ht="31.5" hidden="1" outlineLevel="1">
      <c r="A377" s="46" t="s">
        <v>2631</v>
      </c>
      <c r="B377" s="50" t="s">
        <v>2862</v>
      </c>
      <c r="C377" s="46">
        <v>5.1130000000000004</v>
      </c>
      <c r="D377" s="126"/>
    </row>
    <row r="378" spans="1:4" ht="31.5" hidden="1" outlineLevel="1">
      <c r="A378" s="46" t="s">
        <v>2631</v>
      </c>
      <c r="B378" s="47" t="s">
        <v>17</v>
      </c>
      <c r="C378" s="46">
        <v>5.58</v>
      </c>
      <c r="D378" s="126"/>
    </row>
    <row r="379" spans="1:4" ht="31.5" hidden="1" outlineLevel="1">
      <c r="A379" s="46" t="s">
        <v>2631</v>
      </c>
      <c r="B379" s="47" t="s">
        <v>18</v>
      </c>
      <c r="C379" s="46">
        <v>5.54</v>
      </c>
      <c r="D379" s="126"/>
    </row>
    <row r="380" spans="1:4" ht="31.5" hidden="1" outlineLevel="1">
      <c r="A380" s="46" t="s">
        <v>2631</v>
      </c>
      <c r="B380" s="47" t="s">
        <v>19</v>
      </c>
      <c r="C380" s="46">
        <v>5.55</v>
      </c>
      <c r="D380" s="126"/>
    </row>
    <row r="381" spans="1:4" ht="31.5" hidden="1" outlineLevel="1">
      <c r="A381" s="46" t="s">
        <v>2631</v>
      </c>
      <c r="B381" s="47" t="s">
        <v>20</v>
      </c>
      <c r="C381" s="46">
        <v>5.63</v>
      </c>
      <c r="D381" s="126"/>
    </row>
    <row r="382" spans="1:4" ht="31.5" hidden="1" outlineLevel="1">
      <c r="A382" s="46" t="s">
        <v>2631</v>
      </c>
      <c r="B382" s="47" t="s">
        <v>21</v>
      </c>
      <c r="C382" s="46">
        <v>5.65</v>
      </c>
      <c r="D382" s="126"/>
    </row>
    <row r="383" spans="1:4" ht="31.5" hidden="1" outlineLevel="1">
      <c r="A383" s="46" t="s">
        <v>2631</v>
      </c>
      <c r="B383" s="47" t="s">
        <v>128</v>
      </c>
      <c r="C383" s="46">
        <v>5.66</v>
      </c>
      <c r="D383" s="126"/>
    </row>
    <row r="384" spans="1:4" ht="31.5" hidden="1" outlineLevel="1">
      <c r="A384" s="46" t="s">
        <v>2631</v>
      </c>
      <c r="B384" s="47" t="s">
        <v>22</v>
      </c>
      <c r="C384" s="46">
        <v>5.68</v>
      </c>
      <c r="D384" s="126"/>
    </row>
    <row r="385" spans="1:4" ht="31.5" hidden="1" outlineLevel="1">
      <c r="A385" s="46" t="s">
        <v>2631</v>
      </c>
      <c r="B385" s="47" t="s">
        <v>24</v>
      </c>
      <c r="C385" s="46">
        <v>5.47</v>
      </c>
      <c r="D385" s="126"/>
    </row>
    <row r="386" spans="1:4" ht="31.5" hidden="1" outlineLevel="1">
      <c r="A386" s="46" t="s">
        <v>2631</v>
      </c>
      <c r="B386" s="47" t="s">
        <v>25</v>
      </c>
      <c r="C386" s="46">
        <v>5.48</v>
      </c>
      <c r="D386" s="126"/>
    </row>
    <row r="387" spans="1:4" ht="31.5">
      <c r="A387" s="52" t="s">
        <v>2631</v>
      </c>
      <c r="B387" s="47"/>
      <c r="C387" s="46"/>
      <c r="D387" s="126"/>
    </row>
    <row r="388" spans="1:4" ht="15.75" hidden="1" outlineLevel="1">
      <c r="A388" s="46" t="s">
        <v>2633</v>
      </c>
      <c r="B388" s="47" t="s">
        <v>0</v>
      </c>
      <c r="C388" s="46">
        <v>5.0999999999999996</v>
      </c>
      <c r="D388" s="126"/>
    </row>
    <row r="389" spans="1:4" ht="15.75" hidden="1" outlineLevel="1">
      <c r="A389" s="46" t="s">
        <v>2633</v>
      </c>
      <c r="B389" s="47" t="s">
        <v>1</v>
      </c>
      <c r="C389" s="46">
        <v>5.2</v>
      </c>
      <c r="D389" s="126"/>
    </row>
    <row r="390" spans="1:4" ht="15.75" hidden="1" outlineLevel="1">
      <c r="A390" s="46" t="s">
        <v>2633</v>
      </c>
      <c r="B390" s="47" t="s">
        <v>2</v>
      </c>
      <c r="C390" s="46">
        <v>5.3</v>
      </c>
      <c r="D390" s="126"/>
    </row>
    <row r="391" spans="1:4" ht="15.75" hidden="1" outlineLevel="1">
      <c r="A391" s="46" t="s">
        <v>2633</v>
      </c>
      <c r="B391" s="47" t="s">
        <v>119</v>
      </c>
      <c r="C391" s="46">
        <v>5.6</v>
      </c>
      <c r="D391" s="126"/>
    </row>
    <row r="392" spans="1:4" ht="15.75" hidden="1" outlineLevel="1">
      <c r="A392" s="46" t="s">
        <v>2633</v>
      </c>
      <c r="B392" s="47" t="s">
        <v>2857</v>
      </c>
      <c r="C392" s="48">
        <v>5.0999999999999996</v>
      </c>
      <c r="D392" s="126"/>
    </row>
    <row r="393" spans="1:4" ht="15.75" hidden="1" outlineLevel="1">
      <c r="A393" s="46" t="s">
        <v>2633</v>
      </c>
      <c r="B393" s="47" t="s">
        <v>1378</v>
      </c>
      <c r="C393" s="46">
        <v>5.14</v>
      </c>
      <c r="D393" s="126"/>
    </row>
    <row r="394" spans="1:4" ht="15.75" hidden="1" outlineLevel="1">
      <c r="A394" s="46" t="s">
        <v>2633</v>
      </c>
      <c r="B394" s="47" t="s">
        <v>4</v>
      </c>
      <c r="C394" s="46">
        <v>5.19</v>
      </c>
      <c r="D394" s="126"/>
    </row>
    <row r="395" spans="1:4" ht="15.75" hidden="1" outlineLevel="1">
      <c r="A395" s="46" t="s">
        <v>2633</v>
      </c>
      <c r="B395" s="47" t="s">
        <v>121</v>
      </c>
      <c r="C395" s="46">
        <v>5.24</v>
      </c>
      <c r="D395" s="126"/>
    </row>
    <row r="396" spans="1:4" ht="15.75" hidden="1" outlineLevel="1">
      <c r="A396" s="46" t="s">
        <v>2633</v>
      </c>
      <c r="B396" s="47" t="s">
        <v>5</v>
      </c>
      <c r="C396" s="46">
        <v>5.26</v>
      </c>
      <c r="D396" s="126"/>
    </row>
    <row r="397" spans="1:4" ht="15.75" hidden="1" outlineLevel="1">
      <c r="A397" s="46" t="s">
        <v>2633</v>
      </c>
      <c r="B397" s="47" t="s">
        <v>6</v>
      </c>
      <c r="C397" s="46">
        <v>5.27</v>
      </c>
      <c r="D397" s="126"/>
    </row>
    <row r="398" spans="1:4" ht="15.75" hidden="1" outlineLevel="1">
      <c r="A398" s="46" t="s">
        <v>2633</v>
      </c>
      <c r="B398" s="47" t="s">
        <v>7</v>
      </c>
      <c r="C398" s="46">
        <v>5.28</v>
      </c>
      <c r="D398" s="126"/>
    </row>
    <row r="399" spans="1:4" ht="15.75" hidden="1" outlineLevel="1">
      <c r="A399" s="46" t="s">
        <v>2633</v>
      </c>
      <c r="B399" s="47" t="s">
        <v>129</v>
      </c>
      <c r="C399" s="46">
        <v>5.29</v>
      </c>
      <c r="D399" s="126"/>
    </row>
    <row r="400" spans="1:4" ht="15.75" hidden="1" outlineLevel="1">
      <c r="A400" s="46" t="s">
        <v>2633</v>
      </c>
      <c r="B400" s="47" t="s">
        <v>122</v>
      </c>
      <c r="C400" s="46">
        <v>5.31</v>
      </c>
      <c r="D400" s="126"/>
    </row>
    <row r="401" spans="1:4" ht="15.75" hidden="1" outlineLevel="1">
      <c r="A401" s="46" t="s">
        <v>2633</v>
      </c>
      <c r="B401" s="47" t="s">
        <v>123</v>
      </c>
      <c r="C401" s="46">
        <v>5.36</v>
      </c>
      <c r="D401" s="126"/>
    </row>
    <row r="402" spans="1:4" ht="15.75" hidden="1" outlineLevel="1">
      <c r="A402" s="46" t="s">
        <v>2633</v>
      </c>
      <c r="B402" s="47" t="s">
        <v>1463</v>
      </c>
      <c r="C402" s="46">
        <v>5.37</v>
      </c>
      <c r="D402" s="126"/>
    </row>
    <row r="403" spans="1:4" ht="15.75" hidden="1" outlineLevel="1">
      <c r="A403" s="46" t="s">
        <v>2633</v>
      </c>
      <c r="B403" s="47" t="s">
        <v>9</v>
      </c>
      <c r="C403" s="46">
        <v>5.49</v>
      </c>
      <c r="D403" s="126"/>
    </row>
    <row r="404" spans="1:4" ht="15.75" hidden="1" outlineLevel="1">
      <c r="A404" s="46" t="s">
        <v>2633</v>
      </c>
      <c r="B404" s="47" t="s">
        <v>10</v>
      </c>
      <c r="C404" s="46">
        <v>5.51</v>
      </c>
      <c r="D404" s="126"/>
    </row>
    <row r="405" spans="1:4" ht="15.75" hidden="1" outlineLevel="1">
      <c r="A405" s="46" t="s">
        <v>2633</v>
      </c>
      <c r="B405" s="47" t="s">
        <v>2858</v>
      </c>
      <c r="C405" s="46">
        <v>5.52</v>
      </c>
      <c r="D405" s="126"/>
    </row>
    <row r="406" spans="1:4" ht="15.75" hidden="1" outlineLevel="1">
      <c r="A406" s="46" t="s">
        <v>2633</v>
      </c>
      <c r="B406" s="47" t="s">
        <v>11</v>
      </c>
      <c r="C406" s="46">
        <v>5.53</v>
      </c>
      <c r="D406" s="126"/>
    </row>
    <row r="407" spans="1:4" ht="15.75" hidden="1" outlineLevel="1">
      <c r="A407" s="46" t="s">
        <v>2633</v>
      </c>
      <c r="B407" s="47" t="s">
        <v>12</v>
      </c>
      <c r="C407" s="46">
        <v>5.69</v>
      </c>
      <c r="D407" s="126"/>
    </row>
    <row r="408" spans="1:4" ht="15.75" hidden="1" outlineLevel="1">
      <c r="A408" s="46" t="s">
        <v>2633</v>
      </c>
      <c r="B408" s="47" t="s">
        <v>13</v>
      </c>
      <c r="C408" s="46">
        <v>5.75</v>
      </c>
      <c r="D408" s="126"/>
    </row>
    <row r="409" spans="1:4" ht="15.75" hidden="1" outlineLevel="1">
      <c r="A409" s="46" t="s">
        <v>2633</v>
      </c>
      <c r="B409" s="47" t="s">
        <v>15</v>
      </c>
      <c r="C409" s="46">
        <v>5.74</v>
      </c>
      <c r="D409" s="126"/>
    </row>
    <row r="410" spans="1:4" ht="15.75" hidden="1" outlineLevel="1">
      <c r="A410" s="46" t="s">
        <v>2633</v>
      </c>
      <c r="B410" s="47" t="s">
        <v>14</v>
      </c>
      <c r="C410" s="48">
        <v>5.7</v>
      </c>
      <c r="D410" s="126"/>
    </row>
    <row r="411" spans="1:4" ht="15.75" hidden="1" outlineLevel="1">
      <c r="A411" s="46" t="s">
        <v>2633</v>
      </c>
      <c r="B411" s="47" t="s">
        <v>126</v>
      </c>
      <c r="C411" s="46">
        <v>5.76</v>
      </c>
      <c r="D411" s="126"/>
    </row>
    <row r="412" spans="1:4" ht="15.75" hidden="1" outlineLevel="1">
      <c r="A412" s="46" t="s">
        <v>2633</v>
      </c>
      <c r="B412" s="47" t="s">
        <v>127</v>
      </c>
      <c r="C412" s="46">
        <v>5.89</v>
      </c>
      <c r="D412" s="125" t="s">
        <v>2856</v>
      </c>
    </row>
    <row r="413" spans="1:4" ht="15.75" hidden="1" outlineLevel="1">
      <c r="A413" s="46" t="s">
        <v>2633</v>
      </c>
      <c r="B413" s="47" t="s">
        <v>1469</v>
      </c>
      <c r="C413" s="46">
        <v>5.109</v>
      </c>
      <c r="D413" s="126"/>
    </row>
    <row r="414" spans="1:4" ht="15.75" hidden="1" outlineLevel="1">
      <c r="A414" s="46" t="s">
        <v>2633</v>
      </c>
      <c r="B414" s="47" t="s">
        <v>1470</v>
      </c>
      <c r="C414" s="46">
        <v>5.1109999999999998</v>
      </c>
      <c r="D414" s="126"/>
    </row>
    <row r="415" spans="1:4" ht="15.75" hidden="1" outlineLevel="1">
      <c r="A415" s="46" t="s">
        <v>2633</v>
      </c>
      <c r="B415" s="47" t="s">
        <v>1472</v>
      </c>
      <c r="C415" s="46">
        <v>5.1120000000000001</v>
      </c>
      <c r="D415" s="126"/>
    </row>
    <row r="416" spans="1:4" ht="15.75" hidden="1" outlineLevel="1">
      <c r="A416" s="46" t="s">
        <v>2633</v>
      </c>
      <c r="B416" s="50" t="s">
        <v>2862</v>
      </c>
      <c r="C416" s="46">
        <v>5.1130000000000004</v>
      </c>
      <c r="D416" s="126"/>
    </row>
    <row r="417" spans="1:4" ht="15.75" hidden="1" outlineLevel="1">
      <c r="A417" s="46" t="s">
        <v>2633</v>
      </c>
      <c r="B417" s="47" t="s">
        <v>17</v>
      </c>
      <c r="C417" s="46">
        <v>5.58</v>
      </c>
      <c r="D417" s="126"/>
    </row>
    <row r="418" spans="1:4" ht="15.75" hidden="1" outlineLevel="1">
      <c r="A418" s="46" t="s">
        <v>2633</v>
      </c>
      <c r="B418" s="47" t="s">
        <v>18</v>
      </c>
      <c r="C418" s="46">
        <v>5.54</v>
      </c>
      <c r="D418" s="126"/>
    </row>
    <row r="419" spans="1:4" ht="15.75" hidden="1" outlineLevel="1">
      <c r="A419" s="46" t="s">
        <v>2633</v>
      </c>
      <c r="B419" s="47" t="s">
        <v>19</v>
      </c>
      <c r="C419" s="46">
        <v>5.55</v>
      </c>
      <c r="D419" s="126"/>
    </row>
    <row r="420" spans="1:4" ht="15.75" hidden="1" outlineLevel="1">
      <c r="A420" s="46" t="s">
        <v>2633</v>
      </c>
      <c r="B420" s="47" t="s">
        <v>20</v>
      </c>
      <c r="C420" s="46">
        <v>5.63</v>
      </c>
      <c r="D420" s="126"/>
    </row>
    <row r="421" spans="1:4" ht="15.75" hidden="1" outlineLevel="1">
      <c r="A421" s="46" t="s">
        <v>2633</v>
      </c>
      <c r="B421" s="47" t="s">
        <v>21</v>
      </c>
      <c r="C421" s="46">
        <v>5.65</v>
      </c>
      <c r="D421" s="126"/>
    </row>
    <row r="422" spans="1:4" ht="15.75" hidden="1" outlineLevel="1">
      <c r="A422" s="46" t="s">
        <v>2633</v>
      </c>
      <c r="B422" s="47" t="s">
        <v>128</v>
      </c>
      <c r="C422" s="46">
        <v>5.66</v>
      </c>
      <c r="D422" s="126"/>
    </row>
    <row r="423" spans="1:4" ht="15.75" hidden="1" outlineLevel="1">
      <c r="A423" s="46" t="s">
        <v>2633</v>
      </c>
      <c r="B423" s="47" t="s">
        <v>22</v>
      </c>
      <c r="C423" s="46">
        <v>5.68</v>
      </c>
      <c r="D423" s="126"/>
    </row>
    <row r="424" spans="1:4" ht="15.75" hidden="1" outlineLevel="1">
      <c r="A424" s="46" t="s">
        <v>2633</v>
      </c>
      <c r="B424" s="47" t="s">
        <v>24</v>
      </c>
      <c r="C424" s="46">
        <v>5.47</v>
      </c>
      <c r="D424" s="126"/>
    </row>
    <row r="425" spans="1:4" ht="15.75" hidden="1" outlineLevel="1">
      <c r="A425" s="46" t="s">
        <v>2633</v>
      </c>
      <c r="B425" s="47" t="s">
        <v>25</v>
      </c>
      <c r="C425" s="46">
        <v>5.48</v>
      </c>
      <c r="D425" s="126"/>
    </row>
    <row r="426" spans="1:4" ht="15.75">
      <c r="A426" s="52" t="s">
        <v>2633</v>
      </c>
      <c r="B426" s="47"/>
      <c r="C426" s="46"/>
      <c r="D426" s="126"/>
    </row>
    <row r="427" spans="1:4" ht="15.75" outlineLevel="1">
      <c r="A427" s="46" t="s">
        <v>2863</v>
      </c>
      <c r="B427" s="47" t="s">
        <v>0</v>
      </c>
      <c r="C427" s="46">
        <v>5.0999999999999996</v>
      </c>
      <c r="D427" s="126"/>
    </row>
    <row r="428" spans="1:4" ht="15.75" outlineLevel="1">
      <c r="A428" s="46" t="s">
        <v>2863</v>
      </c>
      <c r="B428" s="47" t="s">
        <v>1</v>
      </c>
      <c r="C428" s="46">
        <v>5.2</v>
      </c>
      <c r="D428" s="126"/>
    </row>
    <row r="429" spans="1:4" ht="15.75" outlineLevel="1">
      <c r="A429" s="46" t="s">
        <v>2863</v>
      </c>
      <c r="B429" s="47" t="s">
        <v>2</v>
      </c>
      <c r="C429" s="46">
        <v>5.3</v>
      </c>
      <c r="D429" s="126"/>
    </row>
    <row r="430" spans="1:4" ht="15.75" outlineLevel="1">
      <c r="A430" s="46" t="s">
        <v>2863</v>
      </c>
      <c r="B430" s="47" t="s">
        <v>119</v>
      </c>
      <c r="C430" s="46">
        <v>5.6</v>
      </c>
      <c r="D430" s="126"/>
    </row>
    <row r="431" spans="1:4" ht="15.75" outlineLevel="1">
      <c r="A431" s="46" t="s">
        <v>2863</v>
      </c>
      <c r="B431" s="47" t="s">
        <v>2857</v>
      </c>
      <c r="C431" s="48">
        <v>5.0999999999999996</v>
      </c>
      <c r="D431" s="126"/>
    </row>
    <row r="432" spans="1:4" ht="15.75" outlineLevel="1">
      <c r="A432" s="46" t="s">
        <v>2863</v>
      </c>
      <c r="B432" s="47" t="s">
        <v>1378</v>
      </c>
      <c r="C432" s="46">
        <v>5.14</v>
      </c>
      <c r="D432" s="126"/>
    </row>
    <row r="433" spans="1:4" ht="15.75" outlineLevel="1">
      <c r="A433" s="46" t="s">
        <v>2863</v>
      </c>
      <c r="B433" s="47" t="s">
        <v>4</v>
      </c>
      <c r="C433" s="46">
        <v>5.19</v>
      </c>
      <c r="D433" s="126"/>
    </row>
    <row r="434" spans="1:4" ht="15.75" outlineLevel="1">
      <c r="A434" s="46" t="s">
        <v>2863</v>
      </c>
      <c r="B434" s="47" t="s">
        <v>121</v>
      </c>
      <c r="C434" s="46">
        <v>5.24</v>
      </c>
      <c r="D434" s="126"/>
    </row>
    <row r="435" spans="1:4" ht="15.75" outlineLevel="1">
      <c r="A435" s="46" t="s">
        <v>2863</v>
      </c>
      <c r="B435" s="47" t="s">
        <v>5</v>
      </c>
      <c r="C435" s="46">
        <v>5.26</v>
      </c>
      <c r="D435" s="126"/>
    </row>
    <row r="436" spans="1:4" ht="15.75" outlineLevel="1">
      <c r="A436" s="46" t="s">
        <v>2863</v>
      </c>
      <c r="B436" s="47" t="s">
        <v>6</v>
      </c>
      <c r="C436" s="46">
        <v>5.27</v>
      </c>
      <c r="D436" s="126"/>
    </row>
    <row r="437" spans="1:4" ht="15.75" outlineLevel="1">
      <c r="A437" s="46" t="s">
        <v>2863</v>
      </c>
      <c r="B437" s="47" t="s">
        <v>7</v>
      </c>
      <c r="C437" s="46">
        <v>5.28</v>
      </c>
      <c r="D437" s="126"/>
    </row>
    <row r="438" spans="1:4" ht="15.75" outlineLevel="1">
      <c r="A438" s="46" t="s">
        <v>2863</v>
      </c>
      <c r="B438" s="47" t="s">
        <v>129</v>
      </c>
      <c r="C438" s="46">
        <v>5.29</v>
      </c>
      <c r="D438" s="126"/>
    </row>
    <row r="439" spans="1:4" ht="15.75" outlineLevel="1">
      <c r="A439" s="46" t="s">
        <v>2863</v>
      </c>
      <c r="B439" s="47" t="s">
        <v>122</v>
      </c>
      <c r="C439" s="46">
        <v>5.31</v>
      </c>
      <c r="D439" s="126"/>
    </row>
    <row r="440" spans="1:4" ht="15.75" outlineLevel="1">
      <c r="A440" s="46" t="s">
        <v>2863</v>
      </c>
      <c r="B440" s="47" t="s">
        <v>123</v>
      </c>
      <c r="C440" s="46">
        <v>5.36</v>
      </c>
      <c r="D440" s="126"/>
    </row>
    <row r="441" spans="1:4" ht="15.75" outlineLevel="1">
      <c r="A441" s="46" t="s">
        <v>2863</v>
      </c>
      <c r="B441" s="47" t="s">
        <v>1463</v>
      </c>
      <c r="C441" s="46">
        <v>5.37</v>
      </c>
      <c r="D441" s="126"/>
    </row>
    <row r="442" spans="1:4" ht="15.75" outlineLevel="1">
      <c r="A442" s="46" t="s">
        <v>2863</v>
      </c>
      <c r="B442" s="47" t="s">
        <v>11</v>
      </c>
      <c r="C442" s="46">
        <v>5.53</v>
      </c>
      <c r="D442" s="126"/>
    </row>
    <row r="443" spans="1:4" ht="15.75" outlineLevel="1">
      <c r="A443" s="46" t="s">
        <v>2863</v>
      </c>
      <c r="B443" s="47" t="s">
        <v>1469</v>
      </c>
      <c r="C443" s="46">
        <v>5.109</v>
      </c>
      <c r="D443" s="126"/>
    </row>
    <row r="444" spans="1:4" ht="15.75" outlineLevel="1">
      <c r="A444" s="46" t="s">
        <v>2863</v>
      </c>
      <c r="B444" s="47" t="s">
        <v>1470</v>
      </c>
      <c r="C444" s="46">
        <v>5.1109999999999998</v>
      </c>
      <c r="D444" s="126"/>
    </row>
    <row r="445" spans="1:4" ht="15.75" outlineLevel="1">
      <c r="A445" s="46" t="s">
        <v>2863</v>
      </c>
      <c r="B445" s="47" t="s">
        <v>1472</v>
      </c>
      <c r="C445" s="46">
        <v>5.1120000000000001</v>
      </c>
      <c r="D445" s="126"/>
    </row>
    <row r="446" spans="1:4" ht="15.75" outlineLevel="1">
      <c r="A446" s="46" t="s">
        <v>2863</v>
      </c>
      <c r="B446" s="50" t="s">
        <v>2862</v>
      </c>
      <c r="C446" s="46">
        <v>5.1130000000000004</v>
      </c>
      <c r="D446" s="126"/>
    </row>
    <row r="447" spans="1:4" ht="15.75" outlineLevel="1">
      <c r="A447" s="46" t="s">
        <v>2863</v>
      </c>
      <c r="B447" s="47" t="s">
        <v>17</v>
      </c>
      <c r="C447" s="46">
        <v>5.58</v>
      </c>
      <c r="D447" s="126"/>
    </row>
    <row r="448" spans="1:4" ht="15.75" outlineLevel="1">
      <c r="A448" s="46" t="s">
        <v>2863</v>
      </c>
      <c r="B448" s="47" t="s">
        <v>18</v>
      </c>
      <c r="C448" s="46">
        <v>5.54</v>
      </c>
      <c r="D448" s="126"/>
    </row>
    <row r="449" spans="1:4" ht="15.75" outlineLevel="1">
      <c r="A449" s="46" t="s">
        <v>2863</v>
      </c>
      <c r="B449" s="47" t="s">
        <v>19</v>
      </c>
      <c r="C449" s="46">
        <v>5.55</v>
      </c>
      <c r="D449" s="126"/>
    </row>
    <row r="450" spans="1:4" ht="15.75" outlineLevel="1">
      <c r="A450" s="46" t="s">
        <v>2863</v>
      </c>
      <c r="B450" s="47" t="s">
        <v>20</v>
      </c>
      <c r="C450" s="46">
        <v>5.63</v>
      </c>
      <c r="D450" s="126"/>
    </row>
    <row r="451" spans="1:4" ht="15.75" outlineLevel="1">
      <c r="A451" s="46" t="s">
        <v>2863</v>
      </c>
      <c r="B451" s="47" t="s">
        <v>24</v>
      </c>
      <c r="C451" s="46">
        <v>5.47</v>
      </c>
      <c r="D451" s="126"/>
    </row>
    <row r="452" spans="1:4" ht="15.75" outlineLevel="1">
      <c r="A452" s="46" t="s">
        <v>2863</v>
      </c>
      <c r="B452" s="47" t="s">
        <v>25</v>
      </c>
      <c r="C452" s="46">
        <v>5.48</v>
      </c>
      <c r="D452" s="126"/>
    </row>
    <row r="453" spans="1:4" ht="31.5">
      <c r="A453" s="52" t="s">
        <v>2863</v>
      </c>
      <c r="B453" s="47"/>
      <c r="C453" s="46"/>
      <c r="D453" s="126"/>
    </row>
    <row r="454" spans="1:4" ht="15.75" outlineLevel="1">
      <c r="A454" s="46" t="s">
        <v>2439</v>
      </c>
      <c r="B454" s="47" t="s">
        <v>0</v>
      </c>
      <c r="C454" s="46">
        <v>5.0999999999999996</v>
      </c>
      <c r="D454" s="126"/>
    </row>
    <row r="455" spans="1:4" ht="15.75" outlineLevel="1">
      <c r="A455" s="46" t="s">
        <v>2439</v>
      </c>
      <c r="B455" s="47" t="s">
        <v>1</v>
      </c>
      <c r="C455" s="46">
        <v>5.2</v>
      </c>
      <c r="D455" s="126"/>
    </row>
    <row r="456" spans="1:4" ht="15.75" outlineLevel="1">
      <c r="A456" s="46" t="s">
        <v>2439</v>
      </c>
      <c r="B456" s="47" t="s">
        <v>1551</v>
      </c>
      <c r="C456" s="46">
        <v>5.5</v>
      </c>
      <c r="D456" s="126"/>
    </row>
    <row r="457" spans="1:4" ht="15.75" outlineLevel="1">
      <c r="A457" s="46" t="s">
        <v>2439</v>
      </c>
      <c r="B457" s="47" t="s">
        <v>1552</v>
      </c>
      <c r="C457" s="46">
        <v>5.8</v>
      </c>
      <c r="D457" s="125" t="s">
        <v>2856</v>
      </c>
    </row>
    <row r="458" spans="1:4" ht="15.75" outlineLevel="1">
      <c r="A458" s="46" t="s">
        <v>2439</v>
      </c>
      <c r="B458" s="47" t="s">
        <v>1553</v>
      </c>
      <c r="C458" s="46">
        <v>5.12</v>
      </c>
      <c r="D458" s="125" t="s">
        <v>2856</v>
      </c>
    </row>
    <row r="459" spans="1:4" ht="15.75" outlineLevel="1">
      <c r="A459" s="46" t="s">
        <v>2439</v>
      </c>
      <c r="B459" s="47" t="s">
        <v>1554</v>
      </c>
      <c r="C459" s="46">
        <v>5.15</v>
      </c>
      <c r="D459" s="126"/>
    </row>
    <row r="460" spans="1:4" ht="15.75" outlineLevel="1">
      <c r="A460" s="46" t="s">
        <v>2439</v>
      </c>
      <c r="B460" s="47" t="s">
        <v>1555</v>
      </c>
      <c r="C460" s="48">
        <v>5.2</v>
      </c>
      <c r="D460" s="125"/>
    </row>
    <row r="461" spans="1:4" ht="15.75" outlineLevel="1">
      <c r="A461" s="46" t="s">
        <v>2439</v>
      </c>
      <c r="B461" s="47" t="s">
        <v>1556</v>
      </c>
      <c r="C461" s="46">
        <v>5.25</v>
      </c>
      <c r="D461" s="126"/>
    </row>
    <row r="462" spans="1:4" ht="15.75" outlineLevel="1">
      <c r="A462" s="46" t="s">
        <v>2439</v>
      </c>
      <c r="B462" s="47" t="s">
        <v>5</v>
      </c>
      <c r="C462" s="46">
        <v>5.26</v>
      </c>
      <c r="D462" s="126"/>
    </row>
    <row r="463" spans="1:4" ht="15.75" outlineLevel="1">
      <c r="A463" s="46" t="s">
        <v>2439</v>
      </c>
      <c r="B463" s="47" t="s">
        <v>1557</v>
      </c>
      <c r="C463" s="46">
        <v>5.1139999999999999</v>
      </c>
      <c r="D463" s="125" t="s">
        <v>2856</v>
      </c>
    </row>
    <row r="464" spans="1:4" ht="15.75" outlineLevel="1">
      <c r="A464" s="46" t="s">
        <v>2439</v>
      </c>
      <c r="B464" s="47" t="s">
        <v>6</v>
      </c>
      <c r="C464" s="46">
        <v>5.27</v>
      </c>
      <c r="D464" s="126"/>
    </row>
    <row r="465" spans="1:4" ht="15.75" outlineLevel="1">
      <c r="A465" s="46" t="s">
        <v>2439</v>
      </c>
      <c r="B465" s="47" t="s">
        <v>1558</v>
      </c>
      <c r="C465" s="46">
        <v>5.1150000000000002</v>
      </c>
      <c r="D465" s="125" t="s">
        <v>2856</v>
      </c>
    </row>
    <row r="466" spans="1:4" ht="15.75" outlineLevel="1">
      <c r="A466" s="46" t="s">
        <v>2439</v>
      </c>
      <c r="B466" s="47" t="s">
        <v>1559</v>
      </c>
      <c r="C466" s="46">
        <v>5.1159999999999997</v>
      </c>
      <c r="D466" s="125" t="s">
        <v>2856</v>
      </c>
    </row>
    <row r="467" spans="1:4" ht="15.75" outlineLevel="1">
      <c r="A467" s="46" t="s">
        <v>2439</v>
      </c>
      <c r="B467" s="47" t="s">
        <v>7</v>
      </c>
      <c r="C467" s="46">
        <v>5.28</v>
      </c>
      <c r="D467" s="126"/>
    </row>
    <row r="468" spans="1:4" ht="15.75" outlineLevel="1">
      <c r="A468" s="46" t="s">
        <v>2439</v>
      </c>
      <c r="B468" s="47" t="s">
        <v>123</v>
      </c>
      <c r="C468" s="46">
        <v>5.36</v>
      </c>
      <c r="D468" s="126"/>
    </row>
    <row r="469" spans="1:4" ht="15.75" outlineLevel="1">
      <c r="A469" s="46" t="s">
        <v>2439</v>
      </c>
      <c r="B469" s="47" t="s">
        <v>1463</v>
      </c>
      <c r="C469" s="46">
        <v>5.37</v>
      </c>
      <c r="D469" s="126"/>
    </row>
    <row r="470" spans="1:4" ht="15.75" outlineLevel="1">
      <c r="A470" s="46" t="s">
        <v>2439</v>
      </c>
      <c r="B470" s="47" t="s">
        <v>11</v>
      </c>
      <c r="C470" s="46">
        <v>5.53</v>
      </c>
      <c r="D470" s="126"/>
    </row>
    <row r="471" spans="1:4" ht="15.75" outlineLevel="1">
      <c r="A471" s="46" t="s">
        <v>2439</v>
      </c>
      <c r="B471" s="47" t="s">
        <v>1469</v>
      </c>
      <c r="C471" s="46">
        <v>5.109</v>
      </c>
      <c r="D471" s="126"/>
    </row>
    <row r="472" spans="1:4" ht="15.75" outlineLevel="1">
      <c r="A472" s="46" t="s">
        <v>2439</v>
      </c>
      <c r="B472" s="47" t="s">
        <v>1470</v>
      </c>
      <c r="C472" s="46">
        <v>5.1109999999999998</v>
      </c>
      <c r="D472" s="126"/>
    </row>
    <row r="473" spans="1:4" ht="15.75" outlineLevel="1">
      <c r="A473" s="46" t="s">
        <v>2439</v>
      </c>
      <c r="B473" s="47" t="s">
        <v>1472</v>
      </c>
      <c r="C473" s="46">
        <v>5.1120000000000001</v>
      </c>
      <c r="D473" s="126"/>
    </row>
    <row r="474" spans="1:4" ht="15.75" outlineLevel="1">
      <c r="A474" s="46" t="s">
        <v>2439</v>
      </c>
      <c r="B474" s="47" t="s">
        <v>18</v>
      </c>
      <c r="C474" s="46">
        <v>5.54</v>
      </c>
      <c r="D474" s="126"/>
    </row>
    <row r="475" spans="1:4" ht="15.75" outlineLevel="1">
      <c r="A475" s="46" t="s">
        <v>2439</v>
      </c>
      <c r="B475" s="47" t="s">
        <v>1560</v>
      </c>
      <c r="C475" s="46">
        <v>5.61</v>
      </c>
      <c r="D475" s="126"/>
    </row>
    <row r="476" spans="1:4" ht="15.75" outlineLevel="1">
      <c r="A476" s="46" t="s">
        <v>2439</v>
      </c>
      <c r="B476" s="47" t="s">
        <v>20</v>
      </c>
      <c r="C476" s="46">
        <v>5.63</v>
      </c>
      <c r="D476" s="126"/>
    </row>
    <row r="477" spans="1:4" ht="15.75" outlineLevel="1">
      <c r="A477" s="46" t="s">
        <v>2439</v>
      </c>
      <c r="B477" s="47" t="s">
        <v>1561</v>
      </c>
      <c r="C477" s="46">
        <v>5.46</v>
      </c>
      <c r="D477" s="126"/>
    </row>
    <row r="478" spans="1:4" ht="15.75" outlineLevel="1">
      <c r="A478" s="46" t="s">
        <v>2439</v>
      </c>
      <c r="B478" s="47" t="s">
        <v>24</v>
      </c>
      <c r="C478" s="46">
        <v>5.47</v>
      </c>
      <c r="D478" s="126"/>
    </row>
    <row r="479" spans="1:4" ht="15.75" outlineLevel="1">
      <c r="A479" s="46" t="s">
        <v>2439</v>
      </c>
      <c r="B479" s="47" t="s">
        <v>25</v>
      </c>
      <c r="C479" s="46">
        <v>5.48</v>
      </c>
      <c r="D479" s="126"/>
    </row>
    <row r="480" spans="1:4" ht="15.75">
      <c r="A480" s="52" t="s">
        <v>2439</v>
      </c>
      <c r="B480" s="47"/>
      <c r="C480" s="46"/>
      <c r="D480" s="126"/>
    </row>
    <row r="481" spans="1:4" ht="15.75" hidden="1" outlineLevel="1">
      <c r="A481" s="46" t="s">
        <v>2864</v>
      </c>
      <c r="B481" s="47" t="s">
        <v>0</v>
      </c>
      <c r="C481" s="46">
        <v>5.0999999999999996</v>
      </c>
      <c r="D481" s="126"/>
    </row>
    <row r="482" spans="1:4" ht="15.75" hidden="1" outlineLevel="1">
      <c r="A482" s="46" t="s">
        <v>2864</v>
      </c>
      <c r="B482" s="47" t="s">
        <v>1</v>
      </c>
      <c r="C482" s="46">
        <v>5.2</v>
      </c>
      <c r="D482" s="126"/>
    </row>
    <row r="483" spans="1:4" ht="15.75" hidden="1" outlineLevel="1">
      <c r="A483" s="46" t="s">
        <v>2864</v>
      </c>
      <c r="B483" s="47" t="s">
        <v>2</v>
      </c>
      <c r="C483" s="46">
        <v>5.3</v>
      </c>
      <c r="D483" s="126"/>
    </row>
    <row r="484" spans="1:4" ht="15.75" hidden="1" outlineLevel="1">
      <c r="A484" s="46" t="s">
        <v>2864</v>
      </c>
      <c r="B484" s="47" t="s">
        <v>119</v>
      </c>
      <c r="C484" s="46">
        <v>5.6</v>
      </c>
      <c r="D484" s="126"/>
    </row>
    <row r="485" spans="1:4" ht="15.75" hidden="1" outlineLevel="1">
      <c r="A485" s="46" t="s">
        <v>2864</v>
      </c>
      <c r="B485" s="47" t="s">
        <v>2857</v>
      </c>
      <c r="C485" s="48">
        <v>5.0999999999999996</v>
      </c>
      <c r="D485" s="126"/>
    </row>
    <row r="486" spans="1:4" ht="15.75" hidden="1" outlineLevel="1">
      <c r="A486" s="46" t="s">
        <v>2864</v>
      </c>
      <c r="B486" s="47" t="s">
        <v>1378</v>
      </c>
      <c r="C486" s="46">
        <v>5.14</v>
      </c>
      <c r="D486" s="126"/>
    </row>
    <row r="487" spans="1:4" ht="15.75" hidden="1" outlineLevel="1">
      <c r="A487" s="46" t="s">
        <v>2864</v>
      </c>
      <c r="B487" s="47" t="s">
        <v>4</v>
      </c>
      <c r="C487" s="46">
        <v>5.19</v>
      </c>
      <c r="D487" s="126"/>
    </row>
    <row r="488" spans="1:4" ht="15.75" hidden="1" outlineLevel="1">
      <c r="A488" s="46" t="s">
        <v>2864</v>
      </c>
      <c r="B488" s="47" t="s">
        <v>121</v>
      </c>
      <c r="C488" s="46">
        <v>5.24</v>
      </c>
      <c r="D488" s="126"/>
    </row>
    <row r="489" spans="1:4" ht="15.75" hidden="1" outlineLevel="1">
      <c r="A489" s="46" t="s">
        <v>2864</v>
      </c>
      <c r="B489" s="47" t="s">
        <v>6</v>
      </c>
      <c r="C489" s="46">
        <v>5.27</v>
      </c>
      <c r="D489" s="126"/>
    </row>
    <row r="490" spans="1:4" ht="15.75" hidden="1" outlineLevel="1">
      <c r="A490" s="46" t="s">
        <v>2864</v>
      </c>
      <c r="B490" s="47" t="s">
        <v>7</v>
      </c>
      <c r="C490" s="46">
        <v>5.28</v>
      </c>
      <c r="D490" s="126"/>
    </row>
    <row r="491" spans="1:4" ht="15.75" hidden="1" outlineLevel="1">
      <c r="A491" s="46" t="s">
        <v>2864</v>
      </c>
      <c r="B491" s="47" t="s">
        <v>129</v>
      </c>
      <c r="C491" s="46">
        <v>5.29</v>
      </c>
      <c r="D491" s="126"/>
    </row>
    <row r="492" spans="1:4" ht="15.75" hidden="1" outlineLevel="1">
      <c r="A492" s="46" t="s">
        <v>2864</v>
      </c>
      <c r="B492" s="47" t="s">
        <v>1421</v>
      </c>
      <c r="C492" s="46">
        <v>5.34</v>
      </c>
      <c r="D492" s="126"/>
    </row>
    <row r="493" spans="1:4" ht="15.75" hidden="1" outlineLevel="1">
      <c r="A493" s="46" t="s">
        <v>2864</v>
      </c>
      <c r="B493" s="47" t="s">
        <v>122</v>
      </c>
      <c r="C493" s="46">
        <v>5.31</v>
      </c>
      <c r="D493" s="126"/>
    </row>
    <row r="494" spans="1:4" ht="15.75" hidden="1" outlineLevel="1">
      <c r="A494" s="46" t="s">
        <v>2864</v>
      </c>
      <c r="B494" s="47" t="s">
        <v>1422</v>
      </c>
      <c r="C494" s="46">
        <v>5.101</v>
      </c>
      <c r="D494" s="126"/>
    </row>
    <row r="495" spans="1:4" ht="15.75" hidden="1" outlineLevel="1">
      <c r="A495" s="46" t="s">
        <v>2864</v>
      </c>
      <c r="B495" s="47" t="s">
        <v>123</v>
      </c>
      <c r="C495" s="46">
        <v>5.36</v>
      </c>
      <c r="D495" s="126"/>
    </row>
    <row r="496" spans="1:4" ht="15.75" hidden="1" outlineLevel="1">
      <c r="A496" s="46" t="s">
        <v>2864</v>
      </c>
      <c r="B496" s="47" t="s">
        <v>1463</v>
      </c>
      <c r="C496" s="46">
        <v>5.37</v>
      </c>
      <c r="D496" s="126"/>
    </row>
    <row r="497" spans="1:4" ht="15.75" hidden="1" outlineLevel="1">
      <c r="A497" s="46" t="s">
        <v>2864</v>
      </c>
      <c r="B497" s="47" t="s">
        <v>11</v>
      </c>
      <c r="C497" s="46">
        <v>5.53</v>
      </c>
      <c r="D497" s="126"/>
    </row>
    <row r="498" spans="1:4" ht="15.75" hidden="1" outlineLevel="1">
      <c r="A498" s="46" t="s">
        <v>2864</v>
      </c>
      <c r="B498" s="47" t="s">
        <v>1469</v>
      </c>
      <c r="C498" s="46">
        <v>5.109</v>
      </c>
      <c r="D498" s="126"/>
    </row>
    <row r="499" spans="1:4" ht="15.75" hidden="1" outlineLevel="1">
      <c r="A499" s="46" t="s">
        <v>2864</v>
      </c>
      <c r="B499" s="47" t="s">
        <v>1470</v>
      </c>
      <c r="C499" s="46">
        <v>5.1109999999999998</v>
      </c>
      <c r="D499" s="126"/>
    </row>
    <row r="500" spans="1:4" ht="15.75" hidden="1" outlineLevel="1">
      <c r="A500" s="46" t="s">
        <v>2864</v>
      </c>
      <c r="B500" s="47" t="s">
        <v>1472</v>
      </c>
      <c r="C500" s="46">
        <v>5.1120000000000001</v>
      </c>
      <c r="D500" s="126"/>
    </row>
    <row r="501" spans="1:4" ht="15.75" hidden="1" outlineLevel="1">
      <c r="A501" s="46" t="s">
        <v>2864</v>
      </c>
      <c r="B501" s="47" t="s">
        <v>1423</v>
      </c>
      <c r="C501" s="46">
        <v>5.1020000000000003</v>
      </c>
      <c r="D501" s="126"/>
    </row>
    <row r="502" spans="1:4" ht="15.75" hidden="1" outlineLevel="1">
      <c r="A502" s="46" t="s">
        <v>2864</v>
      </c>
      <c r="B502" s="47" t="s">
        <v>1424</v>
      </c>
      <c r="C502" s="49">
        <v>5.0999999999999996</v>
      </c>
      <c r="D502" s="126"/>
    </row>
    <row r="503" spans="1:4" ht="15.75" hidden="1" outlineLevel="1">
      <c r="A503" s="46" t="s">
        <v>2864</v>
      </c>
      <c r="B503" s="47" t="s">
        <v>17</v>
      </c>
      <c r="C503" s="46">
        <v>5.58</v>
      </c>
      <c r="D503" s="126"/>
    </row>
    <row r="504" spans="1:4" ht="15.75" hidden="1" outlineLevel="1">
      <c r="A504" s="46" t="s">
        <v>2864</v>
      </c>
      <c r="B504" s="47" t="s">
        <v>19</v>
      </c>
      <c r="C504" s="46">
        <v>5.55</v>
      </c>
      <c r="D504" s="126"/>
    </row>
    <row r="505" spans="1:4" ht="15.75" hidden="1" outlineLevel="1">
      <c r="A505" s="46" t="s">
        <v>2864</v>
      </c>
      <c r="B505" s="47" t="s">
        <v>18</v>
      </c>
      <c r="C505" s="46">
        <v>5.54</v>
      </c>
      <c r="D505" s="126"/>
    </row>
    <row r="506" spans="1:4" ht="15.75" hidden="1" outlineLevel="1">
      <c r="A506" s="46" t="s">
        <v>2864</v>
      </c>
      <c r="B506" s="47" t="s">
        <v>20</v>
      </c>
      <c r="C506" s="46">
        <v>5.63</v>
      </c>
      <c r="D506" s="126"/>
    </row>
    <row r="507" spans="1:4" ht="15.75" hidden="1" outlineLevel="1">
      <c r="A507" s="46" t="s">
        <v>2864</v>
      </c>
      <c r="B507" s="47" t="s">
        <v>24</v>
      </c>
      <c r="C507" s="46">
        <v>5.47</v>
      </c>
      <c r="D507" s="126"/>
    </row>
    <row r="508" spans="1:4" ht="15.75" hidden="1" outlineLevel="1">
      <c r="A508" s="46" t="s">
        <v>2864</v>
      </c>
      <c r="B508" s="47" t="s">
        <v>25</v>
      </c>
      <c r="C508" s="46">
        <v>5.48</v>
      </c>
      <c r="D508" s="126"/>
    </row>
    <row r="509" spans="1:4" ht="15.75">
      <c r="A509" s="52" t="s">
        <v>2864</v>
      </c>
      <c r="B509" s="47"/>
      <c r="C509" s="46"/>
      <c r="D509" s="126"/>
    </row>
    <row r="510" spans="1:4" ht="15.75" hidden="1" outlineLevel="1">
      <c r="A510" s="46" t="s">
        <v>2647</v>
      </c>
      <c r="B510" s="47" t="s">
        <v>0</v>
      </c>
      <c r="C510" s="46">
        <v>5.0999999999999996</v>
      </c>
      <c r="D510" s="126"/>
    </row>
    <row r="511" spans="1:4" ht="15.75" hidden="1" outlineLevel="1">
      <c r="A511" s="46" t="s">
        <v>2647</v>
      </c>
      <c r="B511" s="47" t="s">
        <v>1</v>
      </c>
      <c r="C511" s="46">
        <v>5.2</v>
      </c>
      <c r="D511" s="126"/>
    </row>
    <row r="512" spans="1:4" ht="15.75" hidden="1" outlineLevel="1">
      <c r="A512" s="46" t="s">
        <v>2647</v>
      </c>
      <c r="B512" s="47" t="s">
        <v>2</v>
      </c>
      <c r="C512" s="46">
        <v>5.3</v>
      </c>
      <c r="D512" s="126"/>
    </row>
    <row r="513" spans="1:4" ht="15.75" hidden="1" outlineLevel="1">
      <c r="A513" s="46" t="s">
        <v>2647</v>
      </c>
      <c r="B513" s="47" t="s">
        <v>119</v>
      </c>
      <c r="C513" s="46">
        <v>5.6</v>
      </c>
      <c r="D513" s="126"/>
    </row>
    <row r="514" spans="1:4" ht="15.75" hidden="1" outlineLevel="1">
      <c r="A514" s="46" t="s">
        <v>2647</v>
      </c>
      <c r="B514" s="47" t="s">
        <v>2857</v>
      </c>
      <c r="C514" s="48">
        <v>5.0999999999999996</v>
      </c>
      <c r="D514" s="126"/>
    </row>
    <row r="515" spans="1:4" ht="15.75" hidden="1" outlineLevel="1">
      <c r="A515" s="46" t="s">
        <v>2647</v>
      </c>
      <c r="B515" s="47" t="s">
        <v>1378</v>
      </c>
      <c r="C515" s="46">
        <v>5.14</v>
      </c>
      <c r="D515" s="126"/>
    </row>
    <row r="516" spans="1:4" ht="15.75" hidden="1" outlineLevel="1">
      <c r="A516" s="46" t="s">
        <v>2647</v>
      </c>
      <c r="B516" s="47" t="s">
        <v>4</v>
      </c>
      <c r="C516" s="46">
        <v>5.19</v>
      </c>
      <c r="D516" s="126"/>
    </row>
    <row r="517" spans="1:4" ht="15.75" hidden="1" outlineLevel="1">
      <c r="A517" s="46" t="s">
        <v>2647</v>
      </c>
      <c r="B517" s="47" t="s">
        <v>121</v>
      </c>
      <c r="C517" s="46">
        <v>5.24</v>
      </c>
      <c r="D517" s="126"/>
    </row>
    <row r="518" spans="1:4" ht="15.75" hidden="1" outlineLevel="1">
      <c r="A518" s="46" t="s">
        <v>2647</v>
      </c>
      <c r="B518" s="47" t="s">
        <v>5</v>
      </c>
      <c r="C518" s="46">
        <v>5.26</v>
      </c>
      <c r="D518" s="126"/>
    </row>
    <row r="519" spans="1:4" ht="15.75" hidden="1" outlineLevel="1">
      <c r="A519" s="46" t="s">
        <v>2647</v>
      </c>
      <c r="B519" s="47" t="s">
        <v>6</v>
      </c>
      <c r="C519" s="46">
        <v>5.27</v>
      </c>
      <c r="D519" s="126"/>
    </row>
    <row r="520" spans="1:4" ht="15.75" hidden="1" outlineLevel="1">
      <c r="A520" s="46" t="s">
        <v>2647</v>
      </c>
      <c r="B520" s="47" t="s">
        <v>7</v>
      </c>
      <c r="C520" s="46">
        <v>5.28</v>
      </c>
      <c r="D520" s="126"/>
    </row>
    <row r="521" spans="1:4" ht="15.75" hidden="1" outlineLevel="1">
      <c r="A521" s="46" t="s">
        <v>2647</v>
      </c>
      <c r="B521" s="47" t="s">
        <v>122</v>
      </c>
      <c r="C521" s="46">
        <v>5.31</v>
      </c>
      <c r="D521" s="126"/>
    </row>
    <row r="522" spans="1:4" ht="15.75" hidden="1" outlineLevel="1">
      <c r="A522" s="46" t="s">
        <v>2647</v>
      </c>
      <c r="B522" s="47" t="s">
        <v>1428</v>
      </c>
      <c r="C522" s="46">
        <v>5.33</v>
      </c>
      <c r="D522" s="126"/>
    </row>
    <row r="523" spans="1:4" ht="15.75" hidden="1" outlineLevel="1">
      <c r="A523" s="46" t="s">
        <v>2647</v>
      </c>
      <c r="B523" s="47" t="s">
        <v>1422</v>
      </c>
      <c r="C523" s="46">
        <v>5.101</v>
      </c>
      <c r="D523" s="126"/>
    </row>
    <row r="524" spans="1:4" ht="15.75" hidden="1" outlineLevel="1">
      <c r="A524" s="46" t="s">
        <v>2647</v>
      </c>
      <c r="B524" s="47" t="s">
        <v>123</v>
      </c>
      <c r="C524" s="46">
        <v>5.36</v>
      </c>
      <c r="D524" s="126"/>
    </row>
    <row r="525" spans="1:4" ht="15.75" hidden="1" outlineLevel="1">
      <c r="A525" s="46" t="s">
        <v>2647</v>
      </c>
      <c r="B525" s="47" t="s">
        <v>1463</v>
      </c>
      <c r="C525" s="46">
        <v>5.37</v>
      </c>
      <c r="D525" s="126"/>
    </row>
    <row r="526" spans="1:4" ht="15.75" hidden="1" outlineLevel="1">
      <c r="A526" s="46" t="s">
        <v>2647</v>
      </c>
      <c r="B526" s="47" t="s">
        <v>11</v>
      </c>
      <c r="C526" s="46">
        <v>5.53</v>
      </c>
      <c r="D526" s="126"/>
    </row>
    <row r="527" spans="1:4" ht="15.75" hidden="1" outlineLevel="1">
      <c r="A527" s="46" t="s">
        <v>2647</v>
      </c>
      <c r="B527" s="47" t="s">
        <v>1469</v>
      </c>
      <c r="C527" s="46">
        <v>5.109</v>
      </c>
      <c r="D527" s="126"/>
    </row>
    <row r="528" spans="1:4" ht="15.75" hidden="1" outlineLevel="1">
      <c r="A528" s="46" t="s">
        <v>2647</v>
      </c>
      <c r="B528" s="47" t="s">
        <v>1470</v>
      </c>
      <c r="C528" s="46">
        <v>5.1109999999999998</v>
      </c>
      <c r="D528" s="126"/>
    </row>
    <row r="529" spans="1:4" ht="15.75" hidden="1" outlineLevel="1">
      <c r="A529" s="46" t="s">
        <v>2647</v>
      </c>
      <c r="B529" s="47" t="s">
        <v>1472</v>
      </c>
      <c r="C529" s="46">
        <v>5.1120000000000001</v>
      </c>
      <c r="D529" s="126"/>
    </row>
    <row r="530" spans="1:4" ht="15.75" hidden="1" outlineLevel="1">
      <c r="A530" s="46" t="s">
        <v>2647</v>
      </c>
      <c r="B530" s="47" t="s">
        <v>1423</v>
      </c>
      <c r="C530" s="46">
        <v>5.1020000000000003</v>
      </c>
      <c r="D530" s="126"/>
    </row>
    <row r="531" spans="1:4" ht="15.75" hidden="1" outlineLevel="1">
      <c r="A531" s="46" t="s">
        <v>2647</v>
      </c>
      <c r="B531" s="47" t="s">
        <v>1424</v>
      </c>
      <c r="C531" s="49">
        <v>5.0999999999999996</v>
      </c>
      <c r="D531" s="126"/>
    </row>
    <row r="532" spans="1:4" ht="15.75" hidden="1" outlineLevel="1">
      <c r="A532" s="46" t="s">
        <v>2647</v>
      </c>
      <c r="B532" s="47" t="s">
        <v>17</v>
      </c>
      <c r="C532" s="46">
        <v>5.58</v>
      </c>
      <c r="D532" s="126"/>
    </row>
    <row r="533" spans="1:4" ht="15.75" hidden="1" outlineLevel="1">
      <c r="A533" s="46" t="s">
        <v>2647</v>
      </c>
      <c r="B533" s="47" t="s">
        <v>19</v>
      </c>
      <c r="C533" s="46">
        <v>5.55</v>
      </c>
      <c r="D533" s="126"/>
    </row>
    <row r="534" spans="1:4" ht="15.75" hidden="1" outlineLevel="1">
      <c r="A534" s="46" t="s">
        <v>2647</v>
      </c>
      <c r="B534" s="47" t="s">
        <v>18</v>
      </c>
      <c r="C534" s="46">
        <v>5.54</v>
      </c>
      <c r="D534" s="126"/>
    </row>
    <row r="535" spans="1:4" ht="15.75" hidden="1" outlineLevel="1">
      <c r="A535" s="46" t="s">
        <v>2647</v>
      </c>
      <c r="B535" s="47" t="s">
        <v>20</v>
      </c>
      <c r="C535" s="46">
        <v>5.63</v>
      </c>
      <c r="D535" s="126"/>
    </row>
    <row r="536" spans="1:4" ht="15.75" hidden="1" outlineLevel="1">
      <c r="A536" s="46" t="s">
        <v>2647</v>
      </c>
      <c r="B536" s="47" t="s">
        <v>24</v>
      </c>
      <c r="C536" s="46">
        <v>5.47</v>
      </c>
      <c r="D536" s="126"/>
    </row>
    <row r="537" spans="1:4" ht="15.75" hidden="1" outlineLevel="1">
      <c r="A537" s="46" t="s">
        <v>2647</v>
      </c>
      <c r="B537" s="47" t="s">
        <v>25</v>
      </c>
      <c r="C537" s="46">
        <v>5.48</v>
      </c>
      <c r="D537" s="126"/>
    </row>
    <row r="538" spans="1:4" ht="15.75">
      <c r="A538" s="52" t="s">
        <v>2647</v>
      </c>
      <c r="B538" s="47"/>
      <c r="C538" s="46"/>
      <c r="D538" s="126"/>
    </row>
    <row r="539" spans="1:4" ht="15.75" hidden="1" outlineLevel="1">
      <c r="A539" s="46" t="s">
        <v>2654</v>
      </c>
      <c r="B539" s="47" t="s">
        <v>0</v>
      </c>
      <c r="C539" s="46">
        <v>5.0999999999999996</v>
      </c>
      <c r="D539" s="126"/>
    </row>
    <row r="540" spans="1:4" ht="15.75" hidden="1" outlineLevel="1">
      <c r="A540" s="46" t="s">
        <v>2654</v>
      </c>
      <c r="B540" s="47" t="s">
        <v>1</v>
      </c>
      <c r="C540" s="46">
        <v>5.2</v>
      </c>
      <c r="D540" s="126"/>
    </row>
    <row r="541" spans="1:4" ht="15.75" hidden="1" outlineLevel="1">
      <c r="A541" s="46" t="s">
        <v>2654</v>
      </c>
      <c r="B541" s="47" t="s">
        <v>5</v>
      </c>
      <c r="C541" s="46">
        <v>5.26</v>
      </c>
      <c r="D541" s="126"/>
    </row>
    <row r="542" spans="1:4" ht="15.75" hidden="1" outlineLevel="1">
      <c r="A542" s="46" t="s">
        <v>2654</v>
      </c>
      <c r="B542" s="47" t="s">
        <v>1761</v>
      </c>
      <c r="C542" s="46">
        <v>5.21</v>
      </c>
      <c r="D542" s="126"/>
    </row>
    <row r="543" spans="1:4" ht="15.75" hidden="1" outlineLevel="1">
      <c r="A543" s="46" t="s">
        <v>2654</v>
      </c>
      <c r="B543" s="47" t="s">
        <v>1762</v>
      </c>
      <c r="C543" s="46">
        <v>5.53</v>
      </c>
      <c r="D543" s="126"/>
    </row>
    <row r="544" spans="1:4" ht="15.75" hidden="1" outlineLevel="1">
      <c r="A544" s="46" t="s">
        <v>2654</v>
      </c>
      <c r="B544" s="47" t="s">
        <v>18</v>
      </c>
      <c r="C544" s="46">
        <v>5.54</v>
      </c>
      <c r="D544" s="126"/>
    </row>
    <row r="545" spans="1:4" ht="15.75" hidden="1" outlineLevel="1">
      <c r="A545" s="46" t="s">
        <v>2654</v>
      </c>
      <c r="B545" s="47" t="s">
        <v>1763</v>
      </c>
      <c r="C545" s="46">
        <v>5.58</v>
      </c>
      <c r="D545" s="126"/>
    </row>
    <row r="546" spans="1:4" ht="15.75" hidden="1" outlineLevel="1">
      <c r="A546" s="46" t="s">
        <v>2654</v>
      </c>
      <c r="B546" s="47" t="s">
        <v>1764</v>
      </c>
      <c r="C546" s="46">
        <v>5.1180000000000003</v>
      </c>
      <c r="D546" s="126"/>
    </row>
    <row r="547" spans="1:4" ht="15.75" hidden="1" outlineLevel="1">
      <c r="A547" s="46" t="s">
        <v>2654</v>
      </c>
      <c r="B547" s="50" t="s">
        <v>1765</v>
      </c>
      <c r="C547" s="46">
        <v>5.47</v>
      </c>
      <c r="D547" s="126"/>
    </row>
    <row r="548" spans="1:4" ht="15.75" hidden="1" outlineLevel="1">
      <c r="A548" s="46" t="s">
        <v>2654</v>
      </c>
      <c r="B548" s="47" t="s">
        <v>1766</v>
      </c>
      <c r="C548" s="46">
        <v>5.48</v>
      </c>
      <c r="D548" s="126"/>
    </row>
    <row r="549" spans="1:4" ht="15.75" hidden="1" outlineLevel="1">
      <c r="A549" s="46" t="s">
        <v>2654</v>
      </c>
      <c r="B549" s="47" t="s">
        <v>1767</v>
      </c>
      <c r="C549" s="46">
        <v>5.21</v>
      </c>
      <c r="D549" s="126"/>
    </row>
    <row r="550" spans="1:4" ht="15.75" hidden="1" outlineLevel="1">
      <c r="A550" s="46" t="s">
        <v>2654</v>
      </c>
      <c r="B550" s="47" t="s">
        <v>1768</v>
      </c>
      <c r="C550" s="46">
        <v>5.53</v>
      </c>
      <c r="D550" s="126"/>
    </row>
    <row r="551" spans="1:4" ht="15.75" hidden="1" outlineLevel="1">
      <c r="A551" s="46" t="s">
        <v>2654</v>
      </c>
      <c r="B551" s="47" t="s">
        <v>18</v>
      </c>
      <c r="C551" s="46">
        <v>5.54</v>
      </c>
      <c r="D551" s="126"/>
    </row>
    <row r="552" spans="1:4" ht="15.75" hidden="1" outlineLevel="1">
      <c r="A552" s="46" t="s">
        <v>2654</v>
      </c>
      <c r="B552" s="47" t="s">
        <v>1769</v>
      </c>
      <c r="C552" s="46">
        <v>5.58</v>
      </c>
      <c r="D552" s="126"/>
    </row>
    <row r="553" spans="1:4" ht="15.75" hidden="1" outlineLevel="1">
      <c r="A553" s="46" t="s">
        <v>2654</v>
      </c>
      <c r="B553" s="47" t="s">
        <v>1770</v>
      </c>
      <c r="C553" s="46">
        <v>5.1180000000000003</v>
      </c>
      <c r="D553" s="126"/>
    </row>
    <row r="554" spans="1:4" ht="15.75" hidden="1" outlineLevel="1">
      <c r="A554" s="46" t="s">
        <v>2654</v>
      </c>
      <c r="B554" s="47" t="s">
        <v>2865</v>
      </c>
      <c r="C554" s="46">
        <v>5.47</v>
      </c>
      <c r="D554" s="126"/>
    </row>
    <row r="555" spans="1:4" ht="15.75" hidden="1" outlineLevel="1">
      <c r="A555" s="46" t="s">
        <v>2654</v>
      </c>
      <c r="B555" s="47" t="s">
        <v>2866</v>
      </c>
      <c r="C555" s="46">
        <v>5.48</v>
      </c>
      <c r="D555" s="126"/>
    </row>
    <row r="556" spans="1:4" ht="15.75" hidden="1" outlineLevel="1">
      <c r="A556" s="46" t="s">
        <v>2654</v>
      </c>
      <c r="B556" s="47" t="s">
        <v>2867</v>
      </c>
      <c r="C556" s="46">
        <v>5.63</v>
      </c>
      <c r="D556" s="126"/>
    </row>
    <row r="557" spans="1:4" ht="15.75" hidden="1" outlineLevel="1">
      <c r="A557" s="46" t="s">
        <v>2654</v>
      </c>
      <c r="B557" s="47" t="s">
        <v>6</v>
      </c>
      <c r="C557" s="46">
        <v>5.27</v>
      </c>
      <c r="D557" s="126"/>
    </row>
    <row r="558" spans="1:4" ht="15.75" hidden="1" outlineLevel="1">
      <c r="A558" s="46" t="s">
        <v>2654</v>
      </c>
      <c r="B558" s="47" t="s">
        <v>7</v>
      </c>
      <c r="C558" s="46">
        <v>5.28</v>
      </c>
      <c r="D558" s="126"/>
    </row>
    <row r="559" spans="1:4" ht="15.75" hidden="1" outlineLevel="1">
      <c r="A559" s="46" t="s">
        <v>2654</v>
      </c>
      <c r="B559" s="47" t="s">
        <v>1774</v>
      </c>
      <c r="C559" s="46">
        <v>5.35</v>
      </c>
      <c r="D559" s="126"/>
    </row>
    <row r="560" spans="1:4" ht="15.75" hidden="1" outlineLevel="1">
      <c r="A560" s="46" t="s">
        <v>2654</v>
      </c>
      <c r="B560" s="47" t="s">
        <v>1775</v>
      </c>
      <c r="C560" s="46">
        <v>5.1189999999999998</v>
      </c>
      <c r="D560" s="126"/>
    </row>
    <row r="561" spans="1:4" ht="15.75" hidden="1" outlineLevel="1">
      <c r="A561" s="46" t="s">
        <v>2654</v>
      </c>
      <c r="B561" s="47" t="s">
        <v>1776</v>
      </c>
      <c r="C561" s="49">
        <v>5.12</v>
      </c>
      <c r="D561" s="126"/>
    </row>
    <row r="562" spans="1:4" ht="15.75" hidden="1" outlineLevel="1">
      <c r="A562" s="46" t="s">
        <v>2654</v>
      </c>
      <c r="B562" s="47" t="s">
        <v>1777</v>
      </c>
      <c r="C562" s="46">
        <v>5.1210000000000004</v>
      </c>
      <c r="D562" s="126"/>
    </row>
    <row r="563" spans="1:4" ht="15.75" hidden="1" outlineLevel="1">
      <c r="A563" s="46" t="s">
        <v>2654</v>
      </c>
      <c r="B563" s="47" t="s">
        <v>123</v>
      </c>
      <c r="C563" s="46">
        <v>5.36</v>
      </c>
      <c r="D563" s="126"/>
    </row>
    <row r="564" spans="1:4" ht="15.75" hidden="1" outlineLevel="1">
      <c r="A564" s="46" t="s">
        <v>2654</v>
      </c>
      <c r="B564" s="47" t="s">
        <v>1778</v>
      </c>
      <c r="C564" s="46">
        <v>5.1219999999999999</v>
      </c>
      <c r="D564" s="126"/>
    </row>
    <row r="565" spans="1:4" ht="15.75" hidden="1" outlineLevel="1">
      <c r="A565" s="46" t="s">
        <v>2654</v>
      </c>
      <c r="B565" s="47" t="s">
        <v>1779</v>
      </c>
      <c r="C565" s="46">
        <v>5.1230000000000002</v>
      </c>
      <c r="D565" s="126"/>
    </row>
    <row r="566" spans="1:4" ht="15.75" hidden="1" outlineLevel="1">
      <c r="A566" s="46" t="s">
        <v>2654</v>
      </c>
      <c r="B566" s="47" t="s">
        <v>1780</v>
      </c>
      <c r="C566" s="46">
        <v>5.1239999999999997</v>
      </c>
      <c r="D566" s="126"/>
    </row>
    <row r="567" spans="1:4" ht="15.75" hidden="1" outlineLevel="1">
      <c r="A567" s="46" t="s">
        <v>2654</v>
      </c>
      <c r="B567" s="47" t="s">
        <v>1781</v>
      </c>
      <c r="C567" s="46">
        <v>5.125</v>
      </c>
      <c r="D567" s="126"/>
    </row>
    <row r="568" spans="1:4" ht="15.75" hidden="1" outlineLevel="1">
      <c r="A568" s="46" t="s">
        <v>2654</v>
      </c>
      <c r="B568" s="47" t="s">
        <v>1782</v>
      </c>
      <c r="C568" s="46">
        <v>5.1260000000000003</v>
      </c>
      <c r="D568" s="126"/>
    </row>
    <row r="569" spans="1:4" ht="15.75" hidden="1" outlineLevel="1">
      <c r="A569" s="46" t="s">
        <v>2654</v>
      </c>
      <c r="B569" s="47" t="s">
        <v>1783</v>
      </c>
      <c r="C569" s="46">
        <v>5.1269999999999998</v>
      </c>
      <c r="D569" s="126"/>
    </row>
    <row r="570" spans="1:4" ht="15.75" hidden="1" outlineLevel="1">
      <c r="A570" s="46" t="s">
        <v>2654</v>
      </c>
      <c r="B570" s="47" t="s">
        <v>125</v>
      </c>
      <c r="C570" s="48">
        <v>5.72</v>
      </c>
      <c r="D570" s="126"/>
    </row>
    <row r="571" spans="1:4" ht="15.75" hidden="1" outlineLevel="1">
      <c r="A571" s="46" t="s">
        <v>2654</v>
      </c>
      <c r="B571" s="47" t="s">
        <v>1784</v>
      </c>
      <c r="C571" s="46">
        <v>5.1280000000000001</v>
      </c>
      <c r="D571" s="126"/>
    </row>
    <row r="572" spans="1:4" ht="15.75" hidden="1" outlineLevel="1">
      <c r="A572" s="46" t="s">
        <v>2654</v>
      </c>
      <c r="B572" s="47" t="s">
        <v>1785</v>
      </c>
      <c r="C572" s="46">
        <v>5.1289999999999996</v>
      </c>
      <c r="D572" s="125" t="s">
        <v>2856</v>
      </c>
    </row>
    <row r="573" spans="1:4" ht="15.75" hidden="1" outlineLevel="1">
      <c r="A573" s="46" t="s">
        <v>2654</v>
      </c>
      <c r="B573" s="47" t="s">
        <v>1786</v>
      </c>
      <c r="C573" s="46">
        <v>5.1310000000000002</v>
      </c>
      <c r="D573" s="126"/>
    </row>
    <row r="574" spans="1:4" ht="15.75" hidden="1" outlineLevel="1">
      <c r="A574" s="46" t="s">
        <v>2654</v>
      </c>
      <c r="B574" s="47" t="s">
        <v>1787</v>
      </c>
      <c r="C574" s="46">
        <v>5.1319999999999997</v>
      </c>
      <c r="D574" s="125" t="s">
        <v>2856</v>
      </c>
    </row>
    <row r="575" spans="1:4" ht="15.75" hidden="1" outlineLevel="1">
      <c r="A575" s="46" t="s">
        <v>2654</v>
      </c>
      <c r="B575" s="47" t="s">
        <v>1788</v>
      </c>
      <c r="C575" s="46">
        <v>5.133</v>
      </c>
      <c r="D575" s="125" t="s">
        <v>2856</v>
      </c>
    </row>
    <row r="576" spans="1:4" ht="15.75" hidden="1" outlineLevel="1">
      <c r="A576" s="46" t="s">
        <v>2654</v>
      </c>
      <c r="B576" s="47" t="s">
        <v>1789</v>
      </c>
      <c r="C576" s="46">
        <v>5.1340000000000003</v>
      </c>
      <c r="D576" s="125" t="s">
        <v>2856</v>
      </c>
    </row>
    <row r="577" spans="1:4" ht="15.75" hidden="1" outlineLevel="1">
      <c r="A577" s="46" t="s">
        <v>2654</v>
      </c>
      <c r="B577" s="47" t="s">
        <v>1790</v>
      </c>
      <c r="C577" s="49">
        <v>5.13</v>
      </c>
      <c r="D577" s="126"/>
    </row>
    <row r="578" spans="1:4" ht="15.75" hidden="1" outlineLevel="1">
      <c r="A578" s="46" t="s">
        <v>2654</v>
      </c>
      <c r="B578" s="47" t="s">
        <v>24</v>
      </c>
      <c r="C578" s="46">
        <v>5.47</v>
      </c>
      <c r="D578" s="126"/>
    </row>
    <row r="579" spans="1:4" ht="15.75" hidden="1" outlineLevel="1">
      <c r="A579" s="46" t="s">
        <v>2654</v>
      </c>
      <c r="B579" s="47" t="s">
        <v>25</v>
      </c>
      <c r="C579" s="46">
        <v>5.48</v>
      </c>
      <c r="D579" s="126"/>
    </row>
    <row r="580" spans="1:4" ht="15.75">
      <c r="A580" s="52" t="s">
        <v>2654</v>
      </c>
      <c r="B580" s="47"/>
      <c r="C580" s="46"/>
      <c r="D580" s="126"/>
    </row>
    <row r="581" spans="1:4" ht="15.75" hidden="1" outlineLevel="1">
      <c r="A581" s="46" t="s">
        <v>2649</v>
      </c>
      <c r="B581" s="47" t="s">
        <v>0</v>
      </c>
      <c r="C581" s="46">
        <v>5.0999999999999996</v>
      </c>
      <c r="D581" s="126"/>
    </row>
    <row r="582" spans="1:4" ht="15.75" hidden="1" outlineLevel="1">
      <c r="A582" s="46" t="s">
        <v>2649</v>
      </c>
      <c r="B582" s="47" t="s">
        <v>1</v>
      </c>
      <c r="C582" s="46">
        <v>5.2</v>
      </c>
      <c r="D582" s="126"/>
    </row>
    <row r="583" spans="1:4" ht="15.75" hidden="1" outlineLevel="1">
      <c r="A583" s="46" t="s">
        <v>2649</v>
      </c>
      <c r="B583" s="47" t="s">
        <v>1808</v>
      </c>
      <c r="C583" s="46">
        <v>5.9</v>
      </c>
      <c r="D583" s="125" t="s">
        <v>2856</v>
      </c>
    </row>
    <row r="584" spans="1:4" ht="15.75" hidden="1" outlineLevel="1">
      <c r="A584" s="46" t="s">
        <v>2649</v>
      </c>
      <c r="B584" s="47" t="s">
        <v>1809</v>
      </c>
      <c r="C584" s="46">
        <v>5.13</v>
      </c>
      <c r="D584" s="125" t="s">
        <v>2856</v>
      </c>
    </row>
    <row r="585" spans="1:4" ht="15.75" hidden="1" outlineLevel="1">
      <c r="A585" s="46" t="s">
        <v>2649</v>
      </c>
      <c r="B585" s="47" t="s">
        <v>1810</v>
      </c>
      <c r="C585" s="46">
        <v>5.16</v>
      </c>
      <c r="D585" s="125" t="s">
        <v>2856</v>
      </c>
    </row>
    <row r="586" spans="1:4" ht="15.75" hidden="1" outlineLevel="1">
      <c r="A586" s="46" t="s">
        <v>2649</v>
      </c>
      <c r="B586" s="47" t="s">
        <v>1811</v>
      </c>
      <c r="C586" s="46">
        <v>5.22</v>
      </c>
      <c r="D586" s="125"/>
    </row>
    <row r="587" spans="1:4" ht="15.75" hidden="1" outlineLevel="1">
      <c r="A587" s="46" t="s">
        <v>2649</v>
      </c>
      <c r="B587" s="47" t="s">
        <v>5</v>
      </c>
      <c r="C587" s="46">
        <v>5.26</v>
      </c>
      <c r="D587" s="126"/>
    </row>
    <row r="588" spans="1:4" ht="15.75" hidden="1" outlineLevel="1">
      <c r="A588" s="46" t="s">
        <v>2649</v>
      </c>
      <c r="B588" s="47" t="s">
        <v>1812</v>
      </c>
      <c r="C588" s="46">
        <v>5.77</v>
      </c>
      <c r="D588" s="126"/>
    </row>
    <row r="589" spans="1:4" ht="15.75" hidden="1" outlineLevel="1">
      <c r="A589" s="46" t="s">
        <v>2649</v>
      </c>
      <c r="B589" s="47" t="s">
        <v>6</v>
      </c>
      <c r="C589" s="46">
        <v>5.27</v>
      </c>
      <c r="D589" s="126"/>
    </row>
    <row r="590" spans="1:4" ht="15.75" hidden="1" outlineLevel="1">
      <c r="A590" s="46" t="s">
        <v>2649</v>
      </c>
      <c r="B590" s="47" t="s">
        <v>7</v>
      </c>
      <c r="C590" s="46">
        <v>5.28</v>
      </c>
      <c r="D590" s="125" t="s">
        <v>2856</v>
      </c>
    </row>
    <row r="591" spans="1:4" ht="15.75" hidden="1" outlineLevel="1">
      <c r="A591" s="46" t="s">
        <v>2649</v>
      </c>
      <c r="B591" s="47" t="s">
        <v>122</v>
      </c>
      <c r="C591" s="46">
        <v>5.31</v>
      </c>
      <c r="D591" s="126"/>
    </row>
    <row r="592" spans="1:4" ht="15.75" hidden="1" outlineLevel="1">
      <c r="A592" s="46" t="s">
        <v>2649</v>
      </c>
      <c r="B592" s="47" t="s">
        <v>123</v>
      </c>
      <c r="C592" s="46">
        <v>5.36</v>
      </c>
      <c r="D592" s="126"/>
    </row>
    <row r="593" spans="1:4" ht="15.75" hidden="1" outlineLevel="1">
      <c r="A593" s="46" t="s">
        <v>2649</v>
      </c>
      <c r="B593" s="47" t="s">
        <v>1813</v>
      </c>
      <c r="C593" s="46">
        <v>5.78</v>
      </c>
      <c r="D593" s="126"/>
    </row>
    <row r="594" spans="1:4" ht="15.75" hidden="1" outlineLevel="1">
      <c r="A594" s="46" t="s">
        <v>2649</v>
      </c>
      <c r="B594" s="47" t="s">
        <v>1814</v>
      </c>
      <c r="C594" s="46">
        <v>5.79</v>
      </c>
      <c r="D594" s="125" t="s">
        <v>2856</v>
      </c>
    </row>
    <row r="595" spans="1:4" ht="15.75" hidden="1" outlineLevel="1">
      <c r="A595" s="46" t="s">
        <v>2649</v>
      </c>
      <c r="B595" s="47" t="s">
        <v>1815</v>
      </c>
      <c r="C595" s="46">
        <v>5.41</v>
      </c>
      <c r="D595" s="126"/>
    </row>
    <row r="596" spans="1:4" ht="15.75" hidden="1" outlineLevel="1">
      <c r="A596" s="46" t="s">
        <v>2649</v>
      </c>
      <c r="B596" s="47" t="s">
        <v>9</v>
      </c>
      <c r="C596" s="46">
        <v>5.49</v>
      </c>
      <c r="D596" s="126"/>
    </row>
    <row r="597" spans="1:4" ht="15.75" hidden="1" outlineLevel="1">
      <c r="A597" s="46" t="s">
        <v>2649</v>
      </c>
      <c r="B597" s="47" t="s">
        <v>10</v>
      </c>
      <c r="C597" s="46">
        <v>5.51</v>
      </c>
      <c r="D597" s="126"/>
    </row>
    <row r="598" spans="1:4" ht="15.75" hidden="1" outlineLevel="1">
      <c r="A598" s="46" t="s">
        <v>2649</v>
      </c>
      <c r="B598" s="47" t="s">
        <v>2868</v>
      </c>
      <c r="C598" s="46">
        <v>5.52</v>
      </c>
      <c r="D598" s="126"/>
    </row>
    <row r="599" spans="1:4" ht="15.75" hidden="1" outlineLevel="1">
      <c r="A599" s="46" t="s">
        <v>2649</v>
      </c>
      <c r="B599" s="47" t="s">
        <v>11</v>
      </c>
      <c r="C599" s="46">
        <v>5.53</v>
      </c>
      <c r="D599" s="126"/>
    </row>
    <row r="600" spans="1:4" ht="15.75" hidden="1" outlineLevel="1">
      <c r="A600" s="46" t="s">
        <v>2649</v>
      </c>
      <c r="B600" s="47" t="s">
        <v>12</v>
      </c>
      <c r="C600" s="46">
        <v>5.69</v>
      </c>
      <c r="D600" s="126"/>
    </row>
    <row r="601" spans="1:4" ht="15.75" hidden="1" outlineLevel="1">
      <c r="A601" s="46" t="s">
        <v>2649</v>
      </c>
      <c r="B601" s="47" t="s">
        <v>1817</v>
      </c>
      <c r="C601" s="46">
        <v>5.71</v>
      </c>
      <c r="D601" s="126"/>
    </row>
    <row r="602" spans="1:4" ht="15.75" hidden="1" outlineLevel="1">
      <c r="A602" s="46" t="s">
        <v>2649</v>
      </c>
      <c r="B602" s="47" t="s">
        <v>14</v>
      </c>
      <c r="C602" s="48">
        <v>5.7</v>
      </c>
      <c r="D602" s="126"/>
    </row>
    <row r="603" spans="1:4" ht="15.75" hidden="1" outlineLevel="1">
      <c r="A603" s="46" t="s">
        <v>2649</v>
      </c>
      <c r="B603" s="47" t="s">
        <v>1464</v>
      </c>
      <c r="C603" s="48">
        <v>5.8</v>
      </c>
      <c r="D603" s="125" t="s">
        <v>2856</v>
      </c>
    </row>
    <row r="604" spans="1:4" ht="15.75" hidden="1" outlineLevel="1">
      <c r="A604" s="46" t="s">
        <v>2649</v>
      </c>
      <c r="B604" s="47" t="s">
        <v>125</v>
      </c>
      <c r="C604" s="48">
        <v>5.72</v>
      </c>
      <c r="D604" s="125" t="s">
        <v>2856</v>
      </c>
    </row>
    <row r="605" spans="1:4" ht="15.75" hidden="1" outlineLevel="1">
      <c r="A605" s="46" t="s">
        <v>2649</v>
      </c>
      <c r="B605" s="47" t="s">
        <v>1818</v>
      </c>
      <c r="C605" s="46">
        <v>5.73</v>
      </c>
      <c r="D605" s="125" t="s">
        <v>2856</v>
      </c>
    </row>
    <row r="606" spans="1:4" ht="15.75" hidden="1" outlineLevel="1">
      <c r="A606" s="46" t="s">
        <v>2649</v>
      </c>
      <c r="B606" s="47" t="s">
        <v>15</v>
      </c>
      <c r="C606" s="46">
        <v>5.74</v>
      </c>
      <c r="D606" s="126"/>
    </row>
    <row r="607" spans="1:4" ht="15.75" hidden="1" outlineLevel="1">
      <c r="A607" s="46" t="s">
        <v>2649</v>
      </c>
      <c r="B607" s="47" t="s">
        <v>13</v>
      </c>
      <c r="C607" s="46">
        <v>5.75</v>
      </c>
      <c r="D607" s="126"/>
    </row>
    <row r="608" spans="1:4" ht="15.75" hidden="1" outlineLevel="1">
      <c r="A608" s="46" t="s">
        <v>2649</v>
      </c>
      <c r="B608" s="47" t="s">
        <v>126</v>
      </c>
      <c r="C608" s="46">
        <v>5.76</v>
      </c>
      <c r="D608" s="126"/>
    </row>
    <row r="609" spans="1:4" ht="15.75" hidden="1" outlineLevel="1">
      <c r="A609" s="46" t="s">
        <v>2649</v>
      </c>
      <c r="B609" s="47" t="s">
        <v>1819</v>
      </c>
      <c r="C609" s="46">
        <v>5.81</v>
      </c>
      <c r="D609" s="125" t="s">
        <v>2856</v>
      </c>
    </row>
    <row r="610" spans="1:4" ht="15.75" hidden="1" outlineLevel="1">
      <c r="A610" s="46" t="s">
        <v>2649</v>
      </c>
      <c r="B610" s="47" t="s">
        <v>1820</v>
      </c>
      <c r="C610" s="46">
        <v>5.82</v>
      </c>
      <c r="D610" s="125" t="s">
        <v>2856</v>
      </c>
    </row>
    <row r="611" spans="1:4" ht="15.75" hidden="1" outlineLevel="1">
      <c r="A611" s="46" t="s">
        <v>2649</v>
      </c>
      <c r="B611" s="47" t="s">
        <v>1821</v>
      </c>
      <c r="C611" s="46">
        <v>5.83</v>
      </c>
      <c r="D611" s="125" t="s">
        <v>2856</v>
      </c>
    </row>
    <row r="612" spans="1:4" ht="15.75" hidden="1" outlineLevel="1">
      <c r="A612" s="46" t="s">
        <v>2649</v>
      </c>
      <c r="B612" s="47" t="s">
        <v>1822</v>
      </c>
      <c r="C612" s="46">
        <v>5.84</v>
      </c>
      <c r="D612" s="126"/>
    </row>
    <row r="613" spans="1:4" ht="15.75" hidden="1" outlineLevel="1">
      <c r="A613" s="46" t="s">
        <v>2649</v>
      </c>
      <c r="B613" s="47" t="s">
        <v>1823</v>
      </c>
      <c r="C613" s="46">
        <v>5.85</v>
      </c>
      <c r="D613" s="125" t="s">
        <v>2856</v>
      </c>
    </row>
    <row r="614" spans="1:4" ht="15.75" hidden="1" outlineLevel="1">
      <c r="A614" s="46" t="s">
        <v>2649</v>
      </c>
      <c r="B614" s="47" t="s">
        <v>1824</v>
      </c>
      <c r="C614" s="46">
        <v>5.86</v>
      </c>
      <c r="D614" s="125" t="s">
        <v>2856</v>
      </c>
    </row>
    <row r="615" spans="1:4" ht="15.75" hidden="1" outlineLevel="1">
      <c r="A615" s="46" t="s">
        <v>2649</v>
      </c>
      <c r="B615" s="47" t="s">
        <v>1825</v>
      </c>
      <c r="C615" s="46">
        <v>5.88</v>
      </c>
      <c r="D615" s="125" t="s">
        <v>2856</v>
      </c>
    </row>
    <row r="616" spans="1:4" ht="15.75" hidden="1" outlineLevel="1">
      <c r="A616" s="46" t="s">
        <v>2649</v>
      </c>
      <c r="B616" s="47" t="s">
        <v>1826</v>
      </c>
      <c r="C616" s="46">
        <v>5.87</v>
      </c>
      <c r="D616" s="126"/>
    </row>
    <row r="617" spans="1:4" ht="15.75" hidden="1" outlineLevel="1">
      <c r="A617" s="46" t="s">
        <v>2649</v>
      </c>
      <c r="B617" s="47" t="s">
        <v>1469</v>
      </c>
      <c r="C617" s="46">
        <v>5.109</v>
      </c>
      <c r="D617" s="126"/>
    </row>
    <row r="618" spans="1:4" ht="15.75" hidden="1" outlineLevel="1">
      <c r="A618" s="46" t="s">
        <v>2649</v>
      </c>
      <c r="B618" s="47" t="s">
        <v>1471</v>
      </c>
      <c r="C618" s="49">
        <v>5.1100000000000003</v>
      </c>
      <c r="D618" s="125" t="s">
        <v>2856</v>
      </c>
    </row>
    <row r="619" spans="1:4" ht="15.75" hidden="1" outlineLevel="1">
      <c r="A619" s="46" t="s">
        <v>2649</v>
      </c>
      <c r="B619" s="47" t="s">
        <v>1470</v>
      </c>
      <c r="C619" s="46">
        <v>5.1109999999999998</v>
      </c>
      <c r="D619" s="126"/>
    </row>
    <row r="620" spans="1:4" ht="15.75" hidden="1" outlineLevel="1">
      <c r="A620" s="46" t="s">
        <v>2649</v>
      </c>
      <c r="B620" s="47" t="s">
        <v>1472</v>
      </c>
      <c r="C620" s="46">
        <v>5.1120000000000001</v>
      </c>
      <c r="D620" s="126"/>
    </row>
    <row r="621" spans="1:4" ht="15.75" hidden="1" outlineLevel="1">
      <c r="A621" s="46" t="s">
        <v>2649</v>
      </c>
      <c r="B621" s="47" t="s">
        <v>2862</v>
      </c>
      <c r="C621" s="46">
        <v>5.1130000000000004</v>
      </c>
      <c r="D621" s="126"/>
    </row>
    <row r="622" spans="1:4" ht="15.75" hidden="1" outlineLevel="1">
      <c r="A622" s="46" t="s">
        <v>2649</v>
      </c>
      <c r="B622" s="47" t="s">
        <v>1827</v>
      </c>
      <c r="C622" s="46">
        <v>5.99</v>
      </c>
      <c r="D622" s="125" t="s">
        <v>2856</v>
      </c>
    </row>
    <row r="623" spans="1:4" ht="15.75" hidden="1" outlineLevel="1">
      <c r="A623" s="46" t="s">
        <v>2649</v>
      </c>
      <c r="B623" s="47" t="s">
        <v>1828</v>
      </c>
      <c r="C623" s="46">
        <v>5.58</v>
      </c>
      <c r="D623" s="125"/>
    </row>
    <row r="624" spans="1:4" ht="15.75" hidden="1" outlineLevel="1">
      <c r="A624" s="46" t="s">
        <v>2649</v>
      </c>
      <c r="B624" s="47" t="s">
        <v>18</v>
      </c>
      <c r="C624" s="46">
        <v>5.54</v>
      </c>
      <c r="D624" s="126"/>
    </row>
    <row r="625" spans="1:4" ht="15.75" hidden="1" outlineLevel="1">
      <c r="A625" s="46" t="s">
        <v>2649</v>
      </c>
      <c r="B625" s="47" t="s">
        <v>1829</v>
      </c>
      <c r="C625" s="46">
        <v>5.56</v>
      </c>
      <c r="D625" s="126"/>
    </row>
    <row r="626" spans="1:4" ht="15.75" hidden="1" outlineLevel="1">
      <c r="A626" s="46" t="s">
        <v>2649</v>
      </c>
      <c r="B626" s="47" t="s">
        <v>20</v>
      </c>
      <c r="C626" s="46">
        <v>5.63</v>
      </c>
      <c r="D626" s="126"/>
    </row>
    <row r="627" spans="1:4" ht="15.75" hidden="1" outlineLevel="1">
      <c r="A627" s="46" t="s">
        <v>2649</v>
      </c>
      <c r="B627" s="47" t="s">
        <v>1830</v>
      </c>
      <c r="C627" s="46">
        <v>5.64</v>
      </c>
      <c r="D627" s="126"/>
    </row>
    <row r="628" spans="1:4" ht="15.75" hidden="1" outlineLevel="1">
      <c r="A628" s="46" t="s">
        <v>2649</v>
      </c>
      <c r="B628" s="47" t="s">
        <v>21</v>
      </c>
      <c r="C628" s="46">
        <v>5.65</v>
      </c>
      <c r="D628" s="126"/>
    </row>
    <row r="629" spans="1:4" ht="15.75" hidden="1" outlineLevel="1">
      <c r="A629" s="46" t="s">
        <v>2649</v>
      </c>
      <c r="B629" s="47" t="s">
        <v>128</v>
      </c>
      <c r="C629" s="46">
        <v>5.66</v>
      </c>
      <c r="D629" s="126"/>
    </row>
    <row r="630" spans="1:4" ht="15.75" hidden="1" outlineLevel="1">
      <c r="A630" s="46" t="s">
        <v>2649</v>
      </c>
      <c r="B630" s="47" t="s">
        <v>127</v>
      </c>
      <c r="C630" s="46">
        <v>5.89</v>
      </c>
      <c r="D630" s="125" t="s">
        <v>2856</v>
      </c>
    </row>
    <row r="631" spans="1:4" ht="15.75" hidden="1" outlineLevel="1">
      <c r="A631" s="46" t="s">
        <v>2649</v>
      </c>
      <c r="B631" s="47" t="s">
        <v>22</v>
      </c>
      <c r="C631" s="46">
        <v>5.68</v>
      </c>
      <c r="D631" s="126"/>
    </row>
    <row r="632" spans="1:4" ht="15.75" hidden="1" outlineLevel="1">
      <c r="A632" s="46" t="s">
        <v>2649</v>
      </c>
      <c r="B632" s="47" t="s">
        <v>24</v>
      </c>
      <c r="C632" s="46">
        <v>5.47</v>
      </c>
      <c r="D632" s="126"/>
    </row>
    <row r="633" spans="1:4" ht="15.75" hidden="1" outlineLevel="1">
      <c r="A633" s="46" t="s">
        <v>2649</v>
      </c>
      <c r="B633" s="47" t="s">
        <v>25</v>
      </c>
      <c r="C633" s="46">
        <v>5.48</v>
      </c>
      <c r="D633" s="126"/>
    </row>
    <row r="634" spans="1:4" ht="15.75">
      <c r="A634" s="52" t="s">
        <v>2649</v>
      </c>
      <c r="B634" s="47"/>
      <c r="C634" s="46"/>
      <c r="D634" s="126"/>
    </row>
    <row r="635" spans="1:4" ht="15.75" hidden="1" outlineLevel="1">
      <c r="A635" s="46" t="s">
        <v>2665</v>
      </c>
      <c r="B635" s="47" t="s">
        <v>0</v>
      </c>
      <c r="C635" s="46">
        <v>5.0999999999999996</v>
      </c>
      <c r="D635" s="126"/>
    </row>
    <row r="636" spans="1:4" ht="15.75" hidden="1" outlineLevel="1">
      <c r="A636" s="46" t="s">
        <v>2665</v>
      </c>
      <c r="B636" s="47" t="s">
        <v>1</v>
      </c>
      <c r="C636" s="46">
        <v>5.2</v>
      </c>
      <c r="D636" s="126"/>
    </row>
    <row r="637" spans="1:4" ht="15.75" hidden="1" outlineLevel="1">
      <c r="A637" s="46" t="s">
        <v>2665</v>
      </c>
      <c r="B637" s="47" t="s">
        <v>2</v>
      </c>
      <c r="C637" s="46">
        <v>5.3</v>
      </c>
      <c r="D637" s="126"/>
    </row>
    <row r="638" spans="1:4" ht="15.75" hidden="1" outlineLevel="1">
      <c r="A638" s="46" t="s">
        <v>2665</v>
      </c>
      <c r="B638" s="47" t="s">
        <v>119</v>
      </c>
      <c r="C638" s="46">
        <v>5.6</v>
      </c>
      <c r="D638" s="126"/>
    </row>
    <row r="639" spans="1:4" ht="15.75" hidden="1" outlineLevel="1">
      <c r="A639" s="46" t="s">
        <v>2665</v>
      </c>
      <c r="B639" s="47" t="s">
        <v>2857</v>
      </c>
      <c r="C639" s="48">
        <v>5.0999999999999996</v>
      </c>
      <c r="D639" s="126"/>
    </row>
    <row r="640" spans="1:4" ht="15.75" hidden="1" outlineLevel="1">
      <c r="A640" s="46" t="s">
        <v>2665</v>
      </c>
      <c r="B640" s="47" t="s">
        <v>1378</v>
      </c>
      <c r="C640" s="46">
        <v>5.14</v>
      </c>
      <c r="D640" s="126"/>
    </row>
    <row r="641" spans="1:4" ht="15.75" hidden="1" outlineLevel="1">
      <c r="A641" s="46" t="s">
        <v>2665</v>
      </c>
      <c r="B641" s="47" t="s">
        <v>4</v>
      </c>
      <c r="C641" s="46">
        <v>5.19</v>
      </c>
      <c r="D641" s="126"/>
    </row>
    <row r="642" spans="1:4" ht="15.75" hidden="1" outlineLevel="1">
      <c r="A642" s="46" t="s">
        <v>2665</v>
      </c>
      <c r="B642" s="47" t="s">
        <v>121</v>
      </c>
      <c r="C642" s="46">
        <v>5.24</v>
      </c>
      <c r="D642" s="126"/>
    </row>
    <row r="643" spans="1:4" ht="15.75" hidden="1" outlineLevel="1">
      <c r="A643" s="46" t="s">
        <v>2665</v>
      </c>
      <c r="B643" s="47" t="s">
        <v>5</v>
      </c>
      <c r="C643" s="46">
        <v>5.26</v>
      </c>
      <c r="D643" s="126"/>
    </row>
    <row r="644" spans="1:4" ht="15.75" hidden="1" outlineLevel="1">
      <c r="A644" s="46" t="s">
        <v>2665</v>
      </c>
      <c r="B644" s="47" t="s">
        <v>6</v>
      </c>
      <c r="C644" s="46">
        <v>5.27</v>
      </c>
      <c r="D644" s="126"/>
    </row>
    <row r="645" spans="1:4" ht="15.75" hidden="1" outlineLevel="1">
      <c r="A645" s="46" t="s">
        <v>2665</v>
      </c>
      <c r="B645" s="47" t="s">
        <v>7</v>
      </c>
      <c r="C645" s="46">
        <v>5.28</v>
      </c>
      <c r="D645" s="126"/>
    </row>
    <row r="646" spans="1:4" ht="15.75" hidden="1" outlineLevel="1">
      <c r="A646" s="46" t="s">
        <v>2665</v>
      </c>
      <c r="B646" s="47" t="s">
        <v>123</v>
      </c>
      <c r="C646" s="46">
        <v>5.36</v>
      </c>
      <c r="D646" s="126"/>
    </row>
    <row r="647" spans="1:4" ht="15.75" hidden="1" outlineLevel="1">
      <c r="A647" s="46" t="s">
        <v>2665</v>
      </c>
      <c r="B647" s="47" t="s">
        <v>1428</v>
      </c>
      <c r="C647" s="46">
        <v>5.33</v>
      </c>
      <c r="D647" s="126"/>
    </row>
    <row r="648" spans="1:4" ht="15.75" hidden="1" outlineLevel="1">
      <c r="A648" s="46" t="s">
        <v>2665</v>
      </c>
      <c r="B648" s="47" t="s">
        <v>1463</v>
      </c>
      <c r="C648" s="46">
        <v>5.37</v>
      </c>
      <c r="D648" s="126"/>
    </row>
    <row r="649" spans="1:4" ht="15.75" hidden="1" outlineLevel="1">
      <c r="A649" s="46" t="s">
        <v>2665</v>
      </c>
      <c r="B649" s="47" t="s">
        <v>9</v>
      </c>
      <c r="C649" s="46">
        <v>5.49</v>
      </c>
      <c r="D649" s="126"/>
    </row>
    <row r="650" spans="1:4" ht="15.75" hidden="1" outlineLevel="1">
      <c r="A650" s="46" t="s">
        <v>2665</v>
      </c>
      <c r="B650" s="47" t="s">
        <v>10</v>
      </c>
      <c r="C650" s="46">
        <v>5.51</v>
      </c>
      <c r="D650" s="126"/>
    </row>
    <row r="651" spans="1:4" ht="15.75" hidden="1" outlineLevel="1">
      <c r="A651" s="46" t="s">
        <v>2665</v>
      </c>
      <c r="B651" s="47" t="s">
        <v>2858</v>
      </c>
      <c r="C651" s="46">
        <v>5.52</v>
      </c>
      <c r="D651" s="126"/>
    </row>
    <row r="652" spans="1:4" ht="15.75" hidden="1" outlineLevel="1">
      <c r="A652" s="46" t="s">
        <v>2665</v>
      </c>
      <c r="B652" s="47" t="s">
        <v>11</v>
      </c>
      <c r="C652" s="46">
        <v>5.53</v>
      </c>
      <c r="D652" s="126"/>
    </row>
    <row r="653" spans="1:4" ht="15.75" hidden="1" outlineLevel="1">
      <c r="A653" s="46" t="s">
        <v>2665</v>
      </c>
      <c r="B653" s="47" t="s">
        <v>12</v>
      </c>
      <c r="C653" s="46">
        <v>5.69</v>
      </c>
      <c r="D653" s="126"/>
    </row>
    <row r="654" spans="1:4" ht="15.75" hidden="1" outlineLevel="1">
      <c r="A654" s="46" t="s">
        <v>2665</v>
      </c>
      <c r="B654" s="47" t="s">
        <v>14</v>
      </c>
      <c r="C654" s="48">
        <v>5.7</v>
      </c>
      <c r="D654" s="126"/>
    </row>
    <row r="655" spans="1:4" ht="15.75" hidden="1" outlineLevel="1">
      <c r="A655" s="46" t="s">
        <v>2665</v>
      </c>
      <c r="B655" s="47" t="s">
        <v>15</v>
      </c>
      <c r="C655" s="46">
        <v>5.74</v>
      </c>
      <c r="D655" s="126"/>
    </row>
    <row r="656" spans="1:4" ht="15.75" hidden="1" outlineLevel="1">
      <c r="A656" s="46" t="s">
        <v>2665</v>
      </c>
      <c r="B656" s="47" t="s">
        <v>1469</v>
      </c>
      <c r="C656" s="46">
        <v>5.109</v>
      </c>
      <c r="D656" s="126"/>
    </row>
    <row r="657" spans="1:4" ht="15.75" hidden="1" outlineLevel="1">
      <c r="A657" s="46" t="s">
        <v>2665</v>
      </c>
      <c r="B657" s="47" t="s">
        <v>1470</v>
      </c>
      <c r="C657" s="46">
        <v>5.1109999999999998</v>
      </c>
      <c r="D657" s="126"/>
    </row>
    <row r="658" spans="1:4" ht="15.75" hidden="1" outlineLevel="1">
      <c r="A658" s="46" t="s">
        <v>2665</v>
      </c>
      <c r="B658" s="47" t="s">
        <v>1472</v>
      </c>
      <c r="C658" s="46">
        <v>5.1120000000000001</v>
      </c>
      <c r="D658" s="126"/>
    </row>
    <row r="659" spans="1:4" ht="15.75" hidden="1" outlineLevel="1">
      <c r="A659" s="46" t="s">
        <v>2665</v>
      </c>
      <c r="B659" s="47" t="s">
        <v>17</v>
      </c>
      <c r="C659" s="46">
        <v>5.58</v>
      </c>
      <c r="D659" s="126"/>
    </row>
    <row r="660" spans="1:4" ht="15.75" hidden="1" outlineLevel="1">
      <c r="A660" s="46" t="s">
        <v>2665</v>
      </c>
      <c r="B660" s="47" t="s">
        <v>18</v>
      </c>
      <c r="C660" s="46">
        <v>5.54</v>
      </c>
      <c r="D660" s="126"/>
    </row>
    <row r="661" spans="1:4" ht="15.75" hidden="1" outlineLevel="1">
      <c r="A661" s="46" t="s">
        <v>2665</v>
      </c>
      <c r="B661" s="47" t="s">
        <v>19</v>
      </c>
      <c r="C661" s="46">
        <v>5.55</v>
      </c>
      <c r="D661" s="126"/>
    </row>
    <row r="662" spans="1:4" ht="15.75" hidden="1" outlineLevel="1">
      <c r="A662" s="46" t="s">
        <v>2665</v>
      </c>
      <c r="B662" s="47" t="s">
        <v>20</v>
      </c>
      <c r="C662" s="46">
        <v>5.63</v>
      </c>
      <c r="D662" s="126"/>
    </row>
    <row r="663" spans="1:4" ht="15.75" hidden="1" outlineLevel="1">
      <c r="A663" s="46" t="s">
        <v>2665</v>
      </c>
      <c r="B663" s="47" t="s">
        <v>24</v>
      </c>
      <c r="C663" s="46">
        <v>5.47</v>
      </c>
      <c r="D663" s="126"/>
    </row>
    <row r="664" spans="1:4" ht="15.75" hidden="1" outlineLevel="1">
      <c r="A664" s="46" t="s">
        <v>2665</v>
      </c>
      <c r="B664" s="47" t="s">
        <v>25</v>
      </c>
      <c r="C664" s="46">
        <v>5.48</v>
      </c>
      <c r="D664" s="126"/>
    </row>
    <row r="665" spans="1:4" ht="15.75">
      <c r="A665" s="52" t="s">
        <v>2665</v>
      </c>
      <c r="B665" s="47"/>
      <c r="C665" s="46"/>
      <c r="D665" s="126"/>
    </row>
    <row r="666" spans="1:4" ht="15.75" hidden="1" outlineLevel="1">
      <c r="A666" s="46" t="s">
        <v>2670</v>
      </c>
      <c r="B666" s="47" t="s">
        <v>0</v>
      </c>
      <c r="C666" s="46">
        <v>5.0999999999999996</v>
      </c>
      <c r="D666" s="126"/>
    </row>
    <row r="667" spans="1:4" ht="15.75" hidden="1" outlineLevel="1">
      <c r="A667" s="46" t="s">
        <v>2670</v>
      </c>
      <c r="B667" s="47" t="s">
        <v>1</v>
      </c>
      <c r="C667" s="46">
        <v>5.2</v>
      </c>
      <c r="D667" s="126"/>
    </row>
    <row r="668" spans="1:4" ht="15.75" hidden="1" outlineLevel="1">
      <c r="A668" s="46" t="s">
        <v>2670</v>
      </c>
      <c r="B668" s="47" t="s">
        <v>1855</v>
      </c>
      <c r="C668" s="46">
        <v>5.4</v>
      </c>
      <c r="D668" s="126"/>
    </row>
    <row r="669" spans="1:4" ht="15.75" hidden="1" outlineLevel="1">
      <c r="A669" s="46" t="s">
        <v>2670</v>
      </c>
      <c r="B669" s="47" t="s">
        <v>1856</v>
      </c>
      <c r="C669" s="46">
        <v>5.7</v>
      </c>
      <c r="D669" s="126"/>
    </row>
    <row r="670" spans="1:4" ht="15.75" hidden="1" outlineLevel="1">
      <c r="A670" s="46" t="s">
        <v>2670</v>
      </c>
      <c r="B670" s="47" t="s">
        <v>1857</v>
      </c>
      <c r="C670" s="46">
        <v>5.1100000000000003</v>
      </c>
      <c r="D670" s="126"/>
    </row>
    <row r="671" spans="1:4" ht="15.75" hidden="1" outlineLevel="1">
      <c r="A671" s="46" t="s">
        <v>2670</v>
      </c>
      <c r="B671" s="47" t="s">
        <v>5</v>
      </c>
      <c r="C671" s="46">
        <v>5.26</v>
      </c>
      <c r="D671" s="126"/>
    </row>
    <row r="672" spans="1:4" ht="15.75" hidden="1" outlineLevel="1">
      <c r="A672" s="46" t="s">
        <v>2670</v>
      </c>
      <c r="B672" s="47" t="s">
        <v>1858</v>
      </c>
      <c r="C672" s="46">
        <v>5.43</v>
      </c>
      <c r="D672" s="126"/>
    </row>
    <row r="673" spans="1:4" ht="15.75" hidden="1" outlineLevel="1">
      <c r="A673" s="46" t="s">
        <v>2670</v>
      </c>
      <c r="B673" s="47" t="s">
        <v>6</v>
      </c>
      <c r="C673" s="46">
        <v>5.27</v>
      </c>
      <c r="D673" s="126"/>
    </row>
    <row r="674" spans="1:4" ht="15.75" hidden="1" outlineLevel="1">
      <c r="A674" s="46" t="s">
        <v>2670</v>
      </c>
      <c r="B674" s="47" t="s">
        <v>7</v>
      </c>
      <c r="C674" s="46">
        <v>5.28</v>
      </c>
      <c r="D674" s="126"/>
    </row>
    <row r="675" spans="1:4" ht="15.75" hidden="1" outlineLevel="1">
      <c r="A675" s="46" t="s">
        <v>2670</v>
      </c>
      <c r="B675" s="47" t="s">
        <v>123</v>
      </c>
      <c r="C675" s="46">
        <v>5.36</v>
      </c>
      <c r="D675" s="126"/>
    </row>
    <row r="676" spans="1:4" ht="15.75" hidden="1" outlineLevel="1">
      <c r="A676" s="46" t="s">
        <v>2670</v>
      </c>
      <c r="B676" s="47" t="s">
        <v>1859</v>
      </c>
      <c r="C676" s="48">
        <v>5.5</v>
      </c>
      <c r="D676" s="126"/>
    </row>
    <row r="677" spans="1:4" ht="15.75" hidden="1" outlineLevel="1">
      <c r="A677" s="46" t="s">
        <v>2670</v>
      </c>
      <c r="B677" s="47" t="s">
        <v>10</v>
      </c>
      <c r="C677" s="46">
        <v>5.51</v>
      </c>
      <c r="D677" s="126"/>
    </row>
    <row r="678" spans="1:4" ht="15.75" hidden="1" outlineLevel="1">
      <c r="A678" s="46" t="s">
        <v>2670</v>
      </c>
      <c r="B678" s="47" t="s">
        <v>11</v>
      </c>
      <c r="C678" s="46">
        <v>5.53</v>
      </c>
      <c r="D678" s="126"/>
    </row>
    <row r="679" spans="1:4" ht="15.75" hidden="1" outlineLevel="1">
      <c r="A679" s="46" t="s">
        <v>2670</v>
      </c>
      <c r="B679" s="47" t="s">
        <v>12</v>
      </c>
      <c r="C679" s="46">
        <v>5.69</v>
      </c>
      <c r="D679" s="126"/>
    </row>
    <row r="680" spans="1:4" ht="15.75" hidden="1" outlineLevel="1">
      <c r="A680" s="46" t="s">
        <v>2670</v>
      </c>
      <c r="B680" s="47" t="s">
        <v>14</v>
      </c>
      <c r="C680" s="48">
        <v>5.7</v>
      </c>
      <c r="D680" s="125" t="s">
        <v>2856</v>
      </c>
    </row>
    <row r="681" spans="1:4" ht="15.75" hidden="1" outlineLevel="1">
      <c r="A681" s="46" t="s">
        <v>2670</v>
      </c>
      <c r="B681" s="47" t="s">
        <v>15</v>
      </c>
      <c r="C681" s="46">
        <v>5.74</v>
      </c>
      <c r="D681" s="126"/>
    </row>
    <row r="682" spans="1:4" ht="15.75" hidden="1" outlineLevel="1">
      <c r="A682" s="46" t="s">
        <v>2670</v>
      </c>
      <c r="B682" s="47" t="s">
        <v>1860</v>
      </c>
      <c r="C682" s="46">
        <v>5.59</v>
      </c>
      <c r="D682" s="126"/>
    </row>
    <row r="683" spans="1:4" ht="15.75" hidden="1" outlineLevel="1">
      <c r="A683" s="46" t="s">
        <v>2670</v>
      </c>
      <c r="B683" s="47" t="s">
        <v>18</v>
      </c>
      <c r="C683" s="46">
        <v>5.54</v>
      </c>
      <c r="D683" s="126"/>
    </row>
    <row r="684" spans="1:4" ht="15.75" hidden="1" outlineLevel="1">
      <c r="A684" s="46" t="s">
        <v>2670</v>
      </c>
      <c r="B684" s="47" t="s">
        <v>1861</v>
      </c>
      <c r="C684" s="46">
        <v>5.57</v>
      </c>
      <c r="D684" s="126"/>
    </row>
    <row r="685" spans="1:4" ht="15.75" hidden="1" outlineLevel="1">
      <c r="A685" s="46" t="s">
        <v>2670</v>
      </c>
      <c r="B685" s="47" t="s">
        <v>20</v>
      </c>
      <c r="C685" s="46">
        <v>5.63</v>
      </c>
      <c r="D685" s="126"/>
    </row>
    <row r="686" spans="1:4" ht="15.75" hidden="1" outlineLevel="1">
      <c r="A686" s="46" t="s">
        <v>2670</v>
      </c>
      <c r="B686" s="47" t="s">
        <v>24</v>
      </c>
      <c r="C686" s="46">
        <v>5.47</v>
      </c>
      <c r="D686" s="126"/>
    </row>
    <row r="687" spans="1:4" ht="15.75" hidden="1" outlineLevel="1">
      <c r="A687" s="46" t="s">
        <v>2670</v>
      </c>
      <c r="B687" s="47" t="s">
        <v>25</v>
      </c>
      <c r="C687" s="46">
        <v>5.48</v>
      </c>
      <c r="D687" s="126"/>
    </row>
    <row r="688" spans="1:4" ht="15.75">
      <c r="A688" s="52" t="s">
        <v>2670</v>
      </c>
      <c r="B688" s="47"/>
      <c r="C688" s="46"/>
      <c r="D688" s="126"/>
    </row>
    <row r="689" spans="1:4" ht="15.75" hidden="1" outlineLevel="1">
      <c r="A689" s="46" t="s">
        <v>2673</v>
      </c>
      <c r="B689" s="47" t="s">
        <v>0</v>
      </c>
      <c r="C689" s="46">
        <v>5.0999999999999996</v>
      </c>
      <c r="D689" s="126"/>
    </row>
    <row r="690" spans="1:4" ht="15.75" hidden="1" outlineLevel="1">
      <c r="A690" s="46" t="s">
        <v>2673</v>
      </c>
      <c r="B690" s="47" t="s">
        <v>1</v>
      </c>
      <c r="C690" s="46">
        <v>5.2</v>
      </c>
      <c r="D690" s="126"/>
    </row>
    <row r="691" spans="1:4" ht="15.75" hidden="1" outlineLevel="1">
      <c r="A691" s="46" t="s">
        <v>2673</v>
      </c>
      <c r="B691" s="47" t="s">
        <v>1862</v>
      </c>
      <c r="C691" s="46">
        <v>5.17</v>
      </c>
      <c r="D691" s="126"/>
    </row>
    <row r="692" spans="1:4" ht="15.75" hidden="1" outlineLevel="1">
      <c r="A692" s="46" t="s">
        <v>2673</v>
      </c>
      <c r="B692" s="47" t="s">
        <v>5</v>
      </c>
      <c r="C692" s="46">
        <v>5.26</v>
      </c>
      <c r="D692" s="126"/>
    </row>
    <row r="693" spans="1:4" ht="15.75" hidden="1" outlineLevel="1">
      <c r="A693" s="46" t="s">
        <v>2673</v>
      </c>
      <c r="B693" s="47" t="s">
        <v>1863</v>
      </c>
      <c r="C693" s="46">
        <v>5.1029999999999998</v>
      </c>
      <c r="D693" s="126"/>
    </row>
    <row r="694" spans="1:4" ht="15.75" hidden="1" outlineLevel="1">
      <c r="A694" s="46" t="s">
        <v>2673</v>
      </c>
      <c r="B694" s="47" t="s">
        <v>123</v>
      </c>
      <c r="C694" s="46">
        <v>5.36</v>
      </c>
      <c r="D694" s="126"/>
    </row>
    <row r="695" spans="1:4" ht="15.75" hidden="1" outlineLevel="1">
      <c r="A695" s="46" t="s">
        <v>2673</v>
      </c>
      <c r="B695" s="47" t="s">
        <v>1463</v>
      </c>
      <c r="C695" s="46">
        <v>5.37</v>
      </c>
      <c r="D695" s="126"/>
    </row>
    <row r="696" spans="1:4" ht="15.75" hidden="1" outlineLevel="1">
      <c r="A696" s="46" t="s">
        <v>2673</v>
      </c>
      <c r="B696" s="47" t="s">
        <v>1864</v>
      </c>
      <c r="C696" s="46">
        <v>5.1040000000000001</v>
      </c>
      <c r="D696" s="126"/>
    </row>
    <row r="697" spans="1:4" ht="15.75" hidden="1" outlineLevel="1">
      <c r="A697" s="46" t="s">
        <v>2673</v>
      </c>
      <c r="B697" s="47" t="s">
        <v>1865</v>
      </c>
      <c r="C697" s="46">
        <v>5.1050000000000004</v>
      </c>
      <c r="D697" s="126"/>
    </row>
    <row r="698" spans="1:4" ht="15.75" hidden="1" outlineLevel="1">
      <c r="A698" s="46" t="s">
        <v>2673</v>
      </c>
      <c r="B698" s="47" t="s">
        <v>1866</v>
      </c>
      <c r="C698" s="46">
        <v>5.1059999999999999</v>
      </c>
      <c r="D698" s="126"/>
    </row>
    <row r="699" spans="1:4" ht="15.75" hidden="1" outlineLevel="1">
      <c r="A699" s="46" t="s">
        <v>2673</v>
      </c>
      <c r="B699" s="47" t="s">
        <v>1867</v>
      </c>
      <c r="C699" s="46">
        <v>5.1070000000000002</v>
      </c>
      <c r="D699" s="126"/>
    </row>
    <row r="700" spans="1:4" ht="15.75" hidden="1" outlineLevel="1">
      <c r="A700" s="46" t="s">
        <v>2673</v>
      </c>
      <c r="B700" s="47" t="s">
        <v>2526</v>
      </c>
      <c r="C700" s="46">
        <v>5.1079999999999997</v>
      </c>
      <c r="D700" s="125" t="s">
        <v>2856</v>
      </c>
    </row>
    <row r="701" spans="1:4" ht="15.75" hidden="1" outlineLevel="1">
      <c r="A701" s="46" t="s">
        <v>2673</v>
      </c>
      <c r="B701" s="47" t="s">
        <v>1469</v>
      </c>
      <c r="C701" s="46">
        <v>5.109</v>
      </c>
      <c r="D701" s="126"/>
    </row>
    <row r="702" spans="1:4" ht="15.75" hidden="1" outlineLevel="1">
      <c r="A702" s="46" t="s">
        <v>2673</v>
      </c>
      <c r="B702" s="47" t="s">
        <v>1471</v>
      </c>
      <c r="C702" s="49">
        <v>5.1100000000000003</v>
      </c>
      <c r="D702" s="125" t="s">
        <v>2856</v>
      </c>
    </row>
    <row r="703" spans="1:4" ht="15.75" hidden="1" outlineLevel="1">
      <c r="A703" s="46" t="s">
        <v>2673</v>
      </c>
      <c r="B703" s="47" t="s">
        <v>1470</v>
      </c>
      <c r="C703" s="46">
        <v>5.1109999999999998</v>
      </c>
      <c r="D703" s="126"/>
    </row>
    <row r="704" spans="1:4" ht="15.75" hidden="1" outlineLevel="1">
      <c r="A704" s="46" t="s">
        <v>2673</v>
      </c>
      <c r="B704" s="47" t="s">
        <v>1472</v>
      </c>
      <c r="C704" s="46">
        <v>5.1120000000000001</v>
      </c>
      <c r="D704" s="126"/>
    </row>
    <row r="705" spans="1:4" ht="15.75" hidden="1" outlineLevel="1">
      <c r="A705" s="46" t="s">
        <v>2673</v>
      </c>
      <c r="B705" s="47" t="s">
        <v>11</v>
      </c>
      <c r="C705" s="46">
        <v>5.53</v>
      </c>
      <c r="D705" s="126"/>
    </row>
    <row r="706" spans="1:4" ht="15.75" hidden="1" outlineLevel="1">
      <c r="A706" s="46" t="s">
        <v>2673</v>
      </c>
      <c r="B706" s="47" t="s">
        <v>1830</v>
      </c>
      <c r="C706" s="46">
        <v>5.64</v>
      </c>
      <c r="D706" s="126"/>
    </row>
    <row r="707" spans="1:4" ht="15.75" hidden="1" outlineLevel="1">
      <c r="A707" s="46" t="s">
        <v>2673</v>
      </c>
      <c r="B707" s="47" t="s">
        <v>20</v>
      </c>
      <c r="C707" s="46">
        <v>5.63</v>
      </c>
      <c r="D707" s="126"/>
    </row>
    <row r="708" spans="1:4" ht="15.75" hidden="1" outlineLevel="1">
      <c r="A708" s="46" t="s">
        <v>2673</v>
      </c>
      <c r="B708" s="47" t="s">
        <v>21</v>
      </c>
      <c r="C708" s="46">
        <v>5.65</v>
      </c>
      <c r="D708" s="126"/>
    </row>
    <row r="709" spans="1:4" ht="15.75" hidden="1" outlineLevel="1">
      <c r="A709" s="46" t="s">
        <v>2673</v>
      </c>
      <c r="B709" s="47" t="s">
        <v>128</v>
      </c>
      <c r="C709" s="46">
        <v>5.66</v>
      </c>
      <c r="D709" s="126"/>
    </row>
    <row r="710" spans="1:4" ht="15.75" hidden="1" outlineLevel="1">
      <c r="A710" s="46" t="s">
        <v>2673</v>
      </c>
      <c r="B710" s="47" t="s">
        <v>22</v>
      </c>
      <c r="C710" s="46">
        <v>5.68</v>
      </c>
      <c r="D710" s="126"/>
    </row>
    <row r="711" spans="1:4" ht="15.75" hidden="1" outlineLevel="1">
      <c r="A711" s="46" t="s">
        <v>2673</v>
      </c>
      <c r="B711" s="47" t="s">
        <v>24</v>
      </c>
      <c r="C711" s="46">
        <v>5.47</v>
      </c>
      <c r="D711" s="126"/>
    </row>
    <row r="712" spans="1:4" ht="15.75" hidden="1" outlineLevel="1">
      <c r="A712" s="46" t="s">
        <v>2673</v>
      </c>
      <c r="B712" s="47" t="s">
        <v>25</v>
      </c>
      <c r="C712" s="46">
        <v>5.48</v>
      </c>
      <c r="D712" s="126"/>
    </row>
    <row r="713" spans="1:4" ht="15.75">
      <c r="A713" s="52" t="s">
        <v>2673</v>
      </c>
      <c r="B713" s="47"/>
      <c r="C713" s="46"/>
      <c r="D713" s="126"/>
    </row>
    <row r="714" spans="1:4" ht="15.75" hidden="1" outlineLevel="1">
      <c r="A714" s="46" t="s">
        <v>2869</v>
      </c>
      <c r="B714" s="47" t="s">
        <v>0</v>
      </c>
      <c r="C714" s="46">
        <v>5.0999999999999996</v>
      </c>
      <c r="D714" s="126"/>
    </row>
    <row r="715" spans="1:4" ht="15.75" hidden="1" outlineLevel="1">
      <c r="A715" s="46" t="s">
        <v>2869</v>
      </c>
      <c r="B715" s="47" t="s">
        <v>1</v>
      </c>
      <c r="C715" s="46">
        <v>5.2</v>
      </c>
      <c r="D715" s="126"/>
    </row>
    <row r="716" spans="1:4" ht="15.75" hidden="1" outlineLevel="1">
      <c r="A716" s="46" t="s">
        <v>2869</v>
      </c>
      <c r="B716" s="47" t="s">
        <v>2</v>
      </c>
      <c r="C716" s="46">
        <v>5.3</v>
      </c>
      <c r="D716" s="126"/>
    </row>
    <row r="717" spans="1:4" ht="15.75" hidden="1" outlineLevel="1">
      <c r="A717" s="46" t="s">
        <v>2869</v>
      </c>
      <c r="B717" s="47" t="s">
        <v>119</v>
      </c>
      <c r="C717" s="46">
        <v>5.6</v>
      </c>
      <c r="D717" s="126"/>
    </row>
    <row r="718" spans="1:4" ht="15.75" hidden="1" outlineLevel="1">
      <c r="A718" s="46" t="s">
        <v>2869</v>
      </c>
      <c r="B718" s="47" t="s">
        <v>2857</v>
      </c>
      <c r="C718" s="48">
        <v>5.0999999999999996</v>
      </c>
      <c r="D718" s="126"/>
    </row>
    <row r="719" spans="1:4" ht="15.75" hidden="1" outlineLevel="1">
      <c r="A719" s="46" t="s">
        <v>2869</v>
      </c>
      <c r="B719" s="47" t="s">
        <v>1378</v>
      </c>
      <c r="C719" s="46">
        <v>5.14</v>
      </c>
      <c r="D719" s="126"/>
    </row>
    <row r="720" spans="1:4" ht="15.75" hidden="1" outlineLevel="1">
      <c r="A720" s="46" t="s">
        <v>2869</v>
      </c>
      <c r="B720" s="47" t="s">
        <v>4</v>
      </c>
      <c r="C720" s="46">
        <v>5.19</v>
      </c>
      <c r="D720" s="126"/>
    </row>
    <row r="721" spans="1:4" ht="15.75" hidden="1" outlineLevel="1">
      <c r="A721" s="46" t="s">
        <v>2869</v>
      </c>
      <c r="B721" s="47" t="s">
        <v>121</v>
      </c>
      <c r="C721" s="46">
        <v>5.24</v>
      </c>
      <c r="D721" s="126"/>
    </row>
    <row r="722" spans="1:4" ht="15.75" hidden="1" outlineLevel="1">
      <c r="A722" s="46" t="s">
        <v>2869</v>
      </c>
      <c r="B722" s="47" t="s">
        <v>5</v>
      </c>
      <c r="C722" s="46">
        <v>5.26</v>
      </c>
      <c r="D722" s="126"/>
    </row>
    <row r="723" spans="1:4" ht="15.75" hidden="1" outlineLevel="1">
      <c r="A723" s="46" t="s">
        <v>2869</v>
      </c>
      <c r="B723" s="47" t="s">
        <v>6</v>
      </c>
      <c r="C723" s="46">
        <v>5.27</v>
      </c>
      <c r="D723" s="126"/>
    </row>
    <row r="724" spans="1:4" ht="15.75" hidden="1" outlineLevel="1">
      <c r="A724" s="46" t="s">
        <v>2869</v>
      </c>
      <c r="B724" s="47" t="s">
        <v>7</v>
      </c>
      <c r="C724" s="46">
        <v>5.28</v>
      </c>
      <c r="D724" s="126"/>
    </row>
    <row r="725" spans="1:4" ht="15.75" hidden="1" outlineLevel="1">
      <c r="A725" s="46" t="s">
        <v>2869</v>
      </c>
      <c r="B725" s="47" t="s">
        <v>122</v>
      </c>
      <c r="C725" s="46">
        <v>5.31</v>
      </c>
      <c r="D725" s="126"/>
    </row>
    <row r="726" spans="1:4" ht="15.75" hidden="1" outlineLevel="1">
      <c r="A726" s="46" t="s">
        <v>2869</v>
      </c>
      <c r="B726" s="47" t="s">
        <v>123</v>
      </c>
      <c r="C726" s="46">
        <v>5.36</v>
      </c>
      <c r="D726" s="126"/>
    </row>
    <row r="727" spans="1:4" ht="15.75" hidden="1" outlineLevel="1">
      <c r="A727" s="46" t="s">
        <v>2869</v>
      </c>
      <c r="B727" s="47" t="s">
        <v>11</v>
      </c>
      <c r="C727" s="46">
        <v>5.53</v>
      </c>
      <c r="D727" s="126"/>
    </row>
    <row r="728" spans="1:4" ht="15.75" hidden="1" outlineLevel="1">
      <c r="A728" s="46" t="s">
        <v>2869</v>
      </c>
      <c r="B728" s="47" t="s">
        <v>1469</v>
      </c>
      <c r="C728" s="46">
        <v>5.109</v>
      </c>
      <c r="D728" s="126"/>
    </row>
    <row r="729" spans="1:4" ht="15.75" hidden="1" outlineLevel="1">
      <c r="A729" s="46" t="s">
        <v>2869</v>
      </c>
      <c r="B729" s="47" t="s">
        <v>1470</v>
      </c>
      <c r="C729" s="46">
        <v>5.1109999999999998</v>
      </c>
      <c r="D729" s="126"/>
    </row>
    <row r="730" spans="1:4" ht="15.75" hidden="1" outlineLevel="1">
      <c r="A730" s="46" t="s">
        <v>2869</v>
      </c>
      <c r="B730" s="47" t="s">
        <v>1472</v>
      </c>
      <c r="C730" s="46">
        <v>5.1120000000000001</v>
      </c>
      <c r="D730" s="126"/>
    </row>
    <row r="731" spans="1:4" ht="15.75" hidden="1" outlineLevel="1">
      <c r="A731" s="46" t="s">
        <v>2869</v>
      </c>
      <c r="B731" s="47" t="s">
        <v>2862</v>
      </c>
      <c r="C731" s="46">
        <v>5.1130000000000004</v>
      </c>
      <c r="D731" s="126"/>
    </row>
    <row r="732" spans="1:4" ht="15.75" hidden="1" outlineLevel="1">
      <c r="A732" s="46" t="s">
        <v>2869</v>
      </c>
      <c r="B732" s="47" t="s">
        <v>1869</v>
      </c>
      <c r="C732" s="46">
        <v>5.117</v>
      </c>
      <c r="D732" s="126"/>
    </row>
    <row r="733" spans="1:4" ht="15.75" hidden="1" outlineLevel="1">
      <c r="A733" s="46" t="s">
        <v>2869</v>
      </c>
      <c r="B733" s="47" t="s">
        <v>1870</v>
      </c>
      <c r="C733" s="46">
        <v>5.67</v>
      </c>
      <c r="D733" s="126"/>
    </row>
    <row r="734" spans="1:4" ht="15.75" hidden="1" outlineLevel="1">
      <c r="A734" s="46" t="s">
        <v>2869</v>
      </c>
      <c r="B734" s="47" t="s">
        <v>20</v>
      </c>
      <c r="C734" s="46">
        <v>5.63</v>
      </c>
      <c r="D734" s="126"/>
    </row>
    <row r="735" spans="1:4" ht="15.75" hidden="1" outlineLevel="1">
      <c r="A735" s="46" t="s">
        <v>2869</v>
      </c>
      <c r="B735" s="47" t="s">
        <v>24</v>
      </c>
      <c r="C735" s="46">
        <v>5.47</v>
      </c>
      <c r="D735" s="126"/>
    </row>
    <row r="736" spans="1:4" ht="15.75" hidden="1" outlineLevel="1">
      <c r="A736" s="46" t="s">
        <v>2869</v>
      </c>
      <c r="B736" s="47" t="s">
        <v>25</v>
      </c>
      <c r="C736" s="46">
        <v>5.48</v>
      </c>
      <c r="D736" s="126"/>
    </row>
    <row r="737" spans="1:4" ht="15.75">
      <c r="A737" s="52" t="s">
        <v>2870</v>
      </c>
      <c r="B737" s="47"/>
      <c r="C737" s="46"/>
      <c r="D737" s="126"/>
    </row>
    <row r="738" spans="1:4" ht="15.75" hidden="1" outlineLevel="1">
      <c r="A738" s="46" t="s">
        <v>2676</v>
      </c>
      <c r="B738" s="47" t="s">
        <v>0</v>
      </c>
      <c r="C738" s="46">
        <v>5.0999999999999996</v>
      </c>
      <c r="D738" s="126"/>
    </row>
    <row r="739" spans="1:4" ht="15.75" hidden="1" outlineLevel="1">
      <c r="A739" s="46" t="s">
        <v>2676</v>
      </c>
      <c r="B739" s="47" t="s">
        <v>1</v>
      </c>
      <c r="C739" s="46">
        <v>5.2</v>
      </c>
      <c r="D739" s="126"/>
    </row>
    <row r="740" spans="1:4" ht="15.75" hidden="1" outlineLevel="1">
      <c r="A740" s="46" t="s">
        <v>2676</v>
      </c>
      <c r="B740" s="47" t="s">
        <v>1871</v>
      </c>
      <c r="C740" s="46">
        <v>5.18</v>
      </c>
      <c r="D740" s="126"/>
    </row>
    <row r="741" spans="1:4" ht="15.75" hidden="1" outlineLevel="1">
      <c r="A741" s="46" t="s">
        <v>2676</v>
      </c>
      <c r="B741" s="47" t="s">
        <v>1872</v>
      </c>
      <c r="C741" s="46">
        <v>5.23</v>
      </c>
      <c r="D741" s="126"/>
    </row>
    <row r="742" spans="1:4" ht="15.75" hidden="1" outlineLevel="1">
      <c r="A742" s="46" t="s">
        <v>2676</v>
      </c>
      <c r="B742" s="47" t="s">
        <v>5</v>
      </c>
      <c r="C742" s="46">
        <v>5.26</v>
      </c>
      <c r="D742" s="126"/>
    </row>
    <row r="743" spans="1:4" ht="15.75" hidden="1" outlineLevel="1">
      <c r="A743" s="46" t="s">
        <v>2676</v>
      </c>
      <c r="B743" s="47" t="s">
        <v>6</v>
      </c>
      <c r="C743" s="46">
        <v>5.27</v>
      </c>
      <c r="D743" s="126"/>
    </row>
    <row r="744" spans="1:4" ht="15.75" hidden="1" outlineLevel="1">
      <c r="A744" s="46" t="s">
        <v>2676</v>
      </c>
      <c r="B744" s="47" t="s">
        <v>7</v>
      </c>
      <c r="C744" s="46">
        <v>5.28</v>
      </c>
      <c r="D744" s="126"/>
    </row>
    <row r="745" spans="1:4" ht="15.75" hidden="1" outlineLevel="1">
      <c r="A745" s="46" t="s">
        <v>2676</v>
      </c>
      <c r="B745" s="47" t="s">
        <v>123</v>
      </c>
      <c r="C745" s="46">
        <v>5.36</v>
      </c>
      <c r="D745" s="126"/>
    </row>
    <row r="746" spans="1:4" ht="15.75" hidden="1" outlineLevel="1">
      <c r="A746" s="46" t="s">
        <v>2676</v>
      </c>
      <c r="B746" s="47" t="s">
        <v>1873</v>
      </c>
      <c r="C746" s="46">
        <v>5.44</v>
      </c>
      <c r="D746" s="126"/>
    </row>
    <row r="747" spans="1:4" ht="15.75" hidden="1" outlineLevel="1">
      <c r="A747" s="46" t="s">
        <v>2676</v>
      </c>
      <c r="B747" s="47" t="s">
        <v>11</v>
      </c>
      <c r="C747" s="46">
        <v>5.53</v>
      </c>
      <c r="D747" s="126"/>
    </row>
    <row r="748" spans="1:4" ht="15.75" hidden="1" outlineLevel="1">
      <c r="A748" s="46" t="s">
        <v>2676</v>
      </c>
      <c r="B748" s="47" t="s">
        <v>1472</v>
      </c>
      <c r="C748" s="46">
        <v>5.1120000000000001</v>
      </c>
      <c r="D748" s="126"/>
    </row>
    <row r="749" spans="1:4" ht="15.75" hidden="1" outlineLevel="1">
      <c r="A749" s="46" t="s">
        <v>2676</v>
      </c>
      <c r="B749" s="47" t="s">
        <v>1860</v>
      </c>
      <c r="C749" s="46">
        <v>5.59</v>
      </c>
      <c r="D749" s="126"/>
    </row>
    <row r="750" spans="1:4" ht="15.75" hidden="1" outlineLevel="1">
      <c r="A750" s="46" t="s">
        <v>2676</v>
      </c>
      <c r="B750" s="47" t="s">
        <v>18</v>
      </c>
      <c r="C750" s="46">
        <v>5.54</v>
      </c>
      <c r="D750" s="126"/>
    </row>
    <row r="751" spans="1:4" ht="15.75" hidden="1" outlineLevel="1">
      <c r="A751" s="46" t="s">
        <v>2676</v>
      </c>
      <c r="B751" s="47" t="s">
        <v>20</v>
      </c>
      <c r="C751" s="46">
        <v>5.63</v>
      </c>
      <c r="D751" s="126"/>
    </row>
    <row r="752" spans="1:4" ht="15.75" hidden="1" outlineLevel="1">
      <c r="A752" s="46" t="s">
        <v>2676</v>
      </c>
      <c r="B752" s="47" t="s">
        <v>21</v>
      </c>
      <c r="C752" s="46">
        <v>5.65</v>
      </c>
      <c r="D752" s="126"/>
    </row>
    <row r="753" spans="1:4" ht="15.75" hidden="1" outlineLevel="1">
      <c r="A753" s="46" t="s">
        <v>2676</v>
      </c>
      <c r="B753" s="47" t="s">
        <v>22</v>
      </c>
      <c r="C753" s="46">
        <v>5.68</v>
      </c>
      <c r="D753" s="126"/>
    </row>
    <row r="754" spans="1:4" ht="15.75" hidden="1" outlineLevel="1">
      <c r="A754" s="46" t="s">
        <v>2676</v>
      </c>
      <c r="B754" s="47" t="s">
        <v>24</v>
      </c>
      <c r="C754" s="46">
        <v>5.47</v>
      </c>
      <c r="D754" s="126"/>
    </row>
    <row r="755" spans="1:4" ht="15.75" hidden="1" outlineLevel="1">
      <c r="A755" s="46" t="s">
        <v>2676</v>
      </c>
      <c r="B755" s="47" t="s">
        <v>25</v>
      </c>
      <c r="C755" s="46">
        <v>5.48</v>
      </c>
      <c r="D755" s="126"/>
    </row>
    <row r="756" spans="1:4" ht="15.75">
      <c r="A756" s="52" t="s">
        <v>2676</v>
      </c>
      <c r="B756" s="47"/>
      <c r="C756" s="46"/>
      <c r="D756" s="126"/>
    </row>
    <row r="757" spans="1:4" ht="15.75" hidden="1" outlineLevel="1">
      <c r="A757" s="46" t="s">
        <v>2871</v>
      </c>
      <c r="B757" s="47" t="s">
        <v>0</v>
      </c>
      <c r="C757" s="46">
        <v>5.0999999999999996</v>
      </c>
      <c r="D757" s="126"/>
    </row>
    <row r="758" spans="1:4" ht="15.75" hidden="1" outlineLevel="1">
      <c r="A758" s="46" t="s">
        <v>2871</v>
      </c>
      <c r="B758" s="47" t="s">
        <v>1</v>
      </c>
      <c r="C758" s="46">
        <v>5.2</v>
      </c>
      <c r="D758" s="126"/>
    </row>
    <row r="759" spans="1:4" ht="15.75" hidden="1" outlineLevel="1">
      <c r="A759" s="46" t="s">
        <v>2871</v>
      </c>
      <c r="B759" s="47" t="s">
        <v>1808</v>
      </c>
      <c r="C759" s="46">
        <v>5.9</v>
      </c>
      <c r="D759" s="125" t="s">
        <v>2856</v>
      </c>
    </row>
    <row r="760" spans="1:4" ht="15.75" hidden="1" outlineLevel="1">
      <c r="A760" s="46" t="s">
        <v>2871</v>
      </c>
      <c r="B760" s="47" t="s">
        <v>1809</v>
      </c>
      <c r="C760" s="46">
        <v>5.13</v>
      </c>
      <c r="D760" s="126"/>
    </row>
    <row r="761" spans="1:4" ht="15.75" hidden="1" outlineLevel="1">
      <c r="A761" s="46" t="s">
        <v>2871</v>
      </c>
      <c r="B761" s="47" t="s">
        <v>1810</v>
      </c>
      <c r="C761" s="46">
        <v>5.16</v>
      </c>
      <c r="D761" s="125" t="s">
        <v>2856</v>
      </c>
    </row>
    <row r="762" spans="1:4" ht="15.75" hidden="1" outlineLevel="1">
      <c r="A762" s="46" t="s">
        <v>2871</v>
      </c>
      <c r="B762" s="47" t="s">
        <v>1811</v>
      </c>
      <c r="C762" s="46">
        <v>5.22</v>
      </c>
      <c r="D762" s="125"/>
    </row>
    <row r="763" spans="1:4" ht="15.75" hidden="1" outlineLevel="1">
      <c r="A763" s="46" t="s">
        <v>2871</v>
      </c>
      <c r="B763" s="47" t="s">
        <v>1880</v>
      </c>
      <c r="C763" s="46">
        <v>5.42</v>
      </c>
      <c r="D763" s="126"/>
    </row>
    <row r="764" spans="1:4" ht="15.75" hidden="1" outlineLevel="1">
      <c r="A764" s="46" t="s">
        <v>2871</v>
      </c>
      <c r="B764" s="47" t="s">
        <v>6</v>
      </c>
      <c r="C764" s="46">
        <v>5.27</v>
      </c>
      <c r="D764" s="126"/>
    </row>
    <row r="765" spans="1:4" ht="15.75" hidden="1" outlineLevel="1">
      <c r="A765" s="46" t="s">
        <v>2871</v>
      </c>
      <c r="B765" s="47" t="s">
        <v>7</v>
      </c>
      <c r="C765" s="46">
        <v>5.28</v>
      </c>
      <c r="D765" s="125" t="s">
        <v>2856</v>
      </c>
    </row>
    <row r="766" spans="1:4" ht="15.75" hidden="1" outlineLevel="1">
      <c r="A766" s="46" t="s">
        <v>2871</v>
      </c>
      <c r="B766" s="47" t="s">
        <v>123</v>
      </c>
      <c r="C766" s="46">
        <v>5.36</v>
      </c>
      <c r="D766" s="126"/>
    </row>
    <row r="767" spans="1:4" ht="15.75" hidden="1" outlineLevel="1">
      <c r="A767" s="46" t="s">
        <v>2871</v>
      </c>
      <c r="B767" s="47" t="s">
        <v>9</v>
      </c>
      <c r="C767" s="46">
        <v>5.49</v>
      </c>
      <c r="D767" s="126"/>
    </row>
    <row r="768" spans="1:4" ht="15.75" hidden="1" outlineLevel="1">
      <c r="A768" s="46" t="s">
        <v>2871</v>
      </c>
      <c r="B768" s="47" t="s">
        <v>10</v>
      </c>
      <c r="C768" s="46">
        <v>5.51</v>
      </c>
      <c r="D768" s="126"/>
    </row>
    <row r="769" spans="1:4" ht="15.75" hidden="1" outlineLevel="1">
      <c r="A769" s="46" t="s">
        <v>2871</v>
      </c>
      <c r="B769" s="47" t="s">
        <v>2868</v>
      </c>
      <c r="C769" s="46">
        <v>5.52</v>
      </c>
      <c r="D769" s="126"/>
    </row>
    <row r="770" spans="1:4" ht="15.75" hidden="1" outlineLevel="1">
      <c r="A770" s="46" t="s">
        <v>2871</v>
      </c>
      <c r="B770" s="47" t="s">
        <v>11</v>
      </c>
      <c r="C770" s="46">
        <v>5.53</v>
      </c>
      <c r="D770" s="126"/>
    </row>
    <row r="771" spans="1:4" ht="15.75" hidden="1" outlineLevel="1">
      <c r="A771" s="46" t="s">
        <v>2871</v>
      </c>
      <c r="B771" s="47" t="s">
        <v>18</v>
      </c>
      <c r="C771" s="46">
        <v>5.54</v>
      </c>
      <c r="D771" s="126"/>
    </row>
    <row r="772" spans="1:4" ht="15.75" hidden="1" outlineLevel="1">
      <c r="A772" s="46" t="s">
        <v>2871</v>
      </c>
      <c r="B772" s="47" t="s">
        <v>14</v>
      </c>
      <c r="C772" s="48">
        <v>5.7</v>
      </c>
      <c r="D772" s="126"/>
    </row>
    <row r="773" spans="1:4" ht="15.75" hidden="1" outlineLevel="1">
      <c r="A773" s="46" t="s">
        <v>2871</v>
      </c>
      <c r="B773" s="47" t="s">
        <v>1817</v>
      </c>
      <c r="C773" s="46">
        <v>5.71</v>
      </c>
      <c r="D773" s="126"/>
    </row>
    <row r="774" spans="1:4" ht="15.75" hidden="1" outlineLevel="1">
      <c r="A774" s="46" t="s">
        <v>2871</v>
      </c>
      <c r="B774" s="47" t="s">
        <v>1881</v>
      </c>
      <c r="C774" s="48">
        <v>5.9</v>
      </c>
      <c r="D774" s="126"/>
    </row>
    <row r="775" spans="1:4" ht="15.75" hidden="1" outlineLevel="1">
      <c r="A775" s="46" t="s">
        <v>2871</v>
      </c>
      <c r="B775" s="47" t="s">
        <v>1882</v>
      </c>
      <c r="C775" s="46">
        <v>5.91</v>
      </c>
      <c r="D775" s="126"/>
    </row>
    <row r="776" spans="1:4" ht="15.75" hidden="1" outlineLevel="1">
      <c r="A776" s="46" t="s">
        <v>2871</v>
      </c>
      <c r="B776" s="47" t="s">
        <v>1883</v>
      </c>
      <c r="C776" s="46">
        <v>5.97</v>
      </c>
      <c r="D776" s="126"/>
    </row>
    <row r="777" spans="1:4" ht="15.75">
      <c r="A777" s="52" t="s">
        <v>2871</v>
      </c>
      <c r="B777" s="47"/>
      <c r="C777" s="46"/>
      <c r="D777" s="126"/>
    </row>
    <row r="778" spans="1:4" ht="15.75" hidden="1" outlineLevel="1">
      <c r="A778" s="46" t="s">
        <v>2711</v>
      </c>
      <c r="B778" s="47" t="s">
        <v>0</v>
      </c>
      <c r="C778" s="46">
        <v>5.0999999999999996</v>
      </c>
      <c r="D778" s="126"/>
    </row>
    <row r="779" spans="1:4" ht="15.75" hidden="1" outlineLevel="1">
      <c r="A779" s="46" t="s">
        <v>2711</v>
      </c>
      <c r="B779" s="47" t="s">
        <v>1</v>
      </c>
      <c r="C779" s="46">
        <v>5.2</v>
      </c>
      <c r="D779" s="126"/>
    </row>
    <row r="780" spans="1:4" ht="15.75" hidden="1" outlineLevel="1">
      <c r="A780" s="46" t="s">
        <v>2711</v>
      </c>
      <c r="B780" s="47" t="s">
        <v>5</v>
      </c>
      <c r="C780" s="46">
        <v>5.26</v>
      </c>
      <c r="D780" s="126"/>
    </row>
    <row r="781" spans="1:4" ht="15.75" hidden="1" outlineLevel="1">
      <c r="A781" s="46" t="s">
        <v>2711</v>
      </c>
      <c r="B781" s="47" t="s">
        <v>1551</v>
      </c>
      <c r="C781" s="46">
        <v>5.5</v>
      </c>
      <c r="D781" s="126"/>
    </row>
    <row r="782" spans="1:4" ht="15.75" hidden="1" outlineLevel="1">
      <c r="A782" s="46" t="s">
        <v>2711</v>
      </c>
      <c r="B782" s="47" t="s">
        <v>1552</v>
      </c>
      <c r="C782" s="46">
        <v>5.8</v>
      </c>
      <c r="D782" s="125" t="s">
        <v>2856</v>
      </c>
    </row>
    <row r="783" spans="1:4" ht="15.75" hidden="1" outlineLevel="1">
      <c r="A783" s="46" t="s">
        <v>2711</v>
      </c>
      <c r="B783" s="47" t="s">
        <v>1553</v>
      </c>
      <c r="C783" s="46">
        <v>5.12</v>
      </c>
      <c r="D783" s="46"/>
    </row>
    <row r="784" spans="1:4" ht="15.75" hidden="1" outlineLevel="1">
      <c r="A784" s="46" t="s">
        <v>2711</v>
      </c>
      <c r="B784" s="47" t="s">
        <v>1554</v>
      </c>
      <c r="C784" s="46">
        <v>5.15</v>
      </c>
      <c r="D784" s="46"/>
    </row>
    <row r="785" spans="1:4" ht="15.75" hidden="1" outlineLevel="1">
      <c r="A785" s="46" t="s">
        <v>2711</v>
      </c>
      <c r="B785" s="47" t="s">
        <v>1555</v>
      </c>
      <c r="C785" s="48">
        <v>5.2</v>
      </c>
      <c r="D785" s="125"/>
    </row>
    <row r="786" spans="1:4" ht="15.75" hidden="1" outlineLevel="1">
      <c r="A786" s="46" t="s">
        <v>2711</v>
      </c>
      <c r="B786" s="47" t="s">
        <v>1556</v>
      </c>
      <c r="C786" s="46">
        <v>5.25</v>
      </c>
      <c r="D786" s="46"/>
    </row>
    <row r="787" spans="1:4" ht="15.75" hidden="1" outlineLevel="1">
      <c r="A787" s="46" t="s">
        <v>2711</v>
      </c>
      <c r="B787" s="47" t="s">
        <v>11</v>
      </c>
      <c r="C787" s="46">
        <v>5.53</v>
      </c>
      <c r="D787" s="46"/>
    </row>
    <row r="788" spans="1:4" ht="15.75" hidden="1" outlineLevel="1">
      <c r="A788" s="46" t="s">
        <v>2711</v>
      </c>
      <c r="B788" s="47" t="s">
        <v>1884</v>
      </c>
      <c r="C788" s="48">
        <v>5.4</v>
      </c>
      <c r="D788" s="46"/>
    </row>
    <row r="789" spans="1:4" ht="31.5" hidden="1" outlineLevel="1">
      <c r="A789" s="46" t="s">
        <v>2711</v>
      </c>
      <c r="B789" s="47" t="s">
        <v>1885</v>
      </c>
      <c r="C789" s="46">
        <v>5.92</v>
      </c>
      <c r="D789" s="46"/>
    </row>
    <row r="790" spans="1:4" ht="15.75" hidden="1" outlineLevel="1">
      <c r="A790" s="46" t="s">
        <v>2711</v>
      </c>
      <c r="B790" s="47" t="s">
        <v>1886</v>
      </c>
      <c r="C790" s="46">
        <v>5.93</v>
      </c>
      <c r="D790" s="46"/>
    </row>
    <row r="791" spans="1:4" ht="31.5" hidden="1" outlineLevel="1">
      <c r="A791" s="46" t="s">
        <v>2711</v>
      </c>
      <c r="B791" s="47" t="s">
        <v>1887</v>
      </c>
      <c r="C791" s="46">
        <v>5.94</v>
      </c>
      <c r="D791" s="46"/>
    </row>
    <row r="792" spans="1:4" ht="15.75" hidden="1" outlineLevel="1">
      <c r="A792" s="46" t="s">
        <v>2711</v>
      </c>
      <c r="B792" s="47" t="s">
        <v>1888</v>
      </c>
      <c r="C792" s="46">
        <v>5.95</v>
      </c>
      <c r="D792" s="46"/>
    </row>
    <row r="793" spans="1:4" ht="15.75" hidden="1" outlineLevel="1">
      <c r="A793" s="46" t="s">
        <v>2711</v>
      </c>
      <c r="B793" s="47" t="s">
        <v>1889</v>
      </c>
      <c r="C793" s="46">
        <v>5.98</v>
      </c>
      <c r="D793" s="46"/>
    </row>
    <row r="794" spans="1:4" ht="15.75" hidden="1" outlineLevel="1">
      <c r="A794" s="46" t="s">
        <v>2711</v>
      </c>
      <c r="B794" s="47" t="s">
        <v>1890</v>
      </c>
      <c r="C794" s="46">
        <v>5.96</v>
      </c>
      <c r="D794" s="46"/>
    </row>
    <row r="795" spans="1:4" ht="31.5">
      <c r="A795" s="52" t="s">
        <v>2711</v>
      </c>
      <c r="B795" s="47"/>
      <c r="C795" s="46"/>
      <c r="D795" s="46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7" t="s">
        <v>2733</v>
      </c>
    </row>
    <row r="3" spans="1:2">
      <c r="A3" t="s">
        <v>2734</v>
      </c>
      <c r="B3" t="s">
        <v>2735</v>
      </c>
    </row>
    <row r="4" spans="1:2">
      <c r="A4" t="s">
        <v>2736</v>
      </c>
      <c r="B4" t="s">
        <v>2737</v>
      </c>
    </row>
    <row r="5" spans="1:2">
      <c r="A5" t="s">
        <v>2738</v>
      </c>
      <c r="B5" t="s">
        <v>2739</v>
      </c>
    </row>
    <row r="6" spans="1:2">
      <c r="A6" t="s">
        <v>2740</v>
      </c>
      <c r="B6" t="s">
        <v>2741</v>
      </c>
    </row>
    <row r="7" spans="1:2">
      <c r="A7" t="s">
        <v>2742</v>
      </c>
      <c r="B7" t="s">
        <v>2743</v>
      </c>
    </row>
    <row r="8" spans="1:2">
      <c r="A8" t="s">
        <v>2744</v>
      </c>
      <c r="B8" t="s">
        <v>2745</v>
      </c>
    </row>
    <row r="10" spans="1:2" ht="15">
      <c r="A10" s="27" t="s">
        <v>2746</v>
      </c>
    </row>
    <row r="11" spans="1:2">
      <c r="A11" t="s">
        <v>2747</v>
      </c>
    </row>
    <row r="12" spans="1:2">
      <c r="A12" t="s">
        <v>2748</v>
      </c>
      <c r="B12" t="s">
        <v>2749</v>
      </c>
    </row>
    <row r="14" spans="1:2">
      <c r="A14" s="38"/>
    </row>
    <row r="15" spans="1:2" ht="15">
      <c r="A15" s="27" t="s">
        <v>2750</v>
      </c>
    </row>
    <row r="16" spans="1:2">
      <c r="A16" s="36" t="s">
        <v>2751</v>
      </c>
    </row>
    <row r="17" spans="1:2">
      <c r="A17" s="36" t="s">
        <v>2752</v>
      </c>
    </row>
    <row r="18" spans="1:2">
      <c r="A18" s="36" t="s">
        <v>2753</v>
      </c>
    </row>
    <row r="19" spans="1:2">
      <c r="A19" s="36" t="s">
        <v>2754</v>
      </c>
    </row>
    <row r="21" spans="1:2" ht="15">
      <c r="A21" s="37" t="s">
        <v>2755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7" t="s">
        <v>2756</v>
      </c>
      <c r="B34" s="27" t="s">
        <v>132</v>
      </c>
    </row>
    <row r="35" spans="1:2">
      <c r="A35" s="147" t="s">
        <v>2757</v>
      </c>
      <c r="B35" s="148">
        <v>520023185</v>
      </c>
    </row>
    <row r="36" spans="1:2">
      <c r="A36" s="149" t="s">
        <v>2758</v>
      </c>
      <c r="B36" s="148">
        <v>520024647</v>
      </c>
    </row>
    <row r="37" spans="1:2">
      <c r="A37" s="149" t="s">
        <v>2759</v>
      </c>
      <c r="B37" s="148">
        <v>520004896</v>
      </c>
    </row>
    <row r="38" spans="1:2">
      <c r="A38" s="149" t="s">
        <v>2760</v>
      </c>
      <c r="B38" s="148">
        <v>520042540</v>
      </c>
    </row>
    <row r="39" spans="1:2">
      <c r="A39" s="149" t="s">
        <v>2761</v>
      </c>
      <c r="B39" s="148">
        <v>520021916</v>
      </c>
    </row>
    <row r="40" spans="1:2">
      <c r="A40" s="149" t="s">
        <v>2762</v>
      </c>
      <c r="B40" s="150">
        <v>510015951</v>
      </c>
    </row>
    <row r="41" spans="1:2">
      <c r="A41" s="149" t="s">
        <v>2763</v>
      </c>
      <c r="B41" s="150">
        <v>510888985</v>
      </c>
    </row>
    <row r="42" spans="1:2">
      <c r="A42" s="149" t="s">
        <v>359</v>
      </c>
      <c r="B42" s="150">
        <v>520042177</v>
      </c>
    </row>
    <row r="43" spans="1:2">
      <c r="A43" s="149" t="s">
        <v>2764</v>
      </c>
      <c r="B43" s="149">
        <v>520031030</v>
      </c>
    </row>
    <row r="44" spans="1:2">
      <c r="A44" s="149" t="s">
        <v>2765</v>
      </c>
      <c r="B44" s="149">
        <v>520030677</v>
      </c>
    </row>
    <row r="45" spans="1:2">
      <c r="A45" s="149" t="s">
        <v>2766</v>
      </c>
      <c r="B45" s="149">
        <v>513879189</v>
      </c>
    </row>
    <row r="46" spans="1:2">
      <c r="A46" s="149" t="s">
        <v>2767</v>
      </c>
      <c r="B46" s="150">
        <v>520027848</v>
      </c>
    </row>
    <row r="47" spans="1:2">
      <c r="A47" s="149" t="s">
        <v>2768</v>
      </c>
      <c r="B47" s="150">
        <v>570003152</v>
      </c>
    </row>
    <row r="48" spans="1:2">
      <c r="A48" s="149" t="s">
        <v>2769</v>
      </c>
      <c r="B48" s="149">
        <v>513910703</v>
      </c>
    </row>
    <row r="49" spans="1:2">
      <c r="A49" s="149" t="s">
        <v>2770</v>
      </c>
      <c r="B49" s="150">
        <v>512304882</v>
      </c>
    </row>
    <row r="50" spans="1:2">
      <c r="A50" s="149" t="s">
        <v>2771</v>
      </c>
      <c r="B50" s="150">
        <v>512310509</v>
      </c>
    </row>
    <row r="51" spans="1:2">
      <c r="A51" s="149" t="s">
        <v>2772</v>
      </c>
      <c r="B51" s="150">
        <v>512904608</v>
      </c>
    </row>
    <row r="52" spans="1:2">
      <c r="A52" s="149" t="s">
        <v>2773</v>
      </c>
      <c r="B52" s="150">
        <v>500500376</v>
      </c>
    </row>
    <row r="53" spans="1:2">
      <c r="A53" s="149" t="s">
        <v>2774</v>
      </c>
      <c r="B53" s="150">
        <v>520044025</v>
      </c>
    </row>
    <row r="54" spans="1:2">
      <c r="A54" s="149" t="s">
        <v>2775</v>
      </c>
      <c r="B54" s="150">
        <v>513136895</v>
      </c>
    </row>
    <row r="55" spans="1:2">
      <c r="A55" s="149" t="s">
        <v>2776</v>
      </c>
      <c r="B55" s="150">
        <v>520004078</v>
      </c>
    </row>
    <row r="56" spans="1:2">
      <c r="A56" s="149" t="s">
        <v>2777</v>
      </c>
      <c r="B56" s="150">
        <v>515761625</v>
      </c>
    </row>
    <row r="57" spans="1:2">
      <c r="A57" s="149" t="s">
        <v>2778</v>
      </c>
      <c r="B57" s="150">
        <v>515764868</v>
      </c>
    </row>
    <row r="58" spans="1:2">
      <c r="A58" s="149" t="s">
        <v>2779</v>
      </c>
      <c r="B58" s="151">
        <v>515859379</v>
      </c>
    </row>
    <row r="59" spans="1:2">
      <c r="A59" s="149" t="s">
        <v>2780</v>
      </c>
      <c r="B59" s="150">
        <v>516687407</v>
      </c>
    </row>
    <row r="60" spans="1:2">
      <c r="A60" s="149" t="s">
        <v>2781</v>
      </c>
      <c r="B60" s="150">
        <v>516885639</v>
      </c>
    </row>
    <row r="61" spans="1:2">
      <c r="A61" s="149" t="s">
        <v>2782</v>
      </c>
      <c r="B61" s="149">
        <v>570009449</v>
      </c>
    </row>
    <row r="62" spans="1:2">
      <c r="A62" s="149" t="s">
        <v>2783</v>
      </c>
      <c r="B62" s="150">
        <v>520027954</v>
      </c>
    </row>
    <row r="63" spans="1:2">
      <c r="A63" s="149" t="s">
        <v>2784</v>
      </c>
      <c r="B63" s="150">
        <v>512362914</v>
      </c>
    </row>
    <row r="64" spans="1:2">
      <c r="A64" s="149" t="s">
        <v>2785</v>
      </c>
      <c r="B64" s="150">
        <v>511880460</v>
      </c>
    </row>
    <row r="65" spans="1:2">
      <c r="A65" s="149" t="s">
        <v>2786</v>
      </c>
      <c r="B65" s="149">
        <v>511033060</v>
      </c>
    </row>
    <row r="66" spans="1:2">
      <c r="A66" s="149" t="s">
        <v>2787</v>
      </c>
      <c r="B66" s="149">
        <v>570005850</v>
      </c>
    </row>
    <row r="67" spans="1:2">
      <c r="A67" s="149" t="s">
        <v>2788</v>
      </c>
      <c r="B67" s="150">
        <v>510694821</v>
      </c>
    </row>
    <row r="68" spans="1:2">
      <c r="A68" s="149" t="s">
        <v>2789</v>
      </c>
      <c r="B68" s="149">
        <v>520027624</v>
      </c>
    </row>
    <row r="69" spans="1:2">
      <c r="A69" s="149" t="s">
        <v>2790</v>
      </c>
      <c r="B69" s="150">
        <v>520027715</v>
      </c>
    </row>
    <row r="70" spans="1:2">
      <c r="A70" s="149" t="s">
        <v>2791</v>
      </c>
      <c r="B70" s="150">
        <v>520028861</v>
      </c>
    </row>
    <row r="71" spans="1:2">
      <c r="A71" s="149" t="s">
        <v>2792</v>
      </c>
      <c r="B71" s="150">
        <v>520029620</v>
      </c>
    </row>
    <row r="72" spans="1:2">
      <c r="A72" s="149" t="s">
        <v>2793</v>
      </c>
      <c r="B72" s="150">
        <v>520030743</v>
      </c>
    </row>
    <row r="73" spans="1:2">
      <c r="A73" s="149" t="s">
        <v>2794</v>
      </c>
      <c r="B73" s="150">
        <v>520030198</v>
      </c>
    </row>
    <row r="74" spans="1:2">
      <c r="A74" s="149" t="s">
        <v>2795</v>
      </c>
      <c r="B74" s="150">
        <v>520042631</v>
      </c>
    </row>
    <row r="75" spans="1:2">
      <c r="A75" s="149" t="s">
        <v>2796</v>
      </c>
      <c r="B75" s="150">
        <v>520030941</v>
      </c>
    </row>
    <row r="76" spans="1:2">
      <c r="A76" s="149" t="s">
        <v>2797</v>
      </c>
      <c r="B76" s="150">
        <v>520032269</v>
      </c>
    </row>
    <row r="77" spans="1:2">
      <c r="A77" s="149" t="s">
        <v>2798</v>
      </c>
      <c r="B77" s="149">
        <v>510806870</v>
      </c>
    </row>
    <row r="78" spans="1:2">
      <c r="A78" s="149" t="s">
        <v>2799</v>
      </c>
      <c r="B78" s="149">
        <v>520031824</v>
      </c>
    </row>
    <row r="79" spans="1:2">
      <c r="A79" s="149" t="s">
        <v>2800</v>
      </c>
      <c r="B79" s="150">
        <v>510927536</v>
      </c>
    </row>
    <row r="80" spans="1:2">
      <c r="A80" s="149" t="s">
        <v>2801</v>
      </c>
      <c r="B80" s="150">
        <v>510930654</v>
      </c>
    </row>
    <row r="81" spans="1:2">
      <c r="A81" s="149" t="s">
        <v>2802</v>
      </c>
      <c r="B81" s="149">
        <v>510930670</v>
      </c>
    </row>
    <row r="82" spans="1:2">
      <c r="A82" s="149" t="s">
        <v>2803</v>
      </c>
      <c r="B82" s="150">
        <v>520034968</v>
      </c>
    </row>
    <row r="83" spans="1:2">
      <c r="A83" s="149" t="s">
        <v>2804</v>
      </c>
      <c r="B83" s="150">
        <v>520024985</v>
      </c>
    </row>
    <row r="84" spans="1:2">
      <c r="A84" s="149" t="s">
        <v>2805</v>
      </c>
      <c r="B84" s="149">
        <v>520030990</v>
      </c>
    </row>
    <row r="85" spans="1:2">
      <c r="A85" s="149" t="s">
        <v>2806</v>
      </c>
      <c r="B85" s="150">
        <v>520042615</v>
      </c>
    </row>
    <row r="86" spans="1:2">
      <c r="A86" s="149" t="s">
        <v>2807</v>
      </c>
      <c r="B86" s="150">
        <v>520042607</v>
      </c>
    </row>
    <row r="87" spans="1:2">
      <c r="A87" s="149" t="s">
        <v>2808</v>
      </c>
      <c r="B87" s="150">
        <v>520019688</v>
      </c>
    </row>
    <row r="88" spans="1:2">
      <c r="A88" s="149" t="s">
        <v>2809</v>
      </c>
      <c r="B88" s="150">
        <v>570014928</v>
      </c>
    </row>
    <row r="89" spans="1:2">
      <c r="A89" s="149" t="s">
        <v>2810</v>
      </c>
      <c r="B89" s="150">
        <v>510960586</v>
      </c>
    </row>
    <row r="90" spans="1:2">
      <c r="A90" s="149" t="s">
        <v>2811</v>
      </c>
      <c r="B90" s="149">
        <v>520042581</v>
      </c>
    </row>
    <row r="91" spans="1:2">
      <c r="A91" s="149" t="s">
        <v>2812</v>
      </c>
      <c r="B91" s="150">
        <v>570005959</v>
      </c>
    </row>
    <row r="92" spans="1:2">
      <c r="A92" s="149" t="s">
        <v>2813</v>
      </c>
      <c r="B92" s="150">
        <v>570002618</v>
      </c>
    </row>
    <row r="93" spans="1:2">
      <c r="A93" s="149" t="s">
        <v>2814</v>
      </c>
      <c r="B93" s="150">
        <v>511789190</v>
      </c>
    </row>
    <row r="94" spans="1:2">
      <c r="A94" s="149" t="s">
        <v>2815</v>
      </c>
      <c r="B94" s="150">
        <v>520022518</v>
      </c>
    </row>
    <row r="95" spans="1:2">
      <c r="A95" s="149" t="s">
        <v>2816</v>
      </c>
      <c r="B95" s="150">
        <v>520031659</v>
      </c>
    </row>
    <row r="96" spans="1:2">
      <c r="A96" s="149" t="s">
        <v>2817</v>
      </c>
      <c r="B96" s="150">
        <v>570007476</v>
      </c>
    </row>
    <row r="97" spans="1:2">
      <c r="A97" s="149" t="s">
        <v>2818</v>
      </c>
      <c r="B97" s="150">
        <v>570009852</v>
      </c>
    </row>
    <row r="98" spans="1:2">
      <c r="A98" s="149" t="s">
        <v>2819</v>
      </c>
      <c r="B98" s="150">
        <v>510800402</v>
      </c>
    </row>
    <row r="99" spans="1:2">
      <c r="A99" s="149" t="s">
        <v>2820</v>
      </c>
      <c r="B99" s="150">
        <v>510773922</v>
      </c>
    </row>
    <row r="100" spans="1:2">
      <c r="A100" s="149" t="s">
        <v>2821</v>
      </c>
      <c r="B100" s="150">
        <v>512008335</v>
      </c>
    </row>
    <row r="101" spans="1:2">
      <c r="A101" s="149" t="s">
        <v>2822</v>
      </c>
      <c r="B101" s="150">
        <v>510142789</v>
      </c>
    </row>
    <row r="102" spans="1:2">
      <c r="A102" s="149" t="s">
        <v>2823</v>
      </c>
      <c r="B102" s="150">
        <v>520028556</v>
      </c>
    </row>
    <row r="103" spans="1:2">
      <c r="A103" s="149" t="s">
        <v>2824</v>
      </c>
      <c r="B103" s="150">
        <v>520030693</v>
      </c>
    </row>
    <row r="104" spans="1:2">
      <c r="A104" s="149" t="s">
        <v>2825</v>
      </c>
      <c r="B104" s="150">
        <v>520042573</v>
      </c>
    </row>
    <row r="105" spans="1:2">
      <c r="A105" s="149" t="s">
        <v>2826</v>
      </c>
      <c r="B105" s="150">
        <v>511423048</v>
      </c>
    </row>
    <row r="106" spans="1:2">
      <c r="A106" s="149" t="s">
        <v>2827</v>
      </c>
      <c r="B106" s="150">
        <v>570011767</v>
      </c>
    </row>
    <row r="107" spans="1:2">
      <c r="A107" s="149" t="s">
        <v>2828</v>
      </c>
      <c r="B107" s="150">
        <v>512065202</v>
      </c>
    </row>
    <row r="108" spans="1:2">
      <c r="A108" s="149" t="s">
        <v>2829</v>
      </c>
      <c r="B108" s="150">
        <v>512711409</v>
      </c>
    </row>
    <row r="109" spans="1:2">
      <c r="A109" s="149" t="s">
        <v>2830</v>
      </c>
      <c r="B109" s="150">
        <v>520005497</v>
      </c>
    </row>
    <row r="110" spans="1:2">
      <c r="A110" s="149" t="s">
        <v>2831</v>
      </c>
      <c r="B110" s="150">
        <v>570024109</v>
      </c>
    </row>
    <row r="111" spans="1:2">
      <c r="A111" s="149" t="s">
        <v>2832</v>
      </c>
      <c r="B111" s="150">
        <v>520020447</v>
      </c>
    </row>
    <row r="112" spans="1:2">
      <c r="A112" s="149" t="s">
        <v>2833</v>
      </c>
      <c r="B112" s="150">
        <v>520023094</v>
      </c>
    </row>
    <row r="113" spans="1:2">
      <c r="A113" s="149" t="s">
        <v>2834</v>
      </c>
      <c r="B113" s="150">
        <v>520028812</v>
      </c>
    </row>
    <row r="114" spans="1:2">
      <c r="A114" s="149" t="s">
        <v>2835</v>
      </c>
      <c r="B114" s="150">
        <v>520022963</v>
      </c>
    </row>
    <row r="115" spans="1:2">
      <c r="A115" s="149" t="s">
        <v>2836</v>
      </c>
      <c r="B115" s="150">
        <v>520027251</v>
      </c>
    </row>
    <row r="116" spans="1:2">
      <c r="A116" s="149" t="s">
        <v>2837</v>
      </c>
      <c r="B116" s="150">
        <v>520028390</v>
      </c>
    </row>
    <row r="117" spans="1:2">
      <c r="A117" s="149" t="s">
        <v>2838</v>
      </c>
      <c r="B117" s="150">
        <v>513026484</v>
      </c>
    </row>
    <row r="118" spans="1:2">
      <c r="A118" s="149" t="s">
        <v>2839</v>
      </c>
      <c r="B118" s="150">
        <v>513173393</v>
      </c>
    </row>
    <row r="119" spans="1:2">
      <c r="A119" s="149" t="s">
        <v>2840</v>
      </c>
      <c r="B119" s="150">
        <v>513452003</v>
      </c>
    </row>
    <row r="120" spans="1:2">
      <c r="A120" s="149" t="s">
        <v>2841</v>
      </c>
      <c r="B120" s="150">
        <v>513611509</v>
      </c>
    </row>
    <row r="121" spans="1:2">
      <c r="A121" s="149" t="s">
        <v>2842</v>
      </c>
      <c r="B121" s="150">
        <v>513621110</v>
      </c>
    </row>
    <row r="122" spans="1:2">
      <c r="A122" s="149" t="s">
        <v>2843</v>
      </c>
      <c r="B122" s="149">
        <v>512244146</v>
      </c>
    </row>
    <row r="123" spans="1:2">
      <c r="A123" s="149" t="s">
        <v>2844</v>
      </c>
      <c r="B123" s="150">
        <v>512237744</v>
      </c>
    </row>
    <row r="124" spans="1:2">
      <c r="A124" s="149" t="s">
        <v>2845</v>
      </c>
      <c r="B124" s="150">
        <v>512267592</v>
      </c>
    </row>
    <row r="125" spans="1:2">
      <c r="A125" s="149" t="s">
        <v>2846</v>
      </c>
      <c r="B125" s="150">
        <v>514767490</v>
      </c>
    </row>
    <row r="126" spans="1:2">
      <c r="A126" s="149" t="s">
        <v>2847</v>
      </c>
      <c r="B126" s="150">
        <v>514956465</v>
      </c>
    </row>
    <row r="127" spans="1:2">
      <c r="A127" s="149" t="s">
        <v>2848</v>
      </c>
      <c r="B127" s="150">
        <v>512245812</v>
      </c>
    </row>
    <row r="128" spans="1:2">
      <c r="A128" s="149" t="s">
        <v>2849</v>
      </c>
      <c r="B128" s="150">
        <v>515447035</v>
      </c>
    </row>
    <row r="129" spans="1:2">
      <c r="A129" s="149" t="s">
        <v>2850</v>
      </c>
      <c r="B129" s="150">
        <v>516463635</v>
      </c>
    </row>
    <row r="130" spans="1:2">
      <c r="A130" s="149" t="s">
        <v>2851</v>
      </c>
      <c r="B130" s="15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2025-11-30T13:14:42Z</dcterms:modified>
</cp:coreProperties>
</file>