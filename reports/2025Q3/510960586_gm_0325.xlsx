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Hub University\דוח לשידור\"/>
    </mc:Choice>
  </mc:AlternateContent>
  <xr:revisionPtr revIDLastSave="0" documentId="8_{AAC8C519-F1F7-45EC-96FC-24B9BEE3D0D5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הלוואות!$W$1:$W$199</definedName>
    <definedName name="_xlnm._FilterDatabase" localSheetId="2" hidden="1">'מזומנים ושווי מזומנים'!$A$1:$Q$72</definedName>
    <definedName name="_xlnm._FilterDatabase" localSheetId="32" hidden="1">'מיפוי סעיפים'!$A$1:$D$795</definedName>
    <definedName name="_xlnm._FilterDatabase" localSheetId="19" hidden="1">'קרנות השקעה'!$A$1:$Z$287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 s="1"/>
  <c r="E7" i="2" l="1"/>
  <c r="E15" i="2"/>
  <c r="E23" i="2"/>
  <c r="E4" i="2"/>
  <c r="E12" i="2"/>
  <c r="E20" i="2"/>
  <c r="E9" i="2"/>
  <c r="E17" i="2"/>
  <c r="E25" i="2"/>
  <c r="E6" i="2"/>
  <c r="E14" i="2"/>
  <c r="E22" i="2"/>
  <c r="E3" i="2"/>
  <c r="E11" i="2"/>
  <c r="E19" i="2"/>
  <c r="E27" i="2"/>
  <c r="E8" i="2"/>
  <c r="E16" i="2"/>
  <c r="E24" i="2"/>
  <c r="E5" i="2"/>
  <c r="E13" i="2"/>
  <c r="E21" i="2"/>
  <c r="E29" i="2"/>
  <c r="E10" i="2"/>
  <c r="E18" i="2"/>
  <c r="E26" i="2"/>
  <c r="E30" i="2" l="1"/>
</calcChain>
</file>

<file path=xl/sharedStrings.xml><?xml version="1.0" encoding="utf-8"?>
<sst xmlns="http://schemas.openxmlformats.org/spreadsheetml/2006/main" count="48970" uniqueCount="3308">
  <si>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</si>
  <si>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</si>
  <si>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</si>
  <si>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</si>
  <si>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</si>
  <si>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</si>
  <si>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</si>
  <si>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</si>
  <si>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</si>
  <si>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</si>
  <si>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</si>
  <si>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</si>
  <si>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</si>
  <si>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</si>
  <si>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</si>
  <si>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</si>
  <si>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</si>
  <si>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</si>
  <si>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</si>
  <si>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</si>
  <si>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</si>
  <si>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</si>
  <si>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</si>
  <si>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</si>
  <si>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</si>
  <si>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</si>
  <si>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</si>
  <si>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416</t>
  </si>
  <si>
    <t>IL0082604161</t>
  </si>
  <si>
    <t>מק"מ קצר משנים עשר חודשים</t>
  </si>
  <si>
    <t>ישראל</t>
  </si>
  <si>
    <t>TASE</t>
  </si>
  <si>
    <t>RF</t>
  </si>
  <si>
    <t>פנימי</t>
  </si>
  <si>
    <t>ILS</t>
  </si>
  <si>
    <t>01/04/2026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</si>
  <si>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</si>
  <si>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</si>
  <si>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</si>
  <si>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</si>
  <si>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</si>
  <si>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</si>
  <si>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</si>
  <si>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</si>
  <si>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</si>
  <si>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1131</t>
  </si>
  <si>
    <t>IL0011722209</t>
  </si>
  <si>
    <t>30/11/2031</t>
  </si>
  <si>
    <t>שחר</t>
  </si>
  <si>
    <t>ממשל שקלית 0327</t>
  </si>
  <si>
    <t>IL0011393449</t>
  </si>
  <si>
    <t>לא צמוד למדד המחירים לצרכן ריבית קבועה</t>
  </si>
  <si>
    <t>31/03/2027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</si>
  <si>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</si>
  <si>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</si>
  <si>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</si>
  <si>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</si>
  <si>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</si>
  <si>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</si>
  <si>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</si>
  <si>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</si>
  <si>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</si>
  <si>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</si>
  <si>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</si>
  <si>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</si>
  <si>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</si>
  <si>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</si>
  <si>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</si>
  <si>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</si>
  <si>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</si>
  <si>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</si>
  <si>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</si>
  <si>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</si>
  <si>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</si>
  <si>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</si>
  <si>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</si>
  <si>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</si>
  <si>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</si>
  <si>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</si>
  <si>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</si>
  <si>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</si>
  <si>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</si>
  <si>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</si>
  <si>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</si>
  <si>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</si>
  <si>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</si>
  <si>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ממשל צמודה0431</t>
  </si>
  <si>
    <t>IL0012207226</t>
  </si>
  <si>
    <t>30/04/2031</t>
  </si>
  <si>
    <t>ממשל שקלית  0927</t>
  </si>
  <si>
    <t>IL0012035791</t>
  </si>
  <si>
    <t>30/09/2027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</si>
  <si>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</si>
  <si>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</si>
  <si>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</si>
  <si>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</si>
  <si>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</si>
  <si>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מקמ       816</t>
  </si>
  <si>
    <t>IL0082608121</t>
  </si>
  <si>
    <t>06/08/2026</t>
  </si>
  <si>
    <t>ממשל צמודה 1025</t>
  </si>
  <si>
    <t>IL0011359127</t>
  </si>
  <si>
    <t>31/10/2025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</si>
  <si>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</si>
  <si>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</si>
  <si>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</si>
  <si>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</si>
  <si>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</si>
  <si>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</si>
  <si>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מקמ       316</t>
  </si>
  <si>
    <t>IL0082603171</t>
  </si>
  <si>
    <t>04/03/2026</t>
  </si>
  <si>
    <t>מקמ       726</t>
  </si>
  <si>
    <t>IL0082607214</t>
  </si>
  <si>
    <t>08/07/2026</t>
  </si>
  <si>
    <t>ממשל שקלית 0229</t>
  </si>
  <si>
    <t>IL0011948028</t>
  </si>
  <si>
    <t>28/02/2029</t>
  </si>
  <si>
    <t>ממשלתי שקלי  1026</t>
  </si>
  <si>
    <t>IL0010994569</t>
  </si>
  <si>
    <t>30/10/2026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</si>
  <si>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</si>
  <si>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</si>
  <si>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</si>
  <si>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</si>
  <si>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</si>
  <si>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</si>
  <si>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</si>
  <si>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</si>
  <si>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</si>
  <si>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</si>
  <si>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</si>
  <si>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פתרונות לחקלאות בע"מ</t>
  </si>
  <si>
    <t>520043605</t>
  </si>
  <si>
    <t>ח.פ.</t>
  </si>
  <si>
    <t>אדמה אגח ב</t>
  </si>
  <si>
    <t>IL0011109159</t>
  </si>
  <si>
    <t>ISIN</t>
  </si>
  <si>
    <t>צמוד למדד המחירים לצרכן</t>
  </si>
  <si>
    <t>סחיר</t>
  </si>
  <si>
    <t>כימיה, גומי ופלסטיק</t>
  </si>
  <si>
    <t>לא</t>
  </si>
  <si>
    <t>AA-</t>
  </si>
  <si>
    <t>S&amp;P מעלות</t>
  </si>
  <si>
    <t>נייר ערך</t>
  </si>
  <si>
    <t>30/11/2036</t>
  </si>
  <si>
    <t>החוב לא נחות</t>
  </si>
  <si>
    <t>או.פי.סי. אנרגיה בע"מ</t>
  </si>
  <si>
    <t>514401702</t>
  </si>
  <si>
    <t>או פי סי אגח ב'</t>
  </si>
  <si>
    <t>IL0011660573</t>
  </si>
  <si>
    <t>אנרגיה</t>
  </si>
  <si>
    <t>A+</t>
  </si>
  <si>
    <t>01/10/2028</t>
  </si>
  <si>
    <t>או.פי.סי  אגח ג</t>
  </si>
  <si>
    <t>IL0011803553</t>
  </si>
  <si>
    <t>לא צמוד למדד המחירים לצרכן</t>
  </si>
  <si>
    <t>01/09/2030</t>
  </si>
  <si>
    <t>אזורים-חברה להשקעות בפתוח ובבנין בע"מ</t>
  </si>
  <si>
    <t>520025990</t>
  </si>
  <si>
    <t>אזורים סדרה 14</t>
  </si>
  <si>
    <t>IL0071504448</t>
  </si>
  <si>
    <t>בנייה</t>
  </si>
  <si>
    <t>A1</t>
  </si>
  <si>
    <t>מידרוג Moodys</t>
  </si>
  <si>
    <t>31/12/2028</t>
  </si>
  <si>
    <t>איי.די.איי. הנפקות (2010) בע"מ</t>
  </si>
  <si>
    <t>514486042</t>
  </si>
  <si>
    <t>איידיאיי הנ הת ז</t>
  </si>
  <si>
    <t>IL0012293507</t>
  </si>
  <si>
    <t>ביטוח</t>
  </si>
  <si>
    <t>A2</t>
  </si>
  <si>
    <t>22/09/2035</t>
  </si>
  <si>
    <t>איידיאיי הנפקות אגח ו</t>
  </si>
  <si>
    <t>IL0011830374</t>
  </si>
  <si>
    <t>15/12/2028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</si>
  <si>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</si>
  <si>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</si>
  <si>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</si>
  <si>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</si>
  <si>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</si>
  <si>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</si>
  <si>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</si>
  <si>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</si>
  <si>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</si>
  <si>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</si>
  <si>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</si>
  <si>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</si>
  <si>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</si>
  <si>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</si>
  <si>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</si>
  <si>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</si>
  <si>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</si>
  <si>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</si>
  <si>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</si>
  <si>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</si>
  <si>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</si>
  <si>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</si>
  <si>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</si>
  <si>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</si>
  <si>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</si>
  <si>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</si>
  <si>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</si>
  <si>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</si>
  <si>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</si>
  <si>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</si>
  <si>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</si>
  <si>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</si>
  <si>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נדל"ן מניב בחו"ל</t>
  </si>
  <si>
    <t>A3</t>
  </si>
  <si>
    <t>30/11/2034</t>
  </si>
  <si>
    <t>אמות השקעות בע"מ</t>
  </si>
  <si>
    <t>520026683</t>
  </si>
  <si>
    <t>אמות אגח י</t>
  </si>
  <si>
    <t>IL0012050048</t>
  </si>
  <si>
    <t>05/01/2037</t>
  </si>
  <si>
    <t>אנלייט אנרגיה מתחדשת בע"מ</t>
  </si>
  <si>
    <t>520041146</t>
  </si>
  <si>
    <t>אנלייט אנר אגח ז</t>
  </si>
  <si>
    <t>IL0012181223</t>
  </si>
  <si>
    <t>אנרגיה מתחדשת</t>
  </si>
  <si>
    <t>01/09/2033</t>
  </si>
  <si>
    <t>אנלייט אנרגיה אגח ד</t>
  </si>
  <si>
    <t>IL0072002566</t>
  </si>
  <si>
    <t>ארה"ב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</si>
  <si>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</si>
  <si>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</si>
  <si>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</si>
  <si>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</si>
  <si>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</si>
  <si>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</si>
  <si>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</si>
  <si>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</si>
  <si>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</si>
  <si>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</si>
  <si>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</si>
  <si>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</si>
  <si>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</si>
  <si>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</si>
  <si>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</si>
  <si>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</si>
  <si>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</si>
  <si>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</si>
  <si>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</si>
  <si>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</si>
  <si>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</si>
  <si>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</si>
  <si>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</si>
  <si>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</si>
  <si>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</si>
  <si>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</si>
  <si>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</si>
  <si>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</si>
  <si>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</si>
  <si>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קבוצת אשטרום</t>
  </si>
  <si>
    <t>510381601</t>
  </si>
  <si>
    <t>אשטרום קבוצה אגח ה</t>
  </si>
  <si>
    <t>IL0011995797</t>
  </si>
  <si>
    <t>31/12/2032</t>
  </si>
  <si>
    <t>בתי זקוק לנפט בע"מ</t>
  </si>
  <si>
    <t>520036658</t>
  </si>
  <si>
    <t>בזן אגח טו</t>
  </si>
  <si>
    <t>IL0012119868</t>
  </si>
  <si>
    <t>25/12/2034</t>
  </si>
  <si>
    <t>בזן אגח י</t>
  </si>
  <si>
    <t>IL0025905113</t>
  </si>
  <si>
    <t>25/09/2031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</si>
  <si>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</si>
  <si>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</si>
  <si>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</si>
  <si>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</si>
  <si>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</si>
  <si>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</si>
  <si>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יח</t>
  </si>
  <si>
    <t>IL0011742264</t>
  </si>
  <si>
    <t>ביג אגח כ</t>
  </si>
  <si>
    <t>IL0011861882</t>
  </si>
  <si>
    <t>01/05/2033</t>
  </si>
  <si>
    <t>ביג אגח כד</t>
  </si>
  <si>
    <t>IL0012270323</t>
  </si>
  <si>
    <t>10/08/2034</t>
  </si>
  <si>
    <t>הבינלאומי הראשון הנפקות בע"מ</t>
  </si>
  <si>
    <t>513141879</t>
  </si>
  <si>
    <t>בינל הנפקות אגח יג</t>
  </si>
  <si>
    <t>IL0012284696</t>
  </si>
  <si>
    <t>בנקים</t>
  </si>
  <si>
    <t>AAA</t>
  </si>
  <si>
    <t>04/09/2028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</si>
  <si>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</si>
  <si>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</si>
  <si>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</si>
  <si>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</si>
  <si>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</si>
  <si>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</si>
  <si>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</si>
  <si>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</si>
  <si>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</si>
  <si>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</si>
  <si>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</si>
  <si>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</si>
  <si>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</si>
  <si>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</si>
  <si>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</si>
  <si>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</si>
  <si>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גב ים סד' ו'</t>
  </si>
  <si>
    <t>IL0075901285</t>
  </si>
  <si>
    <t>31/03/2026</t>
  </si>
  <si>
    <t>דיסקונט מנפיקים בע"מ</t>
  </si>
  <si>
    <t>520029935</t>
  </si>
  <si>
    <t>דיסק מנ אגח טז</t>
  </si>
  <si>
    <t>IL0012031576</t>
  </si>
  <si>
    <t>20/03/2035</t>
  </si>
  <si>
    <t>חברת השקעות דיסקונט בע"מ</t>
  </si>
  <si>
    <t>520023896</t>
  </si>
  <si>
    <t>דיסקונט השקעות אגח ו</t>
  </si>
  <si>
    <t>IL0063902071</t>
  </si>
  <si>
    <t>BBB</t>
  </si>
  <si>
    <t>31/12/2025</t>
  </si>
  <si>
    <t>כן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</si>
  <si>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</si>
  <si>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</si>
  <si>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</si>
  <si>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</si>
  <si>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</si>
  <si>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</si>
  <si>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</si>
  <si>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</si>
  <si>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</si>
  <si>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</si>
  <si>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A-</t>
  </si>
  <si>
    <t>01/10/2034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</si>
  <si>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</si>
  <si>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</si>
  <si>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</si>
  <si>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</si>
  <si>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</si>
  <si>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</si>
  <si>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</si>
  <si>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הראל ביטוח מימון והנפקות בע"מ</t>
  </si>
  <si>
    <t>513834200</t>
  </si>
  <si>
    <t>הראל הנפק נד כא</t>
  </si>
  <si>
    <t>IL0012206079</t>
  </si>
  <si>
    <t>30/06/2074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</si>
  <si>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</si>
  <si>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</si>
  <si>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</si>
  <si>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</si>
  <si>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</si>
  <si>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</si>
  <si>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</si>
  <si>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    אגח 29</t>
  </si>
  <si>
    <t>IL0060002362</t>
  </si>
  <si>
    <t>01/03/2026</t>
  </si>
  <si>
    <t>חשמל אגח 34</t>
  </si>
  <si>
    <t>IL0011967812</t>
  </si>
  <si>
    <t>12/06/2033</t>
  </si>
  <si>
    <t>חשמל אגח 36</t>
  </si>
  <si>
    <t>IL0012215898</t>
  </si>
  <si>
    <t>11/05/2034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</si>
  <si>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</si>
  <si>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</si>
  <si>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</si>
  <si>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</si>
  <si>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</si>
  <si>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נגב 2 שותפות מוגבלת</t>
  </si>
  <si>
    <t>550010003</t>
  </si>
  <si>
    <t>מספר שותפות</t>
  </si>
  <si>
    <t>ישראמקו אגח ג</t>
  </si>
  <si>
    <t>IL0023202323</t>
  </si>
  <si>
    <t>חיפושי נפט וגז</t>
  </si>
  <si>
    <t>10/10/2030</t>
  </si>
  <si>
    <t>כללביט מימון בע"מ</t>
  </si>
  <si>
    <t>513754069</t>
  </si>
  <si>
    <t>כלל הון  אגח יד</t>
  </si>
  <si>
    <t>IL0012205246</t>
  </si>
  <si>
    <t>30/09/2039</t>
  </si>
  <si>
    <t>כלל מימון אגח יג</t>
  </si>
  <si>
    <t>IL0011979205</t>
  </si>
  <si>
    <t>שירותים פיננסיים</t>
  </si>
  <si>
    <t>31/07/2034</t>
  </si>
  <si>
    <t>בנק לאומי לישראל בע"מ</t>
  </si>
  <si>
    <t>520018078</t>
  </si>
  <si>
    <t>לאומי אגח 179</t>
  </si>
  <si>
    <t>IL0060403727</t>
  </si>
  <si>
    <t>30/06/2026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</si>
  <si>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</si>
  <si>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</si>
  <si>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</si>
  <si>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</si>
  <si>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</si>
  <si>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</si>
  <si>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188</t>
  </si>
  <si>
    <t>IL0012286675</t>
  </si>
  <si>
    <t>Aaa</t>
  </si>
  <si>
    <t>01/08/2036</t>
  </si>
  <si>
    <t>לאומי התח נדח' סד' 406</t>
  </si>
  <si>
    <t>IL0012164237</t>
  </si>
  <si>
    <t>28/02/2036</t>
  </si>
  <si>
    <t>מבנה נדל"ן (כ.ד)  בע"מ</t>
  </si>
  <si>
    <t>520024126</t>
  </si>
  <si>
    <t>מבנה אגח כה</t>
  </si>
  <si>
    <t>IL0022606367</t>
  </si>
  <si>
    <t>30/09/2033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</si>
  <si>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</si>
  <si>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</si>
  <si>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</si>
  <si>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</si>
  <si>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</si>
  <si>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</si>
  <si>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מגדלי הים התיכון</t>
  </si>
  <si>
    <t>512719485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</si>
  <si>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</si>
  <si>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</si>
  <si>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</si>
  <si>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</si>
  <si>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</si>
  <si>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</si>
  <si>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31/03/2032</t>
  </si>
  <si>
    <t>מזרחי טפחות חברה להנפקות בע"מ</t>
  </si>
  <si>
    <t>520032046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</si>
  <si>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</si>
  <si>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</si>
  <si>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</si>
  <si>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</si>
  <si>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</si>
  <si>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</si>
  <si>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הנפקות אגח 42</t>
  </si>
  <si>
    <t>IL0023101830</t>
  </si>
  <si>
    <t>09/06/2030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</si>
  <si>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</si>
  <si>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</si>
  <si>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</si>
  <si>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</si>
  <si>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</si>
  <si>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</si>
  <si>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</si>
  <si>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</si>
  <si>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</si>
  <si>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</si>
  <si>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</si>
  <si>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</si>
  <si>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</si>
  <si>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</si>
  <si>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 xml:space="preserve">מניף - שירותים פיננסים בע"מ </t>
  </si>
  <si>
    <t>512764408</t>
  </si>
  <si>
    <t>מניף אגח א</t>
  </si>
  <si>
    <t>IL0011858839</t>
  </si>
  <si>
    <t>אשראי חוץ בנקאי</t>
  </si>
  <si>
    <t>30/09/2026</t>
  </si>
  <si>
    <t>מניף אגח ב</t>
  </si>
  <si>
    <t>IL0011988602</t>
  </si>
  <si>
    <t>31/07/2028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</si>
  <si>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</si>
  <si>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</si>
  <si>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</si>
  <si>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</si>
  <si>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</si>
  <si>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</si>
  <si>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</si>
  <si>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</si>
  <si>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</si>
  <si>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</si>
  <si>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</si>
  <si>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</si>
  <si>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</si>
  <si>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שירותים</t>
  </si>
  <si>
    <t>31/12/2053</t>
  </si>
  <si>
    <t>נאוויטס פטרוליום, שותפות מוגבלת</t>
  </si>
  <si>
    <t>550263107</t>
  </si>
  <si>
    <t>נאוויטס אגח ז</t>
  </si>
  <si>
    <t>IL0012160433</t>
  </si>
  <si>
    <t>BBB+</t>
  </si>
  <si>
    <t>30/06/2030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</si>
  <si>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</si>
  <si>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</si>
  <si>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</si>
  <si>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</si>
  <si>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</si>
  <si>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</si>
  <si>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</si>
  <si>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</si>
  <si>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NR</t>
  </si>
  <si>
    <t>30/09/2030</t>
  </si>
  <si>
    <t>ע.י נופר אנרגי' בע"מ</t>
  </si>
  <si>
    <t>514599943</t>
  </si>
  <si>
    <t>נופר אנרג אגח ג</t>
  </si>
  <si>
    <t>IL0011980435</t>
  </si>
  <si>
    <t>נופר אנרג אגח ד</t>
  </si>
  <si>
    <t>IL0012114166</t>
  </si>
  <si>
    <t>31/12/2033</t>
  </si>
  <si>
    <t>נמקו ריאליטי לטד</t>
  </si>
  <si>
    <t>1905761</t>
  </si>
  <si>
    <t>מספר תאגיד או שותפות בחו"ל</t>
  </si>
  <si>
    <t>נמקו אגח ד 15/04/2029 6.25%</t>
  </si>
  <si>
    <t>IL0012064734</t>
  </si>
  <si>
    <t>15/04/2029</t>
  </si>
  <si>
    <t>נמקו אגח ו</t>
  </si>
  <si>
    <t>IL0012231713</t>
  </si>
  <si>
    <t>אחר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</si>
  <si>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</si>
  <si>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</si>
  <si>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</si>
  <si>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</si>
  <si>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</si>
  <si>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</si>
  <si>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</si>
  <si>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קבוצת עזריאלי בע"מ (לשעבר קנית מימון)</t>
  </si>
  <si>
    <t>510960719</t>
  </si>
  <si>
    <t>עזריאלי אגח ה</t>
  </si>
  <si>
    <t>IL0011566036</t>
  </si>
  <si>
    <t>Aa1</t>
  </si>
  <si>
    <t>30/06/2028</t>
  </si>
  <si>
    <t>עזריאלי אגח ז</t>
  </si>
  <si>
    <t>IL0011786725</t>
  </si>
  <si>
    <t>AA+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</si>
  <si>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</si>
  <si>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</si>
  <si>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</si>
  <si>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</si>
  <si>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</si>
  <si>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</si>
  <si>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</si>
  <si>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בנק הפועלים בע"מ</t>
  </si>
  <si>
    <t>520000118</t>
  </si>
  <si>
    <t>פועלים הת נד טו</t>
  </si>
  <si>
    <t>IL0012274465</t>
  </si>
  <si>
    <t>21/08/2037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</si>
  <si>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</si>
  <si>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</si>
  <si>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</si>
  <si>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</si>
  <si>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</si>
  <si>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</si>
  <si>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</si>
  <si>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</si>
  <si>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</si>
  <si>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</si>
  <si>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</si>
  <si>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</si>
  <si>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</si>
  <si>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פתאל החזקות 1998 בע"מ</t>
  </si>
  <si>
    <t>512607888</t>
  </si>
  <si>
    <t>פתאל החז אגח ה</t>
  </si>
  <si>
    <t>IL0012039421</t>
  </si>
  <si>
    <t>מלונאות ותיירות</t>
  </si>
  <si>
    <t>31/08/2032</t>
  </si>
  <si>
    <t>צור שמיר אחזקות בע"מ</t>
  </si>
  <si>
    <t>520025586</t>
  </si>
  <si>
    <t>צור אגח יג</t>
  </si>
  <si>
    <t>IL0012246661</t>
  </si>
  <si>
    <t>30/06/2037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</si>
  <si>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</si>
  <si>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</si>
  <si>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</si>
  <si>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</si>
  <si>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</si>
  <si>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</si>
  <si>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</si>
  <si>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</si>
  <si>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</si>
  <si>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</si>
  <si>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</si>
  <si>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</si>
  <si>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</si>
  <si>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</si>
  <si>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צמוד למט"ח</t>
  </si>
  <si>
    <t>בריטניה</t>
  </si>
  <si>
    <t>10/07/2028</t>
  </si>
  <si>
    <t>טבע תעשיות פרמצבטיות בע"מ</t>
  </si>
  <si>
    <t>520013954</t>
  </si>
  <si>
    <t>TEVA 4.375% 09/05/30</t>
  </si>
  <si>
    <t>XS2406607171</t>
  </si>
  <si>
    <t>חו"ל</t>
  </si>
  <si>
    <t>פארמה</t>
  </si>
  <si>
    <t>BB-</t>
  </si>
  <si>
    <t>S&amp;P</t>
  </si>
  <si>
    <t>EUR</t>
  </si>
  <si>
    <t>09/05/2030</t>
  </si>
  <si>
    <t>חשמל אגח 35</t>
  </si>
  <si>
    <t>IL0011967994</t>
  </si>
  <si>
    <t>12/06/2037</t>
  </si>
  <si>
    <t>קבוצת אקרו בע"מ</t>
  </si>
  <si>
    <t>511996803</t>
  </si>
  <si>
    <t>אקרו אגח ב</t>
  </si>
  <si>
    <t>IL0012260597</t>
  </si>
  <si>
    <t>אשטרום קב אגח ג</t>
  </si>
  <si>
    <t>IL0011401028</t>
  </si>
  <si>
    <t>15/01/2029</t>
  </si>
  <si>
    <t>דיסק מנ אגח יז</t>
  </si>
  <si>
    <t>IL0012159534</t>
  </si>
  <si>
    <t>הראל הנפ אגח טו</t>
  </si>
  <si>
    <t>IL0011431306</t>
  </si>
  <si>
    <t>31/12/2031</t>
  </si>
  <si>
    <t>הראל הנפק אגח יח</t>
  </si>
  <si>
    <t>IL0011826661</t>
  </si>
  <si>
    <t>כלל החזקות עסקי ביטוח בע"מ</t>
  </si>
  <si>
    <t>520036120</t>
  </si>
  <si>
    <t>כלל ביטוח אגח ג</t>
  </si>
  <si>
    <t>IL0012013913</t>
  </si>
  <si>
    <t>02/11/2031</t>
  </si>
  <si>
    <t>מגדלי תיכון אגח ו</t>
  </si>
  <si>
    <t>IL0011991242</t>
  </si>
  <si>
    <t>מז  הנפק    46 1.22% 9/2027</t>
  </si>
  <si>
    <t>IL0023102259</t>
  </si>
  <si>
    <t>28/09/2027</t>
  </si>
  <si>
    <t>מז טפ הנפק 52</t>
  </si>
  <si>
    <t>IL0023103810</t>
  </si>
  <si>
    <t>01/07/2030</t>
  </si>
  <si>
    <t>סלקום ישראל בע"מ</t>
  </si>
  <si>
    <t>511930125</t>
  </si>
  <si>
    <t>סלקום אגח יג</t>
  </si>
  <si>
    <t>IL0011891905</t>
  </si>
  <si>
    <t>תקשורת ומדיה</t>
  </si>
  <si>
    <t>06/01/2030</t>
  </si>
  <si>
    <t>ריט 1 בע"מ</t>
  </si>
  <si>
    <t>513821488</t>
  </si>
  <si>
    <t>ריט 1 אגח ז</t>
  </si>
  <si>
    <t>IL0011712713</t>
  </si>
  <si>
    <t>20/09/2034</t>
  </si>
  <si>
    <t>תדיראן גרופ בע"מ</t>
  </si>
  <si>
    <t>520036732</t>
  </si>
  <si>
    <t>תדיראן גרופ אגח 4</t>
  </si>
  <si>
    <t>IL0012087842</t>
  </si>
  <si>
    <t>אלוני חץ  אגח ט</t>
  </si>
  <si>
    <t>IL0039003541</t>
  </si>
  <si>
    <t>28/02/2027</t>
  </si>
  <si>
    <t>אפי נכסים אגח י</t>
  </si>
  <si>
    <t>IL0011608788</t>
  </si>
  <si>
    <t>30/03/2029</t>
  </si>
  <si>
    <t>ארזים השקעות בע"מ</t>
  </si>
  <si>
    <t>520034281</t>
  </si>
  <si>
    <t>ארזים 2</t>
  </si>
  <si>
    <t>IL0013800474</t>
  </si>
  <si>
    <t>D</t>
  </si>
  <si>
    <t>30/04/2027</t>
  </si>
  <si>
    <t>ג'נריישן קפיטל בע"מ</t>
  </si>
  <si>
    <t>515846558</t>
  </si>
  <si>
    <t>ג'נריישן קפיטל אגח ג</t>
  </si>
  <si>
    <t>IL0011845554</t>
  </si>
  <si>
    <t>הראל הנפקות אגח י</t>
  </si>
  <si>
    <t>IL0011340481</t>
  </si>
  <si>
    <t>31/12/2026</t>
  </si>
  <si>
    <t>מגדל הון אגח ז</t>
  </si>
  <si>
    <t>IL0011560419</t>
  </si>
  <si>
    <t>חברת פרטנר תקשורת בע"מ</t>
  </si>
  <si>
    <t>520044314</t>
  </si>
  <si>
    <t>פרטנר אגח ז</t>
  </si>
  <si>
    <t>IL0011563975</t>
  </si>
  <si>
    <t>25/06/2027</t>
  </si>
  <si>
    <t>Bayer AG</t>
  </si>
  <si>
    <t>529900XWNEXYNJ3X6T40</t>
  </si>
  <si>
    <t>LEI</t>
  </si>
  <si>
    <t>BAYNGY 4 1/2 03/25/2082</t>
  </si>
  <si>
    <t>XS2451802768</t>
  </si>
  <si>
    <t>גרמניה</t>
  </si>
  <si>
    <t>Pharmaceuticals</t>
  </si>
  <si>
    <t>BB+</t>
  </si>
  <si>
    <t>25/03/2082</t>
  </si>
  <si>
    <t>Sydney Airport</t>
  </si>
  <si>
    <t>549300MJAANHLHOVTO40</t>
  </si>
  <si>
    <t>SYDAU 3 5/8 04/28/26</t>
  </si>
  <si>
    <t>USQ8809VAH26</t>
  </si>
  <si>
    <t>אוסטרליה</t>
  </si>
  <si>
    <t>Transportation Infrastructure</t>
  </si>
  <si>
    <t>USD</t>
  </si>
  <si>
    <t>28/04/2026</t>
  </si>
  <si>
    <t>אזורים אגח 13</t>
  </si>
  <si>
    <t>IL0071504109</t>
  </si>
  <si>
    <t>אמות אגח ד</t>
  </si>
  <si>
    <t>IL0011331498</t>
  </si>
  <si>
    <t>02/07/2028</t>
  </si>
  <si>
    <t>אמות אגח ה</t>
  </si>
  <si>
    <t>IL0011381147</t>
  </si>
  <si>
    <t>04/01/2026</t>
  </si>
  <si>
    <t>ביג מרכזי קניות יב</t>
  </si>
  <si>
    <t>IL0011562316</t>
  </si>
  <si>
    <t>25/02/2028</t>
  </si>
  <si>
    <t>מניבים קרן הריט החדשה בע"מ</t>
  </si>
  <si>
    <t>515327120</t>
  </si>
  <si>
    <t>מניבים ריט אגח ב</t>
  </si>
  <si>
    <t>IL0011559288</t>
  </si>
  <si>
    <t>רבוע כחול נדל"ן בע"מ</t>
  </si>
  <si>
    <t>513765859</t>
  </si>
  <si>
    <t>רבוע נדלן אגח ו</t>
  </si>
  <si>
    <t>IL0011406076</t>
  </si>
  <si>
    <t>30/11/2026</t>
  </si>
  <si>
    <t>הראל הנפ אג יז</t>
  </si>
  <si>
    <t>IL0011614547</t>
  </si>
  <si>
    <t>מזרחי טפחות הנפק 49</t>
  </si>
  <si>
    <t>IL0023102820</t>
  </si>
  <si>
    <t>23/06/2026</t>
  </si>
  <si>
    <t>מליסרון טז'</t>
  </si>
  <si>
    <t>IL0032302650</t>
  </si>
  <si>
    <t>01/04/2027</t>
  </si>
  <si>
    <t>פועלים אגח 203</t>
  </si>
  <si>
    <t>IL0011998684</t>
  </si>
  <si>
    <t>02/12/2030</t>
  </si>
  <si>
    <t>קיסטון אינפרא בע"מ</t>
  </si>
  <si>
    <t>515983476</t>
  </si>
  <si>
    <t>קיסטון ריט אגח א</t>
  </si>
  <si>
    <t>IL0011821878</t>
  </si>
  <si>
    <t>או פי סי אנרגיה</t>
  </si>
  <si>
    <t>IL0011415713</t>
  </si>
  <si>
    <t>מניות</t>
  </si>
  <si>
    <t xml:space="preserve">אורמת טכנולגיות אינק </t>
  </si>
  <si>
    <t>5493000TSHHWY24VHM09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</si>
  <si>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</si>
  <si>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</si>
  <si>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</si>
  <si>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</si>
  <si>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</si>
  <si>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</si>
  <si>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</si>
  <si>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</si>
  <si>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</si>
  <si>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</si>
  <si>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</si>
  <si>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</si>
  <si>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מתכת ומוצרי בניה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</si>
  <si>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</si>
  <si>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</si>
  <si>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</si>
  <si>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</si>
  <si>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</si>
  <si>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</si>
  <si>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</si>
  <si>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</si>
  <si>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ביטחוניות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</si>
  <si>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</si>
  <si>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</si>
  <si>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</si>
  <si>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</si>
  <si>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</si>
  <si>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</si>
  <si>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רשתות שיווק</t>
  </si>
  <si>
    <t>אנלייט אנרגיה</t>
  </si>
  <si>
    <t>IL0007200111</t>
  </si>
  <si>
    <t>Energean plc</t>
  </si>
  <si>
    <t>549300RVMKU0CYUZBB05</t>
  </si>
  <si>
    <t>אנרג'יאן</t>
  </si>
  <si>
    <t>GB00BG12Y042</t>
  </si>
  <si>
    <t>אפי נכסים</t>
  </si>
  <si>
    <t>IL0010913544</t>
  </si>
  <si>
    <t>אפריקה ישראל תעשיות בע"מ</t>
  </si>
  <si>
    <t>520026618</t>
  </si>
  <si>
    <t>אפריקה תעשיות</t>
  </si>
  <si>
    <t>IL0008000114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</si>
  <si>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</si>
  <si>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</si>
  <si>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</si>
  <si>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</si>
  <si>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</si>
  <si>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</si>
  <si>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</si>
  <si>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</si>
  <si>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</si>
  <si>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</si>
  <si>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</si>
  <si>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</si>
  <si>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</si>
  <si>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</si>
  <si>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</si>
  <si>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</si>
  <si>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</si>
  <si>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</si>
  <si>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</si>
  <si>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</si>
  <si>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</si>
  <si>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</si>
  <si>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</si>
  <si>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</si>
  <si>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</si>
  <si>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</si>
  <si>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</si>
  <si>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</si>
  <si>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</si>
  <si>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</si>
  <si>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</si>
  <si>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</si>
  <si>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</si>
  <si>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אופנה והלבשה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</si>
  <si>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</si>
  <si>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</si>
  <si>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</si>
  <si>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</si>
  <si>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</si>
  <si>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</si>
  <si>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</si>
  <si>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</si>
  <si>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</si>
  <si>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</si>
  <si>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</si>
  <si>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</si>
  <si>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</si>
  <si>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</si>
  <si>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</si>
  <si>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</si>
  <si>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גלובלי</t>
  </si>
  <si>
    <t>מוליכים למחצה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</si>
  <si>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</si>
  <si>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</si>
  <si>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</si>
  <si>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</si>
  <si>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</si>
  <si>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</si>
  <si>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יוניברסל מוטורס  ישראל בע"מ</t>
  </si>
  <si>
    <t>511809071</t>
  </si>
  <si>
    <t>יוניברסל מוטורס</t>
  </si>
  <si>
    <t>IL0011447732</t>
  </si>
  <si>
    <t>ישראכרט בע"מ</t>
  </si>
  <si>
    <t>510706153</t>
  </si>
  <si>
    <t>ישראכרט</t>
  </si>
  <si>
    <t>IL0011574030</t>
  </si>
  <si>
    <t>כלל ביטוח</t>
  </si>
  <si>
    <t>IL0002240146</t>
  </si>
  <si>
    <t>לאומי</t>
  </si>
  <si>
    <t>IL0006046119</t>
  </si>
  <si>
    <t>מבנה</t>
  </si>
  <si>
    <t>IL0002260193</t>
  </si>
  <si>
    <t>מגדלי תיכון</t>
  </si>
  <si>
    <t>IL0011315236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</si>
  <si>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</si>
  <si>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</si>
  <si>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</si>
  <si>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</si>
  <si>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</si>
  <si>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</si>
  <si>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</si>
  <si>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</si>
  <si>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שירותי מידע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</si>
  <si>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</si>
  <si>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</si>
  <si>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</si>
  <si>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</si>
  <si>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</si>
  <si>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</si>
  <si>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</si>
  <si>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</si>
  <si>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</si>
  <si>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</si>
  <si>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</si>
  <si>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</si>
  <si>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</si>
  <si>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</si>
  <si>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</si>
  <si>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</si>
  <si>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</si>
  <si>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</si>
  <si>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</si>
  <si>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</si>
  <si>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עזריאלי קבוצה</t>
  </si>
  <si>
    <t>IL0011194789</t>
  </si>
  <si>
    <t>פועלים</t>
  </si>
  <si>
    <t>IL0006625771</t>
  </si>
  <si>
    <t>פרטנר</t>
  </si>
  <si>
    <t>IL0010834849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</si>
  <si>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</si>
  <si>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</si>
  <si>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</si>
  <si>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</si>
  <si>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</si>
  <si>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</si>
  <si>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</si>
  <si>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</si>
  <si>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</si>
  <si>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</si>
  <si>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</si>
  <si>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</si>
  <si>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</si>
  <si>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</si>
  <si>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</si>
  <si>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</si>
  <si>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</si>
  <si>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</si>
  <si>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</si>
  <si>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</si>
  <si>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</si>
  <si>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</si>
  <si>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מזון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</si>
  <si>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</si>
  <si>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</si>
  <si>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</si>
  <si>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</si>
  <si>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</si>
  <si>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</si>
  <si>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</si>
  <si>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</si>
  <si>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חשמל</t>
  </si>
  <si>
    <t>תדיראן גרופ</t>
  </si>
  <si>
    <t>IL0002580129</t>
  </si>
  <si>
    <t>Airbnb Inc</t>
  </si>
  <si>
    <t>549300HMUDNO0RY56D37</t>
  </si>
  <si>
    <t>AIRBNB INC</t>
  </si>
  <si>
    <t>US0090661010</t>
  </si>
  <si>
    <t>NASDAQ</t>
  </si>
  <si>
    <t>Diversified Consumer Services</t>
  </si>
  <si>
    <t>amazon.com</t>
  </si>
  <si>
    <t>ZXTILKJKG63JELOEG630</t>
  </si>
  <si>
    <t>AMAZON.COM INC</t>
  </si>
  <si>
    <t>US0231351067</t>
  </si>
  <si>
    <t>Textiles, Apparel &amp; Luxury Goods</t>
  </si>
  <si>
    <t>BERKSHIRE HATHAWAY FIN</t>
  </si>
  <si>
    <t>5493000C01ZX7D35SD85</t>
  </si>
  <si>
    <t>BERKSHIRE HATHAWAY INC</t>
  </si>
  <si>
    <t>US0846702076</t>
  </si>
  <si>
    <t>Diversified Financial Services Financial Services</t>
  </si>
  <si>
    <t>BIOGEN IDEC INC</t>
  </si>
  <si>
    <t>W8J5WZB5IY3K0NDQT671</t>
  </si>
  <si>
    <t>Biogen Inc</t>
  </si>
  <si>
    <t>US09062X1037</t>
  </si>
  <si>
    <t>גאמידה סל בע"מ</t>
  </si>
  <si>
    <t>512601204</t>
  </si>
  <si>
    <t>CONTRA GAMILDA CELL LTD</t>
  </si>
  <si>
    <t>USM47CVR0280</t>
  </si>
  <si>
    <t>NYSE</t>
  </si>
  <si>
    <t>COSTCO WHOLESAL</t>
  </si>
  <si>
    <t>29DX7H14B9S6O3FD6V18</t>
  </si>
  <si>
    <t>US22160K1051</t>
  </si>
  <si>
    <t>Consumer Staples Distribution &amp; Retail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</si>
  <si>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</si>
  <si>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</si>
  <si>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</si>
  <si>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</si>
  <si>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</si>
  <si>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</si>
  <si>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 LTD</t>
  </si>
  <si>
    <t>SG9999000020</t>
  </si>
  <si>
    <t>Technology Hardware, Storage &amp; Peripherals</t>
  </si>
  <si>
    <t>ALPHABET INC</t>
  </si>
  <si>
    <t>5493006MHB84DD0ZWV18</t>
  </si>
  <si>
    <t>Google Us Class c</t>
  </si>
  <si>
    <t>US02079K1079</t>
  </si>
  <si>
    <t>Diversified Telecommunication Services</t>
  </si>
  <si>
    <t>INTEL CORP</t>
  </si>
  <si>
    <t>KNX4USFCNGPY45LOCE31</t>
  </si>
  <si>
    <t>Intel corp</t>
  </si>
  <si>
    <t>US4581401001</t>
  </si>
  <si>
    <t>Semiconductors &amp; Semiconductor Equipment</t>
  </si>
  <si>
    <t>Lombard Odier Funds-Asia Value</t>
  </si>
  <si>
    <t>SB6NR8324Y8KG313SQ11</t>
  </si>
  <si>
    <t>LOMBARD ODIER-ASIA VALUE BD(IX</t>
  </si>
  <si>
    <t>LU2332096192</t>
  </si>
  <si>
    <t>אסיה</t>
  </si>
  <si>
    <t>Equity</t>
  </si>
  <si>
    <t>MARVELL TECH</t>
  </si>
  <si>
    <t>8DF36O58U3QIHUCGZB18</t>
  </si>
  <si>
    <t>Marvell tech group</t>
  </si>
  <si>
    <t>BMG5876H1051</t>
  </si>
  <si>
    <t>MASTERCARD INC</t>
  </si>
  <si>
    <t>AR5L2ODV9HN37376R084</t>
  </si>
  <si>
    <t>MASTERCARD UNC</t>
  </si>
  <si>
    <t>US57636Q1040</t>
  </si>
  <si>
    <t>Consumer Finance</t>
  </si>
  <si>
    <t>MercadoLibre Inc</t>
  </si>
  <si>
    <t>549300DKPDN9M5S8GB14</t>
  </si>
  <si>
    <t>MERCADOLIBRE INC</t>
  </si>
  <si>
    <t>US58733R1023</t>
  </si>
  <si>
    <t>ארגנטינה</t>
  </si>
  <si>
    <t xml:space="preserve">Consumer Staples Distribution </t>
  </si>
  <si>
    <t>MICROSOFT CORP</t>
  </si>
  <si>
    <t>INR2EJN1ERAN0W5ZP974</t>
  </si>
  <si>
    <t>Microsoft crop</t>
  </si>
  <si>
    <t>US5949181045</t>
  </si>
  <si>
    <t>Software</t>
  </si>
  <si>
    <t>MODERNA INC</t>
  </si>
  <si>
    <t>549300EI6OKH5K5Q2G38</t>
  </si>
  <si>
    <t>US60770K1079</t>
  </si>
  <si>
    <t>MODINE MANFUFATURING CO</t>
  </si>
  <si>
    <t>6846</t>
  </si>
  <si>
    <t>MODINE MANUFACTURING</t>
  </si>
  <si>
    <t>US6078281002</t>
  </si>
  <si>
    <t>Industrial Conglomerates </t>
  </si>
  <si>
    <t>NIKE INC</t>
  </si>
  <si>
    <t>787RXPR0UX0O0XUXPZ81</t>
  </si>
  <si>
    <t>US6541061031</t>
  </si>
  <si>
    <t>Northrop Grumman Corp</t>
  </si>
  <si>
    <t>RIMU48P07456QXSO0R61</t>
  </si>
  <si>
    <t>NORTHROP GRUMMAN CORP</t>
  </si>
  <si>
    <t>US6668071029</t>
  </si>
  <si>
    <t>Food &amp; Staples Retailing Consumer Staples Distribution &amp; Retail</t>
  </si>
  <si>
    <t>NVIDIA CORP</t>
  </si>
  <si>
    <t>549300S4KLFTLO7GSQ80</t>
  </si>
  <si>
    <t>Nvidia corp</t>
  </si>
  <si>
    <t>US67066G1040</t>
  </si>
  <si>
    <t>ORACLE CORP</t>
  </si>
  <si>
    <t>1Z4GXXU7ZHVWFCD8TV52</t>
  </si>
  <si>
    <t>US68389X1054</t>
  </si>
  <si>
    <t>Software &amp; Services</t>
  </si>
  <si>
    <t>פלוריסטם תרפיוטיקס אינק</t>
  </si>
  <si>
    <t>PLURISTEM THERAPEUTICS INC</t>
  </si>
  <si>
    <t>US72942G2030</t>
  </si>
  <si>
    <t>Prologis Inc</t>
  </si>
  <si>
    <t>529900DFH19P073LZ636</t>
  </si>
  <si>
    <t xml:space="preserve">PROLOGIS INC
</t>
  </si>
  <si>
    <t>US74340W1036</t>
  </si>
  <si>
    <t>Real Estate Management &amp; Development</t>
  </si>
  <si>
    <t>TAIWAN Semiconductor</t>
  </si>
  <si>
    <t>549300KB6NK5SBD14S87</t>
  </si>
  <si>
    <t>TAIWAN SEMICON ADR</t>
  </si>
  <si>
    <t>US8740391003</t>
  </si>
  <si>
    <t>סין</t>
  </si>
  <si>
    <t>TATA MOTORS LTD</t>
  </si>
  <si>
    <t>TAT TECHNOLOGIES LTD</t>
  </si>
  <si>
    <t>UBER TECHNOLOGIE</t>
  </si>
  <si>
    <t>549300B2FTG34FILDR98</t>
  </si>
  <si>
    <t>UBER TECHNOLOGIES INC</t>
  </si>
  <si>
    <t>US90353T1007</t>
  </si>
  <si>
    <t>VISA  Inc - CLASS  A</t>
  </si>
  <si>
    <t>549300JZ4OKEHW3DPJ59</t>
  </si>
  <si>
    <t>VISA inc-class a</t>
  </si>
  <si>
    <t>US92826C8394</t>
  </si>
  <si>
    <t>אברא טכנולוגיות מידע (לשעבר בבילון)</t>
  </si>
  <si>
    <t>512512468</t>
  </si>
  <si>
    <t>אברא טכנולוגיות מידע</t>
  </si>
  <si>
    <t>IL0011016669</t>
  </si>
  <si>
    <t>קבוצת דלק בע"מ</t>
  </si>
  <si>
    <t>520044322</t>
  </si>
  <si>
    <t>דלק קבוצה</t>
  </si>
  <si>
    <t>IL0010841281</t>
  </si>
  <si>
    <t>הראל השקעות בביטוח ושרותים פיננסים בע"מ</t>
  </si>
  <si>
    <t>520033986</t>
  </si>
  <si>
    <t>הראל השקעות</t>
  </si>
  <si>
    <t>IL0005850180</t>
  </si>
  <si>
    <t>יוחננוף</t>
  </si>
  <si>
    <t>511344186</t>
  </si>
  <si>
    <t>מ. יוחננוף</t>
  </si>
  <si>
    <t>IL0011612640</t>
  </si>
  <si>
    <t>מניבים ריט</t>
  </si>
  <si>
    <t>IL0011405730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</si>
  <si>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</si>
  <si>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</si>
  <si>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</si>
  <si>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</si>
  <si>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</si>
  <si>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</si>
  <si>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בוליגו קפיטל בע"מ</t>
  </si>
  <si>
    <t>514766195</t>
  </si>
  <si>
    <t>בוליגו</t>
  </si>
  <si>
    <t>IL0011805954</t>
  </si>
  <si>
    <t>אלומיי קפיטל בע"מ</t>
  </si>
  <si>
    <t>520039868</t>
  </si>
  <si>
    <t>ELLOMAY CAPITAL LTD RESTRICTED</t>
  </si>
  <si>
    <t>IL0010826357</t>
  </si>
  <si>
    <t>Water Utilities</t>
  </si>
  <si>
    <t>מג'יק תעשיות תכנה בע"מ</t>
  </si>
  <si>
    <t>520036740</t>
  </si>
  <si>
    <t>מ.אופנהיימר מג'יק</t>
  </si>
  <si>
    <t>IL0010823123</t>
  </si>
  <si>
    <t>פי אס טי אי - חסום ניתן למכור (אופנהיימר)</t>
  </si>
  <si>
    <t>US72940R1023</t>
  </si>
  <si>
    <t>חסום</t>
  </si>
  <si>
    <t>ביוטכנולוגיה</t>
  </si>
  <si>
    <t>סאמיט אחזקות נדל"ן בע"מ</t>
  </si>
  <si>
    <t>520043720</t>
  </si>
  <si>
    <t>סאמיט</t>
  </si>
  <si>
    <t>IL0010816861</t>
  </si>
  <si>
    <t>CHECK CAP LTD</t>
  </si>
  <si>
    <t>549300VKJF3TJ17U4U73</t>
  </si>
  <si>
    <t>IL0011336851</t>
  </si>
  <si>
    <t>Health Care Equipment &amp; Supplies</t>
  </si>
  <si>
    <t>SAFRAN SA</t>
  </si>
  <si>
    <t>969500UIC89GT3UL7L24</t>
  </si>
  <si>
    <t>FR0000073272</t>
  </si>
  <si>
    <t>צרפת</t>
  </si>
  <si>
    <t>EUREX</t>
  </si>
  <si>
    <t>סיווג הקרן</t>
  </si>
  <si>
    <t xml:space="preserve">BlackRock  Asset Managment </t>
  </si>
  <si>
    <t>97ZR60BLU36N5VJMH054</t>
  </si>
  <si>
    <t>ITB US</t>
  </si>
  <si>
    <t>US4642887529</t>
  </si>
  <si>
    <t>עוקב אחר מדדי מניות בחו"ל</t>
  </si>
  <si>
    <t>מניות בחו"ל - מניות בחו"ל משולבת</t>
  </si>
  <si>
    <t>מגדל קרנות נאמנות בע"מ</t>
  </si>
  <si>
    <t>511303661</t>
  </si>
  <si>
    <t>MTF סל תא 35</t>
  </si>
  <si>
    <t>IL0011501843</t>
  </si>
  <si>
    <t>עוקב אחר מדדי מניות בישראל</t>
  </si>
  <si>
    <t>35 מניות בארץ - מניות כללי-ת"א</t>
  </si>
  <si>
    <t>MTF סל תא 90</t>
  </si>
  <si>
    <t>IL0011502593</t>
  </si>
  <si>
    <t>90 מניות בארץ - מניות כללי-ת"א</t>
  </si>
  <si>
    <t>הראל קרנות נאמנות בע"מ</t>
  </si>
  <si>
    <t>511776783</t>
  </si>
  <si>
    <t>הראל קרן סל תא 125</t>
  </si>
  <si>
    <t>IL0011488991</t>
  </si>
  <si>
    <t>125 מניות בארץ - מניות כללי-ת"א</t>
  </si>
  <si>
    <t xml:space="preserve">מור ניהול קרנות נאמנות בע"מ </t>
  </si>
  <si>
    <t>514884485</t>
  </si>
  <si>
    <t>מור סל )4D(י NASDAQ 100</t>
  </si>
  <si>
    <t>IL0011658361</t>
  </si>
  <si>
    <t>NASDAQ 100 - מניות בחו"ל - מניות גיאוגרפי - חשופת מט"ח-ארה"ב</t>
  </si>
  <si>
    <t>סל mtf Trave l&amp; Vacation</t>
  </si>
  <si>
    <t>IL0011675845</t>
  </si>
  <si>
    <t>State Street Corp</t>
  </si>
  <si>
    <t>07F5H7W3ET8ZLWNMFP29</t>
  </si>
  <si>
    <t>.UTILITIES SELECT S</t>
  </si>
  <si>
    <t>US81369Y8865</t>
  </si>
  <si>
    <t>Invesco investment management limited</t>
  </si>
  <si>
    <t>635400TLFJSNHVSOFH59</t>
  </si>
  <si>
    <t>AINVESCO AEROSPACE &amp; DEFENSE ET</t>
  </si>
  <si>
    <t>US46137V1008</t>
  </si>
  <si>
    <t>Amundi Asset Management</t>
  </si>
  <si>
    <t>213800VZW861M5FHMD50</t>
  </si>
  <si>
    <t>AMUNDI ETF ICAV - AMUNDI MSCI</t>
  </si>
  <si>
    <t>IE000BI8OT95</t>
  </si>
  <si>
    <t>AMUNDI INDEX MSCI EMERGING MAR</t>
  </si>
  <si>
    <t>LU1437017350</t>
  </si>
  <si>
    <t>שווקים מתעוררים</t>
  </si>
  <si>
    <t>MSCI EMERGING MARKETS - מניות בחו"ל - מניות גיאוגרפי - חשופת מט"ח-שווקים מתעוררים כללי</t>
  </si>
  <si>
    <t>AMUNDI STOXX EUROPE 600 UTILIT</t>
  </si>
  <si>
    <t>LU1834988864</t>
  </si>
  <si>
    <t>STOXX EUROPE 600 -מניות בחו"ל - מניות גיאוגרפי - חשופת מט"ח-אירופה כללי</t>
  </si>
  <si>
    <t>COMMUNICATION SERVICES SELECT</t>
  </si>
  <si>
    <t>US81369Y8527</t>
  </si>
  <si>
    <t>Consumer discretionary etf</t>
  </si>
  <si>
    <t>us81369y4070</t>
  </si>
  <si>
    <t>Xtrackers</t>
  </si>
  <si>
    <t>549300L70BS183Y6ML67</t>
  </si>
  <si>
    <t>DB X-TRACKERS MSCI EUR</t>
  </si>
  <si>
    <t>LU0274209237</t>
  </si>
  <si>
    <t>אירופה</t>
  </si>
  <si>
    <t>Financial sel sector spdr</t>
  </si>
  <si>
    <t>US81369Y6059</t>
  </si>
  <si>
    <t>Financial מניות בחו"ל - מניות לפי ענפים בחו"ל - חשופת מט"ח-ארה"ב- מניות</t>
  </si>
  <si>
    <t>First trust</t>
  </si>
  <si>
    <t>549300ZLB3EUU3H8NE60</t>
  </si>
  <si>
    <t>FIRSTTRUST RTUST NASDAQ CLEAN EDGE</t>
  </si>
  <si>
    <t>US33737A1088</t>
  </si>
  <si>
    <t>Global X Management Co LLc</t>
  </si>
  <si>
    <t>213800R3E823B1UBIA81</t>
  </si>
  <si>
    <t>GLOBAL X US INFRASTRUCTURE</t>
  </si>
  <si>
    <t>US37954Y6730</t>
  </si>
  <si>
    <t>Health spdr xlv</t>
  </si>
  <si>
    <t>US81369Y2090</t>
  </si>
  <si>
    <t>Health Care מניות בחו"ל - מניות לפי ענפים בחו"ל - חשופת מט"ח-ארה"ב- מניות</t>
  </si>
  <si>
    <t>Industrail select</t>
  </si>
  <si>
    <t>US81369Y7040</t>
  </si>
  <si>
    <t>ISF LN_ISHARES FTSE 100</t>
  </si>
  <si>
    <t>IE0005042456</t>
  </si>
  <si>
    <t>LSE</t>
  </si>
  <si>
    <t>FTSE 250 INDEX - מניות בחו"ל - מניות גיאוגרפי - מנוטרלת מט"ח-אירופה אנגליה</t>
  </si>
  <si>
    <t>GBP</t>
  </si>
  <si>
    <t>Ishares ftse china25</t>
  </si>
  <si>
    <t>US4642871846</t>
  </si>
  <si>
    <t>FTSE China 50 - מניות בחו"ל - מניות גיאוגרפי - חשופת מט"ח-אסיה סין</t>
  </si>
  <si>
    <t>ISHARES JP MORGAN USE EM CORP</t>
  </si>
  <si>
    <t>IE00BFM6TD65</t>
  </si>
  <si>
    <t>עוקב אחר מדדים אחרים בחו"ל</t>
  </si>
  <si>
    <t>אירלנד</t>
  </si>
  <si>
    <t>ISHARES MSCI EMERGING MARKETS</t>
  </si>
  <si>
    <t>US46434G7640</t>
  </si>
  <si>
    <t>ISHARES STOXX ERUOPE 600 INDUS</t>
  </si>
  <si>
    <t>DE000A0H08J9</t>
  </si>
  <si>
    <t>FWB</t>
  </si>
  <si>
    <t>LYXOR ETF</t>
  </si>
  <si>
    <t>LYXOR CORE STOXX EUROPE 600 DR</t>
  </si>
  <si>
    <t>LU0908500753</t>
  </si>
  <si>
    <t>EURONEXT</t>
  </si>
  <si>
    <t>LYXOR STOXX EUROPE 600 HEALTHC</t>
  </si>
  <si>
    <t>LU1834986900</t>
  </si>
  <si>
    <t>Materiales sel sector</t>
  </si>
  <si>
    <t>US81369Y1001</t>
  </si>
  <si>
    <t>AMUNDI</t>
  </si>
  <si>
    <t>2138007M6OEXDENVTF82</t>
  </si>
  <si>
    <t>NASD LN Equity</t>
  </si>
  <si>
    <t>LU1829221024</t>
  </si>
  <si>
    <t>NERGY S.SECTOR SPDR</t>
  </si>
  <si>
    <t>US81369Y5069</t>
  </si>
  <si>
    <t>Powershares  QQQ NAS1</t>
  </si>
  <si>
    <t>US46090E1038</t>
  </si>
  <si>
    <t>Real Estate Select Sector SPDR</t>
  </si>
  <si>
    <t>US81369Y8600</t>
  </si>
  <si>
    <t>Real Estate Funds</t>
  </si>
  <si>
    <t>SDJE50 GR Equity</t>
  </si>
  <si>
    <t>IE00B60SWX25</t>
  </si>
  <si>
    <t>SPDR EUROPE INDUSTRIALS</t>
  </si>
  <si>
    <t>IE00BKWQOJ47</t>
  </si>
  <si>
    <t>Equity Funds</t>
  </si>
  <si>
    <t>SPDR S&amp;P CAPITAL MARKETS ETF</t>
  </si>
  <si>
    <t>US78464A7717</t>
  </si>
  <si>
    <t>Van Eck ETF</t>
  </si>
  <si>
    <t>549300ZLFKNTXC51ZN76</t>
  </si>
  <si>
    <t>VANECK DEFENSE UCITS ETF</t>
  </si>
  <si>
    <t>IE000YYE6WK5</t>
  </si>
  <si>
    <t>Vanguard Group</t>
  </si>
  <si>
    <t>549300Y88GQ3VLJIBX57</t>
  </si>
  <si>
    <t>VANGUARD S&amp;P MID-CAP 400 ETF</t>
  </si>
  <si>
    <t>US9219328856</t>
  </si>
  <si>
    <t>WisdomTree Europe ltd</t>
  </si>
  <si>
    <t>213800B789JS6Y4H8936</t>
  </si>
  <si>
    <t>WISDOMTREE INDI</t>
  </si>
  <si>
    <t>US97717W4226</t>
  </si>
  <si>
    <t>הודו</t>
  </si>
  <si>
    <t>MTF סל תא 125</t>
  </si>
  <si>
    <t>IL0011502833</t>
  </si>
  <si>
    <t>MTF סל תלבונד 60</t>
  </si>
  <si>
    <t>IL0011499964</t>
  </si>
  <si>
    <t>עוקב אחר מדדים אחרים בישראל</t>
  </si>
  <si>
    <t>60 אג"ח בארץ - חברות והמרה-תל בונד צמוד מדד-תל בונד</t>
  </si>
  <si>
    <t>הראל סל 4DMSCI AC World</t>
  </si>
  <si>
    <t>IL0011493355</t>
  </si>
  <si>
    <t>MSCI AC WORLD INDEX - מניות בחו"ל - מניות כללי בחו"ל - חשופת מט"ח-מניות כללי בחו"ל</t>
  </si>
  <si>
    <t>הראל סל NDX 100</t>
  </si>
  <si>
    <t>IL0011490385</t>
  </si>
  <si>
    <t>הראל סל SP500</t>
  </si>
  <si>
    <t>IL0011490203</t>
  </si>
  <si>
    <t>S&amp;P 500 - מניות בחו"ל - מניות גיאוגרפי - חשופת מט"ח-ארה"ב</t>
  </si>
  <si>
    <t>הראל סל תא 90</t>
  </si>
  <si>
    <t>IL0011489312</t>
  </si>
  <si>
    <t>מור סל S&amp;P 500 ממ</t>
  </si>
  <si>
    <t>IL0011658288</t>
  </si>
  <si>
    <t>קסם קרנות נאמנות בע"מ</t>
  </si>
  <si>
    <t>510938608</t>
  </si>
  <si>
    <t>קסם MSCI AC World (4D) ETF</t>
  </si>
  <si>
    <t>IL0011466799</t>
  </si>
  <si>
    <t>קסם S&amp;P 500 (4D) ETF</t>
  </si>
  <si>
    <t>IL0011464711</t>
  </si>
  <si>
    <t>קסם קרן סל תא 125</t>
  </si>
  <si>
    <t>IL0011463564</t>
  </si>
  <si>
    <t>AMUNDI MSCI EMERGING MARKETS I</t>
  </si>
  <si>
    <t>LU2573967036</t>
  </si>
  <si>
    <t>Emerging Markets - Asia</t>
  </si>
  <si>
    <t>INVESCO S&amp;P EQUAL WEIGHT I</t>
  </si>
  <si>
    <t>US46137V3244</t>
  </si>
  <si>
    <t>IVV US iShares S&amp;P 500 Index F</t>
  </si>
  <si>
    <t>US4642872000</t>
  </si>
  <si>
    <t>Lyxor S&amp;P 500 Ucits Etf - c-eu</t>
  </si>
  <si>
    <t>LU1135865084</t>
  </si>
  <si>
    <t>SOURCE S&amp;P 500 UCITS EFT</t>
  </si>
  <si>
    <t>IE00B3YCGJ38</t>
  </si>
  <si>
    <t>SPDR BLOOMBERG SASB U.S. HIGH</t>
  </si>
  <si>
    <t>IE0004TYCC17</t>
  </si>
  <si>
    <t>אג"ח בחו"ל - אג"ח חשופת מט"ח</t>
  </si>
  <si>
    <t>VANECK VECTORS SEMICONDUCTOR</t>
  </si>
  <si>
    <t>US92189F6768</t>
  </si>
  <si>
    <t>VANGUARD S&amp;P 500</t>
  </si>
  <si>
    <t>us9229083632</t>
  </si>
  <si>
    <t>VANGUARD S&amp;P 500 VALUE ETF</t>
  </si>
  <si>
    <t>US9219327031</t>
  </si>
  <si>
    <t>VANGUARD TOTAL WORLD STOCK ETF</t>
  </si>
  <si>
    <t>US9220427424</t>
  </si>
  <si>
    <t>Wisdomtree em ex-state-owned D E</t>
  </si>
  <si>
    <t>US97717X5784</t>
  </si>
  <si>
    <t>הראל סל בונד שק- בנקוביט</t>
  </si>
  <si>
    <t>IL0011507477</t>
  </si>
  <si>
    <t>אג"ח בארץ - חברות והמרה-תל בונד שקלי-תל בונד שקלי- אחר</t>
  </si>
  <si>
    <t>הראל סל תל בונד 60</t>
  </si>
  <si>
    <t>IL0011504730</t>
  </si>
  <si>
    <t>הראל סל תל בונד שקלי</t>
  </si>
  <si>
    <t>IL0011505232</t>
  </si>
  <si>
    <t>מור סל )4D(י S&amp;P 500</t>
  </si>
  <si>
    <t>IL0011658106</t>
  </si>
  <si>
    <t>קסם תל דיב</t>
  </si>
  <si>
    <t>IL0011459117</t>
  </si>
  <si>
    <t>מניות בארץ - מניות לפי ענפים</t>
  </si>
  <si>
    <t>AMUNDI S&amp;P 500 UCITS ETF</t>
  </si>
  <si>
    <t>LU1681049018</t>
  </si>
  <si>
    <t>MTF סל (S&amp;P 500 (4D</t>
  </si>
  <si>
    <t>IL0011503336</t>
  </si>
  <si>
    <t>MTF.תלבונדשקלי</t>
  </si>
  <si>
    <t>IL0011500027</t>
  </si>
  <si>
    <t>אי.בי.אי קרנות נאמנות בע"מ</t>
  </si>
  <si>
    <t>513765339</t>
  </si>
  <si>
    <t>אי. בי. אי סל תל בונד צמודות A</t>
  </si>
  <si>
    <t>IL0011484776</t>
  </si>
  <si>
    <t>אג"ח בארץ - חברות והמרה-תל בונד צמוד מדד-תל בונד צמודות</t>
  </si>
  <si>
    <t>אי.בי.אי. סל ת"א 125</t>
  </si>
  <si>
    <t>IL0011488082</t>
  </si>
  <si>
    <t>מור סל (A4) ת"א -125</t>
  </si>
  <si>
    <t>IL0011961534</t>
  </si>
  <si>
    <t>קסם iBox $ IG30 ETF</t>
  </si>
  <si>
    <t>IL0011469199</t>
  </si>
  <si>
    <t>קסם תא 90</t>
  </si>
  <si>
    <t>IL0011463317</t>
  </si>
  <si>
    <t>קסם תל בונד שקלי</t>
  </si>
  <si>
    <t>IL0011464141</t>
  </si>
  <si>
    <t>אג"ח בארץ - חברות והמרה-תל בונד שקלי-תל בונד- שקלי</t>
  </si>
  <si>
    <t>Ishares Msci  Asia ex Japn</t>
  </si>
  <si>
    <t>US4642881829</t>
  </si>
  <si>
    <t>SPDR S&amp;P 500 ETF TRUST</t>
  </si>
  <si>
    <t>US78462F1030</t>
  </si>
  <si>
    <t>אי.בי.אי. סל (4D)י S&amp;P 500</t>
  </si>
  <si>
    <t>IL0011481624</t>
  </si>
  <si>
    <t xml:space="preserve">שם נייר ערך </t>
  </si>
  <si>
    <t>Artemis Funds Lux - US Smaller</t>
  </si>
  <si>
    <t>213800SJ3IH3EXMXSJ47</t>
  </si>
  <si>
    <t>ARTEMIS SMARTGARP EUROP.EQUITY</t>
  </si>
  <si>
    <t>GB00B2PLJD73</t>
  </si>
  <si>
    <t>ריל אימג'ינג החזקות בע"מ לשעבר בי קונטקט</t>
  </si>
  <si>
    <t>F947Y6L7DTLMY45NSP66</t>
  </si>
  <si>
    <t>ARUKGIA LN Equity</t>
  </si>
  <si>
    <t>GB00B2PLJG05</t>
  </si>
  <si>
    <t>CIFC Senior Secured Corporate</t>
  </si>
  <si>
    <t>3912000TN89ESDWHS93</t>
  </si>
  <si>
    <t>CIFC SEN.SEC.COR.LOAN ISRLPE</t>
  </si>
  <si>
    <t>KYG2139S1277</t>
  </si>
  <si>
    <t>אג"ח קונצרני</t>
  </si>
  <si>
    <t>Kotak</t>
  </si>
  <si>
    <t>KOTAK FDS-INDIA MIDCAP (S) USD A</t>
  </si>
  <si>
    <t>LU2126068639</t>
  </si>
  <si>
    <t>CNX NIFTY - מניות בחו"ל - מניות גיאוגרפי - חשופת מט"ח-אסיה הודו</t>
  </si>
  <si>
    <t>LOMBARD ODIER-ASIA INV.GR.BD(I</t>
  </si>
  <si>
    <t>LU2083909536</t>
  </si>
  <si>
    <t>LUXEMBOURG LIFE</t>
  </si>
  <si>
    <t>213800KGUD27KPVIHO77</t>
  </si>
  <si>
    <t>lu24283023721</t>
  </si>
  <si>
    <t>PRINCIPAL FINANCIAL</t>
  </si>
  <si>
    <t>Q46JYT8ZSTNVO1V2GB46</t>
  </si>
  <si>
    <t>PRINCIPAL GLOBAL INVEST</t>
  </si>
  <si>
    <t>IE00BKDW9G15</t>
  </si>
  <si>
    <t>ISE</t>
  </si>
  <si>
    <t>Ubam Global</t>
  </si>
  <si>
    <t>5493007WR9BT7NBDHF50</t>
  </si>
  <si>
    <t>UBAM GLOB HIGH YLD SOL-IC</t>
  </si>
  <si>
    <t>LU0569863243</t>
  </si>
  <si>
    <t>לוכסמבורג</t>
  </si>
  <si>
    <t>INVESCO GLOBAL INVESTMENT GRAD</t>
  </si>
  <si>
    <t>LU1218206339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</si>
  <si>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</si>
  <si>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</si>
  <si>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</si>
  <si>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</si>
  <si>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</si>
  <si>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</si>
  <si>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</si>
  <si>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נאוויטס פטרו אפ 6</t>
  </si>
  <si>
    <t>IL0012288242</t>
  </si>
  <si>
    <t>31/08/2026</t>
  </si>
  <si>
    <t>נכס בסיס</t>
  </si>
  <si>
    <t>חוזים עתידיים בחול</t>
  </si>
  <si>
    <t>10527</t>
  </si>
  <si>
    <t>MINI NASDAQ 100 12/2025</t>
  </si>
  <si>
    <t>NQZ5</t>
  </si>
  <si>
    <t>CME</t>
  </si>
  <si>
    <t>מניות לרבות מדדי מניות</t>
  </si>
  <si>
    <t>MINI S&amp;P 500 FUTURES 12/2025</t>
  </si>
  <si>
    <t>ESZ5</t>
  </si>
  <si>
    <t>קרדיטו הנפקות בע"מ</t>
  </si>
  <si>
    <t>516804499</t>
  </si>
  <si>
    <t>קרדיטו אגח א</t>
  </si>
  <si>
    <t>IL0012103276</t>
  </si>
  <si>
    <t>קרן מובטחת</t>
  </si>
  <si>
    <t>ריבית ואג"ח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</si>
  <si>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</si>
  <si>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</si>
  <si>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</si>
  <si>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</si>
  <si>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</si>
  <si>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</si>
  <si>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</si>
  <si>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</si>
  <si>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</si>
  <si>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</si>
  <si>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</si>
  <si>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דוראה השקעות ופיתוח בע"מ</t>
  </si>
  <si>
    <t>520038282</t>
  </si>
  <si>
    <t>5.15% 2015 'דוראה סדרה ד</t>
  </si>
  <si>
    <t>IL0037201170</t>
  </si>
  <si>
    <t>28/02/2015</t>
  </si>
  <si>
    <t>גורם תלוי/פנימי</t>
  </si>
  <si>
    <t>קיימת תלות</t>
  </si>
  <si>
    <t>31/12/2024</t>
  </si>
  <si>
    <t>אולימפיה החזקות נדל"ן בע"מ</t>
  </si>
  <si>
    <t>520035155</t>
  </si>
  <si>
    <t>אולימפיה אג"ח ב'</t>
  </si>
  <si>
    <t>IL0017900544</t>
  </si>
  <si>
    <t>אג"ח להמרה צמוד למדד המחירים לצרכן</t>
  </si>
  <si>
    <t>30/12/2014</t>
  </si>
  <si>
    <t>31/12/2021</t>
  </si>
  <si>
    <t>החוב נחות</t>
  </si>
  <si>
    <t>ב.ס.ר אירופה בע"מ</t>
  </si>
  <si>
    <t>520033838</t>
  </si>
  <si>
    <t>בסר אירופה אגח ח</t>
  </si>
  <si>
    <t>IL0011701419</t>
  </si>
  <si>
    <t>R/S</t>
  </si>
  <si>
    <t>30/11/2023</t>
  </si>
  <si>
    <t>דוראה אגח ב</t>
  </si>
  <si>
    <t>IL0037200750</t>
  </si>
  <si>
    <t>03/12/2012</t>
  </si>
  <si>
    <t>30/04/2014</t>
  </si>
  <si>
    <t>חבס השקעות (1960) בע"מ</t>
  </si>
  <si>
    <t>520039017</t>
  </si>
  <si>
    <t>חבס אגח 12</t>
  </si>
  <si>
    <t>IL0041500906</t>
  </si>
  <si>
    <t>25/05/2015</t>
  </si>
  <si>
    <t>29/05/2014</t>
  </si>
  <si>
    <t>מקס איט פיננסים בע"מ לשעבר לאומי קארד</t>
  </si>
  <si>
    <t>512905423</t>
  </si>
  <si>
    <t>מקס איט התח אגח ו-רמ</t>
  </si>
  <si>
    <t>IL0012250101</t>
  </si>
  <si>
    <t>10/07/2025</t>
  </si>
  <si>
    <t>30/06/2031</t>
  </si>
  <si>
    <t>חברת ציטוט</t>
  </si>
  <si>
    <t>אי-תלות</t>
  </si>
  <si>
    <t>30/09/2025</t>
  </si>
  <si>
    <t>עוגן- אגח חברתיות 1 בעמ</t>
  </si>
  <si>
    <t>516432044</t>
  </si>
  <si>
    <t>עוגן חלצ אגחב-רמ</t>
  </si>
  <si>
    <t>IL0011968497</t>
  </si>
  <si>
    <t>19/06/2023</t>
  </si>
  <si>
    <t>15/06/2027</t>
  </si>
  <si>
    <t>30/06/2025</t>
  </si>
  <si>
    <t>קמור בע"מ</t>
  </si>
  <si>
    <t>520034117</t>
  </si>
  <si>
    <t>קמור אגח ו</t>
  </si>
  <si>
    <t>IL0013201186</t>
  </si>
  <si>
    <t>01/06/2015</t>
  </si>
  <si>
    <t>27/09/2026</t>
  </si>
  <si>
    <t>א.פ.ס.ק. תעשיות בע"מ(פירוק)</t>
  </si>
  <si>
    <t>520042441</t>
  </si>
  <si>
    <t>אפסק אגח א</t>
  </si>
  <si>
    <t>IL0010910326</t>
  </si>
  <si>
    <t>29/12/2013</t>
  </si>
  <si>
    <t>05/08/2012</t>
  </si>
  <si>
    <t>גמול חברה להשקעות בע"מ</t>
  </si>
  <si>
    <t>520018136</t>
  </si>
  <si>
    <t>גמול השקע ב</t>
  </si>
  <si>
    <t>IL0011167553</t>
  </si>
  <si>
    <t>07/09/2017</t>
  </si>
  <si>
    <t>30/09/2021</t>
  </si>
  <si>
    <t>וי.אי.די. התפלת מי אשקלון</t>
  </si>
  <si>
    <t>513102384</t>
  </si>
  <si>
    <t>התפלת מי אשקלון VID</t>
  </si>
  <si>
    <t>IL0010876832</t>
  </si>
  <si>
    <t>22/10/2025</t>
  </si>
  <si>
    <t>חפציבה ג'רוזלם גולד בע"מ</t>
  </si>
  <si>
    <t>510404460</t>
  </si>
  <si>
    <t>חפציבה גרוזלם אגח 1</t>
  </si>
  <si>
    <t>IL0010999444</t>
  </si>
  <si>
    <t>26/08/2009</t>
  </si>
  <si>
    <t>חפציבה גרוזלם אגח 2</t>
  </si>
  <si>
    <t>IL0010999519</t>
  </si>
  <si>
    <t>30/11/2016</t>
  </si>
  <si>
    <t>חפציבה גרוזלם אגח 3</t>
  </si>
  <si>
    <t>IL0010999691</t>
  </si>
  <si>
    <t>25/02/2019</t>
  </si>
  <si>
    <t>חפציבה חופים בע"מ</t>
  </si>
  <si>
    <t>513718734</t>
  </si>
  <si>
    <t>חפציבה חופים אג"ח א' חש 2/09</t>
  </si>
  <si>
    <t>11113562</t>
  </si>
  <si>
    <t>18/05/2020</t>
  </si>
  <si>
    <t>28/02/2012</t>
  </si>
  <si>
    <t>חפציבה חופים אגח 1</t>
  </si>
  <si>
    <t>IL0010959422</t>
  </si>
  <si>
    <t>31/08/2006</t>
  </si>
  <si>
    <t>נתיבים אגרות חוב בע"מ</t>
  </si>
  <si>
    <t>513502229</t>
  </si>
  <si>
    <t>נתיבים אגח א רמ</t>
  </si>
  <si>
    <t>IL0010902810</t>
  </si>
  <si>
    <t>לא סחיר</t>
  </si>
  <si>
    <t>אג"ח מובנות</t>
  </si>
  <si>
    <t>02/07/2027</t>
  </si>
  <si>
    <t>SYBIL EUROPE LIMITED</t>
  </si>
  <si>
    <t>513948265</t>
  </si>
  <si>
    <t>סיביל יורופ אגח א (חברה מחוקה)</t>
  </si>
  <si>
    <t>IL0011052466</t>
  </si>
  <si>
    <t>31/12/2014</t>
  </si>
  <si>
    <t>אמפל-אמריקן ישראל קורפוריישן</t>
  </si>
  <si>
    <t>130435685</t>
  </si>
  <si>
    <t>אמפל אמריקן ישראל ב'12/16 %6.6(חש)</t>
  </si>
  <si>
    <t>11256240</t>
  </si>
  <si>
    <t>29/06/2023</t>
  </si>
  <si>
    <t>31/12/2012</t>
  </si>
  <si>
    <t>אולימפיה אגח ג (מחוקה)</t>
  </si>
  <si>
    <t>IL0017900627</t>
  </si>
  <si>
    <t>01/01/2018</t>
  </si>
  <si>
    <t>31/08/2015</t>
  </si>
  <si>
    <t>דוראה אגח א</t>
  </si>
  <si>
    <t>IL0037200347</t>
  </si>
  <si>
    <t>01/05/2019</t>
  </si>
  <si>
    <t>31/05/2012</t>
  </si>
  <si>
    <t>ATERA NETWORKS LTD</t>
  </si>
  <si>
    <t>27702</t>
  </si>
  <si>
    <t>60353513</t>
  </si>
  <si>
    <t>מניות לא סחירות</t>
  </si>
  <si>
    <t>24/12/2019</t>
  </si>
  <si>
    <t>TWINE</t>
  </si>
  <si>
    <t>514154244</t>
  </si>
  <si>
    <t>Civan 2025</t>
  </si>
  <si>
    <t>62022397</t>
  </si>
  <si>
    <t>Technology Hardware, Storage</t>
  </si>
  <si>
    <t>19/05/2025</t>
  </si>
  <si>
    <t>דיווח מנהל הקרן</t>
  </si>
  <si>
    <t>CIVAN ADVANCED TECHNOGIES</t>
  </si>
  <si>
    <t>62021290</t>
  </si>
  <si>
    <t>07/08/2023</t>
  </si>
  <si>
    <t>GEMMACERT LTD</t>
  </si>
  <si>
    <t>27994</t>
  </si>
  <si>
    <t>62013677</t>
  </si>
  <si>
    <t>24/07/2019</t>
  </si>
  <si>
    <t>IMM- VX L.P. (Velox</t>
  </si>
  <si>
    <t>540303765</t>
  </si>
  <si>
    <t>IMM- VX (VELOX) CLASS B</t>
  </si>
  <si>
    <t>62021647</t>
  </si>
  <si>
    <t>השקעות בהייטק</t>
  </si>
  <si>
    <t>08/05/2024</t>
  </si>
  <si>
    <t>62018924</t>
  </si>
  <si>
    <t>12/08/2021</t>
  </si>
  <si>
    <t>וואן זירו הבנק הדיגיטלי בעמ</t>
  </si>
  <si>
    <t>515981728</t>
  </si>
  <si>
    <t>ONE ZERO DIGITAL BANK LTD</t>
  </si>
  <si>
    <t>62020045</t>
  </si>
  <si>
    <t>03/01/2022</t>
  </si>
  <si>
    <t>89735</t>
  </si>
  <si>
    <t>ONE ZERO SAFE</t>
  </si>
  <si>
    <t>62021506</t>
  </si>
  <si>
    <t>05/12/2023</t>
  </si>
  <si>
    <t>ONE ZERO SAFE 2025</t>
  </si>
  <si>
    <t>62022280</t>
  </si>
  <si>
    <t>20/03/2025</t>
  </si>
  <si>
    <t xml:space="preserve">QUANTUM </t>
  </si>
  <si>
    <t>5493001U37G4PRD4GW95</t>
  </si>
  <si>
    <t>Quantum Machines</t>
  </si>
  <si>
    <t>62020714</t>
  </si>
  <si>
    <t>השקעות בהיי-טק</t>
  </si>
  <si>
    <t>01/08/2022</t>
  </si>
  <si>
    <t>RESONAI</t>
  </si>
  <si>
    <t>514996362</t>
  </si>
  <si>
    <t>62020383</t>
  </si>
  <si>
    <t>03/04/2022</t>
  </si>
  <si>
    <t>silentium</t>
  </si>
  <si>
    <t>62018429</t>
  </si>
  <si>
    <t>Silentium LTD</t>
  </si>
  <si>
    <t>08/06/2021</t>
  </si>
  <si>
    <t>TIPA CORP LTD</t>
  </si>
  <si>
    <t>514420660</t>
  </si>
  <si>
    <t>62020102</t>
  </si>
  <si>
    <t>12/01/2022</t>
  </si>
  <si>
    <t>515218717</t>
  </si>
  <si>
    <t>TWINE SOLUTIONS LTD</t>
  </si>
  <si>
    <t>62018296</t>
  </si>
  <si>
    <t>19/05/2021</t>
  </si>
  <si>
    <t>UVEYE LTD</t>
  </si>
  <si>
    <t>514234202</t>
  </si>
  <si>
    <t>62018304</t>
  </si>
  <si>
    <t>ויולה ג'נריישן ניהול בע"מ(אוניברסי</t>
  </si>
  <si>
    <t>56200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</si>
  <si>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</si>
  <si>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</si>
  <si>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</si>
  <si>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</si>
  <si>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</si>
  <si>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</si>
  <si>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 xml:space="preserve">2138006P5SXAKKF3H358
</t>
  </si>
  <si>
    <t>BRIGHTON SPC - KIJANI COMMODIT</t>
  </si>
  <si>
    <t>KYG1367R1083</t>
  </si>
  <si>
    <t>27/09/2018</t>
  </si>
  <si>
    <t>EMERALD SIDEPOC</t>
  </si>
  <si>
    <t>27703</t>
  </si>
  <si>
    <t>XXX133661328</t>
  </si>
  <si>
    <t>Silk Technologies INC</t>
  </si>
  <si>
    <t>28307</t>
  </si>
  <si>
    <t>SILK</t>
  </si>
  <si>
    <t>62018056</t>
  </si>
  <si>
    <t>25/03/2021</t>
  </si>
  <si>
    <t>Quantum Machines B</t>
  </si>
  <si>
    <t>62022256</t>
  </si>
  <si>
    <t>11/03/2025</t>
  </si>
  <si>
    <t>INTEGRA HOLDING</t>
  </si>
  <si>
    <t>27771</t>
  </si>
  <si>
    <t>60314101</t>
  </si>
  <si>
    <t>אספרו</t>
  </si>
  <si>
    <t>513868380</t>
  </si>
  <si>
    <t>אספרו מ"ר</t>
  </si>
  <si>
    <t>62406</t>
  </si>
  <si>
    <t>תשתיות</t>
  </si>
  <si>
    <t>15/03/2018</t>
  </si>
  <si>
    <t xml:space="preserve">גת אנרגיה בע"מ </t>
  </si>
  <si>
    <t>514293380</t>
  </si>
  <si>
    <t>גת אנרגיה ג'</t>
  </si>
  <si>
    <t>50000298</t>
  </si>
  <si>
    <t>קרנות סל</t>
  </si>
  <si>
    <t>31/12/2018</t>
  </si>
  <si>
    <t>גת אנרגיה מניה לא סחירה</t>
  </si>
  <si>
    <t>26211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</si>
  <si>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</si>
  <si>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</si>
  <si>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</si>
  <si>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</si>
  <si>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</si>
  <si>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</si>
  <si>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</si>
  <si>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</si>
  <si>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08/12/2019</t>
  </si>
  <si>
    <t>Supercom Ltd</t>
  </si>
  <si>
    <t>549300U7DFKGC1TTZX50</t>
  </si>
  <si>
    <t>מ.אופנהימר אס.פי.סי.בי</t>
  </si>
  <si>
    <t>IL0010830961</t>
  </si>
  <si>
    <t>24/11/2022</t>
  </si>
  <si>
    <t>מור קרן נדל"ן בינלאומי מניה A</t>
  </si>
  <si>
    <t>10000495</t>
  </si>
  <si>
    <t>מור קרן נדל"ן בינלאומי מניה רגילה</t>
  </si>
  <si>
    <t>9840879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</si>
  <si>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</si>
  <si>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</si>
  <si>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</si>
  <si>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</si>
  <si>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</si>
  <si>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</si>
  <si>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</si>
  <si>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</si>
  <si>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</si>
  <si>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</si>
  <si>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</si>
  <si>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JTLV III FUND, LIMITED PARTNERSHIP</t>
  </si>
  <si>
    <t>540316908</t>
  </si>
  <si>
    <t>3 JTLV</t>
  </si>
  <si>
    <t>פרייבט אקוויטי</t>
  </si>
  <si>
    <t>Direct Real Estate</t>
  </si>
  <si>
    <t>06/06/2022</t>
  </si>
  <si>
    <t>FIMI OPPORTUNITY FUND , L.P</t>
  </si>
  <si>
    <t>530278548</t>
  </si>
  <si>
    <t>FIMI ISRAEL OPPORTUNITY FOUND 7</t>
  </si>
  <si>
    <t>Other</t>
  </si>
  <si>
    <t>24/05/2021</t>
  </si>
  <si>
    <t>Firstime Ventures General Partner L.P.</t>
  </si>
  <si>
    <t>27986</t>
  </si>
  <si>
    <t>FIRST TIME</t>
  </si>
  <si>
    <t>Co-Investment/Direct</t>
  </si>
  <si>
    <t>איי קיימן</t>
  </si>
  <si>
    <t>02/07/2015</t>
  </si>
  <si>
    <t>FIRSTIME III</t>
  </si>
  <si>
    <t>18/11/2021</t>
  </si>
  <si>
    <t>FIRSTIME VENTURES II L.P</t>
  </si>
  <si>
    <t>12/02/2017</t>
  </si>
  <si>
    <t>ISRAEL INFRASTRUCTURE FUND III, L.P.</t>
  </si>
  <si>
    <t>530274141</t>
  </si>
  <si>
    <t>ISRAEL INFR III</t>
  </si>
  <si>
    <t>Value Added Infrastructure</t>
  </si>
  <si>
    <t>13/10/2016</t>
  </si>
  <si>
    <t>ISRAEL INFRASTRUCTURE FUND IV, LP</t>
  </si>
  <si>
    <t>540294725</t>
  </si>
  <si>
    <t>Israel Infrastructure Fund IV</t>
  </si>
  <si>
    <t>13/10/2020</t>
  </si>
  <si>
    <t>Israel secondary fund</t>
  </si>
  <si>
    <t>12962</t>
  </si>
  <si>
    <t>ISRAEL SECONDARY FUND II L.P</t>
  </si>
  <si>
    <t>Secondaries</t>
  </si>
  <si>
    <t>06/04/2017</t>
  </si>
  <si>
    <t>JVP VII OPPORTUNITY LP</t>
  </si>
  <si>
    <t>500452859</t>
  </si>
  <si>
    <t>Growth Venture Capital</t>
  </si>
  <si>
    <t>28/02/2016</t>
  </si>
  <si>
    <t xml:space="preserve">Klirmark Opportunity Fund </t>
  </si>
  <si>
    <t>CO-101523</t>
  </si>
  <si>
    <t>KLIRMARK III</t>
  </si>
  <si>
    <t>Special Situations Debt</t>
  </si>
  <si>
    <t>06/11/2019</t>
  </si>
  <si>
    <t>Klirmark IV</t>
  </si>
  <si>
    <t>17/04/2023</t>
  </si>
  <si>
    <t>NEXTIME VENTURES I L.P</t>
  </si>
  <si>
    <t>01/07/2019</t>
  </si>
  <si>
    <t>ORYX</t>
  </si>
  <si>
    <t>CO-384534</t>
  </si>
  <si>
    <t>קרן גידור (Hedge Fund)</t>
  </si>
  <si>
    <t>29/06/2025</t>
  </si>
  <si>
    <t>QUMRA CAPITAL MANAGEMENT LTD</t>
  </si>
  <si>
    <t>514915941</t>
  </si>
  <si>
    <t>QUMRA CAPITAL I</t>
  </si>
  <si>
    <t>QUMRA CAPITAL II LP</t>
  </si>
  <si>
    <t>13/08/2017</t>
  </si>
  <si>
    <t>Qumra Capital III</t>
  </si>
  <si>
    <t>17/02/2021</t>
  </si>
  <si>
    <t>Qumra Opportunity Fund</t>
  </si>
  <si>
    <t>05/05/2021</t>
  </si>
  <si>
    <t>RAFARMA INVESTMENTS 2020, LP</t>
  </si>
  <si>
    <t>540300902</t>
  </si>
  <si>
    <t>RACAH NANO VENTURE FUND</t>
  </si>
  <si>
    <t>09/07/2019</t>
  </si>
  <si>
    <t>RACAH NANO VENTURE FUND, LP</t>
  </si>
  <si>
    <t>540286820</t>
  </si>
  <si>
    <t>RAFARMA INVESTMENTS2020 LP</t>
  </si>
  <si>
    <t>21/12/2020</t>
  </si>
  <si>
    <t>SKY IV</t>
  </si>
  <si>
    <t>89839</t>
  </si>
  <si>
    <t>Buyout</t>
  </si>
  <si>
    <t>20/03/2022</t>
  </si>
  <si>
    <t>TERRA VENTURE PARTNERS</t>
  </si>
  <si>
    <t>222100FKDNQA51J4LR95</t>
  </si>
  <si>
    <t>TERRA VENTURES 3</t>
  </si>
  <si>
    <t>13/06/2019</t>
  </si>
  <si>
    <t>Vintage Fund of Funds IV (Israel), L.P.</t>
  </si>
  <si>
    <t>500450531</t>
  </si>
  <si>
    <t>Vintage FOF IV</t>
  </si>
  <si>
    <t>FOF/Managed Account</t>
  </si>
  <si>
    <t>22/05/2016</t>
  </si>
  <si>
    <t>Vintage Fund of Funds V (Access), L.P.</t>
  </si>
  <si>
    <t>500458815</t>
  </si>
  <si>
    <t>Vintage FOF V Access</t>
  </si>
  <si>
    <t>17/09/2018</t>
  </si>
  <si>
    <t>Vintage Fund of Funds V (Israel), L.P.</t>
  </si>
  <si>
    <t>500461652</t>
  </si>
  <si>
    <t>VINTAGE FOF V ISRAEL</t>
  </si>
  <si>
    <t>23/01/2020</t>
  </si>
  <si>
    <t>Vintage Fund of Funds VI (Access), L.P.</t>
  </si>
  <si>
    <t>500466123</t>
  </si>
  <si>
    <t>VINTAGE FOF VI ACCESS</t>
  </si>
  <si>
    <t>Vintage Fund of Funds VI (Israel), L.P.</t>
  </si>
  <si>
    <t>500469325</t>
  </si>
  <si>
    <t>Vintage FOF VI Israel</t>
  </si>
  <si>
    <t>23/12/2021</t>
  </si>
  <si>
    <t>Vintage Fund of Funds VII (Access) L.P.</t>
  </si>
  <si>
    <t>500472543</t>
  </si>
  <si>
    <t>Vintage FOF VII Access</t>
  </si>
  <si>
    <t>15/08/2022</t>
  </si>
  <si>
    <t>Vintage Clal Co-Investment III</t>
  </si>
  <si>
    <t>500479340</t>
  </si>
  <si>
    <t>Vintage FOF VIII Access</t>
  </si>
  <si>
    <t>29/09/2025</t>
  </si>
  <si>
    <t>Vintage Co-Investment III GP, L.P.</t>
  </si>
  <si>
    <t>500464250</t>
  </si>
  <si>
    <t>Vintage Growth Fund III, L.P</t>
  </si>
  <si>
    <t>06/01/2020</t>
  </si>
  <si>
    <t>Vintage Investments 10 Limited Partnership</t>
  </si>
  <si>
    <t>500457361</t>
  </si>
  <si>
    <t>Vintage Secondary Fund IV</t>
  </si>
  <si>
    <t>29/05/2018</t>
  </si>
  <si>
    <t>Vintage Secondary Fund V L.P.</t>
  </si>
  <si>
    <t>500471925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</si>
  <si>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</si>
  <si>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</si>
  <si>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</si>
  <si>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</si>
  <si>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</si>
  <si>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</si>
  <si>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</si>
  <si>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</si>
  <si>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Debt Infrastructure</t>
  </si>
  <si>
    <t>20/09/2021</t>
  </si>
  <si>
    <t>גיזה חוב</t>
  </si>
  <si>
    <t>513540757</t>
  </si>
  <si>
    <t>Mezzanine Debt</t>
  </si>
  <si>
    <t>14/02/2022</t>
  </si>
  <si>
    <t>קרן נוי חוצה ישראל</t>
  </si>
  <si>
    <t>514583368</t>
  </si>
  <si>
    <t>נוי 5</t>
  </si>
  <si>
    <t>06/11/2024</t>
  </si>
  <si>
    <t>פימי 6</t>
  </si>
  <si>
    <t>12/07/2016</t>
  </si>
  <si>
    <t>12/12/2017</t>
  </si>
  <si>
    <t>רגנאר 1 השקעות שותפות מוגבלת</t>
  </si>
  <si>
    <t>540304573</t>
  </si>
  <si>
    <t>קרן רגנאר 1</t>
  </si>
  <si>
    <t>08/12/2021</t>
  </si>
  <si>
    <t>Allianz Global Investors Gmbh</t>
  </si>
  <si>
    <t>529900K9B0N5BT694847</t>
  </si>
  <si>
    <t>Allianz Private Debt Secondary Fund I</t>
  </si>
  <si>
    <t>גלובלי ללא ארה"ב</t>
  </si>
  <si>
    <t>20/01/2025</t>
  </si>
  <si>
    <t>ARCLIGHT</t>
  </si>
  <si>
    <t>89940</t>
  </si>
  <si>
    <t>ARCLIGHT 3C SPV</t>
  </si>
  <si>
    <t>25/07/2022</t>
  </si>
  <si>
    <t>ARDIAN Infrastructure Fund VI</t>
  </si>
  <si>
    <t>98450046FF9E70CFBA37</t>
  </si>
  <si>
    <t>Core-Plus</t>
  </si>
  <si>
    <t>04/09/2023</t>
  </si>
  <si>
    <t>ASF IX</t>
  </si>
  <si>
    <t>SL35491</t>
  </si>
  <si>
    <t>האי ג'רזי</t>
  </si>
  <si>
    <t>06/10/2022</t>
  </si>
  <si>
    <t>89957</t>
  </si>
  <si>
    <t>ASF IX Infrastructure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</si>
  <si>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</si>
  <si>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</si>
  <si>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</si>
  <si>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</si>
  <si>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</si>
  <si>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</si>
  <si>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22/11/2021</t>
  </si>
  <si>
    <t>Blue Atlantic Partners III Cayman Feeder I, LP</t>
  </si>
  <si>
    <t>1683231</t>
  </si>
  <si>
    <t>BLUE ATLANTIC PARTNERS 3</t>
  </si>
  <si>
    <t>Value Added Real Estate</t>
  </si>
  <si>
    <t>03/12/2019</t>
  </si>
  <si>
    <t>COLCHIS INCOME FUND, LTD.</t>
  </si>
  <si>
    <t>618052</t>
  </si>
  <si>
    <t>COLCHIS INCOME FUND</t>
  </si>
  <si>
    <t>Direct Lending Debt</t>
  </si>
  <si>
    <t>18/07/2019</t>
  </si>
  <si>
    <t>Coller Credit Opportunities</t>
  </si>
  <si>
    <t>89525</t>
  </si>
  <si>
    <t>Coller CO Il</t>
  </si>
  <si>
    <t>09/04/2025</t>
  </si>
  <si>
    <t xml:space="preserve">Coller Capital </t>
  </si>
  <si>
    <t>98-0233839</t>
  </si>
  <si>
    <t>Coller IP IX</t>
  </si>
  <si>
    <t>07/08/2025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</si>
  <si>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</si>
  <si>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</si>
  <si>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</si>
  <si>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</si>
  <si>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</si>
  <si>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</si>
  <si>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</si>
  <si>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</si>
  <si>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</si>
  <si>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</si>
  <si>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</si>
  <si>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</si>
  <si>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</si>
  <si>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</si>
  <si>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</si>
  <si>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אמריקה הצפונית</t>
  </si>
  <si>
    <t>ECP V</t>
  </si>
  <si>
    <t>Opportunistic Infrastructure</t>
  </si>
  <si>
    <t>30/08/2023</t>
  </si>
  <si>
    <t>EQT INFRASTRUCTURE V</t>
  </si>
  <si>
    <t>RCS B243992</t>
  </si>
  <si>
    <t>EQT Infrastructure V</t>
  </si>
  <si>
    <t>11/08/2021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</si>
  <si>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</si>
  <si>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</si>
  <si>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</si>
  <si>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</si>
  <si>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</si>
  <si>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</si>
  <si>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</si>
  <si>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</si>
  <si>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</si>
  <si>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</si>
  <si>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</si>
  <si>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</si>
  <si>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GOLDEN TREE</t>
  </si>
  <si>
    <t>549300WMN0QTKIC7M266</t>
  </si>
  <si>
    <t>GoldenTree Master Fund</t>
  </si>
  <si>
    <t>27/05/2024</t>
  </si>
  <si>
    <t>HARBOURVEST PARTNERS, LLC</t>
  </si>
  <si>
    <t>5493001MCDH7I6NIXC24</t>
  </si>
  <si>
    <t>HARBOURVEST 2017 GLOBAL FUND</t>
  </si>
  <si>
    <t>Leveraged Buyout</t>
  </si>
  <si>
    <t>29/10/2017</t>
  </si>
  <si>
    <t>Harbourvest 2018 Global Fund L.P</t>
  </si>
  <si>
    <t>Harbourvest 2019 Global Fund L.P</t>
  </si>
  <si>
    <t>09/12/2019</t>
  </si>
  <si>
    <t>HARBOURVEST 2021 GLOBAL</t>
  </si>
  <si>
    <t xml:space="preserve">harbourvest </t>
  </si>
  <si>
    <t>28346</t>
  </si>
  <si>
    <t>Harbourvest 2024 Global</t>
  </si>
  <si>
    <t>19/12/2024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</si>
  <si>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</si>
  <si>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</si>
  <si>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</si>
  <si>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</si>
  <si>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</si>
  <si>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</si>
  <si>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>Harbourvest Direct Lending II</t>
  </si>
  <si>
    <t>25/07/2024</t>
  </si>
  <si>
    <t>מנפיק לא מוגדר</t>
  </si>
  <si>
    <t>2138005O9XJIJN4JPN90</t>
  </si>
  <si>
    <t>Harbourvest IOF III</t>
  </si>
  <si>
    <t>12/05/2025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</si>
  <si>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</si>
  <si>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</si>
  <si>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</si>
  <si>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</si>
  <si>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</si>
  <si>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</si>
  <si>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Core</t>
  </si>
  <si>
    <t>22/12/2020</t>
  </si>
  <si>
    <t>LLCP Partners VI GP, L.P.</t>
  </si>
  <si>
    <t>820734071</t>
  </si>
  <si>
    <t>Levine Leichtman VII</t>
  </si>
  <si>
    <t>05/03/2025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</si>
  <si>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</si>
  <si>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</si>
  <si>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</si>
  <si>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</si>
  <si>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</si>
  <si>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</si>
  <si>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</si>
  <si>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</si>
  <si>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</si>
  <si>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</si>
  <si>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</si>
  <si>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</si>
  <si>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</si>
  <si>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</si>
  <si>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</si>
  <si>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Distressed Debt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</si>
  <si>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</si>
  <si>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</si>
  <si>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</si>
  <si>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</si>
  <si>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</si>
  <si>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</si>
  <si>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</si>
  <si>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</si>
  <si>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</si>
  <si>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</t>
  </si>
  <si>
    <t>89429</t>
  </si>
  <si>
    <t>One Equity IX</t>
  </si>
  <si>
    <t>09/10/2024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</si>
  <si>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</si>
  <si>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</si>
  <si>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</si>
  <si>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</si>
  <si>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</si>
  <si>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</si>
  <si>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</si>
  <si>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</si>
  <si>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</si>
  <si>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</si>
  <si>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</si>
  <si>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Private Debt GP</t>
  </si>
  <si>
    <t>B-237033</t>
  </si>
  <si>
    <t>Pantheon CO III</t>
  </si>
  <si>
    <t>03/09/2024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</si>
  <si>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</si>
  <si>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</si>
  <si>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</si>
  <si>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</si>
  <si>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</si>
  <si>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</si>
  <si>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</si>
  <si>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</si>
  <si>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 xml:space="preserve">Pantheon Access Feeder LP </t>
  </si>
  <si>
    <t>B 201.101</t>
  </si>
  <si>
    <t>Pantheon Debt PSD III USD</t>
  </si>
  <si>
    <t>30/09/2024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</si>
  <si>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</si>
  <si>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</si>
  <si>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</si>
  <si>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</si>
  <si>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</si>
  <si>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</si>
  <si>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</si>
  <si>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Pantheon Global Infrastructure Fund IV (Luxembourg</t>
  </si>
  <si>
    <t>90278</t>
  </si>
  <si>
    <t>Pantheon GCO VI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</si>
  <si>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</si>
  <si>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</si>
  <si>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</si>
  <si>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</si>
  <si>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</si>
  <si>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</si>
  <si>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</si>
  <si>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</si>
  <si>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</si>
  <si>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</si>
  <si>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</si>
  <si>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</si>
  <si>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</si>
  <si>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</si>
  <si>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Seed/Early Stage Venture Capital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</si>
  <si>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</si>
  <si>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</si>
  <si>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</si>
  <si>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</si>
  <si>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</si>
  <si>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</si>
  <si>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 </t>
  </si>
  <si>
    <t>SCHRODERS CAPITAL PRIVATE EQUITY ASIA V L.P</t>
  </si>
  <si>
    <t>שוויץ</t>
  </si>
  <si>
    <t>08/07/2021</t>
  </si>
  <si>
    <t>SCHRODER INT</t>
  </si>
  <si>
    <t>8AFAYMK90I2QVGLMLS34</t>
  </si>
  <si>
    <t>Schroders Direct IV</t>
  </si>
  <si>
    <t>26/03/2025</t>
  </si>
  <si>
    <t>Schroders Capital Private Equity Secondaries IV S.C.S.</t>
  </si>
  <si>
    <t>875500IALY0CK2QA6W30 </t>
  </si>
  <si>
    <t>Schroders Opportunities II</t>
  </si>
  <si>
    <t>07/02/2022</t>
  </si>
  <si>
    <t>Tikehau invesment</t>
  </si>
  <si>
    <t>4922</t>
  </si>
  <si>
    <t>Tikehau Direct Lending VI</t>
  </si>
  <si>
    <t>07/07/2025</t>
  </si>
  <si>
    <t>max sp 500</t>
  </si>
  <si>
    <t>5299001OU9CSE29O6S05</t>
  </si>
  <si>
    <t>Tikehau Private Debt Secondaries II</t>
  </si>
  <si>
    <t>11/12/2024</t>
  </si>
  <si>
    <t>Tikehau Special Opp II</t>
  </si>
  <si>
    <t>Vintage Fund of Funds VII (Breakout), L.P.</t>
  </si>
  <si>
    <t>500472568</t>
  </si>
  <si>
    <t>Vintage FOF VII Breakout</t>
  </si>
  <si>
    <t>14/11/2022</t>
  </si>
  <si>
    <t>אלפא ערך קרן השקעה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</si>
  <si>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</si>
  <si>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</si>
  <si>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</si>
  <si>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</si>
  <si>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</si>
  <si>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</si>
  <si>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</si>
  <si>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>IIF FUND II LP</t>
  </si>
  <si>
    <t>28266</t>
  </si>
  <si>
    <t>ISRAEL INFRASTRUCTURE FUND II L.P</t>
  </si>
  <si>
    <t>JVP IV ANNEX LP</t>
  </si>
  <si>
    <t>500438064</t>
  </si>
  <si>
    <t>JVP IV ANNEX</t>
  </si>
  <si>
    <t>JVP VII LP</t>
  </si>
  <si>
    <t>500446158</t>
  </si>
  <si>
    <t>JVP VII</t>
  </si>
  <si>
    <t>JVP VIII L.P</t>
  </si>
  <si>
    <t>27916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</si>
  <si>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</si>
  <si>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</si>
  <si>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</si>
  <si>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</si>
  <si>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</si>
  <si>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</si>
  <si>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</si>
  <si>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500442751</t>
  </si>
  <si>
    <t>Vintage Secondary Fund III (Israel), L.P.</t>
  </si>
  <si>
    <t>500442769</t>
  </si>
  <si>
    <t>Vintage Secondary Fund III</t>
  </si>
  <si>
    <t>28/05/2018</t>
  </si>
  <si>
    <t>אורגרין</t>
  </si>
  <si>
    <t>530223684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</si>
  <si>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</si>
  <si>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</si>
  <si>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</si>
  <si>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</si>
  <si>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</si>
  <si>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</si>
  <si>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</si>
  <si>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</si>
  <si>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</si>
  <si>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</si>
  <si>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</si>
  <si>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פלנוס</t>
  </si>
  <si>
    <t>פלנוס מזנין קרן השקעה</t>
  </si>
  <si>
    <t>AVIV VENTURES I PARTNERS , L.P</t>
  </si>
  <si>
    <t>550205660</t>
  </si>
  <si>
    <t>קרן אביב 2 קרן הון סיכון</t>
  </si>
  <si>
    <t>JVP V LP</t>
  </si>
  <si>
    <t>500438023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</si>
  <si>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</si>
  <si>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</si>
  <si>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</si>
  <si>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</si>
  <si>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</si>
  <si>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</si>
  <si>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</si>
  <si>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</si>
  <si>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</si>
  <si>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</si>
  <si>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LEVINE LEICHTMAN CAPITAL PARTN</t>
  </si>
  <si>
    <t>31/07/2018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</si>
  <si>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</si>
  <si>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</si>
  <si>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</si>
  <si>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</si>
  <si>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</si>
  <si>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</si>
  <si>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</si>
  <si>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</si>
  <si>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</si>
  <si>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</si>
  <si>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</si>
  <si>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</si>
  <si>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</si>
  <si>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</si>
  <si>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</si>
  <si>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</si>
  <si>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</si>
  <si>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</si>
  <si>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</si>
  <si>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</si>
  <si>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</si>
  <si>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</si>
  <si>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</si>
  <si>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</si>
  <si>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</si>
  <si>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</si>
  <si>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</si>
  <si>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</si>
  <si>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</si>
  <si>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</si>
  <si>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</si>
  <si>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</si>
  <si>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</si>
  <si>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</si>
  <si>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</si>
  <si>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</si>
  <si>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</si>
  <si>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</si>
  <si>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</si>
  <si>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969</t>
  </si>
  <si>
    <t>Funded Forward</t>
  </si>
  <si>
    <t>9944037</t>
  </si>
  <si>
    <t>מט"ח</t>
  </si>
  <si>
    <t>מדינה/איזור גאוגרפי</t>
  </si>
  <si>
    <t>מט"ח/₪</t>
  </si>
  <si>
    <t>USD ILS</t>
  </si>
  <si>
    <t>05/08/2025 00:00:00</t>
  </si>
  <si>
    <t>05/11/2025 00:00:00</t>
  </si>
  <si>
    <t>ללא</t>
  </si>
  <si>
    <t>delivery</t>
  </si>
  <si>
    <t>הצד הנגדי</t>
  </si>
  <si>
    <t>חודשי</t>
  </si>
  <si>
    <t>0</t>
  </si>
  <si>
    <t>3.291</t>
  </si>
  <si>
    <t>POALILIT</t>
  </si>
  <si>
    <t>9944038</t>
  </si>
  <si>
    <t>EUR ILS</t>
  </si>
  <si>
    <t>3.872</t>
  </si>
  <si>
    <t>9944133</t>
  </si>
  <si>
    <t>07/08/2025 00:00:00</t>
  </si>
  <si>
    <t>9944184</t>
  </si>
  <si>
    <t>11/08/2025 00:00:00</t>
  </si>
  <si>
    <t>9945290</t>
  </si>
  <si>
    <t>30/09/2025 00:00:00</t>
  </si>
  <si>
    <t>1182</t>
  </si>
  <si>
    <t>424</t>
  </si>
  <si>
    <t>7228</t>
  </si>
  <si>
    <t>9945269</t>
  </si>
  <si>
    <t>7229</t>
  </si>
  <si>
    <t>12904</t>
  </si>
  <si>
    <t>12905</t>
  </si>
  <si>
    <t>13680</t>
  </si>
  <si>
    <t>14769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</si>
  <si>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</si>
  <si>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</si>
  <si>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</si>
  <si>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</si>
  <si>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</si>
  <si>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</si>
  <si>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</si>
  <si>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</si>
  <si>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</si>
  <si>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</si>
  <si>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</si>
  <si>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</si>
  <si>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</si>
  <si>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</si>
  <si>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</si>
  <si>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</si>
  <si>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</si>
  <si>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</si>
  <si>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</si>
  <si>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</si>
  <si>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</si>
  <si>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</si>
  <si>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</si>
  <si>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513846667</t>
  </si>
  <si>
    <t>אשדוד הלוואה 3.55% 19/34</t>
  </si>
  <si>
    <t>50003508</t>
  </si>
  <si>
    <t>תאגיד</t>
  </si>
  <si>
    <t>84666734</t>
  </si>
  <si>
    <t>06/03/2019</t>
  </si>
  <si>
    <t>הלוואה</t>
  </si>
  <si>
    <t>קבועה</t>
  </si>
  <si>
    <t>ריבית בנק ישראל</t>
  </si>
  <si>
    <t xml:space="preserve">אחר </t>
  </si>
  <si>
    <t xml:space="preserve">מימון מחדש. </t>
  </si>
  <si>
    <t>מרווח הוגן</t>
  </si>
  <si>
    <t>513326439</t>
  </si>
  <si>
    <t>דוראד 2030/2014 5.5%</t>
  </si>
  <si>
    <t>28472</t>
  </si>
  <si>
    <t>11898290</t>
  </si>
  <si>
    <t>22/05/2019</t>
  </si>
  <si>
    <t xml:space="preserve">קבועה </t>
  </si>
  <si>
    <t>26/05/2031</t>
  </si>
  <si>
    <t xml:space="preserve">חוב בכיר שנמכר ע"י בנקים שונים </t>
  </si>
  <si>
    <t>דוראד אנרגיה 18 2014/2030 5.5%</t>
  </si>
  <si>
    <t>29207</t>
  </si>
  <si>
    <t>11898170</t>
  </si>
  <si>
    <t>דוראד אנרגיה 19 14/2030 5.5% (מיטב)</t>
  </si>
  <si>
    <t>29215</t>
  </si>
  <si>
    <t>דוראד אנרגיה משיכה 11 12/31 %5.5301</t>
  </si>
  <si>
    <t>97386</t>
  </si>
  <si>
    <t>11898511</t>
  </si>
  <si>
    <t>30/01/2012</t>
  </si>
  <si>
    <t>דוראד אנרגיה משיכה 12 13/12 %5.5301</t>
  </si>
  <si>
    <t>97378</t>
  </si>
  <si>
    <t>11898512</t>
  </si>
  <si>
    <t>13/02/2012</t>
  </si>
  <si>
    <t>דוראד אנרגיה משיכה 17 12/31 %5.5301</t>
  </si>
  <si>
    <t>97394</t>
  </si>
  <si>
    <t>11898517</t>
  </si>
  <si>
    <t>28/05/2012</t>
  </si>
  <si>
    <t>דוראד אנרגיה משיכה 27 14/31(ד"ש</t>
  </si>
  <si>
    <t>973031</t>
  </si>
  <si>
    <t>11898527</t>
  </si>
  <si>
    <t>25/04/2013</t>
  </si>
  <si>
    <t>דוראד אנרגיה משיכה 5 2012/2202 %5.6</t>
  </si>
  <si>
    <t>97261</t>
  </si>
  <si>
    <t>11898505</t>
  </si>
  <si>
    <t>17/11/2011</t>
  </si>
  <si>
    <t>דוראד אנרגיה משיכה 6 5.681% 17/31</t>
  </si>
  <si>
    <t>29199</t>
  </si>
  <si>
    <t>11898506</t>
  </si>
  <si>
    <t>דוראד אנרגיה משיכה 9 2014/31(ד"ש</t>
  </si>
  <si>
    <t>97287</t>
  </si>
  <si>
    <t>11898509</t>
  </si>
  <si>
    <t>09/01/2012</t>
  </si>
  <si>
    <t>דוראד הלוו 7 14/2031 %5.5 (טכנאים</t>
  </si>
  <si>
    <t>97345</t>
  </si>
  <si>
    <t>11898507</t>
  </si>
  <si>
    <t>14/12/2011</t>
  </si>
  <si>
    <t>דוראד הלוואה 28 14/2030 %5.5</t>
  </si>
  <si>
    <t>28415</t>
  </si>
  <si>
    <t>11898160</t>
  </si>
  <si>
    <t>28/05/2013</t>
  </si>
  <si>
    <t>דוראד הלוואה 5.5% 14/2030</t>
  </si>
  <si>
    <t>24836</t>
  </si>
  <si>
    <t>11898200</t>
  </si>
  <si>
    <t>דוראד הלוואה משיכה 14 %5.5 1302/14</t>
  </si>
  <si>
    <t>97329</t>
  </si>
  <si>
    <t>11898514</t>
  </si>
  <si>
    <t>19/04/2012</t>
  </si>
  <si>
    <t>דוראד הלוואה משיכה 23 14/2030 %5.5</t>
  </si>
  <si>
    <t>24869</t>
  </si>
  <si>
    <t>11898230</t>
  </si>
  <si>
    <t>26/11/2012</t>
  </si>
  <si>
    <t>דוראד מ 15</t>
  </si>
  <si>
    <t>78022</t>
  </si>
  <si>
    <t>11898515</t>
  </si>
  <si>
    <t>דוראד מ 2</t>
  </si>
  <si>
    <t>78006</t>
  </si>
  <si>
    <t>דוראד משיכה 2 11/31 %5.6(מיטב ד</t>
  </si>
  <si>
    <t>97279</t>
  </si>
  <si>
    <t>11896120</t>
  </si>
  <si>
    <t>24/11/2011</t>
  </si>
  <si>
    <t>דוראד משיכה 20</t>
  </si>
  <si>
    <t>28704</t>
  </si>
  <si>
    <t>11898300</t>
  </si>
  <si>
    <t>דוראד משיכה 22 2030/2014 5.5%</t>
  </si>
  <si>
    <t>28548</t>
  </si>
  <si>
    <t>11898320</t>
  </si>
  <si>
    <t>דוראד משיכה 24 2030/2014 5.5%</t>
  </si>
  <si>
    <t>28589</t>
  </si>
  <si>
    <t>11898340</t>
  </si>
  <si>
    <t>דוראד משיכה 3 %5.662 2011/2031(מיטב</t>
  </si>
  <si>
    <t>97360</t>
  </si>
  <si>
    <t>11898503</t>
  </si>
  <si>
    <t>25/10/2011</t>
  </si>
  <si>
    <t>דוראד משיכה 3 5.662% 2011/2030</t>
  </si>
  <si>
    <t>33266</t>
  </si>
  <si>
    <t>11896130</t>
  </si>
  <si>
    <t>דוראד משיכה 33 %5.5 2015/2031</t>
  </si>
  <si>
    <t>28118</t>
  </si>
  <si>
    <t>11898422</t>
  </si>
  <si>
    <t>14/07/2016</t>
  </si>
  <si>
    <t>דוראד משיכה 4 14/2030 %5.53</t>
  </si>
  <si>
    <t>24752</t>
  </si>
  <si>
    <t>11896140</t>
  </si>
  <si>
    <t>25/01/2012</t>
  </si>
  <si>
    <t>הלוואה 12 דוראד אנרגיה 26.12.2012</t>
  </si>
  <si>
    <t>34819</t>
  </si>
  <si>
    <t>11898120</t>
  </si>
  <si>
    <t>26/05/2019</t>
  </si>
  <si>
    <t>הלוואה 13 דוראד אנרגיה 24.01.2013</t>
  </si>
  <si>
    <t>34801</t>
  </si>
  <si>
    <t>11898130</t>
  </si>
  <si>
    <t>24/01/2013</t>
  </si>
  <si>
    <t>הלוואה 14 דוראד אנרגיה 25.02.2013</t>
  </si>
  <si>
    <t>34843</t>
  </si>
  <si>
    <t>11898140</t>
  </si>
  <si>
    <t>25/02/2013</t>
  </si>
  <si>
    <t>הלוואה 17 דוראד אנרגיה 25.06.2013</t>
  </si>
  <si>
    <t>28423</t>
  </si>
  <si>
    <t>11898270</t>
  </si>
  <si>
    <t>הלוואה 18 דוראד אנרגיה 25.07.2013</t>
  </si>
  <si>
    <t>28456</t>
  </si>
  <si>
    <t>11898280</t>
  </si>
  <si>
    <t>25/07/2013</t>
  </si>
  <si>
    <t>הלוואה 21 דוראד אנרגיה 24.10.2013</t>
  </si>
  <si>
    <t>28522</t>
  </si>
  <si>
    <t>11898310</t>
  </si>
  <si>
    <t>24/10/2013</t>
  </si>
  <si>
    <t>הלוואה 23 דוראד אנרגיה 22.12.2013</t>
  </si>
  <si>
    <t>28563</t>
  </si>
  <si>
    <t>11898330</t>
  </si>
  <si>
    <t>22/12/2013</t>
  </si>
  <si>
    <t>הלוואה 25 דוראד אנרגיה 26.02.2014</t>
  </si>
  <si>
    <t>28605</t>
  </si>
  <si>
    <t>11898350</t>
  </si>
  <si>
    <t>26/02/2014</t>
  </si>
  <si>
    <t>הלוואה 26 דוראד אנרגיה 27.03.2014</t>
  </si>
  <si>
    <t>28639</t>
  </si>
  <si>
    <t>11898360</t>
  </si>
  <si>
    <t>27/03/2014</t>
  </si>
  <si>
    <t>הלוואה 28 דוראד אנרגיה 28.05.2014</t>
  </si>
  <si>
    <t>28654</t>
  </si>
  <si>
    <t>11898380</t>
  </si>
  <si>
    <t>28/05/2014</t>
  </si>
  <si>
    <t>הלוואה 29 דוראד אנרגיה 25.06.2014</t>
  </si>
  <si>
    <t>28670</t>
  </si>
  <si>
    <t>11898390</t>
  </si>
  <si>
    <t>25/06/2014</t>
  </si>
  <si>
    <t>הלוואה 30 דוראד אנרגיה 16.07.2014</t>
  </si>
  <si>
    <t>28902</t>
  </si>
  <si>
    <t>11898400</t>
  </si>
  <si>
    <t>16/07/2014</t>
  </si>
  <si>
    <t>הלוואה 31 דוראד אנרגיה 29.09.2014</t>
  </si>
  <si>
    <t>28928</t>
  </si>
  <si>
    <t>11898410</t>
  </si>
  <si>
    <t>הלוואה 32 דוראד אנרגיה 29.01.2015</t>
  </si>
  <si>
    <t>28944</t>
  </si>
  <si>
    <t>11898420</t>
  </si>
  <si>
    <t>29/01/2015</t>
  </si>
  <si>
    <t>הלוואה 33 דוראד אנרגיה 19.02.2015</t>
  </si>
  <si>
    <t>28969</t>
  </si>
  <si>
    <t>11898421</t>
  </si>
  <si>
    <t>19/02/2015</t>
  </si>
  <si>
    <t>הלוואה 5 דוראד אנרגיה 25.03.2012</t>
  </si>
  <si>
    <t>33233</t>
  </si>
  <si>
    <t>11896150</t>
  </si>
  <si>
    <t>הלוואה 6 דוראד אנרגיה 24.05.2012</t>
  </si>
  <si>
    <t>24760</t>
  </si>
  <si>
    <t>11896160</t>
  </si>
  <si>
    <t>24/05/2012</t>
  </si>
  <si>
    <t>הלוואה 8 דוראד אנרגיה 25.07.2012</t>
  </si>
  <si>
    <t>24810</t>
  </si>
  <si>
    <t>11898180</t>
  </si>
  <si>
    <t>25/07/2012</t>
  </si>
  <si>
    <t>הלוואה 9 דוראד אנרגיה 27.09.2012</t>
  </si>
  <si>
    <t>34330</t>
  </si>
  <si>
    <t>11898190</t>
  </si>
  <si>
    <t>513184192</t>
  </si>
  <si>
    <t>ויה מאריס מתקן התפלה 2015/2028</t>
  </si>
  <si>
    <t>44446</t>
  </si>
  <si>
    <t>99999987</t>
  </si>
  <si>
    <t>31/08/2023</t>
  </si>
  <si>
    <t>רכישת חוב ארוך מבנק הפועלים, שנועד במקור להקמת המתקן.</t>
  </si>
  <si>
    <t>516705795</t>
  </si>
  <si>
    <t>נמל חיפה</t>
  </si>
  <si>
    <t>50007798</t>
  </si>
  <si>
    <t>קרקעות - אחר/לא מסווג</t>
  </si>
  <si>
    <t>90552313</t>
  </si>
  <si>
    <t>14/04/2022</t>
  </si>
  <si>
    <t>צמוד למדד אחר</t>
  </si>
  <si>
    <t>שעבוד שוטף</t>
  </si>
  <si>
    <t>בלון</t>
  </si>
  <si>
    <t>מימון רכישת הנמל</t>
  </si>
  <si>
    <t>עוגן- חוב רגיל ב</t>
  </si>
  <si>
    <t>50007327</t>
  </si>
  <si>
    <t>93100003</t>
  </si>
  <si>
    <t>31/01/2022</t>
  </si>
  <si>
    <t>other</t>
  </si>
  <si>
    <t>15/01/2026</t>
  </si>
  <si>
    <t>513926857</t>
  </si>
  <si>
    <t>רמת הנגב הלוואה 3.55% 19/35</t>
  </si>
  <si>
    <t>50003409</t>
  </si>
  <si>
    <t>84666735</t>
  </si>
  <si>
    <t>31/12/2034</t>
  </si>
  <si>
    <t>510960586</t>
  </si>
  <si>
    <t>הלוואות עמיתים 4- השתלמות</t>
  </si>
  <si>
    <t>893300109</t>
  </si>
  <si>
    <t>עמית/מבוטח</t>
  </si>
  <si>
    <t>10/01/2019</t>
  </si>
  <si>
    <t>הלוואות עמיתים 6-גמל להשקעה</t>
  </si>
  <si>
    <t>893500109</t>
  </si>
  <si>
    <t>13/11/2024</t>
  </si>
  <si>
    <t>10/11/2016</t>
  </si>
  <si>
    <t>הלוואות עמיתים 2-גמל</t>
  </si>
  <si>
    <t>893100109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</si>
  <si>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</si>
  <si>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</si>
  <si>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</si>
  <si>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</si>
  <si>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</si>
  <si>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</si>
  <si>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</si>
  <si>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גמול פועלים סהר</t>
  </si>
  <si>
    <t>33-414</t>
  </si>
  <si>
    <t>סימול בנק</t>
  </si>
  <si>
    <t>02/11/2034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</si>
  <si>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</si>
  <si>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</si>
  <si>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</si>
  <si>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</si>
  <si>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</si>
  <si>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</si>
  <si>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</si>
  <si>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נדל"ן מניב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</si>
  <si>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</si>
  <si>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</si>
  <si>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</si>
  <si>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</si>
  <si>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</si>
  <si>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</si>
  <si>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</si>
  <si>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</si>
  <si>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</si>
  <si>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</si>
  <si>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אבנון 2021 משיכה 1</t>
  </si>
  <si>
    <t>50007509</t>
  </si>
  <si>
    <t xml:space="preserve">חייבים בגין תקבולים </t>
  </si>
  <si>
    <t>זכאים מס עמיתים</t>
  </si>
  <si>
    <t>28200000</t>
  </si>
  <si>
    <t>חייבים וזכאים מס</t>
  </si>
  <si>
    <t>אפסק אגח א חש 12/11</t>
  </si>
  <si>
    <t>11253761</t>
  </si>
  <si>
    <t>28/06/2018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</si>
  <si>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</si>
  <si>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</si>
  <si>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</si>
  <si>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</si>
  <si>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</si>
  <si>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</si>
  <si>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</si>
  <si>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</si>
  <si>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</si>
  <si>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</si>
  <si>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</si>
  <si>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</si>
  <si>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</si>
  <si>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</si>
  <si>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</si>
  <si>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</si>
  <si>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</si>
  <si>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</si>
  <si>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</si>
  <si>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</si>
  <si>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</si>
  <si>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</si>
  <si>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</si>
  <si>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</si>
  <si>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</si>
  <si>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</si>
  <si>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</si>
  <si>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</si>
  <si>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אנדורה</t>
  </si>
  <si>
    <t>אסטוניה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</si>
  <si>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</si>
  <si>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</si>
  <si>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</si>
  <si>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</si>
  <si>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</si>
  <si>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</si>
  <si>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</si>
  <si>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</si>
  <si>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</si>
  <si>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</si>
  <si>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</si>
  <si>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</si>
  <si>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</si>
  <si>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</si>
  <si>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</si>
  <si>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</si>
  <si>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</si>
  <si>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</si>
  <si>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</si>
  <si>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</si>
  <si>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</si>
  <si>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</si>
  <si>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</si>
  <si>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</si>
  <si>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</si>
  <si>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</si>
  <si>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</si>
  <si>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</si>
  <si>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</si>
  <si>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</si>
  <si>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</si>
  <si>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</si>
  <si>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</si>
  <si>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</si>
  <si>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</si>
  <si>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</si>
  <si>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</si>
  <si>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</si>
  <si>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</si>
  <si>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</si>
  <si>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</si>
  <si>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</si>
  <si>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</si>
  <si>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</si>
  <si>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</si>
  <si>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</si>
  <si>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</si>
  <si>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</si>
  <si>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</si>
  <si>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</si>
  <si>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</si>
  <si>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</si>
  <si>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</si>
  <si>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</si>
  <si>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</si>
  <si>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</si>
  <si>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</si>
  <si>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</si>
  <si>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</si>
  <si>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</si>
  <si>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</si>
  <si>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</si>
  <si>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</si>
  <si>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</si>
  <si>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</si>
  <si>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</si>
  <si>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</si>
  <si>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</si>
  <si>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</si>
  <si>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</si>
  <si>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</si>
  <si>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</si>
  <si>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</si>
  <si>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</si>
  <si>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</si>
  <si>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</si>
  <si>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</si>
  <si>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</si>
  <si>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</si>
  <si>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</si>
  <si>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</si>
  <si>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</si>
  <si>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</si>
  <si>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</si>
  <si>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</si>
  <si>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</si>
  <si>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</si>
  <si>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</si>
  <si>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</si>
  <si>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</si>
  <si>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</si>
  <si>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</si>
  <si>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</si>
  <si>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</si>
  <si>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</si>
  <si>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</si>
  <si>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</si>
  <si>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</si>
  <si>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</si>
  <si>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</si>
  <si>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</si>
  <si>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</si>
  <si>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</si>
  <si>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</si>
  <si>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</si>
  <si>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</si>
  <si>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</si>
  <si>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</si>
  <si>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</si>
  <si>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</si>
  <si>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</si>
  <si>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</si>
  <si>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</si>
  <si>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</si>
  <si>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</si>
  <si>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</si>
  <si>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</si>
  <si>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</si>
  <si>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</si>
  <si>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</si>
  <si>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</si>
  <si>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</si>
  <si>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</si>
  <si>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</si>
  <si>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</si>
  <si>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</si>
  <si>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</si>
  <si>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</si>
  <si>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</si>
  <si>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</si>
  <si>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</si>
  <si>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</si>
  <si>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</si>
  <si>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</si>
  <si>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</si>
  <si>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</si>
  <si>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</si>
  <si>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</si>
  <si>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</si>
  <si>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</si>
  <si>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</si>
  <si>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</si>
  <si>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</si>
  <si>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</si>
  <si>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</si>
  <si>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</si>
  <si>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</si>
  <si>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</si>
  <si>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</si>
  <si>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</si>
  <si>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</si>
  <si>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</si>
  <si>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</si>
  <si>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</si>
  <si>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</si>
  <si>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</si>
  <si>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</si>
  <si>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</si>
  <si>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</si>
  <si>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</si>
  <si>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</si>
  <si>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</si>
  <si>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</si>
  <si>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</si>
  <si>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</si>
  <si>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</si>
  <si>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</si>
  <si>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</si>
  <si>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אחסנה</t>
  </si>
  <si>
    <t>אלקטרוניקה ואופטיקה</t>
  </si>
  <si>
    <t>אנשים פרטיים</t>
  </si>
  <si>
    <t>השקעות במדעי החיים</t>
  </si>
  <si>
    <t>חברות ללא פעילות ומעטפת</t>
  </si>
  <si>
    <t>חברות מעטפת</t>
  </si>
  <si>
    <t>ליסינג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</si>
  <si>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</si>
  <si>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</si>
  <si>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</si>
  <si>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</si>
  <si>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</si>
  <si>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</si>
  <si>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</si>
  <si>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</si>
  <si>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</si>
  <si>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</si>
  <si>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</si>
  <si>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</si>
  <si>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</si>
  <si>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</si>
  <si>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</si>
  <si>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</si>
  <si>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</si>
  <si>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</si>
  <si>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</si>
  <si>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</si>
  <si>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</si>
  <si>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</si>
  <si>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</si>
  <si>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</si>
  <si>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</si>
  <si>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</si>
  <si>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</si>
  <si>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</si>
  <si>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</si>
  <si>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</si>
  <si>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</si>
  <si>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</si>
  <si>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</si>
  <si>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</si>
  <si>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</si>
  <si>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</si>
  <si>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</si>
  <si>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</si>
  <si>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</si>
  <si>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</si>
  <si>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</si>
  <si>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</si>
  <si>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</si>
  <si>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</si>
  <si>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</si>
  <si>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</si>
  <si>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</si>
  <si>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</si>
  <si>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</si>
  <si>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</si>
  <si>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</si>
  <si>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</si>
  <si>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</si>
  <si>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</si>
  <si>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</si>
  <si>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</si>
  <si>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</si>
  <si>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</si>
  <si>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</si>
  <si>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</si>
  <si>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</si>
  <si>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</si>
  <si>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</si>
  <si>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</si>
  <si>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</si>
  <si>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</si>
  <si>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</si>
  <si>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</si>
  <si>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</si>
  <si>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</si>
  <si>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</si>
  <si>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</si>
  <si>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</si>
  <si>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</si>
  <si>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</si>
  <si>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</si>
  <si>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</si>
  <si>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</si>
  <si>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</si>
  <si>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</si>
  <si>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</si>
  <si>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</si>
  <si>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</si>
  <si>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</si>
  <si>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</si>
  <si>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</si>
  <si>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</si>
  <si>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</si>
  <si>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</si>
  <si>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</si>
  <si>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</si>
  <si>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</si>
  <si>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</si>
  <si>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</si>
  <si>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</si>
  <si>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</si>
  <si>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</si>
  <si>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</si>
  <si>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</si>
  <si>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</si>
  <si>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</si>
  <si>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</si>
  <si>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</si>
  <si>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</si>
  <si>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</si>
  <si>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</si>
  <si>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</si>
  <si>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</si>
  <si>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</si>
  <si>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</si>
  <si>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</si>
  <si>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</si>
  <si>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</si>
  <si>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</si>
  <si>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</si>
  <si>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</si>
  <si>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</si>
  <si>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</si>
  <si>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</si>
  <si>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</si>
  <si>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</si>
  <si>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</si>
  <si>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</si>
  <si>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</si>
  <si>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</si>
  <si>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</si>
  <si>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</si>
  <si>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</si>
  <si>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</si>
  <si>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</si>
  <si>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</si>
  <si>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</si>
  <si>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</si>
  <si>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</si>
  <si>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</si>
  <si>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</si>
  <si>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</si>
  <si>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</si>
  <si>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</si>
  <si>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</si>
  <si>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</si>
  <si>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</si>
  <si>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</si>
  <si>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</si>
  <si>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</si>
  <si>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</si>
  <si>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</si>
  <si>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</si>
  <si>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</si>
  <si>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</si>
  <si>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</si>
  <si>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</si>
  <si>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</si>
  <si>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</si>
  <si>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</si>
  <si>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</si>
  <si>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</si>
  <si>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</si>
  <si>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</si>
  <si>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</si>
  <si>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</si>
  <si>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</si>
  <si>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</si>
  <si>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</si>
  <si>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</si>
  <si>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</si>
  <si>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</si>
  <si>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</si>
  <si>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</si>
  <si>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</si>
  <si>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</si>
  <si>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</si>
  <si>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</si>
  <si>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</si>
  <si>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</si>
  <si>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</si>
  <si>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</si>
  <si>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</si>
  <si>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</si>
  <si>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</si>
  <si>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</si>
  <si>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</si>
  <si>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</si>
  <si>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</si>
  <si>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</si>
  <si>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</si>
  <si>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</si>
  <si>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</si>
  <si>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</si>
  <si>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</si>
  <si>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</si>
  <si>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</si>
  <si>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</si>
  <si>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</si>
  <si>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</si>
  <si>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</si>
  <si>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</si>
  <si>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</si>
  <si>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</si>
  <si>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</si>
  <si>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</si>
  <si>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</si>
  <si>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</si>
  <si>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</si>
  <si>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</si>
  <si>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</si>
  <si>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</si>
  <si>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</si>
  <si>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</si>
  <si>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</si>
  <si>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</si>
  <si>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</si>
  <si>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</si>
  <si>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</si>
  <si>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</si>
  <si>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</si>
  <si>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</si>
  <si>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</si>
  <si>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</si>
  <si>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</si>
  <si>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</si>
  <si>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</si>
  <si>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</si>
  <si>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</si>
  <si>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</si>
  <si>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</si>
  <si>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</si>
  <si>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</si>
  <si>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</si>
  <si>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</si>
  <si>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</si>
  <si>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</si>
  <si>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</si>
  <si>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</si>
  <si>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</si>
  <si>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</si>
  <si>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</si>
  <si>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</si>
  <si>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</si>
  <si>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</si>
  <si>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</si>
  <si>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</si>
  <si>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</si>
  <si>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</si>
  <si>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</si>
  <si>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</si>
  <si>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</si>
  <si>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</si>
  <si>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</si>
  <si>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</si>
  <si>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</si>
  <si>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</si>
  <si>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</si>
  <si>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</si>
  <si>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</si>
  <si>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</si>
  <si>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</si>
  <si>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</si>
  <si>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שלילי</t>
  </si>
  <si>
    <t>תזרים עמלות</t>
  </si>
  <si>
    <t>תזרים מזומנים</t>
  </si>
  <si>
    <t>תזרים מפרויקטים</t>
  </si>
  <si>
    <t>בולט (Bullet)</t>
  </si>
  <si>
    <t>קרן שווה</t>
  </si>
  <si>
    <t>שפיצר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</si>
  <si>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</si>
  <si>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</si>
  <si>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</si>
  <si>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</si>
  <si>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</si>
  <si>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</si>
  <si>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</si>
  <si>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</si>
  <si>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</si>
  <si>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</si>
  <si>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</si>
  <si>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</si>
  <si>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</si>
  <si>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</si>
  <si>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</si>
  <si>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</si>
  <si>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</si>
  <si>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</si>
  <si>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</si>
  <si>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</si>
  <si>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</si>
  <si>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</si>
  <si>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</si>
  <si>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</si>
  <si>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</si>
  <si>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</si>
  <si>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</si>
  <si>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</si>
  <si>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</si>
  <si>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</si>
  <si>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</si>
  <si>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</si>
  <si>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</si>
  <si>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</si>
  <si>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</si>
  <si>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</si>
  <si>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</si>
  <si>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</si>
  <si>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</si>
  <si>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</si>
  <si>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Opportunistic Real Estate</t>
  </si>
  <si>
    <t>Distressed Real Estate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</si>
  <si>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</si>
  <si>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</si>
  <si>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</si>
  <si>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</si>
  <si>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</si>
  <si>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</si>
  <si>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</si>
  <si>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</si>
  <si>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</si>
  <si>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</si>
  <si>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</si>
  <si>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</si>
  <si>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</si>
  <si>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</si>
  <si>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</si>
  <si>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</si>
  <si>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</si>
  <si>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</si>
  <si>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</si>
  <si>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</si>
  <si>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</si>
  <si>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</si>
  <si>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</si>
  <si>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</si>
  <si>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</si>
  <si>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</si>
  <si>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</si>
  <si>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</si>
  <si>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</si>
  <si>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</si>
  <si>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</si>
  <si>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</si>
  <si>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</si>
  <si>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</si>
  <si>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</si>
  <si>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</si>
  <si>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</si>
  <si>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</si>
  <si>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</si>
  <si>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</si>
  <si>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</si>
  <si>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</si>
  <si>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שבועי</t>
  </si>
  <si>
    <t>רבעוני</t>
  </si>
  <si>
    <t>חצי-שנתי</t>
  </si>
  <si>
    <t>שנתי</t>
  </si>
  <si>
    <t>Delivery</t>
  </si>
  <si>
    <t>No-delivery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</si>
  <si>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</si>
  <si>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</si>
  <si>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</si>
  <si>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</si>
  <si>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</si>
  <si>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</si>
  <si>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</si>
  <si>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</si>
  <si>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</si>
  <si>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</si>
  <si>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</si>
  <si>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</si>
  <si>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</si>
  <si>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</si>
  <si>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</si>
  <si>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</si>
  <si>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</si>
  <si>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</si>
  <si>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</si>
  <si>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</si>
  <si>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</si>
  <si>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</si>
  <si>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</si>
  <si>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</si>
  <si>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</si>
  <si>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</si>
  <si>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</si>
  <si>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</si>
  <si>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</si>
  <si>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</si>
  <si>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</si>
  <si>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</si>
  <si>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</si>
  <si>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</si>
  <si>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</si>
  <si>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</si>
  <si>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</si>
  <si>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</si>
  <si>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</si>
  <si>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</si>
  <si>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</si>
  <si>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</si>
  <si>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</si>
  <si>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</si>
  <si>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</si>
  <si>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</si>
  <si>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</si>
  <si>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</si>
  <si>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</si>
  <si>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</si>
  <si>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</si>
  <si>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</si>
  <si>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</si>
  <si>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</si>
  <si>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</si>
  <si>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</si>
  <si>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</si>
  <si>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</si>
  <si>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</si>
  <si>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</si>
  <si>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</si>
  <si>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</si>
  <si>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</si>
  <si>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</si>
  <si>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</si>
  <si>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</si>
  <si>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</si>
  <si>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</si>
  <si>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</si>
  <si>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</si>
  <si>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</si>
  <si>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</si>
  <si>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</si>
  <si>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</si>
  <si>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</si>
  <si>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</si>
  <si>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</si>
  <si>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</si>
  <si>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</si>
  <si>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</si>
  <si>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</si>
  <si>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</si>
  <si>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</si>
  <si>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</si>
  <si>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</si>
  <si>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</si>
  <si>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</si>
  <si>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</si>
  <si>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</si>
  <si>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</si>
  <si>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</si>
  <si>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</si>
  <si>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</si>
  <si>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</si>
  <si>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</si>
  <si>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</si>
  <si>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</si>
  <si>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</si>
  <si>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</si>
  <si>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</si>
  <si>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</si>
  <si>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</si>
  <si>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</si>
  <si>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</si>
  <si>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</si>
  <si>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</si>
  <si>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</si>
  <si>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</si>
  <si>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</si>
  <si>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</si>
  <si>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</si>
  <si>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</si>
  <si>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</si>
  <si>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</si>
  <si>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</si>
  <si>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</si>
  <si>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</si>
  <si>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</si>
  <si>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</si>
  <si>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</si>
  <si>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</si>
  <si>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</si>
  <si>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</si>
  <si>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</si>
  <si>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</si>
  <si>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</si>
  <si>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</si>
  <si>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</si>
  <si>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</si>
  <si>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</si>
  <si>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</si>
  <si>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</si>
  <si>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</si>
  <si>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</si>
  <si>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</si>
  <si>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</si>
  <si>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</si>
  <si>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</si>
  <si>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</si>
  <si>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</si>
  <si>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</si>
  <si>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</si>
  <si>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</si>
  <si>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</si>
  <si>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</si>
  <si>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</si>
  <si>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</si>
  <si>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</si>
  <si>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</si>
  <si>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</si>
  <si>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</si>
  <si>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</si>
  <si>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</si>
  <si>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</si>
  <si>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</si>
  <si>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</si>
  <si>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</si>
  <si>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</si>
  <si>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</si>
  <si>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</si>
  <si>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</si>
  <si>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</si>
  <si>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</si>
  <si>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</si>
  <si>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</si>
  <si>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</si>
  <si>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</si>
  <si>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</si>
  <si>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</si>
  <si>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</si>
  <si>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</si>
  <si>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</si>
  <si>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</si>
  <si>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</si>
  <si>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</si>
  <si>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</si>
  <si>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</si>
  <si>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</si>
  <si>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</si>
  <si>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</si>
  <si>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</si>
  <si>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</si>
  <si>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</si>
  <si>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</si>
  <si>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</si>
  <si>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</si>
  <si>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</si>
  <si>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</si>
  <si>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</si>
  <si>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</si>
  <si>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</si>
  <si>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</si>
  <si>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</si>
  <si>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</si>
  <si>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</si>
  <si>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</si>
  <si>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</si>
  <si>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</si>
  <si>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</si>
  <si>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</si>
  <si>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</si>
  <si>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</si>
  <si>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</si>
  <si>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</si>
  <si>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</si>
  <si>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</si>
  <si>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</si>
  <si>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</si>
  <si>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</si>
  <si>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</si>
  <si>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</si>
  <si>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</si>
  <si>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</si>
  <si>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</si>
  <si>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</si>
  <si>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</si>
  <si>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</si>
  <si>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</si>
  <si>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</si>
  <si>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</si>
  <si>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</si>
  <si>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</si>
  <si>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</si>
  <si>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</si>
  <si>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</si>
  <si>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</si>
  <si>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</si>
  <si>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</si>
  <si>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</si>
  <si>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</si>
  <si>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</si>
  <si>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</si>
  <si>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</si>
  <si>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</si>
  <si>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</si>
  <si>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</si>
  <si>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</si>
  <si>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</si>
  <si>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</si>
  <si>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</si>
  <si>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</si>
  <si>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</si>
  <si>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</si>
  <si>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</si>
  <si>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</si>
  <si>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</si>
  <si>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</si>
  <si>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</si>
  <si>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</si>
  <si>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</si>
  <si>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</si>
  <si>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</si>
  <si>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</si>
  <si>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</si>
  <si>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</si>
  <si>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</si>
  <si>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</si>
  <si>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</si>
  <si>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</si>
  <si>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</si>
  <si>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</si>
  <si>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</si>
  <si>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</si>
  <si>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</si>
  <si>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</si>
  <si>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</si>
  <si>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</si>
  <si>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</si>
  <si>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</si>
  <si>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</si>
  <si>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</si>
  <si>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</si>
  <si>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</si>
  <si>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</si>
  <si>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</si>
  <si>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</si>
  <si>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</si>
  <si>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</si>
  <si>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</si>
  <si>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</si>
  <si>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</si>
  <si>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</si>
  <si>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</si>
  <si>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</si>
  <si>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</si>
  <si>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</si>
  <si>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</si>
  <si>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</si>
  <si>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</si>
  <si>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</si>
  <si>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</si>
  <si>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</si>
  <si>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</si>
  <si>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</si>
  <si>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</si>
  <si>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</si>
  <si>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</si>
  <si>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</si>
  <si>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</si>
  <si>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</si>
  <si>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</si>
  <si>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</si>
  <si>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</si>
  <si>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</si>
  <si>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</si>
  <si>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</si>
  <si>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</si>
  <si>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</si>
  <si>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</si>
  <si>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</si>
  <si>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</si>
  <si>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</si>
  <si>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</si>
  <si>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</si>
  <si>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</si>
  <si>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</si>
  <si>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</si>
  <si>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</si>
  <si>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</si>
  <si>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</si>
  <si>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</si>
  <si>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</si>
  <si>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</si>
  <si>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</si>
  <si>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</si>
  <si>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</si>
  <si>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</si>
  <si>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</si>
  <si>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</si>
  <si>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</si>
  <si>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</si>
  <si>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CAD</t>
  </si>
  <si>
    <t>JPY</t>
  </si>
  <si>
    <t>10-800</t>
  </si>
  <si>
    <t>AUD</t>
  </si>
  <si>
    <t>NOK</t>
  </si>
  <si>
    <t>CHF</t>
  </si>
  <si>
    <t>HKD</t>
  </si>
  <si>
    <t>12-509</t>
  </si>
  <si>
    <t>DKK</t>
  </si>
  <si>
    <t>lital@gemel.huji.ac.il</t>
  </si>
  <si>
    <t xml:space="preserve">ליטל אדרי </t>
  </si>
  <si>
    <t>90074</t>
  </si>
  <si>
    <t>PANTHEON GLOBAL SECONDARY FUND</t>
  </si>
  <si>
    <t>בית השנהב</t>
  </si>
  <si>
    <t>דניאל רובינזון</t>
  </si>
  <si>
    <t>בן יהודה 191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</si>
  <si>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</si>
  <si>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</si>
  <si>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</si>
  <si>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</si>
  <si>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</si>
  <si>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</si>
  <si>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</si>
  <si>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</si>
  <si>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</si>
  <si>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</si>
  <si>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</si>
  <si>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</si>
  <si>
    <t>מדרוג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</si>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</sst>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8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9" fillId="0" borderId="0"/>
  </cellStyleXfs>
  <cellXfs count="22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2" fontId="4" fillId="0" borderId="0" xfId="0" applyNumberFormat="1" applyFont="1" applyFill="1" applyBorder="1"/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2" fillId="0" borderId="0" xfId="0" applyNumberFormat="1" applyFont="1" applyFill="1" applyBorder="1"/>
    <xf numFmtId="166" fontId="0" fillId="0" borderId="0" xfId="0" applyNumberFormat="1" applyFont="1" applyFill="1" applyBorder="1" applyAlignment="1">
      <alignment horizontal="center"/>
    </xf>
    <xf numFmtId="0" fontId="26" fillId="5" borderId="11" xfId="6" applyNumberFormat="1" applyFill="1" applyBorder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0" fontId="0" fillId="0" borderId="0" xfId="0"/>
    <xf numFmtId="0" fontId="3" fillId="0" borderId="0" xfId="0" applyFont="1" applyProtection="1">
      <protection locked="0"/>
    </xf>
    <xf numFmtId="14" fontId="0" fillId="0" borderId="0" xfId="0" applyNumberFormat="1"/>
    <xf numFmtId="168" fontId="0" fillId="0" borderId="0" xfId="4" applyNumberFormat="1" applyFont="1"/>
    <xf numFmtId="168" fontId="2" fillId="0" borderId="0" xfId="4" applyNumberFormat="1" applyFont="1" applyProtection="1">
      <protection locked="0"/>
    </xf>
    <xf numFmtId="168" fontId="3" fillId="0" borderId="0" xfId="4" applyNumberFormat="1" applyFont="1" applyProtection="1">
      <protection locked="0"/>
    </xf>
    <xf numFmtId="9" fontId="2" fillId="0" borderId="0" xfId="5" applyFont="1" applyProtection="1">
      <protection locked="0"/>
    </xf>
    <xf numFmtId="0" fontId="2" fillId="0" borderId="0" xfId="0" applyFont="1"/>
    <xf numFmtId="168" fontId="3" fillId="0" borderId="0" xfId="4" applyNumberFormat="1" applyFont="1" applyFill="1" applyProtection="1">
      <protection locked="0"/>
    </xf>
    <xf numFmtId="43" fontId="7" fillId="3" borderId="10" xfId="4" applyFont="1" applyFill="1" applyBorder="1" applyAlignment="1">
      <alignment horizontal="center" vertical="center" wrapText="1"/>
    </xf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4" fillId="0" borderId="20" xfId="4" applyFont="1" applyFill="1" applyBorder="1" applyAlignment="1">
      <alignment horizontal="center" vertical="center" wrapText="1"/>
    </xf>
    <xf numFmtId="43" fontId="8" fillId="0" borderId="0" xfId="4" applyFont="1" applyFill="1" applyBorder="1" applyAlignment="1">
      <alignment horizontal="center" vertical="center" wrapText="1"/>
    </xf>
    <xf numFmtId="9" fontId="8" fillId="0" borderId="10" xfId="5" applyFont="1" applyFill="1" applyBorder="1" applyAlignment="1">
      <alignment horizontal="center" vertical="center" wrapText="1"/>
    </xf>
    <xf numFmtId="9" fontId="8" fillId="0" borderId="21" xfId="5" applyFont="1" applyFill="1" applyBorder="1" applyAlignment="1">
      <alignment horizontal="center" vertical="center" wrapText="1"/>
    </xf>
    <xf numFmtId="9" fontId="24" fillId="0" borderId="20" xfId="5" applyFont="1" applyFill="1" applyBorder="1" applyAlignment="1">
      <alignment horizontal="center" vertical="center" wrapText="1"/>
    </xf>
    <xf numFmtId="166" fontId="27" fillId="0" borderId="0" xfId="0" applyNumberFormat="1" applyFont="1" applyFill="1" applyBorder="1" applyAlignment="1">
      <alignment horizontal="center"/>
    </xf>
    <xf numFmtId="0" fontId="28" fillId="0" borderId="0" xfId="0" applyFont="1"/>
    <xf numFmtId="0" fontId="0" fillId="0" borderId="0" xfId="0" applyProtection="1">
      <protection locked="0"/>
    </xf>
    <xf numFmtId="14" fontId="2" fillId="0" borderId="0" xfId="0" applyNumberFormat="1" applyFont="1" applyProtection="1">
      <protection locked="0"/>
    </xf>
    <xf numFmtId="10" fontId="2" fillId="0" borderId="0" xfId="5" applyNumberFormat="1" applyFont="1" applyBorder="1"/>
    <xf numFmtId="17" fontId="28" fillId="0" borderId="0" xfId="0" applyNumberFormat="1" applyFont="1"/>
    <xf numFmtId="168" fontId="2" fillId="0" borderId="0" xfId="4" applyNumberFormat="1" applyBorder="1"/>
    <xf numFmtId="3" fontId="2" fillId="0" borderId="0" xfId="0" applyNumberFormat="1" applyFont="1" applyProtection="1">
      <protection locked="0"/>
    </xf>
    <xf numFmtId="10" fontId="2" fillId="0" borderId="0" xfId="5" applyNumberFormat="1" applyFont="1" applyBorder="1" applyProtection="1">
      <protection locked="0"/>
    </xf>
    <xf numFmtId="0" fontId="29" fillId="0" borderId="0" xfId="7" applyAlignment="1">
      <alignment horizontal="right"/>
    </xf>
    <xf numFmtId="0" fontId="2" fillId="0" borderId="0" xfId="0" applyFont="1" applyFill="1" applyProtection="1">
      <protection locked="0"/>
    </xf>
    <xf numFmtId="0" fontId="2" fillId="0" borderId="0" xfId="0" applyFont="1" applyFill="1" applyAlignment="1" applyProtection="1">
      <alignment horizontal="center"/>
      <protection locked="0"/>
    </xf>
  </cellXfs>
  <cellStyles count="8">
    <cellStyle name="Comma" xfId="4" builtinId="3"/>
    <cellStyle name="Normal" xfId="0" builtinId="0"/>
    <cellStyle name="Normal 2" xfId="7" xr:uid="{4CB46745-F8C6-4AC4-9769-797FAD85E91A}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6" builtinId="8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tal@gemel.huji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1" t="s">
        <v>3120</v>
      </c>
      <c r="B1" s="32"/>
      <c r="C1" s="32"/>
      <c r="D1" s="32"/>
    </row>
    <row r="3" spans="1:4">
      <c r="A3" t="s">
        <v>3121</v>
      </c>
      <c r="D3" s="109" t="s">
        <v>3137</v>
      </c>
    </row>
    <row r="5" spans="1:4">
      <c r="A5" t="s">
        <v>3122</v>
      </c>
      <c r="D5" s="109" t="s">
        <v>3149</v>
      </c>
    </row>
    <row r="7" spans="1:4">
      <c r="A7" t="s">
        <v>3123</v>
      </c>
      <c r="D7" s="109" t="s">
        <v>3154</v>
      </c>
    </row>
    <row r="8" spans="1:4">
      <c r="D8" s="30"/>
    </row>
    <row r="9" spans="1:4">
      <c r="A9" t="s">
        <v>3124</v>
      </c>
      <c r="D9" s="109">
        <v>2025</v>
      </c>
    </row>
    <row r="11" spans="1:4">
      <c r="A11" t="s">
        <v>3125</v>
      </c>
      <c r="D11" s="109" t="s">
        <v>3212</v>
      </c>
    </row>
    <row r="13" spans="1:4">
      <c r="A13" t="s">
        <v>3126</v>
      </c>
      <c r="D13" s="110">
        <f>IFERROR(VLOOKUP(D11,'File Name Info'!A35:B130,2,0),"תא מחושב")</f>
        <v>510960586</v>
      </c>
    </row>
    <row r="15" spans="1:4" ht="15">
      <c r="A15" s="17" t="s">
        <v>3127</v>
      </c>
      <c r="D15" s="11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510960586_gm_p_0325.xlsx</v>
      </c>
    </row>
    <row r="16" spans="1:4" ht="15">
      <c r="A16" s="17"/>
      <c r="D16" s="30"/>
    </row>
    <row r="17" spans="1:4" ht="15">
      <c r="A17" s="17" t="s">
        <v>3128</v>
      </c>
      <c r="B17" s="14" t="s">
        <v>3129</v>
      </c>
      <c r="C17" s="14"/>
      <c r="D17" s="111" t="s">
        <v>3288</v>
      </c>
    </row>
    <row r="18" spans="1:4">
      <c r="A18" s="12"/>
      <c r="B18" s="15"/>
      <c r="C18" s="15"/>
      <c r="D18" s="16"/>
    </row>
    <row r="19" spans="1:4">
      <c r="A19" s="12"/>
      <c r="B19" s="14" t="s">
        <v>3130</v>
      </c>
      <c r="C19" s="14"/>
      <c r="D19" s="111">
        <v>25680909</v>
      </c>
    </row>
    <row r="20" spans="1:4">
      <c r="A20" s="12"/>
      <c r="B20" s="15"/>
      <c r="C20" s="15"/>
      <c r="D20" s="16"/>
    </row>
    <row r="21" spans="1:4">
      <c r="A21" s="12"/>
      <c r="B21" s="14" t="s">
        <v>3131</v>
      </c>
      <c r="C21" s="14"/>
      <c r="D21" s="193" t="s">
        <v>3287</v>
      </c>
    </row>
    <row r="22" spans="1:4">
      <c r="A22" s="12"/>
      <c r="B22" s="13"/>
      <c r="C22" s="13"/>
    </row>
    <row r="23" spans="1:4" ht="28.5">
      <c r="A23" s="151" t="s">
        <v>3132</v>
      </c>
      <c r="D23" s="150" t="s">
        <v>3133</v>
      </c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F3930EAC-FD6A-4710-BD97-8126017B103C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24" sqref="A24"/>
    </sheetView>
  </sheetViews>
  <sheetFormatPr defaultColWidth="0" defaultRowHeight="12.75" zeroHeight="1"/>
  <cols>
    <col min="1" max="1" width="42.75" style="7" customWidth="1"/>
    <col min="2" max="2" width="13" style="208" customWidth="1"/>
    <col min="3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0"/>
      <c r="B1" s="204"/>
      <c r="C1" s="113" t="s">
        <v>3274</v>
      </c>
      <c r="D1" s="112"/>
      <c r="E1" s="51"/>
    </row>
    <row r="2" spans="1:5" ht="25.5">
      <c r="A2" s="50"/>
      <c r="B2" s="204" t="s">
        <v>36</v>
      </c>
      <c r="C2" s="51" t="s">
        <v>2939</v>
      </c>
      <c r="D2" s="51" t="s">
        <v>22</v>
      </c>
      <c r="E2" s="51" t="s">
        <v>3275</v>
      </c>
    </row>
    <row r="3" spans="1:5">
      <c r="A3" s="53" t="s">
        <v>2977</v>
      </c>
      <c r="B3" s="205">
        <f>SUM('מזומנים ושווי מזומנים'!O:O)</f>
        <v>87126.839300000007</v>
      </c>
      <c r="C3" s="54"/>
      <c r="D3" s="54"/>
      <c r="E3" s="209">
        <f>SUM('מזומנים ושווי מזומנים'!O:O)/B30</f>
        <v>2.558998130493895E-2</v>
      </c>
    </row>
    <row r="4" spans="1:5">
      <c r="A4" s="53" t="s">
        <v>2987</v>
      </c>
      <c r="B4" s="205">
        <f>SUM('איגרות חוב ממשלתיות'!U:U)</f>
        <v>473646.87599999993</v>
      </c>
      <c r="C4" s="54"/>
      <c r="D4" s="54"/>
      <c r="E4" s="209">
        <f>SUM('איגרות חוב ממשלתיות'!U:U)/B30</f>
        <v>0.13911459200589565</v>
      </c>
    </row>
    <row r="5" spans="1:5">
      <c r="A5" s="53" t="s">
        <v>2992</v>
      </c>
      <c r="B5" s="205">
        <f>SUM('ניירות ערך מסחריים'!AD:AD)</f>
        <v>0</v>
      </c>
      <c r="C5" s="54"/>
      <c r="D5" s="54"/>
      <c r="E5" s="209">
        <f>SUM('ניירות ערך מסחריים'!AD:AD)/B30</f>
        <v>0</v>
      </c>
    </row>
    <row r="6" spans="1:5">
      <c r="A6" s="53" t="s">
        <v>2993</v>
      </c>
      <c r="B6" s="205">
        <f>SUM('איגרות חוב'!AD:AD)</f>
        <v>351316.65600000019</v>
      </c>
      <c r="C6" s="54"/>
      <c r="D6" s="54"/>
      <c r="E6" s="209">
        <f>SUM('איגרות חוב'!AD:AD)/B30</f>
        <v>0.10318504299459504</v>
      </c>
    </row>
    <row r="7" spans="1:5">
      <c r="A7" s="53" t="s">
        <v>2998</v>
      </c>
      <c r="B7" s="205">
        <f>SUM('מניות מבכ ויהש'!U:U)</f>
        <v>644178.92100000032</v>
      </c>
      <c r="C7" s="54"/>
      <c r="D7" s="54"/>
      <c r="E7" s="209">
        <f>SUM('מניות מבכ ויהש'!U:U)/B30</f>
        <v>0.18920147543359528</v>
      </c>
    </row>
    <row r="8" spans="1:5">
      <c r="A8" s="53" t="s">
        <v>1571</v>
      </c>
      <c r="B8" s="205">
        <f>SUM('קרנות סל'!T:T)</f>
        <v>571408.14000000025</v>
      </c>
      <c r="C8" s="54"/>
      <c r="D8" s="54"/>
      <c r="E8" s="209">
        <f>SUM('קרנות סל'!T:T)/B30</f>
        <v>0.16782800498181213</v>
      </c>
    </row>
    <row r="9" spans="1:5">
      <c r="A9" s="53" t="s">
        <v>3007</v>
      </c>
      <c r="B9" s="205">
        <f>SUM('קרנות נאמנות'!T:T)</f>
        <v>100714.41900000001</v>
      </c>
      <c r="C9" s="54"/>
      <c r="D9" s="54"/>
      <c r="E9" s="209">
        <f>SUM('קרנות נאמנות'!T:T)/B30</f>
        <v>2.9580782684811433E-2</v>
      </c>
    </row>
    <row r="10" spans="1:5">
      <c r="A10" s="53" t="s">
        <v>3262</v>
      </c>
      <c r="B10" s="205">
        <f>SUM('כתבי אופציה'!W:W)</f>
        <v>989.48100000000011</v>
      </c>
      <c r="C10" s="54"/>
      <c r="D10" s="54"/>
      <c r="E10" s="209">
        <f>SUM('כתבי אופציה'!W:W)/B30</f>
        <v>2.9061997996284827E-4</v>
      </c>
    </row>
    <row r="11" spans="1:5">
      <c r="A11" s="53" t="s">
        <v>3009</v>
      </c>
      <c r="B11" s="205">
        <f>SUM(אופציות!V:V)</f>
        <v>0</v>
      </c>
      <c r="C11" s="54"/>
      <c r="D11" s="54"/>
      <c r="E11" s="209">
        <f>SUM(אופציות!V:V)/B30</f>
        <v>0</v>
      </c>
    </row>
    <row r="12" spans="1:5">
      <c r="A12" s="53" t="s">
        <v>3263</v>
      </c>
      <c r="B12" s="205">
        <f>SUM('חוזים עתידיים'!R:R)</f>
        <v>5035.1749999999993</v>
      </c>
      <c r="C12" s="54"/>
      <c r="D12" s="54"/>
      <c r="E12" s="209">
        <f>SUM('חוזים עתידיים'!R:R)/B30</f>
        <v>1.478878783533422E-3</v>
      </c>
    </row>
    <row r="13" spans="1:5">
      <c r="A13" s="53" t="s">
        <v>3014</v>
      </c>
      <c r="B13" s="205">
        <f>SUM('מוצרים מובנים'!Z:Z)</f>
        <v>4753.3519999999999</v>
      </c>
      <c r="C13" s="54"/>
      <c r="D13" s="54"/>
      <c r="E13" s="209">
        <f>SUM('מוצרים מובנים'!Z:Z)/B30</f>
        <v>1.396104688211663E-3</v>
      </c>
    </row>
    <row r="14" spans="1:5">
      <c r="A14" s="53" t="s">
        <v>3020</v>
      </c>
      <c r="B14" s="205">
        <f>SUM('לא סחיר איגרות חוב ממשלתיות'!U:U)</f>
        <v>0</v>
      </c>
      <c r="C14" s="54"/>
      <c r="D14" s="54"/>
      <c r="E14" s="209">
        <f>SUM('לא סחיר איגרות חוב ממשלתיות'!U:U)/B30</f>
        <v>0</v>
      </c>
    </row>
    <row r="15" spans="1:5">
      <c r="A15" s="53" t="s">
        <v>3021</v>
      </c>
      <c r="B15" s="205">
        <f>SUM('לא סחיר איגרות חוב מיועדות'!N:N)</f>
        <v>0</v>
      </c>
      <c r="C15" s="54"/>
      <c r="D15" s="54"/>
      <c r="E15" s="209">
        <f>SUM('לא סחיר איגרות חוב מיועדות'!N:N)/B30</f>
        <v>0</v>
      </c>
    </row>
    <row r="16" spans="1:5" s="116" customFormat="1">
      <c r="A16" s="55" t="s">
        <v>3027</v>
      </c>
      <c r="B16" s="205">
        <f>SUM('אפיק השקעה מובטח תשואה'!F:F)</f>
        <v>0</v>
      </c>
      <c r="C16" s="56"/>
      <c r="D16" s="56"/>
      <c r="E16" s="209">
        <f>SUM('אפיק השקעה מובטח תשואה'!F:F)/B30</f>
        <v>0</v>
      </c>
    </row>
    <row r="17" spans="1:5">
      <c r="A17" s="55" t="s">
        <v>3031</v>
      </c>
      <c r="B17" s="205">
        <f>SUM('לא סחיר ניירות ערך מסחריים'!AI:AI)</f>
        <v>0</v>
      </c>
      <c r="C17" s="56"/>
      <c r="D17" s="56"/>
      <c r="E17" s="209">
        <f>SUM('לא סחיר ניירות ערך מסחריים'!AI:AI)/B30</f>
        <v>0</v>
      </c>
    </row>
    <row r="18" spans="1:5">
      <c r="A18" s="53" t="s">
        <v>3033</v>
      </c>
      <c r="B18" s="205">
        <f>SUM('לא סחיר איגרות חוב'!AG:AG)</f>
        <v>7271.8799999999992</v>
      </c>
      <c r="C18" s="54"/>
      <c r="D18" s="54"/>
      <c r="E18" s="209">
        <f>SUM('לא סחיר איגרות חוב'!AG:AG)/B30</f>
        <v>2.1358203137728125E-3</v>
      </c>
    </row>
    <row r="19" spans="1:5">
      <c r="A19" s="53" t="s">
        <v>3036</v>
      </c>
      <c r="B19" s="205">
        <f>SUM('לא סחיר מניות מבכ ויהש'!X:X)</f>
        <v>72702.451000000015</v>
      </c>
      <c r="C19" s="54"/>
      <c r="D19" s="54"/>
      <c r="E19" s="209">
        <f>SUM('לא סחיר מניות מבכ ויהש'!X:X)/B30</f>
        <v>2.135340128094421E-2</v>
      </c>
    </row>
    <row r="20" spans="1:5">
      <c r="A20" s="53" t="s">
        <v>2849</v>
      </c>
      <c r="B20" s="205">
        <f>SUM('קרנות השקעה'!W:W)</f>
        <v>558473.80199999956</v>
      </c>
      <c r="C20" s="54"/>
      <c r="D20" s="54"/>
      <c r="E20" s="209">
        <f>SUM('קרנות השקעה'!W:W)/B30</f>
        <v>0.16402906690175509</v>
      </c>
    </row>
    <row r="21" spans="1:5">
      <c r="A21" s="53" t="s">
        <v>3266</v>
      </c>
      <c r="B21" s="205">
        <f>SUM('לא סחיר כתבי אופציה'!Z:Z)</f>
        <v>0</v>
      </c>
      <c r="C21" s="54"/>
      <c r="D21" s="54"/>
      <c r="E21" s="209">
        <f>SUM('לא סחיר כתבי אופציה'!Z:Z)/B30</f>
        <v>0</v>
      </c>
    </row>
    <row r="22" spans="1:5">
      <c r="A22" s="53" t="s">
        <v>3049</v>
      </c>
      <c r="B22" s="205">
        <f>SUM('לא סחיר אופציות'!Z:Z)</f>
        <v>0</v>
      </c>
      <c r="C22" s="54"/>
      <c r="D22" s="54"/>
      <c r="E22" s="209">
        <f>SUM('לא סחיר אופציות'!Z:Z)/B30</f>
        <v>0</v>
      </c>
    </row>
    <row r="23" spans="1:5">
      <c r="A23" s="53" t="s">
        <v>3056</v>
      </c>
      <c r="B23" s="205">
        <f>SUM('לא סחיר נגזרים אחרים'!R:R)</f>
        <v>16977.939000000006</v>
      </c>
      <c r="C23" s="54"/>
      <c r="D23" s="54"/>
      <c r="E23" s="209">
        <f>SUM('לא סחיר נגזרים אחרים'!R:R)/B30</f>
        <v>4.9865821496223386E-3</v>
      </c>
    </row>
    <row r="24" spans="1:5">
      <c r="A24" s="53" t="s">
        <v>3051</v>
      </c>
      <c r="B24" s="205">
        <f>SUM(הלוואות!AT:AT)</f>
        <v>55104.90599999993</v>
      </c>
      <c r="C24" s="54"/>
      <c r="D24" s="54"/>
      <c r="E24" s="209">
        <f>SUM(הלוואות!AT:AT)/B30</f>
        <v>1.6184834956481847E-2</v>
      </c>
    </row>
    <row r="25" spans="1:5">
      <c r="A25" s="53" t="s">
        <v>3067</v>
      </c>
      <c r="B25" s="205">
        <f>SUM('לא סחיר מוצרים מובנים'!AB:AB)</f>
        <v>0</v>
      </c>
      <c r="C25" s="54"/>
      <c r="D25" s="54"/>
      <c r="E25" s="209">
        <f>SUM('לא סחיר מוצרים מובנים'!AB:AB)/B30</f>
        <v>0</v>
      </c>
    </row>
    <row r="26" spans="1:5">
      <c r="A26" s="53" t="s">
        <v>3072</v>
      </c>
      <c r="B26" s="205">
        <f>SUM('פיקדונות מעל 3 חודשים'!T:T)</f>
        <v>432.22500000000002</v>
      </c>
      <c r="C26" s="54"/>
      <c r="D26" s="54"/>
      <c r="E26" s="209">
        <f>SUM('פיקדונות מעל 3 חודשים'!T:T)/B30</f>
        <v>1.2694859309015744E-4</v>
      </c>
    </row>
    <row r="27" spans="1:5">
      <c r="A27" s="53" t="s">
        <v>3075</v>
      </c>
      <c r="B27" s="205">
        <f>SUM('זכויות מקרקעין'!S:S)</f>
        <v>451503.80279787362</v>
      </c>
      <c r="C27" s="54"/>
      <c r="D27" s="54"/>
      <c r="E27" s="209">
        <f>SUM('זכויות מקרקעין'!S:S)/B30</f>
        <v>0.13261096081912419</v>
      </c>
    </row>
    <row r="28" spans="1:5">
      <c r="A28" s="53" t="s">
        <v>3108</v>
      </c>
      <c r="B28" s="205">
        <f>SUM('השקעה בחברות מוחזקות'!U:U)</f>
        <v>0</v>
      </c>
      <c r="C28" s="54"/>
      <c r="D28" s="54"/>
      <c r="E28" s="209">
        <f>SUM('השקעה בחברות מוחזקות'!U:U)/B30</f>
        <v>0</v>
      </c>
    </row>
    <row r="29" spans="1:5">
      <c r="A29" s="53" t="s">
        <v>3077</v>
      </c>
      <c r="B29" s="206">
        <f>SUM('נכסים אחרים'!N:N)</f>
        <v>3087.752</v>
      </c>
      <c r="C29" s="148"/>
      <c r="D29" s="148"/>
      <c r="E29" s="210">
        <f>SUM('נכסים אחרים'!N:N)/B30</f>
        <v>9.0690212785313163E-4</v>
      </c>
    </row>
    <row r="30" spans="1:5" ht="15">
      <c r="A30" s="52" t="s">
        <v>3276</v>
      </c>
      <c r="B30" s="207">
        <f>IF(SUM(B3:B29)=0,0.0001,SUM(B3:B29))</f>
        <v>3404724.6170978732</v>
      </c>
      <c r="C30" s="149">
        <f t="shared" ref="C30:D30" si="0">SUM(C3:C29)</f>
        <v>0</v>
      </c>
      <c r="D30" s="149">
        <f t="shared" si="0"/>
        <v>0</v>
      </c>
      <c r="E30" s="211">
        <f>SUM(E3:E29)</f>
        <v>1</v>
      </c>
    </row>
    <row r="31" spans="1:5" s="116" customFormat="1">
      <c r="A31" s="55" t="s">
        <v>3273</v>
      </c>
      <c r="B31" s="205"/>
      <c r="C31" s="56"/>
      <c r="D31" s="56"/>
      <c r="E31" s="209"/>
    </row>
    <row r="32" spans="1:5">
      <c r="A32" s="55" t="s">
        <v>3277</v>
      </c>
      <c r="B32" s="205">
        <f>SUM('יתרות התחייבות להשקעה'!O:O)</f>
        <v>221060.51049548702</v>
      </c>
      <c r="C32" s="56"/>
      <c r="D32" s="56"/>
      <c r="E32" s="20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2"/>
  <sheetViews>
    <sheetView rightToLeft="1" topLeftCell="C1" workbookViewId="0">
      <selection activeCell="N1" sqref="N1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19" t="s">
        <v>0</v>
      </c>
      <c r="B1" s="19" t="s">
        <v>1</v>
      </c>
      <c r="C1" s="19" t="s">
        <v>2349</v>
      </c>
      <c r="D1" s="19" t="s">
        <v>2350</v>
      </c>
      <c r="E1" s="19" t="s">
        <v>2351</v>
      </c>
      <c r="F1" s="19" t="s">
        <v>5</v>
      </c>
      <c r="G1" s="19" t="s">
        <v>6</v>
      </c>
      <c r="H1" s="19" t="s">
        <v>125</v>
      </c>
      <c r="I1" s="19" t="s">
        <v>2353</v>
      </c>
      <c r="J1" s="19" t="s">
        <v>10</v>
      </c>
      <c r="K1" s="19" t="s">
        <v>11</v>
      </c>
      <c r="L1" s="19" t="s">
        <v>2354</v>
      </c>
      <c r="M1" s="161" t="s">
        <v>18</v>
      </c>
      <c r="N1" s="163" t="s">
        <v>14</v>
      </c>
      <c r="O1" s="19" t="s">
        <v>20</v>
      </c>
      <c r="P1" s="163" t="s">
        <v>24</v>
      </c>
      <c r="Q1" s="163" t="s">
        <v>25</v>
      </c>
    </row>
    <row r="2" spans="1:17" s="41" customFormat="1">
      <c r="A2" s="41">
        <v>1182</v>
      </c>
      <c r="B2" s="41">
        <v>1182</v>
      </c>
      <c r="C2" s="41" t="s">
        <v>2356</v>
      </c>
      <c r="D2" s="41" t="s">
        <v>2357</v>
      </c>
      <c r="E2" s="42" t="s">
        <v>2358</v>
      </c>
      <c r="F2" s="41" t="s">
        <v>2980</v>
      </c>
      <c r="G2" s="41" t="s">
        <v>30</v>
      </c>
      <c r="H2" s="41" t="s">
        <v>141</v>
      </c>
      <c r="I2" s="41" t="s">
        <v>286</v>
      </c>
      <c r="J2" s="41" t="s">
        <v>143</v>
      </c>
      <c r="K2" s="41" t="s">
        <v>664</v>
      </c>
      <c r="L2" s="152">
        <v>2154.6959999999999</v>
      </c>
      <c r="M2" s="162">
        <v>3.306</v>
      </c>
      <c r="N2" s="212">
        <v>2.5399999999999999E-2</v>
      </c>
      <c r="O2" s="153">
        <v>7123.4260000000004</v>
      </c>
      <c r="P2" s="164">
        <v>0.80471046532511903</v>
      </c>
      <c r="Q2" s="164">
        <v>1.5428327068897201E-2</v>
      </c>
    </row>
    <row r="3" spans="1:17" s="41" customFormat="1">
      <c r="A3" s="41">
        <v>1182</v>
      </c>
      <c r="B3" s="41">
        <v>1182</v>
      </c>
      <c r="C3" s="41" t="s">
        <v>2356</v>
      </c>
      <c r="D3" s="41" t="s">
        <v>2357</v>
      </c>
      <c r="E3" s="28" t="s">
        <v>2358</v>
      </c>
      <c r="F3" s="41" t="s">
        <v>2980</v>
      </c>
      <c r="G3" s="41" t="s">
        <v>30</v>
      </c>
      <c r="H3" s="41" t="s">
        <v>141</v>
      </c>
      <c r="I3" s="41" t="s">
        <v>286</v>
      </c>
      <c r="J3" s="41" t="s">
        <v>143</v>
      </c>
      <c r="K3" s="41" t="s">
        <v>3278</v>
      </c>
      <c r="L3" s="153">
        <v>0</v>
      </c>
      <c r="M3" s="162">
        <v>2.3744999999999998</v>
      </c>
      <c r="N3" s="164">
        <v>0</v>
      </c>
      <c r="O3" s="153">
        <v>1E-3</v>
      </c>
      <c r="P3" s="164">
        <v>6.9742299765055804E-8</v>
      </c>
      <c r="Q3" s="164">
        <v>1.3371356005387901E-9</v>
      </c>
    </row>
    <row r="4" spans="1:17" s="41" customFormat="1">
      <c r="A4" s="41">
        <v>1182</v>
      </c>
      <c r="B4" s="41">
        <v>1182</v>
      </c>
      <c r="C4" s="41" t="s">
        <v>2356</v>
      </c>
      <c r="D4" s="41" t="s">
        <v>2357</v>
      </c>
      <c r="E4" s="28" t="s">
        <v>2358</v>
      </c>
      <c r="F4" s="41" t="s">
        <v>2980</v>
      </c>
      <c r="G4" s="41" t="s">
        <v>30</v>
      </c>
      <c r="H4" s="41" t="s">
        <v>141</v>
      </c>
      <c r="I4" s="41" t="s">
        <v>286</v>
      </c>
      <c r="J4" s="41" t="s">
        <v>143</v>
      </c>
      <c r="K4" s="41" t="s">
        <v>576</v>
      </c>
      <c r="L4" s="153">
        <v>6.4</v>
      </c>
      <c r="M4" s="162">
        <v>3.8807</v>
      </c>
      <c r="N4" s="164">
        <v>0</v>
      </c>
      <c r="O4" s="153">
        <v>24.837</v>
      </c>
      <c r="P4" s="164">
        <v>2.8057804178497898E-3</v>
      </c>
      <c r="Q4" s="164">
        <v>5.3793879706292002E-5</v>
      </c>
    </row>
    <row r="5" spans="1:17" s="41" customFormat="1">
      <c r="A5" s="41">
        <v>1182</v>
      </c>
      <c r="B5" s="41">
        <v>1182</v>
      </c>
      <c r="C5" s="41" t="s">
        <v>2356</v>
      </c>
      <c r="D5" s="41" t="s">
        <v>2357</v>
      </c>
      <c r="E5" s="28" t="s">
        <v>2358</v>
      </c>
      <c r="F5" s="41" t="s">
        <v>2980</v>
      </c>
      <c r="G5" s="41" t="s">
        <v>30</v>
      </c>
      <c r="H5" s="41" t="s">
        <v>141</v>
      </c>
      <c r="I5" s="41" t="s">
        <v>286</v>
      </c>
      <c r="J5" s="41" t="s">
        <v>143</v>
      </c>
      <c r="K5" s="41" t="s">
        <v>3279</v>
      </c>
      <c r="L5" s="153">
        <v>0</v>
      </c>
      <c r="M5" s="162">
        <v>2.2332000000000001E-2</v>
      </c>
      <c r="N5" s="164">
        <v>0</v>
      </c>
      <c r="O5" s="153">
        <v>0</v>
      </c>
      <c r="P5" s="164">
        <v>1.0343373758440201E-9</v>
      </c>
      <c r="Q5" s="164">
        <v>1.9830853483009002E-11</v>
      </c>
    </row>
    <row r="6" spans="1:17" s="41" customFormat="1">
      <c r="A6" s="41">
        <v>1182</v>
      </c>
      <c r="B6" s="41">
        <v>1182</v>
      </c>
      <c r="C6" s="41" t="s">
        <v>2356</v>
      </c>
      <c r="D6" s="41" t="s">
        <v>2357</v>
      </c>
      <c r="E6" s="28" t="s">
        <v>2358</v>
      </c>
      <c r="F6" s="41" t="s">
        <v>2980</v>
      </c>
      <c r="G6" s="41" t="s">
        <v>30</v>
      </c>
      <c r="H6" s="41" t="s">
        <v>141</v>
      </c>
      <c r="I6" s="41" t="s">
        <v>286</v>
      </c>
      <c r="J6" s="41" t="s">
        <v>143</v>
      </c>
      <c r="K6" s="41" t="s">
        <v>1141</v>
      </c>
      <c r="L6" s="153">
        <v>22.312000000000001</v>
      </c>
      <c r="M6" s="162">
        <v>4.4409000000000001</v>
      </c>
      <c r="N6" s="164">
        <v>0</v>
      </c>
      <c r="O6" s="153">
        <v>99.084000000000003</v>
      </c>
      <c r="P6" s="164">
        <v>1.1193243593234099E-2</v>
      </c>
      <c r="Q6" s="164">
        <v>2.14602680789646E-4</v>
      </c>
    </row>
    <row r="7" spans="1:17" s="41" customFormat="1">
      <c r="A7" s="41">
        <v>1182</v>
      </c>
      <c r="B7" s="41">
        <v>1182</v>
      </c>
      <c r="C7" s="41" t="s">
        <v>2356</v>
      </c>
      <c r="D7" s="41" t="s">
        <v>2357</v>
      </c>
      <c r="E7" s="28" t="s">
        <v>2358</v>
      </c>
      <c r="F7" s="41" t="s">
        <v>2978</v>
      </c>
      <c r="G7" s="41" t="s">
        <v>30</v>
      </c>
      <c r="H7" s="41" t="s">
        <v>141</v>
      </c>
      <c r="I7" s="41" t="s">
        <v>286</v>
      </c>
      <c r="J7" s="41" t="s">
        <v>143</v>
      </c>
      <c r="K7" s="41" t="s">
        <v>34</v>
      </c>
      <c r="L7" s="153">
        <v>950.4307</v>
      </c>
      <c r="M7" s="162">
        <v>1</v>
      </c>
      <c r="N7" s="164">
        <v>4.0300000000000002E-2</v>
      </c>
      <c r="O7" s="153">
        <v>950.4307</v>
      </c>
      <c r="P7" s="164">
        <v>0.107204916573405</v>
      </c>
      <c r="Q7" s="164">
        <v>2.0553883509146199E-3</v>
      </c>
    </row>
    <row r="8" spans="1:17" s="41" customFormat="1">
      <c r="A8" s="41">
        <v>1182</v>
      </c>
      <c r="B8" s="41">
        <v>1182</v>
      </c>
      <c r="C8" s="41" t="s">
        <v>380</v>
      </c>
      <c r="D8" s="41" t="s">
        <v>3280</v>
      </c>
      <c r="E8" s="28" t="s">
        <v>2358</v>
      </c>
      <c r="F8" s="41" t="s">
        <v>2978</v>
      </c>
      <c r="G8" s="41" t="s">
        <v>30</v>
      </c>
      <c r="H8" s="41" t="s">
        <v>141</v>
      </c>
      <c r="I8" s="41" t="s">
        <v>286</v>
      </c>
      <c r="J8" s="41" t="s">
        <v>143</v>
      </c>
      <c r="K8" s="41" t="s">
        <v>34</v>
      </c>
      <c r="L8" s="153">
        <v>373.38900000000001</v>
      </c>
      <c r="M8" s="162">
        <v>1</v>
      </c>
      <c r="N8" s="164">
        <v>4.0300000000000002E-2</v>
      </c>
      <c r="O8" s="153">
        <v>373.38900000000001</v>
      </c>
      <c r="P8" s="164">
        <v>4.2180586179542803E-2</v>
      </c>
      <c r="Q8" s="164">
        <v>8.0870811003168298E-4</v>
      </c>
    </row>
    <row r="9" spans="1:17" s="41" customFormat="1">
      <c r="A9" s="41">
        <v>1182</v>
      </c>
      <c r="B9" s="41">
        <v>1182</v>
      </c>
      <c r="C9" s="41" t="s">
        <v>380</v>
      </c>
      <c r="D9" s="41" t="s">
        <v>3280</v>
      </c>
      <c r="E9" s="28" t="s">
        <v>2358</v>
      </c>
      <c r="F9" s="41" t="s">
        <v>2978</v>
      </c>
      <c r="G9" s="41" t="s">
        <v>30</v>
      </c>
      <c r="H9" s="41" t="s">
        <v>141</v>
      </c>
      <c r="I9" s="41" t="s">
        <v>286</v>
      </c>
      <c r="J9" s="41" t="s">
        <v>143</v>
      </c>
      <c r="K9" s="41" t="s">
        <v>34</v>
      </c>
      <c r="L9" s="153">
        <v>282.41800000000001</v>
      </c>
      <c r="M9" s="162">
        <v>1</v>
      </c>
      <c r="N9" s="164">
        <v>4.0300000000000002E-2</v>
      </c>
      <c r="O9" s="153">
        <v>282.41800000000001</v>
      </c>
      <c r="P9" s="164">
        <v>3.1903807466431199E-2</v>
      </c>
      <c r="Q9" s="164">
        <v>6.1167637000515197E-4</v>
      </c>
    </row>
    <row r="10" spans="1:17" s="41" customFormat="1">
      <c r="A10" s="41">
        <v>1182</v>
      </c>
      <c r="B10" s="41">
        <v>1182</v>
      </c>
      <c r="C10" s="41" t="s">
        <v>380</v>
      </c>
      <c r="D10" s="41" t="s">
        <v>3280</v>
      </c>
      <c r="E10" s="28" t="s">
        <v>2358</v>
      </c>
      <c r="F10" s="41" t="s">
        <v>2978</v>
      </c>
      <c r="G10" s="41" t="s">
        <v>30</v>
      </c>
      <c r="H10" s="41" t="s">
        <v>141</v>
      </c>
      <c r="I10" s="41" t="s">
        <v>286</v>
      </c>
      <c r="J10" s="41" t="s">
        <v>143</v>
      </c>
      <c r="K10" s="41" t="s">
        <v>34</v>
      </c>
      <c r="L10" s="153">
        <v>0.01</v>
      </c>
      <c r="M10" s="162">
        <v>1</v>
      </c>
      <c r="N10" s="164">
        <v>4.0300000000000002E-2</v>
      </c>
      <c r="O10" s="153">
        <v>0.01</v>
      </c>
      <c r="P10" s="164">
        <v>1.1296677805053E-6</v>
      </c>
      <c r="Q10" s="164">
        <v>2.1658577523021801E-8</v>
      </c>
    </row>
    <row r="11" spans="1:17" s="41" customFormat="1">
      <c r="A11" s="41">
        <v>1182</v>
      </c>
      <c r="B11" s="41">
        <v>14769</v>
      </c>
      <c r="C11" s="41" t="s">
        <v>2356</v>
      </c>
      <c r="D11" s="41" t="s">
        <v>2357</v>
      </c>
      <c r="E11" s="28" t="s">
        <v>2358</v>
      </c>
      <c r="F11" s="41" t="s">
        <v>2980</v>
      </c>
      <c r="G11" s="41" t="s">
        <v>30</v>
      </c>
      <c r="H11" s="41" t="s">
        <v>141</v>
      </c>
      <c r="I11" s="41" t="s">
        <v>286</v>
      </c>
      <c r="J11" s="41" t="s">
        <v>143</v>
      </c>
      <c r="K11" s="41" t="s">
        <v>664</v>
      </c>
      <c r="L11" s="153">
        <v>3.323</v>
      </c>
      <c r="M11" s="162">
        <v>3.306</v>
      </c>
      <c r="N11" s="212">
        <v>2.5399999999999999E-2</v>
      </c>
      <c r="O11" s="153">
        <v>10.987</v>
      </c>
      <c r="P11" s="164">
        <v>9.9291707475956201E-3</v>
      </c>
      <c r="Q11" s="164">
        <v>3.8125196791208798E-4</v>
      </c>
    </row>
    <row r="12" spans="1:17" s="41" customFormat="1">
      <c r="A12" s="41">
        <v>1182</v>
      </c>
      <c r="B12" s="41">
        <v>14769</v>
      </c>
      <c r="C12" s="41" t="s">
        <v>2356</v>
      </c>
      <c r="D12" s="41" t="s">
        <v>2357</v>
      </c>
      <c r="E12" s="28" t="s">
        <v>2358</v>
      </c>
      <c r="F12" s="41" t="s">
        <v>2980</v>
      </c>
      <c r="G12" s="41" t="s">
        <v>30</v>
      </c>
      <c r="H12" s="41" t="s">
        <v>141</v>
      </c>
      <c r="I12" s="41" t="s">
        <v>286</v>
      </c>
      <c r="J12" s="41" t="s">
        <v>143</v>
      </c>
      <c r="K12" s="41" t="s">
        <v>3278</v>
      </c>
      <c r="L12" s="153">
        <v>1E-3</v>
      </c>
      <c r="M12" s="162">
        <v>2.3744999999999998</v>
      </c>
      <c r="N12" s="164">
        <v>0</v>
      </c>
      <c r="O12" s="153">
        <v>2E-3</v>
      </c>
      <c r="P12" s="164">
        <v>1.73818688326963E-6</v>
      </c>
      <c r="Q12" s="164">
        <v>6.6741441626028896E-8</v>
      </c>
    </row>
    <row r="13" spans="1:17" s="41" customFormat="1">
      <c r="A13" s="41">
        <v>1182</v>
      </c>
      <c r="B13" s="41">
        <v>14769</v>
      </c>
      <c r="C13" s="41" t="s">
        <v>2356</v>
      </c>
      <c r="D13" s="41" t="s">
        <v>2357</v>
      </c>
      <c r="E13" s="28" t="s">
        <v>2358</v>
      </c>
      <c r="F13" s="41" t="s">
        <v>2980</v>
      </c>
      <c r="G13" s="41" t="s">
        <v>30</v>
      </c>
      <c r="H13" s="41" t="s">
        <v>141</v>
      </c>
      <c r="I13" s="41" t="s">
        <v>286</v>
      </c>
      <c r="J13" s="41" t="s">
        <v>143</v>
      </c>
      <c r="K13" s="41" t="s">
        <v>576</v>
      </c>
      <c r="L13" s="153">
        <v>0.63700000000000001</v>
      </c>
      <c r="M13" s="162">
        <v>3.8807</v>
      </c>
      <c r="N13" s="164">
        <v>0</v>
      </c>
      <c r="O13" s="153">
        <v>2.472</v>
      </c>
      <c r="P13" s="164">
        <v>2.2339937852682498E-3</v>
      </c>
      <c r="Q13" s="164">
        <v>8.5779019072981604E-5</v>
      </c>
    </row>
    <row r="14" spans="1:17" s="41" customFormat="1">
      <c r="A14" s="41">
        <v>1182</v>
      </c>
      <c r="B14" s="41">
        <v>14769</v>
      </c>
      <c r="C14" s="41" t="s">
        <v>2356</v>
      </c>
      <c r="D14" s="41" t="s">
        <v>2357</v>
      </c>
      <c r="E14" s="28" t="s">
        <v>2358</v>
      </c>
      <c r="F14" s="41" t="s">
        <v>2980</v>
      </c>
      <c r="G14" s="41" t="s">
        <v>30</v>
      </c>
      <c r="H14" s="41" t="s">
        <v>141</v>
      </c>
      <c r="I14" s="41" t="s">
        <v>286</v>
      </c>
      <c r="J14" s="41" t="s">
        <v>143</v>
      </c>
      <c r="K14" s="41" t="s">
        <v>3279</v>
      </c>
      <c r="L14" s="153">
        <v>0.72299999999999998</v>
      </c>
      <c r="M14" s="162">
        <v>2.2332000000000001E-2</v>
      </c>
      <c r="N14" s="164">
        <v>0</v>
      </c>
      <c r="O14" s="153">
        <v>1.615</v>
      </c>
      <c r="P14" s="164">
        <v>1.4595995450918801E-3</v>
      </c>
      <c r="Q14" s="164">
        <v>5.6044478746084599E-5</v>
      </c>
    </row>
    <row r="15" spans="1:17" s="41" customFormat="1">
      <c r="A15" s="41">
        <v>1182</v>
      </c>
      <c r="B15" s="41">
        <v>14769</v>
      </c>
      <c r="C15" s="41" t="s">
        <v>2356</v>
      </c>
      <c r="D15" s="41" t="s">
        <v>2357</v>
      </c>
      <c r="E15" s="28" t="s">
        <v>2358</v>
      </c>
      <c r="F15" s="41" t="s">
        <v>2980</v>
      </c>
      <c r="G15" s="41" t="s">
        <v>30</v>
      </c>
      <c r="H15" s="41" t="s">
        <v>141</v>
      </c>
      <c r="I15" s="41" t="s">
        <v>286</v>
      </c>
      <c r="J15" s="41" t="s">
        <v>143</v>
      </c>
      <c r="K15" s="41" t="s">
        <v>1141</v>
      </c>
      <c r="L15" s="153">
        <v>0.95399999999999996</v>
      </c>
      <c r="M15" s="162">
        <v>4.4409000000000001</v>
      </c>
      <c r="N15" s="164">
        <v>0</v>
      </c>
      <c r="O15" s="153">
        <v>4.2370000000000001</v>
      </c>
      <c r="P15" s="164">
        <v>3.8292861471930701E-3</v>
      </c>
      <c r="Q15" s="164">
        <v>1.4703371675518599E-4</v>
      </c>
    </row>
    <row r="16" spans="1:17" s="41" customFormat="1">
      <c r="A16" s="41">
        <v>1182</v>
      </c>
      <c r="B16" s="41">
        <v>14769</v>
      </c>
      <c r="C16" s="41" t="s">
        <v>2356</v>
      </c>
      <c r="D16" s="41" t="s">
        <v>2357</v>
      </c>
      <c r="E16" s="28" t="s">
        <v>2358</v>
      </c>
      <c r="F16" s="41" t="s">
        <v>2978</v>
      </c>
      <c r="G16" s="41" t="s">
        <v>30</v>
      </c>
      <c r="H16" s="41" t="s">
        <v>141</v>
      </c>
      <c r="I16" s="41" t="s">
        <v>286</v>
      </c>
      <c r="J16" s="41" t="s">
        <v>143</v>
      </c>
      <c r="K16" s="41" t="s">
        <v>34</v>
      </c>
      <c r="L16" s="153">
        <v>86.88</v>
      </c>
      <c r="M16" s="162">
        <v>1</v>
      </c>
      <c r="N16" s="164">
        <v>4.0300000000000002E-2</v>
      </c>
      <c r="O16" s="153">
        <v>86.88</v>
      </c>
      <c r="P16" s="164">
        <v>7.8516220807852394E-2</v>
      </c>
      <c r="Q16" s="164">
        <v>3.0147999724209002E-3</v>
      </c>
    </row>
    <row r="17" spans="1:17" s="41" customFormat="1">
      <c r="A17" s="41">
        <v>1182</v>
      </c>
      <c r="B17" s="41">
        <v>14769</v>
      </c>
      <c r="C17" s="41" t="s">
        <v>380</v>
      </c>
      <c r="D17" s="41" t="s">
        <v>3280</v>
      </c>
      <c r="E17" s="28" t="s">
        <v>2358</v>
      </c>
      <c r="F17" s="41" t="s">
        <v>2978</v>
      </c>
      <c r="G17" s="41" t="s">
        <v>30</v>
      </c>
      <c r="H17" s="41" t="s">
        <v>141</v>
      </c>
      <c r="I17" s="41" t="s">
        <v>286</v>
      </c>
      <c r="J17" s="41" t="s">
        <v>143</v>
      </c>
      <c r="K17" s="41" t="s">
        <v>34</v>
      </c>
      <c r="L17" s="153">
        <v>1000.331</v>
      </c>
      <c r="M17" s="162">
        <v>1</v>
      </c>
      <c r="N17" s="164">
        <v>4.0300000000000002E-2</v>
      </c>
      <c r="O17" s="153">
        <v>1000.331</v>
      </c>
      <c r="P17" s="164">
        <v>0.90402999078011603</v>
      </c>
      <c r="Q17" s="164">
        <v>3.4712185115753698E-2</v>
      </c>
    </row>
    <row r="18" spans="1:17" s="41" customFormat="1">
      <c r="A18" s="41">
        <v>12904</v>
      </c>
      <c r="B18" s="41">
        <v>12905</v>
      </c>
      <c r="C18" s="41" t="s">
        <v>380</v>
      </c>
      <c r="D18" s="41" t="s">
        <v>3280</v>
      </c>
      <c r="E18" s="28" t="s">
        <v>2358</v>
      </c>
      <c r="F18" s="41" t="s">
        <v>2978</v>
      </c>
      <c r="G18" s="41" t="s">
        <v>30</v>
      </c>
      <c r="H18" s="41" t="s">
        <v>141</v>
      </c>
      <c r="I18" s="41" t="s">
        <v>286</v>
      </c>
      <c r="J18" s="41" t="s">
        <v>143</v>
      </c>
      <c r="K18" s="41" t="s">
        <v>34</v>
      </c>
      <c r="L18" s="153">
        <v>714.23099999999999</v>
      </c>
      <c r="M18" s="162">
        <v>1</v>
      </c>
      <c r="N18" s="164">
        <v>4.0300000000000002E-2</v>
      </c>
      <c r="O18" s="153">
        <v>714.23099999999999</v>
      </c>
      <c r="P18" s="164">
        <v>0.24435403694077301</v>
      </c>
      <c r="Q18" s="164">
        <v>1.48149035857045E-2</v>
      </c>
    </row>
    <row r="19" spans="1:17" s="41" customFormat="1">
      <c r="A19" s="41">
        <v>12904</v>
      </c>
      <c r="B19" s="41">
        <v>12905</v>
      </c>
      <c r="C19" s="41" t="s">
        <v>2356</v>
      </c>
      <c r="D19" s="41" t="s">
        <v>2357</v>
      </c>
      <c r="E19" s="28" t="s">
        <v>2358</v>
      </c>
      <c r="F19" s="41" t="s">
        <v>2980</v>
      </c>
      <c r="G19" s="41" t="s">
        <v>30</v>
      </c>
      <c r="H19" s="41" t="s">
        <v>141</v>
      </c>
      <c r="I19" s="41" t="s">
        <v>286</v>
      </c>
      <c r="J19" s="41" t="s">
        <v>143</v>
      </c>
      <c r="K19" s="41" t="s">
        <v>664</v>
      </c>
      <c r="L19" s="153">
        <v>1.986</v>
      </c>
      <c r="M19" s="162">
        <v>3.306</v>
      </c>
      <c r="N19" s="212">
        <v>2.5399999999999999E-2</v>
      </c>
      <c r="O19" s="153">
        <v>6.5670000000000002</v>
      </c>
      <c r="P19" s="164">
        <v>2.24671751706475E-3</v>
      </c>
      <c r="Q19" s="164">
        <v>1.36215893202924E-4</v>
      </c>
    </row>
    <row r="20" spans="1:17" s="41" customFormat="1">
      <c r="A20" s="41">
        <v>12904</v>
      </c>
      <c r="B20" s="41">
        <v>12905</v>
      </c>
      <c r="C20" s="41" t="s">
        <v>2356</v>
      </c>
      <c r="D20" s="41" t="s">
        <v>2357</v>
      </c>
      <c r="E20" s="28" t="s">
        <v>2358</v>
      </c>
      <c r="F20" s="41" t="s">
        <v>2980</v>
      </c>
      <c r="G20" s="41" t="s">
        <v>30</v>
      </c>
      <c r="H20" s="41" t="s">
        <v>141</v>
      </c>
      <c r="I20" s="41" t="s">
        <v>286</v>
      </c>
      <c r="J20" s="41" t="s">
        <v>143</v>
      </c>
      <c r="K20" s="41" t="s">
        <v>3278</v>
      </c>
      <c r="L20" s="153">
        <v>0</v>
      </c>
      <c r="M20" s="162">
        <v>2.3744999999999998</v>
      </c>
      <c r="N20" s="164">
        <v>0</v>
      </c>
      <c r="O20" s="153">
        <v>1E-3</v>
      </c>
      <c r="P20" s="164">
        <v>1.94968530149674E-7</v>
      </c>
      <c r="Q20" s="164">
        <v>1.1820717237072101E-8</v>
      </c>
    </row>
    <row r="21" spans="1:17" s="41" customFormat="1">
      <c r="A21" s="41">
        <v>12904</v>
      </c>
      <c r="B21" s="41">
        <v>12905</v>
      </c>
      <c r="C21" s="41" t="s">
        <v>2356</v>
      </c>
      <c r="D21" s="147" t="s">
        <v>2357</v>
      </c>
      <c r="E21" s="42" t="s">
        <v>2358</v>
      </c>
      <c r="F21" s="41" t="s">
        <v>2980</v>
      </c>
      <c r="G21" s="41" t="s">
        <v>30</v>
      </c>
      <c r="H21" s="41" t="s">
        <v>141</v>
      </c>
      <c r="I21" s="41" t="s">
        <v>286</v>
      </c>
      <c r="J21" s="41" t="s">
        <v>143</v>
      </c>
      <c r="K21" s="41" t="s">
        <v>576</v>
      </c>
      <c r="L21" s="153">
        <v>1.9E-2</v>
      </c>
      <c r="M21" s="162">
        <v>3.8807</v>
      </c>
      <c r="N21" s="164">
        <v>0</v>
      </c>
      <c r="O21" s="153">
        <v>7.4999999999999997E-2</v>
      </c>
      <c r="P21" s="164">
        <v>2.5597538339775799E-5</v>
      </c>
      <c r="Q21" s="164">
        <v>1.5519492425127E-6</v>
      </c>
    </row>
    <row r="22" spans="1:17" s="41" customFormat="1">
      <c r="A22" s="41">
        <v>12904</v>
      </c>
      <c r="B22" s="41">
        <v>12905</v>
      </c>
      <c r="C22" s="41" t="s">
        <v>2356</v>
      </c>
      <c r="D22" s="41" t="s">
        <v>2357</v>
      </c>
      <c r="E22" s="42" t="s">
        <v>2358</v>
      </c>
      <c r="F22" s="41" t="s">
        <v>2980</v>
      </c>
      <c r="G22" s="41" t="s">
        <v>30</v>
      </c>
      <c r="H22" s="41" t="s">
        <v>141</v>
      </c>
      <c r="I22" s="41" t="s">
        <v>286</v>
      </c>
      <c r="J22" s="41" t="s">
        <v>143</v>
      </c>
      <c r="K22" s="41" t="s">
        <v>3279</v>
      </c>
      <c r="L22" s="153">
        <v>2.5139999999999998</v>
      </c>
      <c r="M22" s="162">
        <v>2.2332000000000001E-2</v>
      </c>
      <c r="N22" s="164">
        <v>0</v>
      </c>
      <c r="O22" s="153">
        <v>5.6150000000000002</v>
      </c>
      <c r="P22" s="164">
        <v>1.9208720529824701E-3</v>
      </c>
      <c r="Q22" s="164">
        <v>1.1646025832717099E-4</v>
      </c>
    </row>
    <row r="23" spans="1:17" s="41" customFormat="1">
      <c r="A23" s="41">
        <v>12904</v>
      </c>
      <c r="B23" s="41">
        <v>12905</v>
      </c>
      <c r="C23" s="41" t="s">
        <v>2356</v>
      </c>
      <c r="D23" s="41" t="s">
        <v>2357</v>
      </c>
      <c r="E23" s="42" t="s">
        <v>2358</v>
      </c>
      <c r="F23" s="41" t="s">
        <v>2980</v>
      </c>
      <c r="G23" s="41" t="s">
        <v>30</v>
      </c>
      <c r="H23" s="41" t="s">
        <v>141</v>
      </c>
      <c r="I23" s="41" t="s">
        <v>286</v>
      </c>
      <c r="J23" s="41" t="s">
        <v>143</v>
      </c>
      <c r="K23" s="41" t="s">
        <v>1141</v>
      </c>
      <c r="L23" s="153">
        <v>4.4509999999999996</v>
      </c>
      <c r="M23" s="162">
        <v>4.4409000000000001</v>
      </c>
      <c r="N23" s="164">
        <v>0</v>
      </c>
      <c r="O23" s="153">
        <v>19.766999999999999</v>
      </c>
      <c r="P23" s="164">
        <v>6.7626439108377703E-3</v>
      </c>
      <c r="Q23" s="164">
        <v>4.10011304817514E-4</v>
      </c>
    </row>
    <row r="24" spans="1:17" s="41" customFormat="1">
      <c r="A24" s="41">
        <v>12904</v>
      </c>
      <c r="B24" s="41">
        <v>12905</v>
      </c>
      <c r="C24" s="41" t="s">
        <v>2356</v>
      </c>
      <c r="D24" s="41" t="s">
        <v>2357</v>
      </c>
      <c r="E24" s="42" t="s">
        <v>2358</v>
      </c>
      <c r="F24" s="41" t="s">
        <v>2978</v>
      </c>
      <c r="G24" s="41" t="s">
        <v>30</v>
      </c>
      <c r="H24" s="41" t="s">
        <v>141</v>
      </c>
      <c r="I24" s="41" t="s">
        <v>286</v>
      </c>
      <c r="J24" s="41" t="s">
        <v>143</v>
      </c>
      <c r="K24" s="41" t="s">
        <v>34</v>
      </c>
      <c r="L24" s="153">
        <v>2096.6857</v>
      </c>
      <c r="M24" s="162">
        <v>1</v>
      </c>
      <c r="N24" s="164">
        <v>4.0300000000000002E-2</v>
      </c>
      <c r="O24" s="153">
        <v>2096.6857</v>
      </c>
      <c r="P24" s="164">
        <v>0.71727408693989203</v>
      </c>
      <c r="Q24" s="164">
        <v>4.34875010684369E-2</v>
      </c>
    </row>
    <row r="25" spans="1:17" s="41" customFormat="1">
      <c r="A25" s="41">
        <v>12904</v>
      </c>
      <c r="B25" s="41">
        <v>12905</v>
      </c>
      <c r="C25" s="41" t="s">
        <v>380</v>
      </c>
      <c r="D25" s="41" t="s">
        <v>3280</v>
      </c>
      <c r="E25" s="42" t="s">
        <v>2358</v>
      </c>
      <c r="F25" s="41" t="s">
        <v>2978</v>
      </c>
      <c r="G25" s="41" t="s">
        <v>30</v>
      </c>
      <c r="H25" s="41" t="s">
        <v>141</v>
      </c>
      <c r="I25" s="41" t="s">
        <v>286</v>
      </c>
      <c r="J25" s="41" t="s">
        <v>143</v>
      </c>
      <c r="K25" s="41" t="s">
        <v>34</v>
      </c>
      <c r="L25" s="153">
        <v>80.135000000000005</v>
      </c>
      <c r="M25" s="162">
        <v>1</v>
      </c>
      <c r="N25" s="164">
        <v>0</v>
      </c>
      <c r="O25" s="153">
        <v>80.135000000000005</v>
      </c>
      <c r="P25" s="164">
        <v>2.7415850131580401E-2</v>
      </c>
      <c r="Q25" s="164">
        <v>1.66219139042886E-3</v>
      </c>
    </row>
    <row r="26" spans="1:17" s="41" customFormat="1">
      <c r="A26" s="41">
        <v>12904</v>
      </c>
      <c r="B26" s="41">
        <v>13680</v>
      </c>
      <c r="C26" s="41" t="s">
        <v>380</v>
      </c>
      <c r="D26" s="41" t="s">
        <v>3280</v>
      </c>
      <c r="E26" s="42" t="s">
        <v>2358</v>
      </c>
      <c r="F26" s="41" t="s">
        <v>2978</v>
      </c>
      <c r="G26" s="41" t="s">
        <v>30</v>
      </c>
      <c r="H26" s="41" t="s">
        <v>141</v>
      </c>
      <c r="I26" s="41" t="s">
        <v>286</v>
      </c>
      <c r="J26" s="41" t="s">
        <v>143</v>
      </c>
      <c r="K26" s="41" t="s">
        <v>34</v>
      </c>
      <c r="L26" s="153">
        <v>756.66200000000003</v>
      </c>
      <c r="M26" s="162">
        <v>1</v>
      </c>
      <c r="N26" s="164">
        <v>4.0300000000000002E-2</v>
      </c>
      <c r="O26" s="153">
        <v>756.66200000000003</v>
      </c>
      <c r="P26" s="164">
        <v>0.43587111228772701</v>
      </c>
      <c r="Q26" s="164">
        <v>1.41258648678211E-2</v>
      </c>
    </row>
    <row r="27" spans="1:17" s="41" customFormat="1">
      <c r="A27" s="41">
        <v>12904</v>
      </c>
      <c r="B27" s="41">
        <v>13680</v>
      </c>
      <c r="C27" s="41" t="s">
        <v>2356</v>
      </c>
      <c r="D27" s="41" t="s">
        <v>2357</v>
      </c>
      <c r="E27" s="42" t="s">
        <v>2358</v>
      </c>
      <c r="F27" s="41" t="s">
        <v>2980</v>
      </c>
      <c r="G27" s="41" t="s">
        <v>30</v>
      </c>
      <c r="H27" s="41" t="s">
        <v>141</v>
      </c>
      <c r="I27" s="41" t="s">
        <v>286</v>
      </c>
      <c r="J27" s="41" t="s">
        <v>143</v>
      </c>
      <c r="K27" s="41" t="s">
        <v>664</v>
      </c>
      <c r="L27" s="153">
        <v>105.7</v>
      </c>
      <c r="M27" s="162">
        <v>3.306</v>
      </c>
      <c r="N27" s="212">
        <v>2.5399999999999999E-2</v>
      </c>
      <c r="O27" s="153">
        <v>349.44299999999998</v>
      </c>
      <c r="P27" s="164">
        <v>0.20129444227290699</v>
      </c>
      <c r="Q27" s="164">
        <v>6.5236213413323897E-3</v>
      </c>
    </row>
    <row r="28" spans="1:17" s="41" customFormat="1">
      <c r="A28" s="41">
        <v>12904</v>
      </c>
      <c r="B28" s="41">
        <v>13680</v>
      </c>
      <c r="C28" s="41" t="s">
        <v>2356</v>
      </c>
      <c r="D28" s="41" t="s">
        <v>2357</v>
      </c>
      <c r="E28" s="42" t="s">
        <v>2358</v>
      </c>
      <c r="F28" s="41" t="s">
        <v>2980</v>
      </c>
      <c r="G28" s="41" t="s">
        <v>30</v>
      </c>
      <c r="H28" s="41" t="s">
        <v>141</v>
      </c>
      <c r="I28" s="41" t="s">
        <v>286</v>
      </c>
      <c r="J28" s="41" t="s">
        <v>143</v>
      </c>
      <c r="K28" s="41" t="s">
        <v>576</v>
      </c>
      <c r="L28" s="153">
        <v>1.111</v>
      </c>
      <c r="M28" s="162">
        <v>3.8807</v>
      </c>
      <c r="N28" s="164">
        <v>0</v>
      </c>
      <c r="O28" s="153">
        <v>4.3129999999999997</v>
      </c>
      <c r="P28" s="164">
        <v>2.4843066559213601E-3</v>
      </c>
      <c r="Q28" s="164">
        <v>8.0512287055647106E-5</v>
      </c>
    </row>
    <row r="29" spans="1:17" s="41" customFormat="1">
      <c r="A29" s="41">
        <v>12904</v>
      </c>
      <c r="B29" s="41">
        <v>13680</v>
      </c>
      <c r="C29" s="41" t="s">
        <v>2356</v>
      </c>
      <c r="D29" s="41" t="s">
        <v>2357</v>
      </c>
      <c r="E29" s="42" t="s">
        <v>2358</v>
      </c>
      <c r="F29" s="41" t="s">
        <v>2980</v>
      </c>
      <c r="G29" s="41" t="s">
        <v>30</v>
      </c>
      <c r="H29" s="41" t="s">
        <v>141</v>
      </c>
      <c r="I29" s="41" t="s">
        <v>286</v>
      </c>
      <c r="J29" s="41" t="s">
        <v>143</v>
      </c>
      <c r="K29" s="41" t="s">
        <v>3279</v>
      </c>
      <c r="L29" s="153">
        <v>7.3040000000000003</v>
      </c>
      <c r="M29" s="162">
        <v>2.2332000000000001E-2</v>
      </c>
      <c r="N29" s="164">
        <v>0</v>
      </c>
      <c r="O29" s="153">
        <v>16.309999999999999</v>
      </c>
      <c r="P29" s="164">
        <v>9.3954286602865207E-3</v>
      </c>
      <c r="Q29" s="164">
        <v>3.0449036857219098E-4</v>
      </c>
    </row>
    <row r="30" spans="1:17" s="41" customFormat="1">
      <c r="A30" s="41">
        <v>12904</v>
      </c>
      <c r="B30" s="41">
        <v>13680</v>
      </c>
      <c r="C30" s="41" t="s">
        <v>2356</v>
      </c>
      <c r="D30" s="41" t="s">
        <v>2357</v>
      </c>
      <c r="E30" s="42" t="s">
        <v>2358</v>
      </c>
      <c r="F30" s="41" t="s">
        <v>2980</v>
      </c>
      <c r="G30" s="41" t="s">
        <v>30</v>
      </c>
      <c r="H30" s="41" t="s">
        <v>141</v>
      </c>
      <c r="I30" s="41" t="s">
        <v>286</v>
      </c>
      <c r="J30" s="41" t="s">
        <v>143</v>
      </c>
      <c r="K30" s="41" t="s">
        <v>1141</v>
      </c>
      <c r="L30" s="153">
        <v>5.1130000000000004</v>
      </c>
      <c r="M30" s="162">
        <v>4.4409000000000001</v>
      </c>
      <c r="N30" s="164">
        <v>0</v>
      </c>
      <c r="O30" s="153">
        <v>22.707999999999998</v>
      </c>
      <c r="P30" s="164">
        <v>1.3080643784633901E-2</v>
      </c>
      <c r="Q30" s="164">
        <v>4.2392212118858897E-4</v>
      </c>
    </row>
    <row r="31" spans="1:17" s="41" customFormat="1">
      <c r="A31" s="41">
        <v>12904</v>
      </c>
      <c r="B31" s="41">
        <v>13680</v>
      </c>
      <c r="C31" s="41" t="s">
        <v>2356</v>
      </c>
      <c r="D31" s="41" t="s">
        <v>2357</v>
      </c>
      <c r="E31" s="42" t="s">
        <v>2358</v>
      </c>
      <c r="F31" s="41" t="s">
        <v>2978</v>
      </c>
      <c r="G31" s="41" t="s">
        <v>30</v>
      </c>
      <c r="H31" s="41" t="s">
        <v>141</v>
      </c>
      <c r="I31" s="41" t="s">
        <v>286</v>
      </c>
      <c r="J31" s="41" t="s">
        <v>143</v>
      </c>
      <c r="K31" s="41" t="s">
        <v>34</v>
      </c>
      <c r="L31" s="153">
        <v>586.54200000000003</v>
      </c>
      <c r="M31" s="162">
        <v>1</v>
      </c>
      <c r="N31" s="164">
        <v>4.0300000000000002E-2</v>
      </c>
      <c r="O31" s="153">
        <v>586.54200000000003</v>
      </c>
      <c r="P31" s="164">
        <v>0.33787406633852402</v>
      </c>
      <c r="Q31" s="164">
        <v>1.0949942010124799E-2</v>
      </c>
    </row>
    <row r="32" spans="1:17" s="41" customFormat="1">
      <c r="A32" s="41">
        <v>424</v>
      </c>
      <c r="B32" s="41">
        <v>7228</v>
      </c>
      <c r="C32" s="41" t="s">
        <v>2356</v>
      </c>
      <c r="D32" s="41" t="s">
        <v>2357</v>
      </c>
      <c r="E32" s="42" t="s">
        <v>2358</v>
      </c>
      <c r="F32" s="41" t="s">
        <v>2980</v>
      </c>
      <c r="G32" s="41" t="s">
        <v>30</v>
      </c>
      <c r="H32" s="41" t="s">
        <v>141</v>
      </c>
      <c r="I32" s="41" t="s">
        <v>286</v>
      </c>
      <c r="J32" s="41" t="s">
        <v>143</v>
      </c>
      <c r="K32" s="41" t="s">
        <v>3281</v>
      </c>
      <c r="L32" s="153">
        <v>0.61199999999999999</v>
      </c>
      <c r="M32" s="162">
        <v>2.1848999999999998</v>
      </c>
      <c r="N32" s="164">
        <v>0</v>
      </c>
      <c r="O32" s="153">
        <v>1.337</v>
      </c>
      <c r="P32" s="164">
        <v>2.1628483465549499E-5</v>
      </c>
      <c r="Q32" s="164">
        <v>5.2325489820935098E-7</v>
      </c>
    </row>
    <row r="33" spans="1:17" s="41" customFormat="1">
      <c r="A33" s="41">
        <v>424</v>
      </c>
      <c r="B33" s="41">
        <v>7228</v>
      </c>
      <c r="C33" s="41" t="s">
        <v>2356</v>
      </c>
      <c r="D33" s="41" t="s">
        <v>2357</v>
      </c>
      <c r="E33" s="42" t="s">
        <v>2358</v>
      </c>
      <c r="F33" s="41" t="s">
        <v>2980</v>
      </c>
      <c r="G33" s="41" t="s">
        <v>30</v>
      </c>
      <c r="H33" s="41" t="s">
        <v>141</v>
      </c>
      <c r="I33" s="41" t="s">
        <v>286</v>
      </c>
      <c r="J33" s="41" t="s">
        <v>143</v>
      </c>
      <c r="K33" s="41" t="s">
        <v>664</v>
      </c>
      <c r="L33" s="153">
        <v>13041.334999999999</v>
      </c>
      <c r="M33" s="162">
        <v>3.306</v>
      </c>
      <c r="N33" s="212">
        <v>2.5399999999999999E-2</v>
      </c>
      <c r="O33" s="153">
        <v>43114.654000000002</v>
      </c>
      <c r="P33" s="164">
        <v>0.69737758618066203</v>
      </c>
      <c r="Q33" s="164">
        <v>1.6871559138747699E-2</v>
      </c>
    </row>
    <row r="34" spans="1:17" s="41" customFormat="1">
      <c r="A34" s="41">
        <v>424</v>
      </c>
      <c r="B34" s="41">
        <v>7228</v>
      </c>
      <c r="C34" s="41" t="s">
        <v>2356</v>
      </c>
      <c r="D34" s="41" t="s">
        <v>2357</v>
      </c>
      <c r="E34" s="42" t="s">
        <v>2358</v>
      </c>
      <c r="F34" s="41" t="s">
        <v>2980</v>
      </c>
      <c r="G34" s="41" t="s">
        <v>30</v>
      </c>
      <c r="H34" s="41" t="s">
        <v>141</v>
      </c>
      <c r="I34" s="41" t="s">
        <v>286</v>
      </c>
      <c r="J34" s="41" t="s">
        <v>143</v>
      </c>
      <c r="K34" s="41" t="s">
        <v>3278</v>
      </c>
      <c r="L34" s="153">
        <v>0</v>
      </c>
      <c r="M34" s="162">
        <v>2.3744999999999998</v>
      </c>
      <c r="N34" s="164">
        <v>0</v>
      </c>
      <c r="O34" s="153">
        <v>1E-3</v>
      </c>
      <c r="P34" s="164">
        <v>1.30585264489469E-8</v>
      </c>
      <c r="Q34" s="164">
        <v>3.1592311771149102E-10</v>
      </c>
    </row>
    <row r="35" spans="1:17" s="41" customFormat="1">
      <c r="A35" s="41">
        <v>424</v>
      </c>
      <c r="B35" s="41">
        <v>7228</v>
      </c>
      <c r="C35" s="41" t="s">
        <v>2356</v>
      </c>
      <c r="D35" s="41" t="s">
        <v>2357</v>
      </c>
      <c r="E35" s="42" t="s">
        <v>2358</v>
      </c>
      <c r="F35" s="41" t="s">
        <v>2980</v>
      </c>
      <c r="G35" s="41" t="s">
        <v>30</v>
      </c>
      <c r="H35" s="41" t="s">
        <v>141</v>
      </c>
      <c r="I35" s="41" t="s">
        <v>286</v>
      </c>
      <c r="J35" s="41" t="s">
        <v>143</v>
      </c>
      <c r="K35" s="41" t="s">
        <v>576</v>
      </c>
      <c r="L35" s="153">
        <v>25.806000000000001</v>
      </c>
      <c r="M35" s="162">
        <v>3.8807</v>
      </c>
      <c r="N35" s="164">
        <v>0</v>
      </c>
      <c r="O35" s="153">
        <v>100.14400000000001</v>
      </c>
      <c r="P35" s="164">
        <v>1.6198282361237E-3</v>
      </c>
      <c r="Q35" s="164">
        <v>3.9188279666468401E-5</v>
      </c>
    </row>
    <row r="36" spans="1:17" s="41" customFormat="1">
      <c r="A36" s="41">
        <v>424</v>
      </c>
      <c r="B36" s="41">
        <v>7228</v>
      </c>
      <c r="C36" s="41" t="s">
        <v>2356</v>
      </c>
      <c r="D36" s="41" t="s">
        <v>2357</v>
      </c>
      <c r="E36" s="42" t="s">
        <v>2358</v>
      </c>
      <c r="F36" s="41" t="s">
        <v>2980</v>
      </c>
      <c r="G36" s="41" t="s">
        <v>30</v>
      </c>
      <c r="H36" s="41" t="s">
        <v>141</v>
      </c>
      <c r="I36" s="41" t="s">
        <v>286</v>
      </c>
      <c r="J36" s="41" t="s">
        <v>143</v>
      </c>
      <c r="K36" s="41" t="s">
        <v>3279</v>
      </c>
      <c r="L36" s="153">
        <v>81.177999999999997</v>
      </c>
      <c r="M36" s="162">
        <v>2.2332000000000001E-2</v>
      </c>
      <c r="N36" s="164">
        <v>0</v>
      </c>
      <c r="O36" s="153">
        <v>181.28700000000001</v>
      </c>
      <c r="P36" s="164">
        <v>2.9323036936403399E-3</v>
      </c>
      <c r="Q36" s="164">
        <v>7.0940816224060707E-5</v>
      </c>
    </row>
    <row r="37" spans="1:17" s="41" customFormat="1">
      <c r="A37" s="41">
        <v>424</v>
      </c>
      <c r="B37" s="41">
        <v>7228</v>
      </c>
      <c r="C37" s="41" t="s">
        <v>2356</v>
      </c>
      <c r="D37" s="41" t="s">
        <v>2357</v>
      </c>
      <c r="E37" s="42" t="s">
        <v>2358</v>
      </c>
      <c r="F37" s="41" t="s">
        <v>2980</v>
      </c>
      <c r="G37" s="41" t="s">
        <v>572</v>
      </c>
      <c r="H37" s="41" t="s">
        <v>141</v>
      </c>
      <c r="I37" s="41" t="s">
        <v>286</v>
      </c>
      <c r="J37" s="41" t="s">
        <v>143</v>
      </c>
      <c r="K37" s="41" t="s">
        <v>3282</v>
      </c>
      <c r="L37" s="153">
        <v>0</v>
      </c>
      <c r="M37" s="162">
        <v>0.33110000000000001</v>
      </c>
      <c r="N37" s="164">
        <v>0</v>
      </c>
      <c r="O37" s="153">
        <v>0</v>
      </c>
      <c r="P37" s="164">
        <v>5.8910803735411009E-10</v>
      </c>
      <c r="Q37" s="164">
        <v>1.4252208972997698E-11</v>
      </c>
    </row>
    <row r="38" spans="1:17" s="41" customFormat="1">
      <c r="A38" s="41">
        <v>424</v>
      </c>
      <c r="B38" s="41">
        <v>7228</v>
      </c>
      <c r="C38" s="41" t="s">
        <v>2356</v>
      </c>
      <c r="D38" s="41" t="s">
        <v>2357</v>
      </c>
      <c r="E38" s="42" t="s">
        <v>2358</v>
      </c>
      <c r="F38" s="41" t="s">
        <v>2980</v>
      </c>
      <c r="G38" s="41" t="s">
        <v>30</v>
      </c>
      <c r="H38" s="41" t="s">
        <v>141</v>
      </c>
      <c r="I38" s="41" t="s">
        <v>286</v>
      </c>
      <c r="J38" s="41" t="s">
        <v>143</v>
      </c>
      <c r="K38" s="41" t="s">
        <v>1141</v>
      </c>
      <c r="L38" s="153">
        <v>157.947</v>
      </c>
      <c r="M38" s="162">
        <v>4.4409000000000001</v>
      </c>
      <c r="N38" s="164">
        <v>0</v>
      </c>
      <c r="O38" s="153">
        <v>701.42899999999997</v>
      </c>
      <c r="P38" s="164">
        <v>1.13455769241211E-2</v>
      </c>
      <c r="Q38" s="164">
        <v>2.74481967633719E-4</v>
      </c>
    </row>
    <row r="39" spans="1:17" s="41" customFormat="1">
      <c r="A39" s="41">
        <v>424</v>
      </c>
      <c r="B39" s="41">
        <v>7228</v>
      </c>
      <c r="C39" s="41" t="s">
        <v>2356</v>
      </c>
      <c r="D39" s="41" t="s">
        <v>2357</v>
      </c>
      <c r="E39" s="42" t="s">
        <v>2358</v>
      </c>
      <c r="F39" s="41" t="s">
        <v>2978</v>
      </c>
      <c r="G39" s="41" t="s">
        <v>30</v>
      </c>
      <c r="H39" s="41" t="s">
        <v>141</v>
      </c>
      <c r="I39" s="41" t="s">
        <v>286</v>
      </c>
      <c r="J39" s="41" t="s">
        <v>143</v>
      </c>
      <c r="K39" s="41" t="s">
        <v>34</v>
      </c>
      <c r="L39" s="153">
        <v>11553.891</v>
      </c>
      <c r="M39" s="162">
        <v>1</v>
      </c>
      <c r="N39" s="164">
        <v>4.0300000000000002E-2</v>
      </c>
      <c r="O39" s="153">
        <v>11553.891</v>
      </c>
      <c r="P39" s="164">
        <v>0.18675399118000699</v>
      </c>
      <c r="Q39" s="164">
        <v>4.5181133850986897E-3</v>
      </c>
    </row>
    <row r="40" spans="1:17" s="41" customFormat="1">
      <c r="A40" s="41">
        <v>424</v>
      </c>
      <c r="B40" s="41">
        <v>7228</v>
      </c>
      <c r="C40" s="41" t="s">
        <v>2356</v>
      </c>
      <c r="D40" s="41" t="s">
        <v>2357</v>
      </c>
      <c r="E40" s="42" t="s">
        <v>2358</v>
      </c>
      <c r="F40" s="41" t="s">
        <v>2980</v>
      </c>
      <c r="G40" s="41" t="s">
        <v>30</v>
      </c>
      <c r="H40" s="41" t="s">
        <v>141</v>
      </c>
      <c r="I40" s="41" t="s">
        <v>286</v>
      </c>
      <c r="J40" s="41" t="s">
        <v>143</v>
      </c>
      <c r="K40" s="41" t="s">
        <v>3283</v>
      </c>
      <c r="L40" s="153">
        <v>0.33700000000000002</v>
      </c>
      <c r="M40" s="162">
        <v>4.1426999999999996</v>
      </c>
      <c r="N40" s="164">
        <v>0</v>
      </c>
      <c r="O40" s="153">
        <v>1.3959999999999999</v>
      </c>
      <c r="P40" s="164">
        <v>2.2581691358251999E-5</v>
      </c>
      <c r="Q40" s="164">
        <v>5.4631572444170697E-7</v>
      </c>
    </row>
    <row r="41" spans="1:17" s="41" customFormat="1">
      <c r="A41" s="41">
        <v>424</v>
      </c>
      <c r="B41" s="41">
        <v>7228</v>
      </c>
      <c r="C41" s="41" t="s">
        <v>380</v>
      </c>
      <c r="D41" s="41" t="s">
        <v>3280</v>
      </c>
      <c r="E41" s="42" t="s">
        <v>2358</v>
      </c>
      <c r="F41" s="41" t="s">
        <v>2978</v>
      </c>
      <c r="G41" s="41" t="s">
        <v>30</v>
      </c>
      <c r="H41" s="41" t="s">
        <v>141</v>
      </c>
      <c r="I41" s="41" t="s">
        <v>286</v>
      </c>
      <c r="J41" s="41" t="s">
        <v>143</v>
      </c>
      <c r="K41" s="41" t="s">
        <v>34</v>
      </c>
      <c r="L41" s="153">
        <v>1.2999999999999999E-2</v>
      </c>
      <c r="M41" s="162">
        <v>1</v>
      </c>
      <c r="N41" s="164">
        <v>4.0300000000000002E-2</v>
      </c>
      <c r="O41" s="153">
        <v>1.2999999999999999E-2</v>
      </c>
      <c r="P41" s="164">
        <v>2.0978916681263001E-7</v>
      </c>
      <c r="Q41" s="164">
        <v>5.0754001916416205E-9</v>
      </c>
    </row>
    <row r="42" spans="1:17" s="41" customFormat="1">
      <c r="A42" s="41">
        <v>424</v>
      </c>
      <c r="B42" s="41">
        <v>7228</v>
      </c>
      <c r="C42" s="41" t="s">
        <v>380</v>
      </c>
      <c r="D42" s="41" t="s">
        <v>3280</v>
      </c>
      <c r="E42" s="42" t="s">
        <v>2358</v>
      </c>
      <c r="F42" s="41" t="s">
        <v>2978</v>
      </c>
      <c r="G42" s="41" t="s">
        <v>30</v>
      </c>
      <c r="H42" s="41" t="s">
        <v>141</v>
      </c>
      <c r="I42" s="41" t="s">
        <v>286</v>
      </c>
      <c r="J42" s="41" t="s">
        <v>143</v>
      </c>
      <c r="K42" s="41" t="s">
        <v>34</v>
      </c>
      <c r="L42" s="153">
        <v>4316.2700000000004</v>
      </c>
      <c r="M42" s="162">
        <v>1</v>
      </c>
      <c r="N42" s="164">
        <v>4.0300000000000002E-2</v>
      </c>
      <c r="O42" s="153">
        <v>4316.2700000000004</v>
      </c>
      <c r="P42" s="164">
        <v>6.9815474789303694E-2</v>
      </c>
      <c r="Q42" s="164">
        <v>1.68903609041766E-3</v>
      </c>
    </row>
    <row r="43" spans="1:17" s="41" customFormat="1">
      <c r="A43" s="41">
        <v>424</v>
      </c>
      <c r="B43" s="41">
        <v>7228</v>
      </c>
      <c r="C43" s="41" t="s">
        <v>380</v>
      </c>
      <c r="D43" s="41" t="s">
        <v>3280</v>
      </c>
      <c r="E43" s="42" t="s">
        <v>2358</v>
      </c>
      <c r="F43" s="41" t="s">
        <v>2978</v>
      </c>
      <c r="G43" s="41" t="s">
        <v>30</v>
      </c>
      <c r="H43" s="41" t="s">
        <v>141</v>
      </c>
      <c r="I43" s="41" t="s">
        <v>286</v>
      </c>
      <c r="J43" s="41" t="s">
        <v>143</v>
      </c>
      <c r="K43" s="41" t="s">
        <v>34</v>
      </c>
      <c r="L43" s="153">
        <v>1796.952</v>
      </c>
      <c r="M43" s="162">
        <v>1</v>
      </c>
      <c r="N43" s="164">
        <v>4.0300000000000002E-2</v>
      </c>
      <c r="O43" s="153">
        <v>1796.952</v>
      </c>
      <c r="P43" s="164">
        <v>2.90656121400217E-2</v>
      </c>
      <c r="Q43" s="164">
        <v>7.0318031987515303E-4</v>
      </c>
    </row>
    <row r="44" spans="1:17" s="41" customFormat="1">
      <c r="A44" s="41">
        <v>424</v>
      </c>
      <c r="B44" s="41">
        <v>7228</v>
      </c>
      <c r="C44" s="41" t="s">
        <v>380</v>
      </c>
      <c r="D44" s="41" t="s">
        <v>3280</v>
      </c>
      <c r="E44" s="42" t="s">
        <v>2358</v>
      </c>
      <c r="F44" s="41" t="s">
        <v>2978</v>
      </c>
      <c r="G44" s="41" t="s">
        <v>30</v>
      </c>
      <c r="H44" s="41" t="s">
        <v>141</v>
      </c>
      <c r="I44" s="41" t="s">
        <v>286</v>
      </c>
      <c r="J44" s="41" t="s">
        <v>143</v>
      </c>
      <c r="K44" s="41" t="s">
        <v>34</v>
      </c>
      <c r="L44" s="153">
        <v>64.617999999999995</v>
      </c>
      <c r="M44" s="162">
        <v>1</v>
      </c>
      <c r="N44" s="164">
        <v>4.0300000000000002E-2</v>
      </c>
      <c r="O44" s="153">
        <v>64.617999999999995</v>
      </c>
      <c r="P44" s="164">
        <v>1.0451932444948801E-3</v>
      </c>
      <c r="Q44" s="164">
        <v>2.5286215079683801E-5</v>
      </c>
    </row>
    <row r="45" spans="1:17" s="41" customFormat="1">
      <c r="A45" s="41">
        <v>424</v>
      </c>
      <c r="B45" s="41">
        <v>7229</v>
      </c>
      <c r="C45" s="41" t="s">
        <v>2356</v>
      </c>
      <c r="D45" s="41" t="s">
        <v>2357</v>
      </c>
      <c r="E45" s="42" t="s">
        <v>2358</v>
      </c>
      <c r="F45" s="41" t="s">
        <v>2980</v>
      </c>
      <c r="G45" s="41" t="s">
        <v>30</v>
      </c>
      <c r="H45" s="41" t="s">
        <v>141</v>
      </c>
      <c r="I45" s="41" t="s">
        <v>286</v>
      </c>
      <c r="J45" s="41" t="s">
        <v>143</v>
      </c>
      <c r="K45" s="41" t="s">
        <v>664</v>
      </c>
      <c r="L45" s="153">
        <v>16.658000000000001</v>
      </c>
      <c r="M45" s="162">
        <v>3.306</v>
      </c>
      <c r="N45" s="212">
        <v>2.5399999999999999E-2</v>
      </c>
      <c r="O45" s="153">
        <v>55.070999999999998</v>
      </c>
      <c r="P45" s="164">
        <v>7.8125881692078201E-3</v>
      </c>
      <c r="Q45" s="164">
        <v>3.62951604918038E-4</v>
      </c>
    </row>
    <row r="46" spans="1:17" s="41" customFormat="1">
      <c r="A46" s="41">
        <v>424</v>
      </c>
      <c r="B46" s="41">
        <v>7229</v>
      </c>
      <c r="C46" s="41" t="s">
        <v>2356</v>
      </c>
      <c r="D46" s="41" t="s">
        <v>2357</v>
      </c>
      <c r="E46" s="42" t="s">
        <v>2358</v>
      </c>
      <c r="F46" s="41" t="s">
        <v>2980</v>
      </c>
      <c r="G46" s="41" t="s">
        <v>30</v>
      </c>
      <c r="H46" s="41" t="s">
        <v>141</v>
      </c>
      <c r="I46" s="41" t="s">
        <v>286</v>
      </c>
      <c r="J46" s="41" t="s">
        <v>143</v>
      </c>
      <c r="K46" s="41" t="s">
        <v>3284</v>
      </c>
      <c r="L46" s="153">
        <v>0</v>
      </c>
      <c r="M46" s="162">
        <v>0.42420000000000002</v>
      </c>
      <c r="N46" s="164">
        <v>0</v>
      </c>
      <c r="O46" s="153">
        <v>0</v>
      </c>
      <c r="P46" s="164">
        <v>2.4071361898547601E-9</v>
      </c>
      <c r="Q46" s="164">
        <v>1.11829002686656E-10</v>
      </c>
    </row>
    <row r="47" spans="1:17" s="41" customFormat="1">
      <c r="A47" s="41">
        <v>424</v>
      </c>
      <c r="B47" s="41">
        <v>7229</v>
      </c>
      <c r="C47" s="41" t="s">
        <v>2356</v>
      </c>
      <c r="D47" s="41" t="s">
        <v>2357</v>
      </c>
      <c r="E47" s="42" t="s">
        <v>2358</v>
      </c>
      <c r="F47" s="41" t="s">
        <v>2980</v>
      </c>
      <c r="G47" s="41" t="s">
        <v>30</v>
      </c>
      <c r="H47" s="41" t="s">
        <v>141</v>
      </c>
      <c r="I47" s="41" t="s">
        <v>286</v>
      </c>
      <c r="J47" s="41" t="s">
        <v>143</v>
      </c>
      <c r="K47" s="41" t="s">
        <v>3278</v>
      </c>
      <c r="L47" s="153">
        <v>0</v>
      </c>
      <c r="M47" s="162">
        <v>2.3744999999999998</v>
      </c>
      <c r="N47" s="164">
        <v>0</v>
      </c>
      <c r="O47" s="153">
        <v>0</v>
      </c>
      <c r="P47" s="164">
        <v>3.03168929427694E-8</v>
      </c>
      <c r="Q47" s="164">
        <v>1.4084404183847102E-9</v>
      </c>
    </row>
    <row r="48" spans="1:17" s="41" customFormat="1">
      <c r="A48" s="41">
        <v>424</v>
      </c>
      <c r="B48" s="41">
        <v>7229</v>
      </c>
      <c r="C48" s="41" t="s">
        <v>2356</v>
      </c>
      <c r="D48" s="41" t="s">
        <v>2357</v>
      </c>
      <c r="E48" s="42" t="s">
        <v>2358</v>
      </c>
      <c r="F48" s="41" t="s">
        <v>2980</v>
      </c>
      <c r="G48" s="41" t="s">
        <v>30</v>
      </c>
      <c r="H48" s="41" t="s">
        <v>141</v>
      </c>
      <c r="I48" s="41" t="s">
        <v>286</v>
      </c>
      <c r="J48" s="41" t="s">
        <v>143</v>
      </c>
      <c r="K48" s="41" t="s">
        <v>576</v>
      </c>
      <c r="L48" s="153">
        <v>10.755000000000001</v>
      </c>
      <c r="M48" s="162">
        <v>3.8807</v>
      </c>
      <c r="N48" s="164">
        <v>0</v>
      </c>
      <c r="O48" s="153">
        <v>41.738</v>
      </c>
      <c r="P48" s="164">
        <v>5.9211028676187001E-3</v>
      </c>
      <c r="Q48" s="164">
        <v>2.7507834051169702E-4</v>
      </c>
    </row>
    <row r="49" spans="1:17" s="41" customFormat="1">
      <c r="A49" s="41">
        <v>424</v>
      </c>
      <c r="B49" s="41">
        <v>7229</v>
      </c>
      <c r="C49" s="41" t="s">
        <v>2356</v>
      </c>
      <c r="D49" s="41" t="s">
        <v>2357</v>
      </c>
      <c r="E49" s="42" t="s">
        <v>2358</v>
      </c>
      <c r="F49" s="41" t="s">
        <v>2980</v>
      </c>
      <c r="G49" s="41" t="s">
        <v>30</v>
      </c>
      <c r="H49" s="41" t="s">
        <v>141</v>
      </c>
      <c r="I49" s="41" t="s">
        <v>286</v>
      </c>
      <c r="J49" s="41" t="s">
        <v>143</v>
      </c>
      <c r="K49" s="41" t="s">
        <v>3279</v>
      </c>
      <c r="L49" s="153">
        <v>4.9749999999999996</v>
      </c>
      <c r="M49" s="162">
        <v>2.2332000000000001E-2</v>
      </c>
      <c r="N49" s="164">
        <v>0</v>
      </c>
      <c r="O49" s="153">
        <v>11.11</v>
      </c>
      <c r="P49" s="164">
        <v>1.5761012110010999E-3</v>
      </c>
      <c r="Q49" s="164">
        <v>7.3221377046438704E-5</v>
      </c>
    </row>
    <row r="50" spans="1:17" s="41" customFormat="1">
      <c r="A50" s="41">
        <v>424</v>
      </c>
      <c r="B50" s="41">
        <v>7229</v>
      </c>
      <c r="C50" s="41" t="s">
        <v>2356</v>
      </c>
      <c r="D50" s="41" t="s">
        <v>2357</v>
      </c>
      <c r="E50" s="42" t="s">
        <v>2358</v>
      </c>
      <c r="F50" s="41" t="s">
        <v>2980</v>
      </c>
      <c r="G50" s="41" t="s">
        <v>572</v>
      </c>
      <c r="H50" s="41" t="s">
        <v>141</v>
      </c>
      <c r="I50" s="41" t="s">
        <v>286</v>
      </c>
      <c r="J50" s="41" t="s">
        <v>143</v>
      </c>
      <c r="K50" s="41" t="s">
        <v>3282</v>
      </c>
      <c r="L50" s="153">
        <v>14.945</v>
      </c>
      <c r="M50" s="162">
        <v>0.33110000000000001</v>
      </c>
      <c r="N50" s="164">
        <v>0</v>
      </c>
      <c r="O50" s="153">
        <v>4.9480000000000004</v>
      </c>
      <c r="P50" s="164">
        <v>7.0195710937836402E-4</v>
      </c>
      <c r="Q50" s="164">
        <v>3.2611018770535998E-5</v>
      </c>
    </row>
    <row r="51" spans="1:17" s="41" customFormat="1">
      <c r="A51" s="41">
        <v>424</v>
      </c>
      <c r="B51" s="41">
        <v>7229</v>
      </c>
      <c r="C51" s="41" t="s">
        <v>2356</v>
      </c>
      <c r="D51" s="41" t="s">
        <v>2357</v>
      </c>
      <c r="E51" s="42" t="s">
        <v>2358</v>
      </c>
      <c r="F51" s="41" t="s">
        <v>2980</v>
      </c>
      <c r="G51" s="41" t="s">
        <v>30</v>
      </c>
      <c r="H51" s="41" t="s">
        <v>141</v>
      </c>
      <c r="I51" s="41" t="s">
        <v>286</v>
      </c>
      <c r="J51" s="41" t="s">
        <v>143</v>
      </c>
      <c r="K51" s="41" t="s">
        <v>1141</v>
      </c>
      <c r="L51" s="153">
        <v>6.1020000000000003</v>
      </c>
      <c r="M51" s="162">
        <v>4.4409000000000001</v>
      </c>
      <c r="N51" s="164">
        <v>0</v>
      </c>
      <c r="O51" s="153">
        <v>27.099</v>
      </c>
      <c r="P51" s="164">
        <v>3.8444025938922E-3</v>
      </c>
      <c r="Q51" s="164">
        <v>1.78600492075564E-4</v>
      </c>
    </row>
    <row r="52" spans="1:17" s="41" customFormat="1">
      <c r="A52" s="41">
        <v>424</v>
      </c>
      <c r="B52" s="41">
        <v>7229</v>
      </c>
      <c r="C52" s="41" t="s">
        <v>2356</v>
      </c>
      <c r="D52" s="41" t="s">
        <v>2357</v>
      </c>
      <c r="E52" s="42" t="s">
        <v>2358</v>
      </c>
      <c r="F52" s="41" t="s">
        <v>2978</v>
      </c>
      <c r="G52" s="41" t="s">
        <v>30</v>
      </c>
      <c r="H52" s="41" t="s">
        <v>141</v>
      </c>
      <c r="I52" s="41" t="s">
        <v>286</v>
      </c>
      <c r="J52" s="41" t="s">
        <v>143</v>
      </c>
      <c r="K52" s="41" t="s">
        <v>34</v>
      </c>
      <c r="L52" s="153">
        <v>6262.0079000000005</v>
      </c>
      <c r="M52" s="162">
        <v>1</v>
      </c>
      <c r="N52" s="164">
        <v>4.0300000000000002E-2</v>
      </c>
      <c r="O52" s="153">
        <v>6262.0079000000005</v>
      </c>
      <c r="P52" s="164">
        <v>0.88829235855609801</v>
      </c>
      <c r="Q52" s="164">
        <v>4.1267647825734097E-2</v>
      </c>
    </row>
    <row r="53" spans="1:17" s="41" customFormat="1">
      <c r="A53" s="41">
        <v>424</v>
      </c>
      <c r="B53" s="41">
        <v>7229</v>
      </c>
      <c r="C53" s="41" t="s">
        <v>380</v>
      </c>
      <c r="D53" s="41" t="s">
        <v>3280</v>
      </c>
      <c r="E53" s="42" t="s">
        <v>2358</v>
      </c>
      <c r="F53" s="41" t="s">
        <v>2978</v>
      </c>
      <c r="G53" s="41" t="s">
        <v>30</v>
      </c>
      <c r="H53" s="41" t="s">
        <v>141</v>
      </c>
      <c r="I53" s="41" t="s">
        <v>286</v>
      </c>
      <c r="J53" s="41" t="s">
        <v>143</v>
      </c>
      <c r="K53" s="41" t="s">
        <v>34</v>
      </c>
      <c r="L53" s="153">
        <v>647.46500000000003</v>
      </c>
      <c r="M53" s="162">
        <v>1</v>
      </c>
      <c r="N53" s="164">
        <v>4.0300000000000002E-2</v>
      </c>
      <c r="O53" s="153">
        <v>647.46500000000003</v>
      </c>
      <c r="P53" s="164">
        <v>9.1851456768774098E-2</v>
      </c>
      <c r="Q53" s="164">
        <v>4.2671689491687002E-3</v>
      </c>
    </row>
    <row r="54" spans="1:17" s="41" customFormat="1">
      <c r="A54" s="41">
        <v>424</v>
      </c>
      <c r="B54" s="41">
        <v>9817</v>
      </c>
      <c r="C54" s="41" t="s">
        <v>2356</v>
      </c>
      <c r="D54" s="41" t="s">
        <v>2357</v>
      </c>
      <c r="E54" s="42" t="s">
        <v>2358</v>
      </c>
      <c r="F54" s="41" t="s">
        <v>2980</v>
      </c>
      <c r="G54" s="41" t="s">
        <v>30</v>
      </c>
      <c r="H54" s="41" t="s">
        <v>141</v>
      </c>
      <c r="I54" s="41" t="s">
        <v>286</v>
      </c>
      <c r="J54" s="41" t="s">
        <v>143</v>
      </c>
      <c r="K54" s="41" t="s">
        <v>664</v>
      </c>
      <c r="L54" s="153">
        <v>1.821</v>
      </c>
      <c r="M54" s="162">
        <v>3.306</v>
      </c>
      <c r="N54" s="212">
        <v>2.5399999999999999E-2</v>
      </c>
      <c r="O54" s="153">
        <v>6.02</v>
      </c>
      <c r="P54" s="164">
        <v>6.7794564254204701E-2</v>
      </c>
      <c r="Q54" s="164">
        <v>3.12076945184602E-3</v>
      </c>
    </row>
    <row r="55" spans="1:17" s="41" customFormat="1">
      <c r="A55" s="41">
        <v>424</v>
      </c>
      <c r="B55" s="41">
        <v>9817</v>
      </c>
      <c r="C55" s="41" t="s">
        <v>2356</v>
      </c>
      <c r="D55" s="41" t="s">
        <v>2357</v>
      </c>
      <c r="E55" s="42" t="s">
        <v>2358</v>
      </c>
      <c r="F55" s="41" t="s">
        <v>2980</v>
      </c>
      <c r="G55" s="41" t="s">
        <v>30</v>
      </c>
      <c r="H55" s="41" t="s">
        <v>141</v>
      </c>
      <c r="I55" s="41" t="s">
        <v>286</v>
      </c>
      <c r="J55" s="41" t="s">
        <v>143</v>
      </c>
      <c r="K55" s="41" t="s">
        <v>576</v>
      </c>
      <c r="L55" s="153">
        <v>0.13200000000000001</v>
      </c>
      <c r="M55" s="162">
        <v>3.8807</v>
      </c>
      <c r="N55" s="164">
        <v>0</v>
      </c>
      <c r="O55" s="153">
        <v>0.51300000000000001</v>
      </c>
      <c r="P55" s="164">
        <v>5.7762498779706899E-3</v>
      </c>
      <c r="Q55" s="164">
        <v>2.6589660046796799E-4</v>
      </c>
    </row>
    <row r="56" spans="1:17" s="41" customFormat="1">
      <c r="A56" s="41">
        <v>424</v>
      </c>
      <c r="B56" s="41">
        <v>9817</v>
      </c>
      <c r="C56" s="41" t="s">
        <v>2356</v>
      </c>
      <c r="D56" s="41" t="s">
        <v>2357</v>
      </c>
      <c r="E56" s="42" t="s">
        <v>2358</v>
      </c>
      <c r="F56" s="41" t="s">
        <v>2980</v>
      </c>
      <c r="G56" s="41" t="s">
        <v>30</v>
      </c>
      <c r="H56" s="41" t="s">
        <v>141</v>
      </c>
      <c r="I56" s="41" t="s">
        <v>286</v>
      </c>
      <c r="J56" s="41" t="s">
        <v>143</v>
      </c>
      <c r="K56" s="41" t="s">
        <v>1141</v>
      </c>
      <c r="L56" s="153">
        <v>0.32300000000000001</v>
      </c>
      <c r="M56" s="162">
        <v>4.4409000000000001</v>
      </c>
      <c r="N56" s="164">
        <v>0</v>
      </c>
      <c r="O56" s="153">
        <v>1.4330000000000001</v>
      </c>
      <c r="P56" s="164">
        <v>1.61411439362052E-2</v>
      </c>
      <c r="Q56" s="164">
        <v>7.4302105881349798E-4</v>
      </c>
    </row>
    <row r="57" spans="1:17" s="41" customFormat="1">
      <c r="A57" s="41">
        <v>424</v>
      </c>
      <c r="B57" s="41">
        <v>9817</v>
      </c>
      <c r="C57" s="41" t="s">
        <v>2356</v>
      </c>
      <c r="D57" s="41" t="s">
        <v>2357</v>
      </c>
      <c r="E57" s="42" t="s">
        <v>2358</v>
      </c>
      <c r="F57" s="41" t="s">
        <v>2978</v>
      </c>
      <c r="G57" s="41" t="s">
        <v>30</v>
      </c>
      <c r="H57" s="41" t="s">
        <v>141</v>
      </c>
      <c r="I57" s="41" t="s">
        <v>286</v>
      </c>
      <c r="J57" s="41" t="s">
        <v>143</v>
      </c>
      <c r="K57" s="41" t="s">
        <v>34</v>
      </c>
      <c r="L57" s="153">
        <v>75.149000000000001</v>
      </c>
      <c r="M57" s="162">
        <v>1</v>
      </c>
      <c r="N57" s="164">
        <v>4.0300000000000002E-2</v>
      </c>
      <c r="O57" s="153">
        <v>75.149000000000001</v>
      </c>
      <c r="P57" s="164">
        <v>0.84624289613249304</v>
      </c>
      <c r="Q57" s="164">
        <v>3.8954877992717497E-2</v>
      </c>
    </row>
    <row r="58" spans="1:17" s="41" customFormat="1">
      <c r="A58" s="41">
        <v>424</v>
      </c>
      <c r="B58" s="41">
        <v>9817</v>
      </c>
      <c r="C58" s="41" t="s">
        <v>380</v>
      </c>
      <c r="D58" s="41" t="s">
        <v>3280</v>
      </c>
      <c r="E58" s="42" t="s">
        <v>2358</v>
      </c>
      <c r="F58" s="41" t="s">
        <v>2978</v>
      </c>
      <c r="G58" s="41" t="s">
        <v>30</v>
      </c>
      <c r="H58" s="41" t="s">
        <v>141</v>
      </c>
      <c r="I58" s="41" t="s">
        <v>286</v>
      </c>
      <c r="J58" s="41" t="s">
        <v>143</v>
      </c>
      <c r="K58" s="41" t="s">
        <v>34</v>
      </c>
      <c r="L58" s="153">
        <v>0.01</v>
      </c>
      <c r="M58" s="162">
        <v>1</v>
      </c>
      <c r="N58" s="164">
        <v>4.0300000000000002E-2</v>
      </c>
      <c r="O58" s="153">
        <v>0.01</v>
      </c>
      <c r="P58" s="164">
        <v>1.13734318061264E-4</v>
      </c>
      <c r="Q58" s="164">
        <v>5.2355021281830703E-6</v>
      </c>
    </row>
    <row r="59" spans="1:17" s="41" customFormat="1">
      <c r="A59" s="41">
        <v>424</v>
      </c>
      <c r="B59" s="41">
        <v>9817</v>
      </c>
      <c r="C59" s="41" t="s">
        <v>380</v>
      </c>
      <c r="D59" s="41" t="s">
        <v>3280</v>
      </c>
      <c r="E59" s="42" t="s">
        <v>2358</v>
      </c>
      <c r="F59" s="41" t="s">
        <v>2978</v>
      </c>
      <c r="G59" s="41" t="s">
        <v>30</v>
      </c>
      <c r="H59" s="41" t="s">
        <v>141</v>
      </c>
      <c r="I59" s="41" t="s">
        <v>286</v>
      </c>
      <c r="J59" s="41" t="s">
        <v>143</v>
      </c>
      <c r="K59" s="41" t="s">
        <v>34</v>
      </c>
      <c r="L59" s="153">
        <v>5.6769999999999996</v>
      </c>
      <c r="M59" s="162">
        <v>1</v>
      </c>
      <c r="N59" s="164">
        <v>4.0300000000000002E-2</v>
      </c>
      <c r="O59" s="153">
        <v>5.6769999999999996</v>
      </c>
      <c r="P59" s="164">
        <v>6.3931411481065001E-2</v>
      </c>
      <c r="Q59" s="164">
        <v>2.9429379502373901E-3</v>
      </c>
    </row>
    <row r="60" spans="1:17" s="41" customFormat="1">
      <c r="A60" s="41">
        <v>424</v>
      </c>
      <c r="B60" s="41">
        <v>15416</v>
      </c>
      <c r="C60" s="41" t="s">
        <v>380</v>
      </c>
      <c r="D60" s="41" t="s">
        <v>3280</v>
      </c>
      <c r="E60" s="42" t="s">
        <v>2358</v>
      </c>
      <c r="F60" s="41" t="s">
        <v>2978</v>
      </c>
      <c r="G60" s="41" t="s">
        <v>30</v>
      </c>
      <c r="H60" s="41" t="s">
        <v>141</v>
      </c>
      <c r="I60" s="41" t="s">
        <v>286</v>
      </c>
      <c r="J60" s="41" t="s">
        <v>143</v>
      </c>
      <c r="K60" s="41" t="s">
        <v>34</v>
      </c>
      <c r="L60" s="153">
        <v>992.42</v>
      </c>
      <c r="M60" s="162">
        <v>1</v>
      </c>
      <c r="N60" s="164">
        <v>0</v>
      </c>
      <c r="O60" s="153">
        <v>992.42</v>
      </c>
      <c r="P60" s="164">
        <v>0.97637659073039595</v>
      </c>
      <c r="Q60" s="164">
        <v>9.5432714507654198E-2</v>
      </c>
    </row>
    <row r="61" spans="1:17" s="41" customFormat="1">
      <c r="A61" s="41">
        <v>424</v>
      </c>
      <c r="B61" s="41">
        <v>15416</v>
      </c>
      <c r="C61" s="41" t="s">
        <v>522</v>
      </c>
      <c r="D61" s="41" t="s">
        <v>3285</v>
      </c>
      <c r="E61" s="42" t="s">
        <v>2358</v>
      </c>
      <c r="F61" s="41" t="s">
        <v>2980</v>
      </c>
      <c r="G61" s="41" t="s">
        <v>30</v>
      </c>
      <c r="H61" s="41" t="s">
        <v>141</v>
      </c>
      <c r="I61" s="41" t="s">
        <v>286</v>
      </c>
      <c r="J61" s="41" t="s">
        <v>143</v>
      </c>
      <c r="K61" s="41" t="s">
        <v>664</v>
      </c>
      <c r="L61" s="153">
        <v>6.36</v>
      </c>
      <c r="M61" s="162">
        <v>3.306</v>
      </c>
      <c r="N61" s="212">
        <v>2.5399999999999999E-2</v>
      </c>
      <c r="O61" s="153">
        <v>21.026</v>
      </c>
      <c r="P61" s="164">
        <v>2.0685700316464099E-2</v>
      </c>
      <c r="Q61" s="164">
        <v>2.0218556563459402E-3</v>
      </c>
    </row>
    <row r="62" spans="1:17" s="41" customFormat="1">
      <c r="A62" s="41">
        <v>424</v>
      </c>
      <c r="B62" s="41">
        <v>15416</v>
      </c>
      <c r="C62" s="41" t="s">
        <v>522</v>
      </c>
      <c r="D62" s="41" t="s">
        <v>3285</v>
      </c>
      <c r="E62" s="42" t="s">
        <v>2358</v>
      </c>
      <c r="F62" s="41" t="s">
        <v>2978</v>
      </c>
      <c r="G62" s="41" t="s">
        <v>30</v>
      </c>
      <c r="H62" s="41" t="s">
        <v>141</v>
      </c>
      <c r="I62" s="41" t="s">
        <v>286</v>
      </c>
      <c r="J62" s="41" t="s">
        <v>143</v>
      </c>
      <c r="K62" s="41" t="s">
        <v>34</v>
      </c>
      <c r="L62" s="153">
        <v>2.9860000000000002</v>
      </c>
      <c r="M62" s="162">
        <v>1</v>
      </c>
      <c r="N62" s="164">
        <v>0</v>
      </c>
      <c r="O62" s="153">
        <v>2.9860000000000002</v>
      </c>
      <c r="P62" s="164">
        <v>2.9377089531393901E-3</v>
      </c>
      <c r="Q62" s="164">
        <v>2.8713668731222602E-4</v>
      </c>
    </row>
    <row r="63" spans="1:17" s="41" customFormat="1">
      <c r="A63" s="41">
        <v>969</v>
      </c>
      <c r="B63" s="41">
        <v>969</v>
      </c>
      <c r="C63" s="41" t="s">
        <v>2356</v>
      </c>
      <c r="D63" s="41" t="s">
        <v>2357</v>
      </c>
      <c r="E63" s="42" t="s">
        <v>2358</v>
      </c>
      <c r="F63" s="41" t="s">
        <v>2980</v>
      </c>
      <c r="G63" s="41" t="s">
        <v>30</v>
      </c>
      <c r="H63" s="41" t="s">
        <v>141</v>
      </c>
      <c r="I63" s="41" t="s">
        <v>286</v>
      </c>
      <c r="J63" s="41" t="s">
        <v>143</v>
      </c>
      <c r="K63" s="41" t="s">
        <v>664</v>
      </c>
      <c r="L63" s="153">
        <v>237.84</v>
      </c>
      <c r="M63" s="162">
        <v>3.306</v>
      </c>
      <c r="N63" s="212">
        <v>2.5399999999999999E-2</v>
      </c>
      <c r="O63" s="153">
        <v>786.29899999999998</v>
      </c>
      <c r="P63" s="164">
        <v>0.31189946454672401</v>
      </c>
      <c r="Q63" s="164">
        <v>1.03585057696548E-2</v>
      </c>
    </row>
    <row r="64" spans="1:17" s="41" customFormat="1">
      <c r="A64" s="41">
        <v>969</v>
      </c>
      <c r="B64" s="41">
        <v>969</v>
      </c>
      <c r="C64" s="41" t="s">
        <v>2356</v>
      </c>
      <c r="D64" s="41" t="s">
        <v>2357</v>
      </c>
      <c r="E64" s="42" t="s">
        <v>2358</v>
      </c>
      <c r="F64" s="41" t="s">
        <v>2980</v>
      </c>
      <c r="G64" s="41" t="s">
        <v>30</v>
      </c>
      <c r="H64" s="41" t="s">
        <v>141</v>
      </c>
      <c r="I64" s="41" t="s">
        <v>286</v>
      </c>
      <c r="J64" s="41" t="s">
        <v>143</v>
      </c>
      <c r="K64" s="41" t="s">
        <v>3284</v>
      </c>
      <c r="L64" s="153">
        <v>0</v>
      </c>
      <c r="M64" s="162">
        <v>0.42420000000000002</v>
      </c>
      <c r="N64" s="164">
        <v>0</v>
      </c>
      <c r="O64" s="153">
        <v>0</v>
      </c>
      <c r="P64" s="164">
        <v>-5.0479955918580606E-9</v>
      </c>
      <c r="Q64" s="164">
        <v>-1.6764918637948001E-10</v>
      </c>
    </row>
    <row r="65" spans="1:17" s="41" customFormat="1">
      <c r="A65" s="41">
        <v>969</v>
      </c>
      <c r="B65" s="41">
        <v>969</v>
      </c>
      <c r="C65" s="41" t="s">
        <v>2356</v>
      </c>
      <c r="D65" s="41" t="s">
        <v>2357</v>
      </c>
      <c r="E65" s="42" t="s">
        <v>2358</v>
      </c>
      <c r="F65" s="41" t="s">
        <v>2980</v>
      </c>
      <c r="G65" s="41" t="s">
        <v>30</v>
      </c>
      <c r="H65" s="41" t="s">
        <v>141</v>
      </c>
      <c r="I65" s="41" t="s">
        <v>286</v>
      </c>
      <c r="J65" s="41" t="s">
        <v>143</v>
      </c>
      <c r="K65" s="41" t="s">
        <v>3278</v>
      </c>
      <c r="L65" s="153">
        <v>0</v>
      </c>
      <c r="M65" s="162">
        <v>2.3744999999999998</v>
      </c>
      <c r="N65" s="164">
        <v>0</v>
      </c>
      <c r="O65" s="153">
        <v>0</v>
      </c>
      <c r="P65" s="164">
        <v>1.78958702753789E-7</v>
      </c>
      <c r="Q65" s="164">
        <v>5.9434047368406705E-9</v>
      </c>
    </row>
    <row r="66" spans="1:17" s="41" customFormat="1">
      <c r="A66" s="41">
        <v>969</v>
      </c>
      <c r="B66" s="41">
        <v>969</v>
      </c>
      <c r="C66" s="41" t="s">
        <v>2356</v>
      </c>
      <c r="D66" s="41" t="s">
        <v>2357</v>
      </c>
      <c r="E66" s="42" t="s">
        <v>2358</v>
      </c>
      <c r="F66" s="41" t="s">
        <v>2980</v>
      </c>
      <c r="G66" s="41" t="s">
        <v>30</v>
      </c>
      <c r="H66" s="41" t="s">
        <v>141</v>
      </c>
      <c r="I66" s="41" t="s">
        <v>286</v>
      </c>
      <c r="J66" s="41" t="s">
        <v>143</v>
      </c>
      <c r="K66" s="41" t="s">
        <v>576</v>
      </c>
      <c r="L66" s="153">
        <v>1.3109999999999999</v>
      </c>
      <c r="M66" s="162">
        <v>3.8807</v>
      </c>
      <c r="N66" s="164">
        <v>0</v>
      </c>
      <c r="O66" s="153">
        <v>5.0869999999999997</v>
      </c>
      <c r="P66" s="164">
        <v>2.0178557519466601E-3</v>
      </c>
      <c r="Q66" s="164">
        <v>6.7015089234753804E-5</v>
      </c>
    </row>
    <row r="67" spans="1:17" s="41" customFormat="1">
      <c r="A67" s="41">
        <v>969</v>
      </c>
      <c r="B67" s="41">
        <v>969</v>
      </c>
      <c r="C67" s="41" t="s">
        <v>2356</v>
      </c>
      <c r="D67" s="41" t="s">
        <v>2357</v>
      </c>
      <c r="E67" s="42" t="s">
        <v>2358</v>
      </c>
      <c r="F67" s="41" t="s">
        <v>2980</v>
      </c>
      <c r="G67" s="41" t="s">
        <v>30</v>
      </c>
      <c r="H67" s="41" t="s">
        <v>141</v>
      </c>
      <c r="I67" s="41" t="s">
        <v>286</v>
      </c>
      <c r="J67" s="41" t="s">
        <v>143</v>
      </c>
      <c r="K67" s="41" t="s">
        <v>3279</v>
      </c>
      <c r="L67" s="153">
        <v>4.569</v>
      </c>
      <c r="M67" s="162">
        <v>2.2332000000000001E-2</v>
      </c>
      <c r="N67" s="164">
        <v>0</v>
      </c>
      <c r="O67" s="153">
        <v>10.202999999999999</v>
      </c>
      <c r="P67" s="164">
        <v>4.0473680411927298E-3</v>
      </c>
      <c r="Q67" s="164">
        <v>1.3441730420262E-4</v>
      </c>
    </row>
    <row r="68" spans="1:17" s="41" customFormat="1">
      <c r="A68" s="41">
        <v>969</v>
      </c>
      <c r="B68" s="41">
        <v>969</v>
      </c>
      <c r="C68" s="41" t="s">
        <v>2356</v>
      </c>
      <c r="D68" s="41" t="s">
        <v>2357</v>
      </c>
      <c r="E68" s="42" t="s">
        <v>2358</v>
      </c>
      <c r="F68" s="41" t="s">
        <v>2980</v>
      </c>
      <c r="G68" s="41" t="s">
        <v>30</v>
      </c>
      <c r="H68" s="41" t="s">
        <v>141</v>
      </c>
      <c r="I68" s="41" t="s">
        <v>286</v>
      </c>
      <c r="J68" s="41" t="s">
        <v>143</v>
      </c>
      <c r="K68" s="41" t="s">
        <v>3286</v>
      </c>
      <c r="L68" s="153">
        <v>0</v>
      </c>
      <c r="M68" s="162">
        <v>0.51990000000000003</v>
      </c>
      <c r="N68" s="164">
        <v>0</v>
      </c>
      <c r="O68" s="153">
        <v>0</v>
      </c>
      <c r="P68" s="164">
        <v>-2.0622763697996302E-9</v>
      </c>
      <c r="Q68" s="164">
        <v>-6.8490344176246797E-11</v>
      </c>
    </row>
    <row r="69" spans="1:17" s="41" customFormat="1">
      <c r="A69" s="41">
        <v>969</v>
      </c>
      <c r="B69" s="41">
        <v>969</v>
      </c>
      <c r="C69" s="41" t="s">
        <v>2356</v>
      </c>
      <c r="D69" s="41" t="s">
        <v>2357</v>
      </c>
      <c r="E69" s="42" t="s">
        <v>2358</v>
      </c>
      <c r="F69" s="41" t="s">
        <v>2980</v>
      </c>
      <c r="G69" s="41" t="s">
        <v>30</v>
      </c>
      <c r="H69" s="41" t="s">
        <v>141</v>
      </c>
      <c r="I69" s="41" t="s">
        <v>286</v>
      </c>
      <c r="J69" s="41" t="s">
        <v>143</v>
      </c>
      <c r="K69" s="41" t="s">
        <v>1141</v>
      </c>
      <c r="L69" s="153">
        <v>6.1589999999999998</v>
      </c>
      <c r="M69" s="162">
        <v>4.4409000000000001</v>
      </c>
      <c r="N69" s="164">
        <v>0</v>
      </c>
      <c r="O69" s="153">
        <v>27.352</v>
      </c>
      <c r="P69" s="164">
        <v>1.08497625395967E-2</v>
      </c>
      <c r="Q69" s="164">
        <v>3.6033190383679298E-4</v>
      </c>
    </row>
    <row r="70" spans="1:17" s="41" customFormat="1">
      <c r="A70" s="41">
        <v>969</v>
      </c>
      <c r="B70" s="41">
        <v>969</v>
      </c>
      <c r="C70" s="41" t="s">
        <v>2356</v>
      </c>
      <c r="D70" s="41" t="s">
        <v>2357</v>
      </c>
      <c r="E70" s="42" t="s">
        <v>2358</v>
      </c>
      <c r="F70" s="41" t="s">
        <v>2978</v>
      </c>
      <c r="G70" s="41" t="s">
        <v>30</v>
      </c>
      <c r="H70" s="41" t="s">
        <v>141</v>
      </c>
      <c r="I70" s="41" t="s">
        <v>286</v>
      </c>
      <c r="J70" s="41" t="s">
        <v>143</v>
      </c>
      <c r="K70" s="41" t="s">
        <v>34</v>
      </c>
      <c r="L70" s="153">
        <v>1672.32</v>
      </c>
      <c r="M70" s="162">
        <v>1</v>
      </c>
      <c r="N70" s="164">
        <v>4.0300000000000002E-2</v>
      </c>
      <c r="O70" s="153">
        <v>1672.32</v>
      </c>
      <c r="P70" s="164">
        <v>0.66335556958800501</v>
      </c>
      <c r="Q70" s="164">
        <v>2.20307287314392E-2</v>
      </c>
    </row>
    <row r="71" spans="1:17" s="41" customFormat="1">
      <c r="A71" s="41">
        <v>969</v>
      </c>
      <c r="B71" s="41">
        <v>969</v>
      </c>
      <c r="C71" s="41" t="s">
        <v>380</v>
      </c>
      <c r="D71" s="41" t="s">
        <v>3280</v>
      </c>
      <c r="E71" s="42" t="s">
        <v>2358</v>
      </c>
      <c r="F71" s="41" t="s">
        <v>2978</v>
      </c>
      <c r="G71" s="41" t="s">
        <v>30</v>
      </c>
      <c r="H71" s="41" t="s">
        <v>141</v>
      </c>
      <c r="I71" s="41" t="s">
        <v>286</v>
      </c>
      <c r="J71" s="41" t="s">
        <v>143</v>
      </c>
      <c r="K71" s="41" t="s">
        <v>34</v>
      </c>
      <c r="L71" s="153">
        <v>4.0000000000000001E-3</v>
      </c>
      <c r="M71" s="162">
        <v>1</v>
      </c>
      <c r="N71" s="164">
        <v>4.0300000000000002E-2</v>
      </c>
      <c r="O71" s="153">
        <v>4.0000000000000001E-3</v>
      </c>
      <c r="P71" s="164">
        <v>1.63427171447864E-6</v>
      </c>
      <c r="Q71" s="164">
        <v>5.42758642058351E-8</v>
      </c>
    </row>
    <row r="72" spans="1:17" s="41" customFormat="1">
      <c r="A72" s="41">
        <v>969</v>
      </c>
      <c r="B72" s="41">
        <v>969</v>
      </c>
      <c r="C72" s="41" t="s">
        <v>380</v>
      </c>
      <c r="D72" s="41" t="s">
        <v>3280</v>
      </c>
      <c r="E72" s="42" t="s">
        <v>2358</v>
      </c>
      <c r="F72" s="41" t="s">
        <v>2978</v>
      </c>
      <c r="G72" s="41" t="s">
        <v>30</v>
      </c>
      <c r="H72" s="41" t="s">
        <v>141</v>
      </c>
      <c r="I72" s="41" t="s">
        <v>286</v>
      </c>
      <c r="J72" s="41" t="s">
        <v>143</v>
      </c>
      <c r="K72" s="41" t="s">
        <v>34</v>
      </c>
      <c r="L72" s="153">
        <v>19.734999999999999</v>
      </c>
      <c r="M72" s="162">
        <v>1</v>
      </c>
      <c r="N72" s="164">
        <v>4.0300000000000002E-2</v>
      </c>
      <c r="O72" s="153">
        <v>19.734999999999999</v>
      </c>
      <c r="P72" s="164">
        <v>7.8281734123894497E-3</v>
      </c>
      <c r="Q72" s="164">
        <v>2.5998178475855399E-4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9"/>
  <sheetViews>
    <sheetView rightToLeft="1" workbookViewId="0">
      <selection activeCell="A23" sqref="A23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3" t="s">
        <v>14</v>
      </c>
      <c r="P1" s="163" t="s">
        <v>15</v>
      </c>
      <c r="Q1" s="19" t="s">
        <v>16</v>
      </c>
      <c r="R1" s="19" t="s">
        <v>17</v>
      </c>
      <c r="S1" s="161" t="s">
        <v>18</v>
      </c>
      <c r="T1" s="167" t="s">
        <v>19</v>
      </c>
      <c r="U1" s="19" t="s">
        <v>20</v>
      </c>
      <c r="V1" s="19" t="s">
        <v>21</v>
      </c>
      <c r="W1" s="19" t="s">
        <v>22</v>
      </c>
      <c r="X1" s="163" t="s">
        <v>23</v>
      </c>
      <c r="Y1" s="163" t="s">
        <v>24</v>
      </c>
      <c r="Z1" s="163" t="s">
        <v>25</v>
      </c>
    </row>
    <row r="2" spans="1:26">
      <c r="A2" s="18">
        <v>1182</v>
      </c>
      <c r="B2" s="18">
        <v>1182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5" t="s">
        <v>34</v>
      </c>
      <c r="M2" s="154">
        <v>0.48499999999999999</v>
      </c>
      <c r="N2" s="5" t="s">
        <v>35</v>
      </c>
      <c r="O2" s="165">
        <v>0</v>
      </c>
      <c r="P2" s="165">
        <v>4.2540000000000001E-2</v>
      </c>
      <c r="R2" s="154">
        <v>125091</v>
      </c>
      <c r="S2" s="166">
        <v>1</v>
      </c>
      <c r="T2" s="168">
        <v>98</v>
      </c>
      <c r="U2" s="154">
        <v>122.589</v>
      </c>
      <c r="W2" s="18" t="s">
        <v>36</v>
      </c>
      <c r="X2" s="165">
        <v>6.9999999999999999E-6</v>
      </c>
      <c r="Y2" s="165">
        <v>1.7265399579579799E-3</v>
      </c>
      <c r="Z2" s="165">
        <v>2.6551072585136702E-4</v>
      </c>
    </row>
    <row r="3" spans="1:26">
      <c r="A3" s="18">
        <v>1182</v>
      </c>
      <c r="B3" s="18">
        <v>1182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30</v>
      </c>
      <c r="H3" s="18" t="s">
        <v>30</v>
      </c>
      <c r="I3" s="18" t="s">
        <v>31</v>
      </c>
      <c r="J3" s="18" t="s">
        <v>32</v>
      </c>
      <c r="K3" s="18" t="s">
        <v>33</v>
      </c>
      <c r="L3" s="5" t="s">
        <v>34</v>
      </c>
      <c r="M3" s="154">
        <v>1.6419999999999999</v>
      </c>
      <c r="N3" s="5" t="s">
        <v>41</v>
      </c>
      <c r="O3" s="165">
        <v>7.4999999999999997E-3</v>
      </c>
      <c r="P3" s="165">
        <v>2.0979999999999999E-2</v>
      </c>
      <c r="R3" s="154">
        <v>1171463</v>
      </c>
      <c r="S3" s="166">
        <v>1</v>
      </c>
      <c r="T3" s="168">
        <v>117.66</v>
      </c>
      <c r="U3" s="154">
        <v>1378.3430000000001</v>
      </c>
      <c r="W3" s="18" t="s">
        <v>36</v>
      </c>
      <c r="X3" s="165">
        <v>4.8000000000000001E-5</v>
      </c>
      <c r="Y3" s="165">
        <v>1.94125199046115E-2</v>
      </c>
      <c r="Z3" s="165">
        <v>2.9852956641522E-3</v>
      </c>
    </row>
    <row r="4" spans="1:26">
      <c r="A4" s="18">
        <v>1182</v>
      </c>
      <c r="B4" s="18">
        <v>1182</v>
      </c>
      <c r="C4" s="18" t="s">
        <v>37</v>
      </c>
      <c r="D4" s="18" t="s">
        <v>42</v>
      </c>
      <c r="E4" s="18" t="s">
        <v>43</v>
      </c>
      <c r="F4" s="18" t="s">
        <v>40</v>
      </c>
      <c r="G4" s="18" t="s">
        <v>30</v>
      </c>
      <c r="H4" s="18" t="s">
        <v>30</v>
      </c>
      <c r="I4" s="18" t="s">
        <v>31</v>
      </c>
      <c r="J4" s="18" t="s">
        <v>32</v>
      </c>
      <c r="K4" s="18" t="s">
        <v>33</v>
      </c>
      <c r="L4" s="5" t="s">
        <v>34</v>
      </c>
      <c r="M4" s="154">
        <v>17.658000000000001</v>
      </c>
      <c r="N4" s="5" t="s">
        <v>44</v>
      </c>
      <c r="O4" s="165">
        <v>0.01</v>
      </c>
      <c r="P4" s="165">
        <v>2.0719999999999999E-2</v>
      </c>
      <c r="R4" s="154">
        <v>8270758</v>
      </c>
      <c r="S4" s="166">
        <v>1</v>
      </c>
      <c r="T4" s="168">
        <v>99.57</v>
      </c>
      <c r="U4" s="154">
        <v>8235.1939999999995</v>
      </c>
      <c r="W4" s="18" t="s">
        <v>36</v>
      </c>
      <c r="X4" s="165">
        <v>3.6200000000000002E-4</v>
      </c>
      <c r="Y4" s="165">
        <v>0.115984062008339</v>
      </c>
      <c r="Z4" s="165">
        <v>1.7836258204788898E-2</v>
      </c>
    </row>
    <row r="5" spans="1:26">
      <c r="A5" s="18">
        <v>1182</v>
      </c>
      <c r="B5" s="18">
        <v>1182</v>
      </c>
      <c r="C5" s="18" t="s">
        <v>37</v>
      </c>
      <c r="D5" s="18" t="s">
        <v>45</v>
      </c>
      <c r="E5" s="18" t="s">
        <v>46</v>
      </c>
      <c r="F5" s="18" t="s">
        <v>40</v>
      </c>
      <c r="G5" s="18" t="s">
        <v>30</v>
      </c>
      <c r="H5" s="18" t="s">
        <v>30</v>
      </c>
      <c r="I5" s="18" t="s">
        <v>31</v>
      </c>
      <c r="J5" s="18" t="s">
        <v>32</v>
      </c>
      <c r="K5" s="18" t="s">
        <v>33</v>
      </c>
      <c r="L5" s="5" t="s">
        <v>34</v>
      </c>
      <c r="M5" s="154">
        <v>6.1310000000000002</v>
      </c>
      <c r="N5" s="5" t="s">
        <v>47</v>
      </c>
      <c r="O5" s="165">
        <v>1E-3</v>
      </c>
      <c r="P5" s="165">
        <v>1.9009999999999999E-2</v>
      </c>
      <c r="R5" s="154">
        <v>13155071</v>
      </c>
      <c r="S5" s="166">
        <v>1</v>
      </c>
      <c r="T5" s="168">
        <v>106.54</v>
      </c>
      <c r="U5" s="154">
        <v>14015.413</v>
      </c>
      <c r="W5" s="18" t="s">
        <v>36</v>
      </c>
      <c r="X5" s="165">
        <v>3.8400000000000001E-4</v>
      </c>
      <c r="Y5" s="165">
        <v>0.197392379621918</v>
      </c>
      <c r="Z5" s="165">
        <v>3.0355390125421801E-2</v>
      </c>
    </row>
    <row r="6" spans="1:26">
      <c r="A6" s="18">
        <v>1182</v>
      </c>
      <c r="B6" s="18">
        <v>1182</v>
      </c>
      <c r="C6" s="18" t="s">
        <v>48</v>
      </c>
      <c r="D6" s="18" t="s">
        <v>49</v>
      </c>
      <c r="E6" s="18" t="s">
        <v>50</v>
      </c>
      <c r="F6" s="18" t="s">
        <v>51</v>
      </c>
      <c r="G6" s="18" t="s">
        <v>30</v>
      </c>
      <c r="H6" s="18" t="s">
        <v>30</v>
      </c>
      <c r="I6" s="18" t="s">
        <v>31</v>
      </c>
      <c r="J6" s="18" t="s">
        <v>32</v>
      </c>
      <c r="K6" s="18" t="s">
        <v>33</v>
      </c>
      <c r="L6" s="5" t="s">
        <v>34</v>
      </c>
      <c r="M6" s="154">
        <v>1.462</v>
      </c>
      <c r="N6" s="5" t="s">
        <v>52</v>
      </c>
      <c r="O6" s="165">
        <v>0.02</v>
      </c>
      <c r="P6" s="165">
        <v>3.9870000000000003E-2</v>
      </c>
      <c r="R6" s="154">
        <v>528276</v>
      </c>
      <c r="S6" s="166">
        <v>1</v>
      </c>
      <c r="T6" s="168">
        <v>98.22</v>
      </c>
      <c r="U6" s="154">
        <v>518.87300000000005</v>
      </c>
      <c r="W6" s="18" t="s">
        <v>36</v>
      </c>
      <c r="X6" s="165">
        <v>1.9000000000000001E-5</v>
      </c>
      <c r="Y6" s="165">
        <v>7.3077773058261297E-3</v>
      </c>
      <c r="Z6" s="165">
        <v>1.1238044320299801E-3</v>
      </c>
    </row>
    <row r="7" spans="1:26">
      <c r="A7" s="18">
        <v>1182</v>
      </c>
      <c r="B7" s="18">
        <v>1182</v>
      </c>
      <c r="C7" s="18" t="s">
        <v>37</v>
      </c>
      <c r="D7" s="18" t="s">
        <v>53</v>
      </c>
      <c r="E7" s="18" t="s">
        <v>54</v>
      </c>
      <c r="F7" s="18" t="s">
        <v>40</v>
      </c>
      <c r="G7" s="18" t="s">
        <v>30</v>
      </c>
      <c r="H7" s="18" t="s">
        <v>30</v>
      </c>
      <c r="I7" s="18" t="s">
        <v>31</v>
      </c>
      <c r="J7" s="18" t="s">
        <v>32</v>
      </c>
      <c r="K7" s="18" t="s">
        <v>33</v>
      </c>
      <c r="L7" s="5" t="s">
        <v>34</v>
      </c>
      <c r="M7" s="154">
        <v>13.218999999999999</v>
      </c>
      <c r="N7" s="5" t="s">
        <v>55</v>
      </c>
      <c r="O7" s="165">
        <v>2.75E-2</v>
      </c>
      <c r="P7" s="165">
        <v>2.019E-2</v>
      </c>
      <c r="R7" s="154">
        <v>68189</v>
      </c>
      <c r="S7" s="166">
        <v>1</v>
      </c>
      <c r="T7" s="168">
        <v>139.93</v>
      </c>
      <c r="U7" s="154">
        <v>95.417000000000002</v>
      </c>
      <c r="W7" s="18" t="s">
        <v>36</v>
      </c>
      <c r="X7" s="165">
        <v>3.0000000000000001E-6</v>
      </c>
      <c r="Y7" s="165">
        <v>1.34384645322891E-3</v>
      </c>
      <c r="Z7" s="165">
        <v>2.06659362608436E-4</v>
      </c>
    </row>
    <row r="8" spans="1:26">
      <c r="A8" s="18">
        <v>1182</v>
      </c>
      <c r="B8" s="18">
        <v>1182</v>
      </c>
      <c r="C8" s="18" t="s">
        <v>37</v>
      </c>
      <c r="D8" s="18" t="s">
        <v>56</v>
      </c>
      <c r="E8" s="18" t="s">
        <v>57</v>
      </c>
      <c r="F8" s="18" t="s">
        <v>40</v>
      </c>
      <c r="G8" s="18" t="s">
        <v>30</v>
      </c>
      <c r="H8" s="18" t="s">
        <v>30</v>
      </c>
      <c r="I8" s="18" t="s">
        <v>31</v>
      </c>
      <c r="J8" s="18" t="s">
        <v>32</v>
      </c>
      <c r="K8" s="18" t="s">
        <v>33</v>
      </c>
      <c r="L8" s="5" t="s">
        <v>34</v>
      </c>
      <c r="M8" s="154">
        <v>8.9559999999999995</v>
      </c>
      <c r="N8" s="5" t="s">
        <v>58</v>
      </c>
      <c r="O8" s="165">
        <v>0.04</v>
      </c>
      <c r="P8" s="165">
        <v>1.9400000000000001E-2</v>
      </c>
      <c r="R8" s="154">
        <v>2733038</v>
      </c>
      <c r="S8" s="166">
        <v>1</v>
      </c>
      <c r="T8" s="168">
        <v>170.85</v>
      </c>
      <c r="U8" s="154">
        <v>4669.3950000000004</v>
      </c>
      <c r="W8" s="18" t="s">
        <v>36</v>
      </c>
      <c r="X8" s="165">
        <v>1.7200000000000001E-4</v>
      </c>
      <c r="Y8" s="165">
        <v>6.5763534573896498E-2</v>
      </c>
      <c r="Z8" s="165">
        <v>1.01132462754688E-2</v>
      </c>
    </row>
    <row r="9" spans="1:26">
      <c r="A9" s="18">
        <v>1182</v>
      </c>
      <c r="B9" s="18">
        <v>1182</v>
      </c>
      <c r="C9" s="18" t="s">
        <v>48</v>
      </c>
      <c r="D9" s="18" t="s">
        <v>59</v>
      </c>
      <c r="E9" s="18" t="s">
        <v>60</v>
      </c>
      <c r="F9" s="18" t="s">
        <v>51</v>
      </c>
      <c r="G9" s="18" t="s">
        <v>30</v>
      </c>
      <c r="H9" s="18" t="s">
        <v>30</v>
      </c>
      <c r="I9" s="18" t="s">
        <v>31</v>
      </c>
      <c r="J9" s="18" t="s">
        <v>32</v>
      </c>
      <c r="K9" s="18" t="s">
        <v>33</v>
      </c>
      <c r="L9" s="5" t="s">
        <v>34</v>
      </c>
      <c r="M9" s="154">
        <v>11.16</v>
      </c>
      <c r="N9" s="5" t="s">
        <v>61</v>
      </c>
      <c r="O9" s="165">
        <v>5.5E-2</v>
      </c>
      <c r="P9" s="165">
        <v>4.3470000000000002E-2</v>
      </c>
      <c r="R9" s="154">
        <v>2051291</v>
      </c>
      <c r="S9" s="166">
        <v>1</v>
      </c>
      <c r="T9" s="168">
        <v>117</v>
      </c>
      <c r="U9" s="154">
        <v>2400.0100000000002</v>
      </c>
      <c r="W9" s="18" t="s">
        <v>36</v>
      </c>
      <c r="X9" s="165">
        <v>6.6000000000000005E-5</v>
      </c>
      <c r="Y9" s="165">
        <v>3.3801628952673697E-2</v>
      </c>
      <c r="Z9" s="165">
        <v>5.1980812820558902E-3</v>
      </c>
    </row>
    <row r="10" spans="1:26">
      <c r="A10" s="18">
        <v>1182</v>
      </c>
      <c r="B10" s="18">
        <v>1182</v>
      </c>
      <c r="C10" s="18" t="s">
        <v>37</v>
      </c>
      <c r="D10" s="18" t="s">
        <v>62</v>
      </c>
      <c r="E10" s="18" t="s">
        <v>63</v>
      </c>
      <c r="F10" s="18" t="s">
        <v>40</v>
      </c>
      <c r="G10" s="18" t="s">
        <v>30</v>
      </c>
      <c r="H10" s="18" t="s">
        <v>30</v>
      </c>
      <c r="I10" s="18" t="s">
        <v>31</v>
      </c>
      <c r="J10" s="18" t="s">
        <v>32</v>
      </c>
      <c r="K10" s="18" t="s">
        <v>33</v>
      </c>
      <c r="L10" s="5" t="s">
        <v>34</v>
      </c>
      <c r="M10" s="154">
        <v>3.621</v>
      </c>
      <c r="N10" s="5" t="s">
        <v>64</v>
      </c>
      <c r="O10" s="165">
        <v>5.0000000000000001E-3</v>
      </c>
      <c r="P10" s="165">
        <v>1.9359999999999999E-2</v>
      </c>
      <c r="R10" s="154">
        <v>5205357</v>
      </c>
      <c r="S10" s="166">
        <v>1</v>
      </c>
      <c r="T10" s="168">
        <v>113</v>
      </c>
      <c r="U10" s="154">
        <v>5882.0529999999999</v>
      </c>
      <c r="W10" s="18" t="s">
        <v>36</v>
      </c>
      <c r="X10" s="165">
        <v>1.7699999999999999E-4</v>
      </c>
      <c r="Y10" s="165">
        <v>8.2842549784638606E-2</v>
      </c>
      <c r="Z10" s="165">
        <v>1.2739690977503999E-2</v>
      </c>
    </row>
    <row r="11" spans="1:26">
      <c r="A11" s="18">
        <v>1182</v>
      </c>
      <c r="B11" s="18">
        <v>1182</v>
      </c>
      <c r="C11" s="18" t="s">
        <v>37</v>
      </c>
      <c r="D11" s="18" t="s">
        <v>65</v>
      </c>
      <c r="E11" s="18" t="s">
        <v>66</v>
      </c>
      <c r="F11" s="18" t="s">
        <v>40</v>
      </c>
      <c r="G11" s="18" t="s">
        <v>30</v>
      </c>
      <c r="H11" s="18" t="s">
        <v>30</v>
      </c>
      <c r="I11" s="18" t="s">
        <v>31</v>
      </c>
      <c r="J11" s="18" t="s">
        <v>32</v>
      </c>
      <c r="K11" s="18" t="s">
        <v>33</v>
      </c>
      <c r="L11" s="5" t="s">
        <v>34</v>
      </c>
      <c r="M11" s="154">
        <v>0.81599999999999995</v>
      </c>
      <c r="N11" s="5" t="s">
        <v>67</v>
      </c>
      <c r="O11" s="165">
        <v>1E-3</v>
      </c>
      <c r="P11" s="165">
        <v>2.7019999999999999E-2</v>
      </c>
      <c r="R11" s="154">
        <v>5857939</v>
      </c>
      <c r="S11" s="166">
        <v>1</v>
      </c>
      <c r="T11" s="168">
        <v>116.31</v>
      </c>
      <c r="U11" s="154">
        <v>6813.3689999999997</v>
      </c>
      <c r="W11" s="18" t="s">
        <v>36</v>
      </c>
      <c r="X11" s="165">
        <v>2.9E-4</v>
      </c>
      <c r="Y11" s="165">
        <v>9.5959150468133705E-2</v>
      </c>
      <c r="Z11" s="165">
        <v>1.47567877450159E-2</v>
      </c>
    </row>
    <row r="12" spans="1:26">
      <c r="A12" s="18">
        <v>1182</v>
      </c>
      <c r="B12" s="18">
        <v>1182</v>
      </c>
      <c r="C12" s="18" t="s">
        <v>37</v>
      </c>
      <c r="D12" s="18" t="s">
        <v>68</v>
      </c>
      <c r="E12" s="18" t="s">
        <v>69</v>
      </c>
      <c r="F12" s="18" t="s">
        <v>40</v>
      </c>
      <c r="G12" s="18" t="s">
        <v>30</v>
      </c>
      <c r="H12" s="18" t="s">
        <v>30</v>
      </c>
      <c r="I12" s="18" t="s">
        <v>31</v>
      </c>
      <c r="J12" s="18" t="s">
        <v>32</v>
      </c>
      <c r="K12" s="18" t="s">
        <v>33</v>
      </c>
      <c r="L12" s="5" t="s">
        <v>34</v>
      </c>
      <c r="M12" s="154">
        <v>3.0049999999999999</v>
      </c>
      <c r="N12" s="5" t="s">
        <v>70</v>
      </c>
      <c r="O12" s="165">
        <v>1.0999999999999999E-2</v>
      </c>
      <c r="P12" s="165">
        <v>1.9990000000000001E-2</v>
      </c>
      <c r="R12" s="154">
        <v>5437749</v>
      </c>
      <c r="S12" s="166">
        <v>1</v>
      </c>
      <c r="T12" s="168">
        <v>105.65</v>
      </c>
      <c r="U12" s="154">
        <v>5744.982</v>
      </c>
      <c r="W12" s="18" t="s">
        <v>36</v>
      </c>
      <c r="X12" s="165">
        <v>1.73E-4</v>
      </c>
      <c r="Y12" s="165">
        <v>8.0912040258221601E-2</v>
      </c>
      <c r="Z12" s="165">
        <v>1.24428134084333E-2</v>
      </c>
    </row>
    <row r="13" spans="1:26">
      <c r="A13" s="18">
        <v>1182</v>
      </c>
      <c r="B13" s="18">
        <v>1182</v>
      </c>
      <c r="C13" s="18" t="s">
        <v>37</v>
      </c>
      <c r="D13" s="18" t="s">
        <v>71</v>
      </c>
      <c r="E13" s="18" t="s">
        <v>72</v>
      </c>
      <c r="F13" s="18" t="s">
        <v>40</v>
      </c>
      <c r="G13" s="18" t="s">
        <v>30</v>
      </c>
      <c r="H13" s="18" t="s">
        <v>30</v>
      </c>
      <c r="I13" s="18" t="s">
        <v>31</v>
      </c>
      <c r="J13" s="18" t="s">
        <v>32</v>
      </c>
      <c r="K13" s="18" t="s">
        <v>33</v>
      </c>
      <c r="L13" s="5" t="s">
        <v>34</v>
      </c>
      <c r="M13" s="154">
        <v>7.5170000000000003</v>
      </c>
      <c r="N13" s="5" t="s">
        <v>73</v>
      </c>
      <c r="O13" s="165">
        <v>1.6E-2</v>
      </c>
      <c r="P13" s="165">
        <v>1.951E-2</v>
      </c>
      <c r="R13" s="154">
        <v>10773906</v>
      </c>
      <c r="S13" s="166">
        <v>1</v>
      </c>
      <c r="T13" s="168">
        <v>105.4</v>
      </c>
      <c r="U13" s="154">
        <v>11355.697</v>
      </c>
      <c r="W13" s="18" t="s">
        <v>36</v>
      </c>
      <c r="X13" s="165">
        <v>4.0700000000000003E-4</v>
      </c>
      <c r="Y13" s="165">
        <v>0.15993307476032201</v>
      </c>
      <c r="Z13" s="165">
        <v>2.45948242156394E-2</v>
      </c>
    </row>
    <row r="14" spans="1:26">
      <c r="A14" s="18">
        <v>1182</v>
      </c>
      <c r="B14" s="18">
        <v>1182</v>
      </c>
      <c r="C14" s="18" t="s">
        <v>48</v>
      </c>
      <c r="D14" s="18" t="s">
        <v>74</v>
      </c>
      <c r="E14" s="18" t="s">
        <v>75</v>
      </c>
      <c r="F14" s="18" t="s">
        <v>51</v>
      </c>
      <c r="G14" s="18" t="s">
        <v>30</v>
      </c>
      <c r="H14" s="18" t="s">
        <v>30</v>
      </c>
      <c r="I14" s="18" t="s">
        <v>31</v>
      </c>
      <c r="J14" s="18" t="s">
        <v>32</v>
      </c>
      <c r="K14" s="18" t="s">
        <v>33</v>
      </c>
      <c r="L14" s="5" t="s">
        <v>34</v>
      </c>
      <c r="M14" s="154">
        <v>10.542999999999999</v>
      </c>
      <c r="N14" s="5" t="s">
        <v>76</v>
      </c>
      <c r="O14" s="165">
        <v>1.4999999999999999E-2</v>
      </c>
      <c r="P14" s="165">
        <v>4.2119999999999998E-2</v>
      </c>
      <c r="R14" s="154">
        <v>1776570</v>
      </c>
      <c r="S14" s="166">
        <v>1</v>
      </c>
      <c r="T14" s="168">
        <v>75.94</v>
      </c>
      <c r="U14" s="154">
        <v>1349.127</v>
      </c>
      <c r="W14" s="18" t="s">
        <v>36</v>
      </c>
      <c r="X14" s="165">
        <v>4.5000000000000003E-5</v>
      </c>
      <c r="Y14" s="165">
        <v>1.9001041684978199E-2</v>
      </c>
      <c r="Z14" s="165">
        <v>2.9220177305814801E-3</v>
      </c>
    </row>
    <row r="15" spans="1:26">
      <c r="A15" s="18">
        <v>1182</v>
      </c>
      <c r="B15" s="18">
        <v>1182</v>
      </c>
      <c r="C15" s="18" t="s">
        <v>48</v>
      </c>
      <c r="D15" s="18" t="s">
        <v>77</v>
      </c>
      <c r="E15" s="18" t="s">
        <v>78</v>
      </c>
      <c r="F15" s="18" t="s">
        <v>51</v>
      </c>
      <c r="G15" s="18" t="s">
        <v>30</v>
      </c>
      <c r="H15" s="18" t="s">
        <v>30</v>
      </c>
      <c r="I15" s="18" t="s">
        <v>31</v>
      </c>
      <c r="J15" s="18" t="s">
        <v>32</v>
      </c>
      <c r="K15" s="18" t="s">
        <v>33</v>
      </c>
      <c r="L15" s="5" t="s">
        <v>34</v>
      </c>
      <c r="M15" s="154">
        <v>4.3780000000000001</v>
      </c>
      <c r="N15" s="5" t="s">
        <v>79</v>
      </c>
      <c r="O15" s="165">
        <v>0.01</v>
      </c>
      <c r="P15" s="165">
        <v>3.934E-2</v>
      </c>
      <c r="R15" s="154">
        <v>1617027</v>
      </c>
      <c r="S15" s="166">
        <v>1</v>
      </c>
      <c r="T15" s="168">
        <v>88.66</v>
      </c>
      <c r="U15" s="154">
        <v>1433.6559999999999</v>
      </c>
      <c r="W15" s="18" t="s">
        <v>36</v>
      </c>
      <c r="X15" s="165">
        <v>4.3000000000000002E-5</v>
      </c>
      <c r="Y15" s="165">
        <v>2.0191542259879999E-2</v>
      </c>
      <c r="Z15" s="165">
        <v>3.10509526105607E-3</v>
      </c>
    </row>
    <row r="16" spans="1:26">
      <c r="A16" s="18">
        <v>1182</v>
      </c>
      <c r="B16" s="18">
        <v>1182</v>
      </c>
      <c r="C16" s="18" t="s">
        <v>48</v>
      </c>
      <c r="D16" s="18" t="s">
        <v>80</v>
      </c>
      <c r="E16" s="18" t="s">
        <v>81</v>
      </c>
      <c r="F16" s="18" t="s">
        <v>51</v>
      </c>
      <c r="G16" s="18" t="s">
        <v>30</v>
      </c>
      <c r="H16" s="18" t="s">
        <v>30</v>
      </c>
      <c r="I16" s="18" t="s">
        <v>31</v>
      </c>
      <c r="J16" s="18" t="s">
        <v>32</v>
      </c>
      <c r="K16" s="18" t="s">
        <v>33</v>
      </c>
      <c r="L16" s="5" t="s">
        <v>34</v>
      </c>
      <c r="M16" s="154">
        <v>6.2750000000000004</v>
      </c>
      <c r="N16" s="5" t="s">
        <v>82</v>
      </c>
      <c r="O16" s="165">
        <v>1.2999999999999999E-2</v>
      </c>
      <c r="P16" s="165">
        <v>4.027E-2</v>
      </c>
      <c r="R16" s="154">
        <v>2919749</v>
      </c>
      <c r="S16" s="166">
        <v>1</v>
      </c>
      <c r="T16" s="168">
        <v>85.09</v>
      </c>
      <c r="U16" s="154">
        <v>2484.4140000000002</v>
      </c>
      <c r="W16" s="18" t="s">
        <v>36</v>
      </c>
      <c r="X16" s="165">
        <v>8.0000000000000007E-5</v>
      </c>
      <c r="Y16" s="165">
        <v>3.4990370074551601E-2</v>
      </c>
      <c r="Z16" s="165">
        <v>5.3808882403683297E-3</v>
      </c>
    </row>
    <row r="17" spans="1:26">
      <c r="A17" s="18">
        <v>1182</v>
      </c>
      <c r="B17" s="18">
        <v>1182</v>
      </c>
      <c r="C17" s="18" t="s">
        <v>26</v>
      </c>
      <c r="D17" s="18" t="s">
        <v>83</v>
      </c>
      <c r="E17" s="18" t="s">
        <v>84</v>
      </c>
      <c r="F17" s="18" t="s">
        <v>29</v>
      </c>
      <c r="G17" s="18" t="s">
        <v>30</v>
      </c>
      <c r="H17" s="18" t="s">
        <v>30</v>
      </c>
      <c r="I17" s="18" t="s">
        <v>31</v>
      </c>
      <c r="J17" s="18" t="s">
        <v>32</v>
      </c>
      <c r="K17" s="18" t="s">
        <v>33</v>
      </c>
      <c r="L17" s="5" t="s">
        <v>34</v>
      </c>
      <c r="M17" s="154">
        <v>0.33200000000000002</v>
      </c>
      <c r="N17" s="5" t="s">
        <v>85</v>
      </c>
      <c r="O17" s="165">
        <v>0</v>
      </c>
      <c r="P17" s="165">
        <v>4.3450000000000003E-2</v>
      </c>
      <c r="R17" s="154">
        <v>4568227</v>
      </c>
      <c r="S17" s="166">
        <v>1</v>
      </c>
      <c r="T17" s="168">
        <v>98.6</v>
      </c>
      <c r="U17" s="154">
        <v>4504.2719999999999</v>
      </c>
      <c r="W17" s="18" t="s">
        <v>36</v>
      </c>
      <c r="X17" s="165">
        <v>2.5399999999999999E-4</v>
      </c>
      <c r="Y17" s="165">
        <v>6.3437941930823E-2</v>
      </c>
      <c r="Z17" s="165">
        <v>9.7556120441549404E-3</v>
      </c>
    </row>
    <row r="18" spans="1:26">
      <c r="A18" s="18">
        <v>12904</v>
      </c>
      <c r="B18" s="18">
        <v>12905</v>
      </c>
      <c r="C18" s="18" t="s">
        <v>26</v>
      </c>
      <c r="D18" s="18" t="s">
        <v>27</v>
      </c>
      <c r="E18" s="18" t="s">
        <v>28</v>
      </c>
      <c r="F18" s="18" t="s">
        <v>29</v>
      </c>
      <c r="G18" s="18" t="s">
        <v>30</v>
      </c>
      <c r="H18" s="18" t="s">
        <v>30</v>
      </c>
      <c r="I18" s="18" t="s">
        <v>31</v>
      </c>
      <c r="J18" s="18" t="s">
        <v>32</v>
      </c>
      <c r="K18" s="18" t="s">
        <v>33</v>
      </c>
      <c r="L18" s="5" t="s">
        <v>34</v>
      </c>
      <c r="M18" s="154">
        <v>0.48499999999999999</v>
      </c>
      <c r="N18" s="5" t="s">
        <v>35</v>
      </c>
      <c r="O18" s="165">
        <v>0</v>
      </c>
      <c r="P18" s="165">
        <v>4.2540000000000001E-2</v>
      </c>
      <c r="R18" s="154">
        <v>62545</v>
      </c>
      <c r="S18" s="166">
        <v>1</v>
      </c>
      <c r="T18" s="168">
        <v>98</v>
      </c>
      <c r="U18" s="154">
        <v>61.293999999999997</v>
      </c>
      <c r="W18" s="18" t="s">
        <v>36</v>
      </c>
      <c r="X18" s="165">
        <v>3.0000000000000001E-6</v>
      </c>
      <c r="Y18" s="165">
        <v>8.4471204724887901E-3</v>
      </c>
      <c r="Z18" s="165">
        <v>1.2713908619372801E-3</v>
      </c>
    </row>
    <row r="19" spans="1:26">
      <c r="A19" s="18">
        <v>12904</v>
      </c>
      <c r="B19" s="18">
        <v>12905</v>
      </c>
      <c r="C19" s="18" t="s">
        <v>37</v>
      </c>
      <c r="D19" s="18" t="s">
        <v>42</v>
      </c>
      <c r="E19" s="18" t="s">
        <v>43</v>
      </c>
      <c r="F19" s="18" t="s">
        <v>40</v>
      </c>
      <c r="G19" s="18" t="s">
        <v>30</v>
      </c>
      <c r="H19" s="18" t="s">
        <v>30</v>
      </c>
      <c r="I19" s="18" t="s">
        <v>31</v>
      </c>
      <c r="J19" s="18" t="s">
        <v>32</v>
      </c>
      <c r="K19" s="18" t="s">
        <v>33</v>
      </c>
      <c r="L19" s="5" t="s">
        <v>34</v>
      </c>
      <c r="M19" s="154">
        <v>17.658000000000001</v>
      </c>
      <c r="N19" s="5" t="s">
        <v>44</v>
      </c>
      <c r="O19" s="165">
        <v>0.01</v>
      </c>
      <c r="P19" s="165">
        <v>2.0719999999999999E-2</v>
      </c>
      <c r="R19" s="154">
        <v>609170</v>
      </c>
      <c r="S19" s="166">
        <v>1</v>
      </c>
      <c r="T19" s="168">
        <v>99.57</v>
      </c>
      <c r="U19" s="154">
        <v>606.55100000000004</v>
      </c>
      <c r="W19" s="18" t="s">
        <v>36</v>
      </c>
      <c r="X19" s="165">
        <v>2.6999999999999999E-5</v>
      </c>
      <c r="Y19" s="165">
        <v>8.3590520604750307E-2</v>
      </c>
      <c r="Z19" s="165">
        <v>1.25813553136347E-2</v>
      </c>
    </row>
    <row r="20" spans="1:26">
      <c r="A20" s="5">
        <v>12904</v>
      </c>
      <c r="B20" s="5">
        <v>12905</v>
      </c>
      <c r="C20" s="5" t="s">
        <v>37</v>
      </c>
      <c r="D20" s="5" t="s">
        <v>45</v>
      </c>
      <c r="E20" s="5" t="s">
        <v>46</v>
      </c>
      <c r="F20" s="18" t="s">
        <v>40</v>
      </c>
      <c r="G20" s="18" t="s">
        <v>30</v>
      </c>
      <c r="H20" s="18" t="s">
        <v>30</v>
      </c>
      <c r="I20" s="18" t="s">
        <v>31</v>
      </c>
      <c r="J20" s="5" t="s">
        <v>32</v>
      </c>
      <c r="K20" s="18" t="s">
        <v>33</v>
      </c>
      <c r="L20" s="5" t="s">
        <v>34</v>
      </c>
      <c r="M20" s="154">
        <v>6.1310000000000002</v>
      </c>
      <c r="N20" s="5" t="s">
        <v>47</v>
      </c>
      <c r="O20" s="165">
        <v>1E-3</v>
      </c>
      <c r="P20" s="165">
        <v>1.9009999999999999E-2</v>
      </c>
      <c r="R20" s="154">
        <v>1656642</v>
      </c>
      <c r="S20" s="166">
        <v>1</v>
      </c>
      <c r="T20" s="168">
        <v>106.54</v>
      </c>
      <c r="U20" s="154">
        <v>1764.9860000000001</v>
      </c>
      <c r="W20" s="18" t="s">
        <v>36</v>
      </c>
      <c r="X20" s="165">
        <v>4.8000000000000001E-5</v>
      </c>
      <c r="Y20" s="165">
        <v>0.24323797301212199</v>
      </c>
      <c r="Z20" s="165">
        <v>3.6610172326883399E-2</v>
      </c>
    </row>
    <row r="21" spans="1:26" s="42" customFormat="1">
      <c r="A21" s="42">
        <v>12904</v>
      </c>
      <c r="B21" s="42">
        <v>12905</v>
      </c>
      <c r="C21" s="42" t="s">
        <v>37</v>
      </c>
      <c r="D21" s="42" t="s">
        <v>86</v>
      </c>
      <c r="E21" s="42" t="s">
        <v>87</v>
      </c>
      <c r="F21" s="42" t="s">
        <v>40</v>
      </c>
      <c r="G21" s="42" t="s">
        <v>30</v>
      </c>
      <c r="H21" s="42" t="s">
        <v>30</v>
      </c>
      <c r="I21" s="42" t="s">
        <v>31</v>
      </c>
      <c r="J21" s="42" t="s">
        <v>32</v>
      </c>
      <c r="K21" s="42" t="s">
        <v>33</v>
      </c>
      <c r="L21" s="28" t="s">
        <v>34</v>
      </c>
      <c r="M21" s="154">
        <v>5.282</v>
      </c>
      <c r="N21" s="42" t="s">
        <v>88</v>
      </c>
      <c r="O21" s="165">
        <v>0.02</v>
      </c>
      <c r="P21" s="165">
        <v>1.9970000000000002E-2</v>
      </c>
      <c r="R21" s="154">
        <v>97895</v>
      </c>
      <c r="S21" s="166">
        <v>1</v>
      </c>
      <c r="T21" s="168">
        <v>103.02</v>
      </c>
      <c r="U21" s="154">
        <v>100.851</v>
      </c>
      <c r="W21" s="42" t="s">
        <v>36</v>
      </c>
      <c r="X21" s="165">
        <v>1.4E-5</v>
      </c>
      <c r="Y21" s="165">
        <v>1.38986325043626E-2</v>
      </c>
      <c r="Z21" s="165">
        <v>2.09190746326182E-3</v>
      </c>
    </row>
    <row r="22" spans="1:26">
      <c r="A22" s="5">
        <v>12904</v>
      </c>
      <c r="B22" s="5">
        <v>12905</v>
      </c>
      <c r="C22" s="5" t="s">
        <v>48</v>
      </c>
      <c r="D22" s="5" t="s">
        <v>89</v>
      </c>
      <c r="E22" s="5" t="s">
        <v>90</v>
      </c>
      <c r="F22" s="5" t="s">
        <v>51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18" t="s">
        <v>34</v>
      </c>
      <c r="M22" s="154">
        <v>1.9470000000000001</v>
      </c>
      <c r="N22" s="5" t="s">
        <v>91</v>
      </c>
      <c r="O22" s="165">
        <v>3.7499999999999999E-2</v>
      </c>
      <c r="P22" s="165">
        <v>3.9849999999999997E-2</v>
      </c>
      <c r="R22" s="154">
        <v>151063</v>
      </c>
      <c r="S22" s="166">
        <v>1</v>
      </c>
      <c r="T22" s="168">
        <v>99.62</v>
      </c>
      <c r="U22" s="154">
        <v>150.489</v>
      </c>
      <c r="W22" s="5" t="s">
        <v>36</v>
      </c>
      <c r="X22" s="165">
        <v>3.9999999999999998E-6</v>
      </c>
      <c r="Y22" s="165">
        <v>2.0739326949377201E-2</v>
      </c>
      <c r="Z22" s="165">
        <v>3.1215123369015899E-3</v>
      </c>
    </row>
    <row r="23" spans="1:26">
      <c r="A23" s="5">
        <v>12904</v>
      </c>
      <c r="B23" s="5">
        <v>12905</v>
      </c>
      <c r="C23" s="5" t="s">
        <v>48</v>
      </c>
      <c r="D23" s="5" t="s">
        <v>49</v>
      </c>
      <c r="E23" s="5" t="s">
        <v>50</v>
      </c>
      <c r="F23" s="5" t="s">
        <v>51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18" t="s">
        <v>34</v>
      </c>
      <c r="M23" s="154">
        <v>1.462</v>
      </c>
      <c r="N23" s="5" t="s">
        <v>52</v>
      </c>
      <c r="O23" s="165">
        <v>0.02</v>
      </c>
      <c r="P23" s="165">
        <v>3.9870000000000003E-2</v>
      </c>
      <c r="R23" s="154">
        <v>32343</v>
      </c>
      <c r="S23" s="166">
        <v>1</v>
      </c>
      <c r="T23" s="168">
        <v>98.22</v>
      </c>
      <c r="U23" s="154">
        <v>31.766999999999999</v>
      </c>
      <c r="W23" s="5" t="s">
        <v>36</v>
      </c>
      <c r="X23" s="165">
        <v>9.9999999999999995E-7</v>
      </c>
      <c r="Y23" s="165">
        <v>4.3779444444284601E-3</v>
      </c>
      <c r="Z23" s="165">
        <v>6.5893206789739201E-4</v>
      </c>
    </row>
    <row r="24" spans="1:26">
      <c r="A24" s="5">
        <v>12904</v>
      </c>
      <c r="B24" s="5">
        <v>12905</v>
      </c>
      <c r="C24" s="5" t="s">
        <v>37</v>
      </c>
      <c r="D24" s="5" t="s">
        <v>56</v>
      </c>
      <c r="E24" s="5" t="s">
        <v>57</v>
      </c>
      <c r="F24" s="5" t="s">
        <v>40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18" t="s">
        <v>34</v>
      </c>
      <c r="M24" s="154">
        <v>8.9559999999999995</v>
      </c>
      <c r="N24" s="5" t="s">
        <v>58</v>
      </c>
      <c r="O24" s="165">
        <v>0.04</v>
      </c>
      <c r="P24" s="165">
        <v>1.9400000000000001E-2</v>
      </c>
      <c r="R24" s="154">
        <v>232156</v>
      </c>
      <c r="S24" s="166">
        <v>1</v>
      </c>
      <c r="T24" s="168">
        <v>170.85</v>
      </c>
      <c r="U24" s="154">
        <v>396.63900000000001</v>
      </c>
      <c r="W24" s="5" t="s">
        <v>36</v>
      </c>
      <c r="X24" s="165">
        <v>1.5E-5</v>
      </c>
      <c r="Y24" s="165">
        <v>5.4661923629719299E-2</v>
      </c>
      <c r="Z24" s="165">
        <v>8.2272616360901402E-3</v>
      </c>
    </row>
    <row r="25" spans="1:26">
      <c r="A25" s="5">
        <v>12904</v>
      </c>
      <c r="B25" s="5">
        <v>12905</v>
      </c>
      <c r="C25" s="5" t="s">
        <v>48</v>
      </c>
      <c r="D25" s="5" t="s">
        <v>59</v>
      </c>
      <c r="E25" s="5" t="s">
        <v>60</v>
      </c>
      <c r="F25" s="5" t="s">
        <v>51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18" t="s">
        <v>34</v>
      </c>
      <c r="M25" s="154">
        <v>11.16</v>
      </c>
      <c r="N25" s="5" t="s">
        <v>61</v>
      </c>
      <c r="O25" s="165">
        <v>5.5E-2</v>
      </c>
      <c r="P25" s="165">
        <v>4.3470000000000002E-2</v>
      </c>
      <c r="R25" s="154">
        <v>36400</v>
      </c>
      <c r="S25" s="166">
        <v>1</v>
      </c>
      <c r="T25" s="168">
        <v>117</v>
      </c>
      <c r="U25" s="154">
        <v>42.588000000000001</v>
      </c>
      <c r="W25" s="5" t="s">
        <v>36</v>
      </c>
      <c r="X25" s="165">
        <v>9.9999999999999995E-7</v>
      </c>
      <c r="Y25" s="165">
        <v>5.8691777297056802E-3</v>
      </c>
      <c r="Z25" s="165">
        <v>8.8338019529098197E-4</v>
      </c>
    </row>
    <row r="26" spans="1:26">
      <c r="A26" s="5">
        <v>12904</v>
      </c>
      <c r="B26" s="5">
        <v>12905</v>
      </c>
      <c r="C26" s="5" t="s">
        <v>92</v>
      </c>
      <c r="D26" s="5" t="s">
        <v>93</v>
      </c>
      <c r="E26" s="5" t="s">
        <v>94</v>
      </c>
      <c r="F26" s="5" t="s">
        <v>95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18" t="s">
        <v>34</v>
      </c>
      <c r="M26" s="154">
        <v>0.64200000000000002</v>
      </c>
      <c r="N26" s="5" t="s">
        <v>96</v>
      </c>
      <c r="O26" s="165">
        <v>4.3200000000000002E-2</v>
      </c>
      <c r="P26" s="165">
        <v>4.4479999999999999E-2</v>
      </c>
      <c r="R26" s="154">
        <v>330309</v>
      </c>
      <c r="S26" s="166">
        <v>1</v>
      </c>
      <c r="T26" s="168">
        <v>100.25</v>
      </c>
      <c r="U26" s="154">
        <v>331.13499999999999</v>
      </c>
      <c r="W26" s="5" t="s">
        <v>36</v>
      </c>
      <c r="X26" s="165">
        <v>1.5999999999999999E-5</v>
      </c>
      <c r="Y26" s="165">
        <v>4.5634658408193703E-2</v>
      </c>
      <c r="Z26" s="165">
        <v>6.8685521742905204E-3</v>
      </c>
    </row>
    <row r="27" spans="1:26">
      <c r="A27" s="5">
        <v>12904</v>
      </c>
      <c r="B27" s="5">
        <v>12905</v>
      </c>
      <c r="C27" s="5" t="s">
        <v>37</v>
      </c>
      <c r="D27" s="5" t="s">
        <v>62</v>
      </c>
      <c r="E27" s="5" t="s">
        <v>63</v>
      </c>
      <c r="F27" s="5" t="s">
        <v>40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54">
        <v>3.621</v>
      </c>
      <c r="N27" s="5" t="s">
        <v>64</v>
      </c>
      <c r="O27" s="165">
        <v>5.0000000000000001E-3</v>
      </c>
      <c r="P27" s="165">
        <v>1.9359999999999999E-2</v>
      </c>
      <c r="R27" s="154">
        <v>511658</v>
      </c>
      <c r="S27" s="166">
        <v>1</v>
      </c>
      <c r="T27" s="168">
        <v>113</v>
      </c>
      <c r="U27" s="154">
        <v>578.17399999999998</v>
      </c>
      <c r="W27" s="5" t="s">
        <v>36</v>
      </c>
      <c r="X27" s="165">
        <v>1.7E-5</v>
      </c>
      <c r="Y27" s="165">
        <v>7.9679798649222602E-2</v>
      </c>
      <c r="Z27" s="165">
        <v>1.1992745718918001E-2</v>
      </c>
    </row>
    <row r="28" spans="1:26">
      <c r="A28" s="5">
        <v>12904</v>
      </c>
      <c r="B28" s="5">
        <v>12905</v>
      </c>
      <c r="C28" s="5" t="s">
        <v>37</v>
      </c>
      <c r="D28" s="5" t="s">
        <v>65</v>
      </c>
      <c r="E28" s="5" t="s">
        <v>66</v>
      </c>
      <c r="F28" s="5" t="s">
        <v>40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54">
        <v>0.81599999999999995</v>
      </c>
      <c r="N28" s="5" t="s">
        <v>67</v>
      </c>
      <c r="O28" s="165">
        <v>1E-3</v>
      </c>
      <c r="P28" s="165">
        <v>2.7019999999999999E-2</v>
      </c>
      <c r="R28" s="154">
        <v>279189</v>
      </c>
      <c r="S28" s="166">
        <v>1</v>
      </c>
      <c r="T28" s="168">
        <v>116.31</v>
      </c>
      <c r="U28" s="154">
        <v>324.72500000000002</v>
      </c>
      <c r="W28" s="5" t="s">
        <v>36</v>
      </c>
      <c r="X28" s="165">
        <v>1.4E-5</v>
      </c>
      <c r="Y28" s="165">
        <v>4.4751271004439298E-2</v>
      </c>
      <c r="Z28" s="165">
        <v>6.7355919926118304E-3</v>
      </c>
    </row>
    <row r="29" spans="1:26">
      <c r="A29" s="5">
        <v>12904</v>
      </c>
      <c r="B29" s="5">
        <v>12905</v>
      </c>
      <c r="C29" s="5" t="s">
        <v>37</v>
      </c>
      <c r="D29" s="5" t="s">
        <v>68</v>
      </c>
      <c r="E29" s="5" t="s">
        <v>69</v>
      </c>
      <c r="F29" s="5" t="s">
        <v>40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54">
        <v>3.0049999999999999</v>
      </c>
      <c r="N29" s="5" t="s">
        <v>70</v>
      </c>
      <c r="O29" s="165">
        <v>1.0999999999999999E-2</v>
      </c>
      <c r="P29" s="165">
        <v>1.9990000000000001E-2</v>
      </c>
      <c r="R29" s="154">
        <v>1165925</v>
      </c>
      <c r="S29" s="166">
        <v>1</v>
      </c>
      <c r="T29" s="168">
        <v>105.65</v>
      </c>
      <c r="U29" s="154">
        <v>1231.8</v>
      </c>
      <c r="W29" s="5" t="s">
        <v>36</v>
      </c>
      <c r="X29" s="165">
        <v>3.6999999999999998E-5</v>
      </c>
      <c r="Y29" s="165">
        <v>0.16975795373160801</v>
      </c>
      <c r="Z29" s="165">
        <v>2.5550566233601801E-2</v>
      </c>
    </row>
    <row r="30" spans="1:26">
      <c r="A30" s="5">
        <v>12904</v>
      </c>
      <c r="B30" s="5">
        <v>12905</v>
      </c>
      <c r="C30" s="5" t="s">
        <v>37</v>
      </c>
      <c r="D30" s="5" t="s">
        <v>71</v>
      </c>
      <c r="E30" s="5" t="s">
        <v>72</v>
      </c>
      <c r="F30" s="5" t="s">
        <v>40</v>
      </c>
      <c r="G30" s="5" t="s">
        <v>30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54">
        <v>7.5170000000000003</v>
      </c>
      <c r="N30" s="5" t="s">
        <v>73</v>
      </c>
      <c r="O30" s="165">
        <v>1.6E-2</v>
      </c>
      <c r="P30" s="165">
        <v>1.951E-2</v>
      </c>
      <c r="R30" s="154">
        <v>1214113</v>
      </c>
      <c r="S30" s="166">
        <v>1</v>
      </c>
      <c r="T30" s="168">
        <v>105.4</v>
      </c>
      <c r="U30" s="154">
        <v>1279.675</v>
      </c>
      <c r="W30" s="5" t="s">
        <v>36</v>
      </c>
      <c r="X30" s="165">
        <v>4.6E-5</v>
      </c>
      <c r="Y30" s="165">
        <v>0.176355795292506</v>
      </c>
      <c r="Z30" s="165">
        <v>2.65436188953172E-2</v>
      </c>
    </row>
    <row r="31" spans="1:26">
      <c r="A31" s="5">
        <v>12904</v>
      </c>
      <c r="B31" s="5">
        <v>12905</v>
      </c>
      <c r="C31" s="5" t="s">
        <v>48</v>
      </c>
      <c r="D31" s="5" t="s">
        <v>74</v>
      </c>
      <c r="E31" s="5" t="s">
        <v>75</v>
      </c>
      <c r="F31" s="5" t="s">
        <v>51</v>
      </c>
      <c r="G31" s="5" t="s">
        <v>30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54">
        <v>10.542999999999999</v>
      </c>
      <c r="N31" s="5" t="s">
        <v>76</v>
      </c>
      <c r="O31" s="165">
        <v>1.4999999999999999E-2</v>
      </c>
      <c r="P31" s="165">
        <v>4.2119999999999998E-2</v>
      </c>
      <c r="R31" s="154">
        <v>161681</v>
      </c>
      <c r="S31" s="166">
        <v>1</v>
      </c>
      <c r="T31" s="168">
        <v>75.94</v>
      </c>
      <c r="U31" s="154">
        <v>122.78100000000001</v>
      </c>
      <c r="W31" s="5" t="s">
        <v>36</v>
      </c>
      <c r="X31" s="165">
        <v>3.9999999999999998E-6</v>
      </c>
      <c r="Y31" s="165">
        <v>1.6920749458013098E-2</v>
      </c>
      <c r="Z31" s="165">
        <v>2.5467715664897702E-3</v>
      </c>
    </row>
    <row r="32" spans="1:26">
      <c r="A32" s="5">
        <v>12904</v>
      </c>
      <c r="B32" s="5">
        <v>12905</v>
      </c>
      <c r="C32" s="5" t="s">
        <v>48</v>
      </c>
      <c r="D32" s="5" t="s">
        <v>80</v>
      </c>
      <c r="E32" s="5" t="s">
        <v>81</v>
      </c>
      <c r="F32" s="5" t="s">
        <v>51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54">
        <v>6.2750000000000004</v>
      </c>
      <c r="N32" s="5" t="s">
        <v>82</v>
      </c>
      <c r="O32" s="165">
        <v>1.2999999999999999E-2</v>
      </c>
      <c r="P32" s="165">
        <v>4.027E-2</v>
      </c>
      <c r="R32" s="154">
        <v>123403</v>
      </c>
      <c r="S32" s="166">
        <v>1</v>
      </c>
      <c r="T32" s="168">
        <v>85.09</v>
      </c>
      <c r="U32" s="154">
        <v>105.004</v>
      </c>
      <c r="W32" s="5" t="s">
        <v>36</v>
      </c>
      <c r="X32" s="165">
        <v>3.0000000000000001E-6</v>
      </c>
      <c r="Y32" s="165">
        <v>1.4470857170974899E-2</v>
      </c>
      <c r="Z32" s="165">
        <v>2.1780339976797398E-3</v>
      </c>
    </row>
    <row r="33" spans="1:26">
      <c r="A33" s="5">
        <v>12904</v>
      </c>
      <c r="B33" s="5">
        <v>12905</v>
      </c>
      <c r="C33" s="5" t="s">
        <v>26</v>
      </c>
      <c r="D33" s="5" t="s">
        <v>83</v>
      </c>
      <c r="E33" s="5" t="s">
        <v>84</v>
      </c>
      <c r="F33" s="5" t="s">
        <v>29</v>
      </c>
      <c r="G33" s="5" t="s">
        <v>30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54">
        <v>0.33200000000000002</v>
      </c>
      <c r="N33" s="5" t="s">
        <v>85</v>
      </c>
      <c r="O33" s="165">
        <v>0</v>
      </c>
      <c r="P33" s="165">
        <v>4.3450000000000003E-2</v>
      </c>
      <c r="R33" s="154">
        <v>104156</v>
      </c>
      <c r="S33" s="166">
        <v>1</v>
      </c>
      <c r="T33" s="168">
        <v>98.6</v>
      </c>
      <c r="U33" s="154">
        <v>102.69799999999999</v>
      </c>
      <c r="W33" s="5" t="s">
        <v>36</v>
      </c>
      <c r="X33" s="165">
        <v>6.0000000000000002E-6</v>
      </c>
      <c r="Y33" s="165">
        <v>1.41530885356582E-2</v>
      </c>
      <c r="Z33" s="165">
        <v>2.13020608514223E-3</v>
      </c>
    </row>
    <row r="34" spans="1:26">
      <c r="A34" s="5">
        <v>12904</v>
      </c>
      <c r="B34" s="5">
        <v>12905</v>
      </c>
      <c r="C34" s="5" t="s">
        <v>26</v>
      </c>
      <c r="D34" s="5" t="s">
        <v>97</v>
      </c>
      <c r="E34" s="5" t="s">
        <v>98</v>
      </c>
      <c r="F34" s="5" t="s">
        <v>29</v>
      </c>
      <c r="G34" s="5" t="s">
        <v>30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54">
        <v>0.83</v>
      </c>
      <c r="N34" s="5" t="s">
        <v>99</v>
      </c>
      <c r="O34" s="165">
        <v>0</v>
      </c>
      <c r="P34" s="165">
        <v>4.138E-2</v>
      </c>
      <c r="R34" s="154">
        <v>25915</v>
      </c>
      <c r="S34" s="166">
        <v>1</v>
      </c>
      <c r="T34" s="168">
        <v>96.69</v>
      </c>
      <c r="U34" s="154">
        <v>25.056999999999999</v>
      </c>
      <c r="W34" s="5" t="s">
        <v>36</v>
      </c>
      <c r="X34" s="165">
        <v>9.9999999999999995E-7</v>
      </c>
      <c r="Y34" s="165">
        <v>3.4532084024298001E-3</v>
      </c>
      <c r="Z34" s="165">
        <v>5.1974843042823797E-4</v>
      </c>
    </row>
    <row r="35" spans="1:26">
      <c r="A35" s="5">
        <v>424</v>
      </c>
      <c r="B35" s="5">
        <v>7228</v>
      </c>
      <c r="C35" s="5" t="s">
        <v>37</v>
      </c>
      <c r="D35" s="5" t="s">
        <v>42</v>
      </c>
      <c r="E35" s="5" t="s">
        <v>43</v>
      </c>
      <c r="F35" s="5" t="s">
        <v>40</v>
      </c>
      <c r="G35" s="5" t="s">
        <v>30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154">
        <v>17.658000000000001</v>
      </c>
      <c r="N35" s="5" t="s">
        <v>44</v>
      </c>
      <c r="O35" s="165">
        <v>0.01</v>
      </c>
      <c r="P35" s="165">
        <v>2.0719999999999999E-2</v>
      </c>
      <c r="R35" s="154">
        <v>47140437</v>
      </c>
      <c r="S35" s="166">
        <v>1</v>
      </c>
      <c r="T35" s="168">
        <v>99.57</v>
      </c>
      <c r="U35" s="154">
        <v>46937.733</v>
      </c>
      <c r="W35" s="5" t="s">
        <v>36</v>
      </c>
      <c r="X35" s="165">
        <v>2.065E-3</v>
      </c>
      <c r="Y35" s="165">
        <v>0.13686304501812399</v>
      </c>
      <c r="Z35" s="165">
        <v>1.8367600591907399E-2</v>
      </c>
    </row>
    <row r="36" spans="1:26">
      <c r="A36" s="5">
        <v>424</v>
      </c>
      <c r="B36" s="5">
        <v>7228</v>
      </c>
      <c r="C36" s="5" t="s">
        <v>37</v>
      </c>
      <c r="D36" s="5" t="s">
        <v>100</v>
      </c>
      <c r="E36" s="5" t="s">
        <v>101</v>
      </c>
      <c r="F36" s="5" t="s">
        <v>40</v>
      </c>
      <c r="G36" s="5" t="s">
        <v>30</v>
      </c>
      <c r="H36" s="5" t="s">
        <v>30</v>
      </c>
      <c r="I36" s="5" t="s">
        <v>31</v>
      </c>
      <c r="J36" s="5" t="s">
        <v>32</v>
      </c>
      <c r="K36" s="5" t="s">
        <v>33</v>
      </c>
      <c r="L36" s="5" t="s">
        <v>34</v>
      </c>
      <c r="M36" s="154">
        <v>6.8000000000000005E-2</v>
      </c>
      <c r="N36" s="5" t="s">
        <v>102</v>
      </c>
      <c r="O36" s="165">
        <v>7.4999999999999997E-3</v>
      </c>
      <c r="P36" s="165">
        <v>0.10764</v>
      </c>
      <c r="R36" s="154">
        <v>3645174</v>
      </c>
      <c r="S36" s="166">
        <v>1</v>
      </c>
      <c r="T36" s="168">
        <v>119.27</v>
      </c>
      <c r="U36" s="154">
        <v>4347.5990000000002</v>
      </c>
      <c r="W36" s="5" t="s">
        <v>36</v>
      </c>
      <c r="X36" s="165">
        <v>3.3E-4</v>
      </c>
      <c r="Y36" s="165">
        <v>1.2676914758615E-2</v>
      </c>
      <c r="Z36" s="165">
        <v>1.70129567841387E-3</v>
      </c>
    </row>
    <row r="37" spans="1:26">
      <c r="A37" s="5">
        <v>424</v>
      </c>
      <c r="B37" s="5">
        <v>7228</v>
      </c>
      <c r="C37" s="5" t="s">
        <v>37</v>
      </c>
      <c r="D37" s="5" t="s">
        <v>45</v>
      </c>
      <c r="E37" s="5" t="s">
        <v>46</v>
      </c>
      <c r="F37" s="5" t="s">
        <v>40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54">
        <v>6.1310000000000002</v>
      </c>
      <c r="N37" s="5" t="s">
        <v>47</v>
      </c>
      <c r="O37" s="165">
        <v>1E-3</v>
      </c>
      <c r="P37" s="165">
        <v>1.9009999999999999E-2</v>
      </c>
      <c r="R37" s="154">
        <v>51843928</v>
      </c>
      <c r="S37" s="166">
        <v>1</v>
      </c>
      <c r="T37" s="168">
        <v>106.54</v>
      </c>
      <c r="U37" s="154">
        <v>55234.521000000001</v>
      </c>
      <c r="W37" s="5" t="s">
        <v>36</v>
      </c>
      <c r="X37" s="165">
        <v>1.5150000000000001E-3</v>
      </c>
      <c r="Y37" s="165">
        <v>0.16105517281406101</v>
      </c>
      <c r="Z37" s="165">
        <v>2.16142866550833E-2</v>
      </c>
    </row>
    <row r="38" spans="1:26">
      <c r="A38" s="5">
        <v>424</v>
      </c>
      <c r="B38" s="5">
        <v>7228</v>
      </c>
      <c r="C38" s="5" t="s">
        <v>48</v>
      </c>
      <c r="D38" s="5" t="s">
        <v>49</v>
      </c>
      <c r="E38" s="5" t="s">
        <v>50</v>
      </c>
      <c r="F38" s="5" t="s">
        <v>51</v>
      </c>
      <c r="G38" s="5" t="s">
        <v>30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154">
        <v>1.462</v>
      </c>
      <c r="N38" s="5" t="s">
        <v>52</v>
      </c>
      <c r="O38" s="165">
        <v>0.02</v>
      </c>
      <c r="P38" s="165">
        <v>3.9870000000000003E-2</v>
      </c>
      <c r="R38" s="154">
        <v>4286562</v>
      </c>
      <c r="S38" s="166">
        <v>1</v>
      </c>
      <c r="T38" s="168">
        <v>98.22</v>
      </c>
      <c r="U38" s="154">
        <v>4210.2610000000004</v>
      </c>
      <c r="W38" s="5" t="s">
        <v>36</v>
      </c>
      <c r="X38" s="165">
        <v>1.5200000000000001E-4</v>
      </c>
      <c r="Y38" s="165">
        <v>1.2276459243924899E-2</v>
      </c>
      <c r="Z38" s="165">
        <v>1.64755285143175E-3</v>
      </c>
    </row>
    <row r="39" spans="1:26">
      <c r="A39" s="5">
        <v>424</v>
      </c>
      <c r="B39" s="5">
        <v>7228</v>
      </c>
      <c r="C39" s="5" t="s">
        <v>48</v>
      </c>
      <c r="D39" s="5" t="s">
        <v>103</v>
      </c>
      <c r="E39" s="5" t="s">
        <v>104</v>
      </c>
      <c r="F39" s="5" t="s">
        <v>51</v>
      </c>
      <c r="G39" s="5" t="s">
        <v>30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154">
        <v>7.9119999999999999</v>
      </c>
      <c r="N39" s="5" t="s">
        <v>105</v>
      </c>
      <c r="O39" s="165">
        <v>0.04</v>
      </c>
      <c r="P39" s="165">
        <v>4.104E-2</v>
      </c>
      <c r="R39" s="154">
        <v>5009607</v>
      </c>
      <c r="S39" s="166">
        <v>1</v>
      </c>
      <c r="T39" s="168">
        <v>101.25</v>
      </c>
      <c r="U39" s="154">
        <v>5072.2269999999999</v>
      </c>
      <c r="W39" s="5" t="s">
        <v>36</v>
      </c>
      <c r="X39" s="165">
        <v>1.4100000000000001E-4</v>
      </c>
      <c r="Y39" s="165">
        <v>1.47898161683814E-2</v>
      </c>
      <c r="Z39" s="165">
        <v>1.98485600092115E-3</v>
      </c>
    </row>
    <row r="40" spans="1:26">
      <c r="A40" s="5">
        <v>424</v>
      </c>
      <c r="B40" s="5">
        <v>7228</v>
      </c>
      <c r="C40" s="5" t="s">
        <v>48</v>
      </c>
      <c r="D40" s="5" t="s">
        <v>106</v>
      </c>
      <c r="E40" s="5" t="s">
        <v>107</v>
      </c>
      <c r="F40" s="5" t="s">
        <v>51</v>
      </c>
      <c r="G40" s="5" t="s">
        <v>30</v>
      </c>
      <c r="H40" s="5" t="s">
        <v>30</v>
      </c>
      <c r="I40" s="5" t="s">
        <v>31</v>
      </c>
      <c r="J40" s="5" t="s">
        <v>32</v>
      </c>
      <c r="K40" s="5" t="s">
        <v>33</v>
      </c>
      <c r="L40" s="5" t="s">
        <v>34</v>
      </c>
      <c r="M40" s="154">
        <v>14.433999999999999</v>
      </c>
      <c r="N40" s="5" t="s">
        <v>108</v>
      </c>
      <c r="O40" s="165">
        <v>3.7499999999999999E-2</v>
      </c>
      <c r="P40" s="165">
        <v>4.4900000000000002E-2</v>
      </c>
      <c r="R40" s="154">
        <v>17785914</v>
      </c>
      <c r="S40" s="166">
        <v>1</v>
      </c>
      <c r="T40" s="168">
        <v>91.85</v>
      </c>
      <c r="U40" s="154">
        <v>16336.361999999999</v>
      </c>
      <c r="W40" s="5" t="s">
        <v>36</v>
      </c>
      <c r="X40" s="165">
        <v>6.78E-4</v>
      </c>
      <c r="Y40" s="165">
        <v>4.7634261401400799E-2</v>
      </c>
      <c r="Z40" s="165">
        <v>6.39271972792641E-3</v>
      </c>
    </row>
    <row r="41" spans="1:26">
      <c r="A41" s="5">
        <v>424</v>
      </c>
      <c r="B41" s="5">
        <v>7228</v>
      </c>
      <c r="C41" s="5" t="s">
        <v>37</v>
      </c>
      <c r="D41" s="5" t="s">
        <v>53</v>
      </c>
      <c r="E41" s="5" t="s">
        <v>54</v>
      </c>
      <c r="F41" s="5" t="s">
        <v>40</v>
      </c>
      <c r="G41" s="5" t="s">
        <v>30</v>
      </c>
      <c r="H41" s="5" t="s">
        <v>30</v>
      </c>
      <c r="I41" s="5" t="s">
        <v>31</v>
      </c>
      <c r="J41" s="5" t="s">
        <v>32</v>
      </c>
      <c r="K41" s="5" t="s">
        <v>33</v>
      </c>
      <c r="L41" s="5" t="s">
        <v>34</v>
      </c>
      <c r="M41" s="154">
        <v>13.218999999999999</v>
      </c>
      <c r="N41" s="5" t="s">
        <v>55</v>
      </c>
      <c r="O41" s="165">
        <v>2.75E-2</v>
      </c>
      <c r="P41" s="165">
        <v>2.019E-2</v>
      </c>
      <c r="R41" s="154">
        <v>10071754</v>
      </c>
      <c r="S41" s="166">
        <v>1</v>
      </c>
      <c r="T41" s="168">
        <v>139.93</v>
      </c>
      <c r="U41" s="154">
        <v>14093.405000000001</v>
      </c>
      <c r="W41" s="5" t="s">
        <v>36</v>
      </c>
      <c r="X41" s="165">
        <v>4.9899999999999999E-4</v>
      </c>
      <c r="Y41" s="165">
        <v>4.1094152735194803E-2</v>
      </c>
      <c r="Z41" s="165">
        <v>5.5150094315302199E-3</v>
      </c>
    </row>
    <row r="42" spans="1:26">
      <c r="A42" s="5">
        <v>424</v>
      </c>
      <c r="B42" s="5">
        <v>7228</v>
      </c>
      <c r="C42" s="5" t="s">
        <v>37</v>
      </c>
      <c r="D42" s="5" t="s">
        <v>56</v>
      </c>
      <c r="E42" s="5" t="s">
        <v>57</v>
      </c>
      <c r="F42" s="5" t="s">
        <v>40</v>
      </c>
      <c r="G42" s="5" t="s">
        <v>30</v>
      </c>
      <c r="H42" s="5" t="s">
        <v>30</v>
      </c>
      <c r="I42" s="5" t="s">
        <v>31</v>
      </c>
      <c r="J42" s="5" t="s">
        <v>32</v>
      </c>
      <c r="K42" s="5" t="s">
        <v>33</v>
      </c>
      <c r="L42" s="5" t="s">
        <v>34</v>
      </c>
      <c r="M42" s="154">
        <v>8.9559999999999995</v>
      </c>
      <c r="N42" s="5" t="s">
        <v>58</v>
      </c>
      <c r="O42" s="165">
        <v>0.04</v>
      </c>
      <c r="P42" s="165">
        <v>1.9400000000000001E-2</v>
      </c>
      <c r="R42" s="154">
        <v>2823111</v>
      </c>
      <c r="S42" s="166">
        <v>1</v>
      </c>
      <c r="T42" s="168">
        <v>170.85</v>
      </c>
      <c r="U42" s="154">
        <v>4823.2849999999999</v>
      </c>
      <c r="W42" s="5" t="s">
        <v>36</v>
      </c>
      <c r="X42" s="165">
        <v>1.7699999999999999E-4</v>
      </c>
      <c r="Y42" s="165">
        <v>1.4063940625972699E-2</v>
      </c>
      <c r="Z42" s="165">
        <v>1.8874404272676999E-3</v>
      </c>
    </row>
    <row r="43" spans="1:26">
      <c r="A43" s="5">
        <v>424</v>
      </c>
      <c r="B43" s="5">
        <v>7228</v>
      </c>
      <c r="C43" s="5" t="s">
        <v>48</v>
      </c>
      <c r="D43" s="5" t="s">
        <v>59</v>
      </c>
      <c r="E43" s="5" t="s">
        <v>60</v>
      </c>
      <c r="F43" s="5" t="s">
        <v>51</v>
      </c>
      <c r="G43" s="5" t="s">
        <v>30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154">
        <v>11.16</v>
      </c>
      <c r="N43" s="5" t="s">
        <v>61</v>
      </c>
      <c r="O43" s="165">
        <v>5.5E-2</v>
      </c>
      <c r="P43" s="165">
        <v>4.3470000000000002E-2</v>
      </c>
      <c r="R43" s="154">
        <v>1794526</v>
      </c>
      <c r="S43" s="166">
        <v>1</v>
      </c>
      <c r="T43" s="168">
        <v>117</v>
      </c>
      <c r="U43" s="154">
        <v>2099.5949999999998</v>
      </c>
      <c r="W43" s="5" t="s">
        <v>36</v>
      </c>
      <c r="X43" s="165">
        <v>5.8E-5</v>
      </c>
      <c r="Y43" s="165">
        <v>6.1220899131866104E-3</v>
      </c>
      <c r="Z43" s="165">
        <v>8.2161040840692998E-4</v>
      </c>
    </row>
    <row r="44" spans="1:26">
      <c r="A44" s="5">
        <v>424</v>
      </c>
      <c r="B44" s="5">
        <v>7228</v>
      </c>
      <c r="C44" s="5" t="s">
        <v>37</v>
      </c>
      <c r="D44" s="5" t="s">
        <v>62</v>
      </c>
      <c r="E44" s="5" t="s">
        <v>63</v>
      </c>
      <c r="F44" s="5" t="s">
        <v>40</v>
      </c>
      <c r="G44" s="5" t="s">
        <v>30</v>
      </c>
      <c r="H44" s="5" t="s">
        <v>30</v>
      </c>
      <c r="I44" s="5" t="s">
        <v>31</v>
      </c>
      <c r="J44" s="5" t="s">
        <v>32</v>
      </c>
      <c r="K44" s="5" t="s">
        <v>33</v>
      </c>
      <c r="L44" s="5" t="s">
        <v>34</v>
      </c>
      <c r="M44" s="154">
        <v>3.621</v>
      </c>
      <c r="N44" s="5" t="s">
        <v>64</v>
      </c>
      <c r="O44" s="165">
        <v>5.0000000000000001E-3</v>
      </c>
      <c r="P44" s="165">
        <v>1.9359999999999999E-2</v>
      </c>
      <c r="R44" s="154">
        <v>27120245</v>
      </c>
      <c r="S44" s="166">
        <v>1</v>
      </c>
      <c r="T44" s="168">
        <v>113</v>
      </c>
      <c r="U44" s="154">
        <v>30645.877</v>
      </c>
      <c r="W44" s="5" t="s">
        <v>36</v>
      </c>
      <c r="X44" s="165">
        <v>9.2100000000000005E-4</v>
      </c>
      <c r="Y44" s="165">
        <v>8.9358555346888704E-2</v>
      </c>
      <c r="Z44" s="165">
        <v>1.19922967800706E-2</v>
      </c>
    </row>
    <row r="45" spans="1:26">
      <c r="A45" s="5">
        <v>424</v>
      </c>
      <c r="B45" s="5">
        <v>7228</v>
      </c>
      <c r="C45" s="5" t="s">
        <v>37</v>
      </c>
      <c r="D45" s="5" t="s">
        <v>65</v>
      </c>
      <c r="E45" s="5" t="s">
        <v>66</v>
      </c>
      <c r="F45" s="5" t="s">
        <v>40</v>
      </c>
      <c r="G45" s="5" t="s">
        <v>30</v>
      </c>
      <c r="H45" s="5" t="s">
        <v>30</v>
      </c>
      <c r="I45" s="5" t="s">
        <v>31</v>
      </c>
      <c r="J45" s="5" t="s">
        <v>32</v>
      </c>
      <c r="K45" s="5" t="s">
        <v>33</v>
      </c>
      <c r="L45" s="5" t="s">
        <v>34</v>
      </c>
      <c r="M45" s="154">
        <v>0.81599999999999995</v>
      </c>
      <c r="N45" s="5" t="s">
        <v>67</v>
      </c>
      <c r="O45" s="165">
        <v>1E-3</v>
      </c>
      <c r="P45" s="165">
        <v>2.7019999999999999E-2</v>
      </c>
      <c r="R45" s="154">
        <v>26880802</v>
      </c>
      <c r="S45" s="166">
        <v>1</v>
      </c>
      <c r="T45" s="168">
        <v>116.31</v>
      </c>
      <c r="U45" s="154">
        <v>31265.061000000002</v>
      </c>
      <c r="W45" s="5" t="s">
        <v>36</v>
      </c>
      <c r="X45" s="165">
        <v>1.33E-3</v>
      </c>
      <c r="Y45" s="165">
        <v>9.1163998346311406E-2</v>
      </c>
      <c r="Z45" s="165">
        <v>1.22345948810697E-2</v>
      </c>
    </row>
    <row r="46" spans="1:26">
      <c r="A46" s="5">
        <v>424</v>
      </c>
      <c r="B46" s="5">
        <v>7228</v>
      </c>
      <c r="C46" s="5" t="s">
        <v>37</v>
      </c>
      <c r="D46" s="5" t="s">
        <v>68</v>
      </c>
      <c r="E46" s="5" t="s">
        <v>69</v>
      </c>
      <c r="F46" s="5" t="s">
        <v>40</v>
      </c>
      <c r="G46" s="5" t="s">
        <v>30</v>
      </c>
      <c r="H46" s="5" t="s">
        <v>30</v>
      </c>
      <c r="I46" s="5" t="s">
        <v>31</v>
      </c>
      <c r="J46" s="5" t="s">
        <v>32</v>
      </c>
      <c r="K46" s="5" t="s">
        <v>33</v>
      </c>
      <c r="L46" s="5" t="s">
        <v>34</v>
      </c>
      <c r="M46" s="154">
        <v>3.0049999999999999</v>
      </c>
      <c r="N46" s="5" t="s">
        <v>70</v>
      </c>
      <c r="O46" s="165">
        <v>1.0999999999999999E-2</v>
      </c>
      <c r="P46" s="165">
        <v>1.9990000000000001E-2</v>
      </c>
      <c r="R46" s="154">
        <v>44355169</v>
      </c>
      <c r="S46" s="166">
        <v>1</v>
      </c>
      <c r="T46" s="168">
        <v>105.65</v>
      </c>
      <c r="U46" s="154">
        <v>46861.235999999997</v>
      </c>
      <c r="W46" s="5" t="s">
        <v>36</v>
      </c>
      <c r="X46" s="165">
        <v>1.4139999999999999E-3</v>
      </c>
      <c r="Y46" s="165">
        <v>0.13663999159036999</v>
      </c>
      <c r="Z46" s="165">
        <v>1.83376658767248E-2</v>
      </c>
    </row>
    <row r="47" spans="1:26">
      <c r="A47" s="5">
        <v>424</v>
      </c>
      <c r="B47" s="5">
        <v>7228</v>
      </c>
      <c r="C47" s="5" t="s">
        <v>37</v>
      </c>
      <c r="D47" s="5" t="s">
        <v>71</v>
      </c>
      <c r="E47" s="5" t="s">
        <v>72</v>
      </c>
      <c r="F47" s="5" t="s">
        <v>40</v>
      </c>
      <c r="G47" s="5" t="s">
        <v>30</v>
      </c>
      <c r="H47" s="5" t="s">
        <v>30</v>
      </c>
      <c r="I47" s="5" t="s">
        <v>31</v>
      </c>
      <c r="J47" s="5" t="s">
        <v>32</v>
      </c>
      <c r="K47" s="5" t="s">
        <v>33</v>
      </c>
      <c r="L47" s="5" t="s">
        <v>34</v>
      </c>
      <c r="M47" s="154">
        <v>7.5170000000000003</v>
      </c>
      <c r="N47" s="5" t="s">
        <v>73</v>
      </c>
      <c r="O47" s="165">
        <v>1.6E-2</v>
      </c>
      <c r="P47" s="165">
        <v>1.951E-2</v>
      </c>
      <c r="R47" s="154">
        <v>44829728</v>
      </c>
      <c r="S47" s="166">
        <v>1</v>
      </c>
      <c r="T47" s="168">
        <v>105.4</v>
      </c>
      <c r="U47" s="154">
        <v>47250.533000000003</v>
      </c>
      <c r="W47" s="5" t="s">
        <v>36</v>
      </c>
      <c r="X47" s="165">
        <v>1.6949999999999999E-3</v>
      </c>
      <c r="Y47" s="165">
        <v>0.13777512116219201</v>
      </c>
      <c r="Z47" s="165">
        <v>1.8490005075319501E-2</v>
      </c>
    </row>
    <row r="48" spans="1:26">
      <c r="A48" s="5">
        <v>424</v>
      </c>
      <c r="B48" s="5">
        <v>7228</v>
      </c>
      <c r="C48" s="5" t="s">
        <v>48</v>
      </c>
      <c r="D48" s="5" t="s">
        <v>74</v>
      </c>
      <c r="E48" s="5" t="s">
        <v>75</v>
      </c>
      <c r="F48" s="5" t="s">
        <v>51</v>
      </c>
      <c r="G48" s="5" t="s">
        <v>30</v>
      </c>
      <c r="H48" s="5" t="s">
        <v>30</v>
      </c>
      <c r="I48" s="5" t="s">
        <v>31</v>
      </c>
      <c r="J48" s="5" t="s">
        <v>32</v>
      </c>
      <c r="K48" s="5" t="s">
        <v>33</v>
      </c>
      <c r="L48" s="5" t="s">
        <v>34</v>
      </c>
      <c r="M48" s="154">
        <v>10.542999999999999</v>
      </c>
      <c r="N48" s="5" t="s">
        <v>76</v>
      </c>
      <c r="O48" s="165">
        <v>1.4999999999999999E-2</v>
      </c>
      <c r="P48" s="165">
        <v>4.2119999999999998E-2</v>
      </c>
      <c r="R48" s="154">
        <v>8100000</v>
      </c>
      <c r="S48" s="166">
        <v>1</v>
      </c>
      <c r="T48" s="168">
        <v>75.94</v>
      </c>
      <c r="U48" s="154">
        <v>6151.14</v>
      </c>
      <c r="W48" s="5" t="s">
        <v>36</v>
      </c>
      <c r="X48" s="165">
        <v>2.0699999999999999E-4</v>
      </c>
      <c r="Y48" s="165">
        <v>1.7935756474739599E-2</v>
      </c>
      <c r="Z48" s="165">
        <v>2.4070545208029698E-3</v>
      </c>
    </row>
    <row r="49" spans="1:26">
      <c r="A49" s="5">
        <v>424</v>
      </c>
      <c r="B49" s="5">
        <v>7228</v>
      </c>
      <c r="C49" s="5" t="s">
        <v>48</v>
      </c>
      <c r="D49" s="5" t="s">
        <v>77</v>
      </c>
      <c r="E49" s="5" t="s">
        <v>78</v>
      </c>
      <c r="F49" s="5" t="s">
        <v>51</v>
      </c>
      <c r="G49" s="5" t="s">
        <v>30</v>
      </c>
      <c r="H49" s="5" t="s">
        <v>30</v>
      </c>
      <c r="I49" s="5" t="s">
        <v>31</v>
      </c>
      <c r="J49" s="5" t="s">
        <v>32</v>
      </c>
      <c r="K49" s="5" t="s">
        <v>33</v>
      </c>
      <c r="L49" s="5" t="s">
        <v>34</v>
      </c>
      <c r="M49" s="154">
        <v>4.3780000000000001</v>
      </c>
      <c r="N49" s="5" t="s">
        <v>79</v>
      </c>
      <c r="O49" s="165">
        <v>0.01</v>
      </c>
      <c r="P49" s="165">
        <v>3.934E-2</v>
      </c>
      <c r="R49" s="154">
        <v>8085407</v>
      </c>
      <c r="S49" s="166">
        <v>1</v>
      </c>
      <c r="T49" s="168">
        <v>88.66</v>
      </c>
      <c r="U49" s="154">
        <v>7168.5219999999999</v>
      </c>
      <c r="W49" s="5" t="s">
        <v>36</v>
      </c>
      <c r="X49" s="165">
        <v>2.14E-4</v>
      </c>
      <c r="Y49" s="165">
        <v>2.0902281872513698E-2</v>
      </c>
      <c r="Z49" s="165">
        <v>2.80517479969088E-3</v>
      </c>
    </row>
    <row r="50" spans="1:26">
      <c r="A50" s="5">
        <v>424</v>
      </c>
      <c r="B50" s="5">
        <v>7228</v>
      </c>
      <c r="C50" s="5" t="s">
        <v>48</v>
      </c>
      <c r="D50" s="5" t="s">
        <v>80</v>
      </c>
      <c r="E50" s="5" t="s">
        <v>81</v>
      </c>
      <c r="F50" s="5" t="s">
        <v>51</v>
      </c>
      <c r="G50" s="5" t="s">
        <v>30</v>
      </c>
      <c r="H50" s="5" t="s">
        <v>30</v>
      </c>
      <c r="I50" s="5" t="s">
        <v>31</v>
      </c>
      <c r="J50" s="5" t="s">
        <v>32</v>
      </c>
      <c r="K50" s="5" t="s">
        <v>33</v>
      </c>
      <c r="L50" s="5" t="s">
        <v>34</v>
      </c>
      <c r="M50" s="154">
        <v>6.2750000000000004</v>
      </c>
      <c r="N50" s="5" t="s">
        <v>82</v>
      </c>
      <c r="O50" s="165">
        <v>1.2999999999999999E-2</v>
      </c>
      <c r="P50" s="165">
        <v>4.027E-2</v>
      </c>
      <c r="R50" s="154">
        <v>7331580</v>
      </c>
      <c r="S50" s="166">
        <v>1</v>
      </c>
      <c r="T50" s="168">
        <v>85.09</v>
      </c>
      <c r="U50" s="154">
        <v>6238.4409999999998</v>
      </c>
      <c r="W50" s="5" t="s">
        <v>36</v>
      </c>
      <c r="X50" s="165">
        <v>2.0100000000000001E-4</v>
      </c>
      <c r="Y50" s="165">
        <v>1.8190313686068001E-2</v>
      </c>
      <c r="Z50" s="165">
        <v>2.4412171772370001E-3</v>
      </c>
    </row>
    <row r="51" spans="1:26">
      <c r="A51" s="5">
        <v>424</v>
      </c>
      <c r="B51" s="5">
        <v>7228</v>
      </c>
      <c r="C51" s="5" t="s">
        <v>26</v>
      </c>
      <c r="D51" s="5" t="s">
        <v>109</v>
      </c>
      <c r="E51" s="5" t="s">
        <v>110</v>
      </c>
      <c r="F51" s="5" t="s">
        <v>29</v>
      </c>
      <c r="G51" s="5" t="s">
        <v>30</v>
      </c>
      <c r="H51" s="5" t="s">
        <v>30</v>
      </c>
      <c r="I51" s="5" t="s">
        <v>31</v>
      </c>
      <c r="J51" s="5" t="s">
        <v>32</v>
      </c>
      <c r="K51" s="5" t="s">
        <v>33</v>
      </c>
      <c r="L51" s="5" t="s">
        <v>34</v>
      </c>
      <c r="M51" s="154">
        <v>0.40799999999999997</v>
      </c>
      <c r="N51" s="5" t="s">
        <v>111</v>
      </c>
      <c r="O51" s="165">
        <v>0</v>
      </c>
      <c r="P51" s="165">
        <v>4.2380000000000001E-2</v>
      </c>
      <c r="R51" s="154">
        <v>4167969</v>
      </c>
      <c r="S51" s="166">
        <v>1</v>
      </c>
      <c r="T51" s="168">
        <v>98.32</v>
      </c>
      <c r="U51" s="154">
        <v>4097.9470000000001</v>
      </c>
      <c r="W51" s="5" t="s">
        <v>36</v>
      </c>
      <c r="X51" s="165">
        <v>2.32E-4</v>
      </c>
      <c r="Y51" s="165">
        <v>1.1948969069965801E-2</v>
      </c>
      <c r="Z51" s="165">
        <v>1.6036022823628E-3</v>
      </c>
    </row>
    <row r="52" spans="1:26">
      <c r="A52" s="5">
        <v>424</v>
      </c>
      <c r="B52" s="5">
        <v>7228</v>
      </c>
      <c r="C52" s="5" t="s">
        <v>26</v>
      </c>
      <c r="D52" s="5" t="s">
        <v>112</v>
      </c>
      <c r="E52" s="5" t="s">
        <v>113</v>
      </c>
      <c r="F52" s="5" t="s">
        <v>29</v>
      </c>
      <c r="G52" s="5" t="s">
        <v>30</v>
      </c>
      <c r="H52" s="5" t="s">
        <v>30</v>
      </c>
      <c r="I52" s="5" t="s">
        <v>31</v>
      </c>
      <c r="J52" s="5" t="s">
        <v>32</v>
      </c>
      <c r="K52" s="5" t="s">
        <v>33</v>
      </c>
      <c r="L52" s="5" t="s">
        <v>34</v>
      </c>
      <c r="M52" s="154">
        <v>0.753</v>
      </c>
      <c r="N52" s="5" t="s">
        <v>114</v>
      </c>
      <c r="O52" s="165">
        <v>0</v>
      </c>
      <c r="P52" s="165">
        <v>4.1829999999999999E-2</v>
      </c>
      <c r="R52" s="154">
        <v>10437588</v>
      </c>
      <c r="S52" s="166">
        <v>1</v>
      </c>
      <c r="T52" s="168">
        <v>96.96</v>
      </c>
      <c r="U52" s="154">
        <v>10120.285</v>
      </c>
      <c r="W52" s="5" t="s">
        <v>36</v>
      </c>
      <c r="X52" s="165">
        <v>5.8E-4</v>
      </c>
      <c r="Y52" s="165">
        <v>2.95091597720901E-2</v>
      </c>
      <c r="Z52" s="165">
        <v>3.9602542850391597E-3</v>
      </c>
    </row>
    <row r="53" spans="1:26">
      <c r="A53" s="5">
        <v>424</v>
      </c>
      <c r="B53" s="5">
        <v>7229</v>
      </c>
      <c r="C53" s="5" t="s">
        <v>37</v>
      </c>
      <c r="D53" s="5" t="s">
        <v>38</v>
      </c>
      <c r="E53" s="5" t="s">
        <v>39</v>
      </c>
      <c r="F53" s="5" t="s">
        <v>40</v>
      </c>
      <c r="G53" s="5" t="s">
        <v>30</v>
      </c>
      <c r="H53" s="5" t="s">
        <v>30</v>
      </c>
      <c r="I53" s="5" t="s">
        <v>31</v>
      </c>
      <c r="J53" s="5" t="s">
        <v>32</v>
      </c>
      <c r="K53" s="5" t="s">
        <v>33</v>
      </c>
      <c r="L53" s="5" t="s">
        <v>34</v>
      </c>
      <c r="M53" s="154">
        <v>1.6419999999999999</v>
      </c>
      <c r="N53" s="5" t="s">
        <v>41</v>
      </c>
      <c r="O53" s="165">
        <v>7.4999999999999997E-3</v>
      </c>
      <c r="P53" s="165">
        <v>2.0979999999999999E-2</v>
      </c>
      <c r="R53" s="154">
        <v>1411526</v>
      </c>
      <c r="S53" s="166">
        <v>1</v>
      </c>
      <c r="T53" s="168">
        <v>117.66</v>
      </c>
      <c r="U53" s="154">
        <v>1660.8009999999999</v>
      </c>
      <c r="W53" s="5" t="s">
        <v>36</v>
      </c>
      <c r="X53" s="165">
        <v>5.8E-5</v>
      </c>
      <c r="Y53" s="165">
        <v>4.2919677248637399E-2</v>
      </c>
      <c r="Z53" s="165">
        <v>1.0945649131667699E-2</v>
      </c>
    </row>
    <row r="54" spans="1:26">
      <c r="A54" s="5">
        <v>424</v>
      </c>
      <c r="B54" s="5">
        <v>7229</v>
      </c>
      <c r="C54" s="5" t="s">
        <v>37</v>
      </c>
      <c r="D54" s="5" t="s">
        <v>42</v>
      </c>
      <c r="E54" s="5" t="s">
        <v>43</v>
      </c>
      <c r="F54" s="5" t="s">
        <v>40</v>
      </c>
      <c r="G54" s="5" t="s">
        <v>30</v>
      </c>
      <c r="H54" s="5" t="s">
        <v>30</v>
      </c>
      <c r="I54" s="5" t="s">
        <v>31</v>
      </c>
      <c r="J54" s="5" t="s">
        <v>32</v>
      </c>
      <c r="K54" s="5" t="s">
        <v>33</v>
      </c>
      <c r="L54" s="5" t="s">
        <v>34</v>
      </c>
      <c r="M54" s="154">
        <v>17.658000000000001</v>
      </c>
      <c r="N54" s="5" t="s">
        <v>44</v>
      </c>
      <c r="O54" s="165">
        <v>0.01</v>
      </c>
      <c r="P54" s="165">
        <v>2.0719999999999999E-2</v>
      </c>
      <c r="R54" s="154">
        <v>3613800</v>
      </c>
      <c r="S54" s="166">
        <v>1</v>
      </c>
      <c r="T54" s="168">
        <v>99.57</v>
      </c>
      <c r="U54" s="154">
        <v>3598.261</v>
      </c>
      <c r="W54" s="5" t="s">
        <v>36</v>
      </c>
      <c r="X54" s="165">
        <v>1.5799999999999999E-4</v>
      </c>
      <c r="Y54" s="165">
        <v>9.2988949591372605E-2</v>
      </c>
      <c r="Z54" s="165">
        <v>2.3714633487413199E-2</v>
      </c>
    </row>
    <row r="55" spans="1:26">
      <c r="A55" s="5">
        <v>424</v>
      </c>
      <c r="B55" s="5">
        <v>7229</v>
      </c>
      <c r="C55" s="5" t="s">
        <v>37</v>
      </c>
      <c r="D55" s="5" t="s">
        <v>100</v>
      </c>
      <c r="E55" s="5" t="s">
        <v>101</v>
      </c>
      <c r="F55" s="5" t="s">
        <v>40</v>
      </c>
      <c r="G55" s="5" t="s">
        <v>30</v>
      </c>
      <c r="H55" s="5" t="s">
        <v>30</v>
      </c>
      <c r="I55" s="5" t="s">
        <v>31</v>
      </c>
      <c r="J55" s="5" t="s">
        <v>32</v>
      </c>
      <c r="K55" s="5" t="s">
        <v>33</v>
      </c>
      <c r="L55" s="5" t="s">
        <v>34</v>
      </c>
      <c r="M55" s="154">
        <v>6.8000000000000005E-2</v>
      </c>
      <c r="N55" s="5" t="s">
        <v>102</v>
      </c>
      <c r="O55" s="165">
        <v>7.4999999999999997E-3</v>
      </c>
      <c r="P55" s="165">
        <v>0.10764</v>
      </c>
      <c r="R55" s="154">
        <v>4042176</v>
      </c>
      <c r="S55" s="166">
        <v>1</v>
      </c>
      <c r="T55" s="168">
        <v>119.27</v>
      </c>
      <c r="U55" s="154">
        <v>4821.1030000000001</v>
      </c>
      <c r="W55" s="5" t="s">
        <v>36</v>
      </c>
      <c r="X55" s="165">
        <v>3.6600000000000001E-4</v>
      </c>
      <c r="Y55" s="165">
        <v>0.12459056625206601</v>
      </c>
      <c r="Z55" s="165">
        <v>3.1773878806467801E-2</v>
      </c>
    </row>
    <row r="56" spans="1:26">
      <c r="A56" s="5">
        <v>424</v>
      </c>
      <c r="B56" s="5">
        <v>7229</v>
      </c>
      <c r="C56" s="5" t="s">
        <v>37</v>
      </c>
      <c r="D56" s="5" t="s">
        <v>45</v>
      </c>
      <c r="E56" s="5" t="s">
        <v>46</v>
      </c>
      <c r="F56" s="5" t="s">
        <v>40</v>
      </c>
      <c r="G56" s="5" t="s">
        <v>30</v>
      </c>
      <c r="H56" s="5" t="s">
        <v>30</v>
      </c>
      <c r="I56" s="5" t="s">
        <v>31</v>
      </c>
      <c r="J56" s="5" t="s">
        <v>32</v>
      </c>
      <c r="K56" s="5" t="s">
        <v>33</v>
      </c>
      <c r="L56" s="5" t="s">
        <v>34</v>
      </c>
      <c r="M56" s="154">
        <v>6.1310000000000002</v>
      </c>
      <c r="N56" s="5" t="s">
        <v>47</v>
      </c>
      <c r="O56" s="165">
        <v>1E-3</v>
      </c>
      <c r="P56" s="165">
        <v>1.9009999999999999E-2</v>
      </c>
      <c r="R56" s="154">
        <v>5372573</v>
      </c>
      <c r="S56" s="166">
        <v>1</v>
      </c>
      <c r="T56" s="168">
        <v>106.54</v>
      </c>
      <c r="U56" s="154">
        <v>5723.9390000000003</v>
      </c>
      <c r="W56" s="5" t="s">
        <v>36</v>
      </c>
      <c r="X56" s="165">
        <v>1.5699999999999999E-4</v>
      </c>
      <c r="Y56" s="165">
        <v>0.147922329960571</v>
      </c>
      <c r="Z56" s="165">
        <v>3.7724093615792403E-2</v>
      </c>
    </row>
    <row r="57" spans="1:26">
      <c r="A57" s="5">
        <v>424</v>
      </c>
      <c r="B57" s="5">
        <v>7229</v>
      </c>
      <c r="C57" s="5" t="s">
        <v>37</v>
      </c>
      <c r="D57" s="5" t="s">
        <v>86</v>
      </c>
      <c r="E57" s="5" t="s">
        <v>87</v>
      </c>
      <c r="F57" s="5" t="s">
        <v>40</v>
      </c>
      <c r="G57" s="5" t="s">
        <v>30</v>
      </c>
      <c r="H57" s="5" t="s">
        <v>30</v>
      </c>
      <c r="I57" s="5" t="s">
        <v>31</v>
      </c>
      <c r="J57" s="5" t="s">
        <v>32</v>
      </c>
      <c r="K57" s="5" t="s">
        <v>33</v>
      </c>
      <c r="L57" s="5" t="s">
        <v>34</v>
      </c>
      <c r="M57" s="154">
        <v>5.282</v>
      </c>
      <c r="N57" s="5" t="s">
        <v>88</v>
      </c>
      <c r="O57" s="165">
        <v>0.02</v>
      </c>
      <c r="P57" s="165">
        <v>1.9970000000000002E-2</v>
      </c>
      <c r="R57" s="154">
        <v>239843</v>
      </c>
      <c r="S57" s="166">
        <v>1</v>
      </c>
      <c r="T57" s="168">
        <v>103.02</v>
      </c>
      <c r="U57" s="154">
        <v>247.08600000000001</v>
      </c>
      <c r="W57" s="5" t="s">
        <v>36</v>
      </c>
      <c r="X57" s="165">
        <v>3.4999999999999997E-5</v>
      </c>
      <c r="Y57" s="165">
        <v>6.3853883352842601E-3</v>
      </c>
      <c r="Z57" s="165">
        <v>1.6284423548335199E-3</v>
      </c>
    </row>
    <row r="58" spans="1:26">
      <c r="A58" s="5">
        <v>424</v>
      </c>
      <c r="B58" s="5">
        <v>7229</v>
      </c>
      <c r="C58" s="5" t="s">
        <v>48</v>
      </c>
      <c r="D58" s="5" t="s">
        <v>49</v>
      </c>
      <c r="E58" s="5" t="s">
        <v>50</v>
      </c>
      <c r="F58" s="5" t="s">
        <v>51</v>
      </c>
      <c r="G58" s="5" t="s">
        <v>30</v>
      </c>
      <c r="H58" s="5" t="s">
        <v>30</v>
      </c>
      <c r="I58" s="5" t="s">
        <v>31</v>
      </c>
      <c r="J58" s="5" t="s">
        <v>32</v>
      </c>
      <c r="K58" s="5" t="s">
        <v>33</v>
      </c>
      <c r="L58" s="5" t="s">
        <v>34</v>
      </c>
      <c r="M58" s="154">
        <v>1.462</v>
      </c>
      <c r="N58" s="5" t="s">
        <v>52</v>
      </c>
      <c r="O58" s="165">
        <v>0.02</v>
      </c>
      <c r="P58" s="165">
        <v>3.9870000000000003E-2</v>
      </c>
      <c r="R58" s="154">
        <v>321278</v>
      </c>
      <c r="S58" s="166">
        <v>1</v>
      </c>
      <c r="T58" s="168">
        <v>98.22</v>
      </c>
      <c r="U58" s="154">
        <v>315.55900000000003</v>
      </c>
      <c r="W58" s="5" t="s">
        <v>36</v>
      </c>
      <c r="X58" s="165">
        <v>1.1E-5</v>
      </c>
      <c r="Y58" s="165">
        <v>8.1549187545861893E-3</v>
      </c>
      <c r="Z58" s="165">
        <v>2.0797192594869999E-3</v>
      </c>
    </row>
    <row r="59" spans="1:26">
      <c r="A59" s="5">
        <v>424</v>
      </c>
      <c r="B59" s="5">
        <v>7229</v>
      </c>
      <c r="C59" s="5" t="s">
        <v>48</v>
      </c>
      <c r="D59" s="5" t="s">
        <v>103</v>
      </c>
      <c r="E59" s="5" t="s">
        <v>104</v>
      </c>
      <c r="F59" s="5" t="s">
        <v>51</v>
      </c>
      <c r="G59" s="5" t="s">
        <v>30</v>
      </c>
      <c r="H59" s="5" t="s">
        <v>30</v>
      </c>
      <c r="I59" s="5" t="s">
        <v>31</v>
      </c>
      <c r="J59" s="5" t="s">
        <v>32</v>
      </c>
      <c r="K59" s="5" t="s">
        <v>33</v>
      </c>
      <c r="L59" s="5" t="s">
        <v>34</v>
      </c>
      <c r="M59" s="154">
        <v>7.9119999999999999</v>
      </c>
      <c r="N59" s="5" t="s">
        <v>105</v>
      </c>
      <c r="O59" s="165">
        <v>0.04</v>
      </c>
      <c r="P59" s="165">
        <v>4.104E-2</v>
      </c>
      <c r="R59" s="154">
        <v>781331</v>
      </c>
      <c r="S59" s="166">
        <v>1</v>
      </c>
      <c r="T59" s="168">
        <v>101.25</v>
      </c>
      <c r="U59" s="154">
        <v>791.09799999999996</v>
      </c>
      <c r="W59" s="5" t="s">
        <v>36</v>
      </c>
      <c r="X59" s="165">
        <v>2.1999999999999999E-5</v>
      </c>
      <c r="Y59" s="165">
        <v>2.04441382340938E-2</v>
      </c>
      <c r="Z59" s="165">
        <v>5.2137941907941096E-3</v>
      </c>
    </row>
    <row r="60" spans="1:26">
      <c r="A60" s="5">
        <v>424</v>
      </c>
      <c r="B60" s="5">
        <v>7229</v>
      </c>
      <c r="C60" s="5" t="s">
        <v>37</v>
      </c>
      <c r="D60" s="5" t="s">
        <v>53</v>
      </c>
      <c r="E60" s="5" t="s">
        <v>54</v>
      </c>
      <c r="F60" s="5" t="s">
        <v>40</v>
      </c>
      <c r="G60" s="5" t="s">
        <v>30</v>
      </c>
      <c r="H60" s="5" t="s">
        <v>30</v>
      </c>
      <c r="I60" s="5" t="s">
        <v>31</v>
      </c>
      <c r="J60" s="5" t="s">
        <v>32</v>
      </c>
      <c r="K60" s="5" t="s">
        <v>33</v>
      </c>
      <c r="L60" s="5" t="s">
        <v>34</v>
      </c>
      <c r="M60" s="154">
        <v>13.218999999999999</v>
      </c>
      <c r="N60" s="5" t="s">
        <v>55</v>
      </c>
      <c r="O60" s="165">
        <v>2.75E-2</v>
      </c>
      <c r="P60" s="165">
        <v>2.019E-2</v>
      </c>
      <c r="R60" s="154">
        <v>317439</v>
      </c>
      <c r="S60" s="166">
        <v>1</v>
      </c>
      <c r="T60" s="168">
        <v>139.93</v>
      </c>
      <c r="U60" s="154">
        <v>444.19200000000001</v>
      </c>
      <c r="W60" s="5" t="s">
        <v>36</v>
      </c>
      <c r="X60" s="165">
        <v>1.5999999999999999E-5</v>
      </c>
      <c r="Y60" s="165">
        <v>1.14791528231453E-2</v>
      </c>
      <c r="Z60" s="165">
        <v>2.9274865792456601E-3</v>
      </c>
    </row>
    <row r="61" spans="1:26">
      <c r="A61" s="5">
        <v>424</v>
      </c>
      <c r="B61" s="5">
        <v>7229</v>
      </c>
      <c r="C61" s="5" t="s">
        <v>37</v>
      </c>
      <c r="D61" s="5" t="s">
        <v>56</v>
      </c>
      <c r="E61" s="5" t="s">
        <v>57</v>
      </c>
      <c r="F61" s="5" t="s">
        <v>40</v>
      </c>
      <c r="G61" s="5" t="s">
        <v>30</v>
      </c>
      <c r="H61" s="5" t="s">
        <v>30</v>
      </c>
      <c r="I61" s="5" t="s">
        <v>31</v>
      </c>
      <c r="J61" s="5" t="s">
        <v>32</v>
      </c>
      <c r="K61" s="5" t="s">
        <v>33</v>
      </c>
      <c r="L61" s="5" t="s">
        <v>34</v>
      </c>
      <c r="M61" s="154">
        <v>8.9559999999999995</v>
      </c>
      <c r="N61" s="5" t="s">
        <v>58</v>
      </c>
      <c r="O61" s="165">
        <v>0.04</v>
      </c>
      <c r="P61" s="165">
        <v>1.9400000000000001E-2</v>
      </c>
      <c r="R61" s="154">
        <v>853528</v>
      </c>
      <c r="S61" s="166">
        <v>1</v>
      </c>
      <c r="T61" s="168">
        <v>170.85</v>
      </c>
      <c r="U61" s="154">
        <v>1458.2529999999999</v>
      </c>
      <c r="W61" s="5" t="s">
        <v>36</v>
      </c>
      <c r="X61" s="165">
        <v>5.3999999999999998E-5</v>
      </c>
      <c r="Y61" s="165">
        <v>3.7685256630913599E-2</v>
      </c>
      <c r="Z61" s="165">
        <v>9.6107338862137393E-3</v>
      </c>
    </row>
    <row r="62" spans="1:26">
      <c r="A62" s="5">
        <v>424</v>
      </c>
      <c r="B62" s="5">
        <v>7229</v>
      </c>
      <c r="C62" s="5" t="s">
        <v>37</v>
      </c>
      <c r="D62" s="5" t="s">
        <v>62</v>
      </c>
      <c r="E62" s="5" t="s">
        <v>63</v>
      </c>
      <c r="F62" s="5" t="s">
        <v>40</v>
      </c>
      <c r="G62" s="5" t="s">
        <v>30</v>
      </c>
      <c r="H62" s="5" t="s">
        <v>30</v>
      </c>
      <c r="I62" s="5" t="s">
        <v>31</v>
      </c>
      <c r="J62" s="5" t="s">
        <v>32</v>
      </c>
      <c r="K62" s="5" t="s">
        <v>33</v>
      </c>
      <c r="L62" s="5" t="s">
        <v>34</v>
      </c>
      <c r="M62" s="154">
        <v>3.621</v>
      </c>
      <c r="N62" s="5" t="s">
        <v>64</v>
      </c>
      <c r="O62" s="165">
        <v>5.0000000000000001E-3</v>
      </c>
      <c r="P62" s="165">
        <v>1.9359999999999999E-2</v>
      </c>
      <c r="R62" s="154">
        <v>5202149</v>
      </c>
      <c r="S62" s="166">
        <v>1</v>
      </c>
      <c r="T62" s="168">
        <v>113</v>
      </c>
      <c r="U62" s="154">
        <v>5878.4279999999999</v>
      </c>
      <c r="W62" s="5" t="s">
        <v>36</v>
      </c>
      <c r="X62" s="165">
        <v>1.7699999999999999E-4</v>
      </c>
      <c r="Y62" s="165">
        <v>0.15191475299469401</v>
      </c>
      <c r="Z62" s="165">
        <v>3.87422667363298E-2</v>
      </c>
    </row>
    <row r="63" spans="1:26">
      <c r="A63" s="5">
        <v>424</v>
      </c>
      <c r="B63" s="5">
        <v>7229</v>
      </c>
      <c r="C63" s="5" t="s">
        <v>37</v>
      </c>
      <c r="D63" s="5" t="s">
        <v>68</v>
      </c>
      <c r="E63" s="5" t="s">
        <v>69</v>
      </c>
      <c r="F63" s="5" t="s">
        <v>40</v>
      </c>
      <c r="G63" s="5" t="s">
        <v>30</v>
      </c>
      <c r="H63" s="5" t="s">
        <v>30</v>
      </c>
      <c r="I63" s="5" t="s">
        <v>31</v>
      </c>
      <c r="J63" s="5" t="s">
        <v>32</v>
      </c>
      <c r="K63" s="5" t="s">
        <v>33</v>
      </c>
      <c r="L63" s="5" t="s">
        <v>34</v>
      </c>
      <c r="M63" s="154">
        <v>3.0049999999999999</v>
      </c>
      <c r="N63" s="5" t="s">
        <v>70</v>
      </c>
      <c r="O63" s="165">
        <v>1.0999999999999999E-2</v>
      </c>
      <c r="P63" s="165">
        <v>1.9990000000000001E-2</v>
      </c>
      <c r="R63" s="154">
        <v>3654480</v>
      </c>
      <c r="S63" s="166">
        <v>1</v>
      </c>
      <c r="T63" s="168">
        <v>105.65</v>
      </c>
      <c r="U63" s="154">
        <v>3860.9580000000001</v>
      </c>
      <c r="W63" s="5" t="s">
        <v>36</v>
      </c>
      <c r="X63" s="165">
        <v>1.16E-4</v>
      </c>
      <c r="Y63" s="165">
        <v>9.9777774296951796E-2</v>
      </c>
      <c r="Z63" s="165">
        <v>2.5445962751917999E-2</v>
      </c>
    </row>
    <row r="64" spans="1:26">
      <c r="A64" s="5">
        <v>424</v>
      </c>
      <c r="B64" s="5">
        <v>7229</v>
      </c>
      <c r="C64" s="5" t="s">
        <v>37</v>
      </c>
      <c r="D64" s="5" t="s">
        <v>71</v>
      </c>
      <c r="E64" s="5" t="s">
        <v>72</v>
      </c>
      <c r="F64" s="5" t="s">
        <v>40</v>
      </c>
      <c r="G64" s="5" t="s">
        <v>30</v>
      </c>
      <c r="H64" s="5" t="s">
        <v>30</v>
      </c>
      <c r="I64" s="5" t="s">
        <v>31</v>
      </c>
      <c r="J64" s="5" t="s">
        <v>32</v>
      </c>
      <c r="K64" s="5" t="s">
        <v>33</v>
      </c>
      <c r="L64" s="5" t="s">
        <v>34</v>
      </c>
      <c r="M64" s="154">
        <v>7.5170000000000003</v>
      </c>
      <c r="N64" s="5" t="s">
        <v>73</v>
      </c>
      <c r="O64" s="165">
        <v>1.6E-2</v>
      </c>
      <c r="P64" s="165">
        <v>1.951E-2</v>
      </c>
      <c r="R64" s="154">
        <v>3660740</v>
      </c>
      <c r="S64" s="166">
        <v>1</v>
      </c>
      <c r="T64" s="168">
        <v>105.4</v>
      </c>
      <c r="U64" s="154">
        <v>3858.42</v>
      </c>
      <c r="W64" s="5" t="s">
        <v>36</v>
      </c>
      <c r="X64" s="165">
        <v>1.3799999999999999E-4</v>
      </c>
      <c r="Y64" s="165">
        <v>9.9712181263373501E-2</v>
      </c>
      <c r="Z64" s="165">
        <v>2.5429234799215401E-2</v>
      </c>
    </row>
    <row r="65" spans="1:26">
      <c r="A65" s="5">
        <v>424</v>
      </c>
      <c r="B65" s="5">
        <v>7229</v>
      </c>
      <c r="C65" s="5" t="s">
        <v>48</v>
      </c>
      <c r="D65" s="5" t="s">
        <v>74</v>
      </c>
      <c r="E65" s="5" t="s">
        <v>75</v>
      </c>
      <c r="F65" s="5" t="s">
        <v>51</v>
      </c>
      <c r="G65" s="5" t="s">
        <v>30</v>
      </c>
      <c r="H65" s="5" t="s">
        <v>30</v>
      </c>
      <c r="I65" s="5" t="s">
        <v>31</v>
      </c>
      <c r="J65" s="5" t="s">
        <v>32</v>
      </c>
      <c r="K65" s="5" t="s">
        <v>33</v>
      </c>
      <c r="L65" s="5" t="s">
        <v>34</v>
      </c>
      <c r="M65" s="154">
        <v>10.542999999999999</v>
      </c>
      <c r="N65" s="5" t="s">
        <v>76</v>
      </c>
      <c r="O65" s="165">
        <v>1.4999999999999999E-2</v>
      </c>
      <c r="P65" s="165">
        <v>4.2119999999999998E-2</v>
      </c>
      <c r="R65" s="154">
        <v>134409</v>
      </c>
      <c r="S65" s="166">
        <v>1</v>
      </c>
      <c r="T65" s="168">
        <v>75.94</v>
      </c>
      <c r="U65" s="154">
        <v>102.07</v>
      </c>
      <c r="W65" s="5" t="s">
        <v>36</v>
      </c>
      <c r="X65" s="165">
        <v>3.0000000000000001E-6</v>
      </c>
      <c r="Y65" s="165">
        <v>2.6377744908677599E-3</v>
      </c>
      <c r="Z65" s="165">
        <v>6.7270203124415804E-4</v>
      </c>
    </row>
    <row r="66" spans="1:26">
      <c r="A66" s="5">
        <v>424</v>
      </c>
      <c r="B66" s="5">
        <v>7229</v>
      </c>
      <c r="C66" s="5" t="s">
        <v>48</v>
      </c>
      <c r="D66" s="5" t="s">
        <v>80</v>
      </c>
      <c r="E66" s="5" t="s">
        <v>81</v>
      </c>
      <c r="F66" s="5" t="s">
        <v>51</v>
      </c>
      <c r="G66" s="5" t="s">
        <v>30</v>
      </c>
      <c r="H66" s="5" t="s">
        <v>30</v>
      </c>
      <c r="I66" s="5" t="s">
        <v>31</v>
      </c>
      <c r="J66" s="5" t="s">
        <v>32</v>
      </c>
      <c r="K66" s="5" t="s">
        <v>33</v>
      </c>
      <c r="L66" s="5" t="s">
        <v>34</v>
      </c>
      <c r="M66" s="154">
        <v>6.2750000000000004</v>
      </c>
      <c r="N66" s="5" t="s">
        <v>82</v>
      </c>
      <c r="O66" s="165">
        <v>1.2999999999999999E-2</v>
      </c>
      <c r="P66" s="165">
        <v>4.027E-2</v>
      </c>
      <c r="R66" s="154">
        <v>4965270</v>
      </c>
      <c r="S66" s="166">
        <v>1</v>
      </c>
      <c r="T66" s="168">
        <v>85.09</v>
      </c>
      <c r="U66" s="154">
        <v>4224.9480000000003</v>
      </c>
      <c r="W66" s="5" t="s">
        <v>36</v>
      </c>
      <c r="X66" s="165">
        <v>1.36E-4</v>
      </c>
      <c r="Y66" s="165">
        <v>0.109184279938876</v>
      </c>
      <c r="Z66" s="165">
        <v>2.78448696615646E-2</v>
      </c>
    </row>
    <row r="67" spans="1:26">
      <c r="A67" s="5">
        <v>424</v>
      </c>
      <c r="B67" s="5">
        <v>7229</v>
      </c>
      <c r="C67" s="5" t="s">
        <v>26</v>
      </c>
      <c r="D67" s="5" t="s">
        <v>112</v>
      </c>
      <c r="E67" s="5" t="s">
        <v>113</v>
      </c>
      <c r="F67" s="5" t="s">
        <v>29</v>
      </c>
      <c r="G67" s="5" t="s">
        <v>30</v>
      </c>
      <c r="H67" s="5" t="s">
        <v>30</v>
      </c>
      <c r="I67" s="5" t="s">
        <v>31</v>
      </c>
      <c r="J67" s="5" t="s">
        <v>32</v>
      </c>
      <c r="K67" s="5" t="s">
        <v>33</v>
      </c>
      <c r="L67" s="5" t="s">
        <v>34</v>
      </c>
      <c r="M67" s="154">
        <v>0.753</v>
      </c>
      <c r="N67" s="5" t="s">
        <v>114</v>
      </c>
      <c r="O67" s="165">
        <v>0</v>
      </c>
      <c r="P67" s="165">
        <v>4.1829999999999999E-2</v>
      </c>
      <c r="R67" s="154">
        <v>1681387</v>
      </c>
      <c r="S67" s="166">
        <v>1</v>
      </c>
      <c r="T67" s="168">
        <v>96.96</v>
      </c>
      <c r="U67" s="154">
        <v>1630.2729999999999</v>
      </c>
      <c r="W67" s="5" t="s">
        <v>36</v>
      </c>
      <c r="X67" s="165">
        <v>9.2999999999999997E-5</v>
      </c>
      <c r="Y67" s="165">
        <v>4.2130732822617901E-2</v>
      </c>
      <c r="Z67" s="165">
        <v>1.0744447505160499E-2</v>
      </c>
    </row>
    <row r="68" spans="1:26">
      <c r="A68" s="5">
        <v>424</v>
      </c>
      <c r="B68" s="5">
        <v>7229</v>
      </c>
      <c r="C68" s="5" t="s">
        <v>26</v>
      </c>
      <c r="D68" s="5" t="s">
        <v>97</v>
      </c>
      <c r="E68" s="5" t="s">
        <v>98</v>
      </c>
      <c r="F68" s="5" t="s">
        <v>29</v>
      </c>
      <c r="G68" s="5" t="s">
        <v>30</v>
      </c>
      <c r="H68" s="5" t="s">
        <v>30</v>
      </c>
      <c r="I68" s="5" t="s">
        <v>31</v>
      </c>
      <c r="J68" s="5" t="s">
        <v>32</v>
      </c>
      <c r="K68" s="5" t="s">
        <v>33</v>
      </c>
      <c r="L68" s="5" t="s">
        <v>34</v>
      </c>
      <c r="M68" s="154">
        <v>0.83</v>
      </c>
      <c r="N68" s="5" t="s">
        <v>99</v>
      </c>
      <c r="O68" s="165">
        <v>0</v>
      </c>
      <c r="P68" s="165">
        <v>4.138E-2</v>
      </c>
      <c r="R68" s="154">
        <v>82927</v>
      </c>
      <c r="S68" s="166">
        <v>1</v>
      </c>
      <c r="T68" s="168">
        <v>96.69</v>
      </c>
      <c r="U68" s="154">
        <v>80.182000000000002</v>
      </c>
      <c r="W68" s="5" t="s">
        <v>36</v>
      </c>
      <c r="X68" s="165">
        <v>5.0000000000000004E-6</v>
      </c>
      <c r="Y68" s="165">
        <v>2.0721263619490702E-3</v>
      </c>
      <c r="Z68" s="165">
        <v>5.2844684695511803E-4</v>
      </c>
    </row>
    <row r="69" spans="1:26">
      <c r="A69" s="5">
        <v>424</v>
      </c>
      <c r="B69" s="5">
        <v>9817</v>
      </c>
      <c r="C69" s="5" t="s">
        <v>37</v>
      </c>
      <c r="D69" s="5" t="s">
        <v>38</v>
      </c>
      <c r="E69" s="5" t="s">
        <v>39</v>
      </c>
      <c r="F69" s="5" t="s">
        <v>40</v>
      </c>
      <c r="G69" s="5" t="s">
        <v>30</v>
      </c>
      <c r="H69" s="5" t="s">
        <v>30</v>
      </c>
      <c r="I69" s="5" t="s">
        <v>31</v>
      </c>
      <c r="J69" s="5" t="s">
        <v>32</v>
      </c>
      <c r="K69" s="5" t="s">
        <v>33</v>
      </c>
      <c r="L69" s="5" t="s">
        <v>34</v>
      </c>
      <c r="M69" s="154">
        <v>1.6419999999999999</v>
      </c>
      <c r="N69" s="5" t="s">
        <v>41</v>
      </c>
      <c r="O69" s="165">
        <v>7.4999999999999997E-3</v>
      </c>
      <c r="P69" s="165">
        <v>2.0979999999999999E-2</v>
      </c>
      <c r="R69" s="154">
        <v>32655</v>
      </c>
      <c r="S69" s="166">
        <v>1</v>
      </c>
      <c r="T69" s="168">
        <v>117.66</v>
      </c>
      <c r="U69" s="154">
        <v>38.421999999999997</v>
      </c>
      <c r="W69" s="5" t="s">
        <v>36</v>
      </c>
      <c r="X69" s="165">
        <v>9.9999999999999995E-7</v>
      </c>
      <c r="Y69" s="165">
        <v>8.40198533608605E-2</v>
      </c>
      <c r="Z69" s="165">
        <v>1.9916613649532601E-2</v>
      </c>
    </row>
    <row r="70" spans="1:26">
      <c r="A70" s="5">
        <v>424</v>
      </c>
      <c r="B70" s="5">
        <v>9817</v>
      </c>
      <c r="C70" s="5" t="s">
        <v>37</v>
      </c>
      <c r="D70" s="5" t="s">
        <v>42</v>
      </c>
      <c r="E70" s="5" t="s">
        <v>43</v>
      </c>
      <c r="F70" s="5" t="s">
        <v>40</v>
      </c>
      <c r="G70" s="5" t="s">
        <v>30</v>
      </c>
      <c r="H70" s="5" t="s">
        <v>30</v>
      </c>
      <c r="I70" s="5" t="s">
        <v>31</v>
      </c>
      <c r="J70" s="5" t="s">
        <v>32</v>
      </c>
      <c r="K70" s="5" t="s">
        <v>33</v>
      </c>
      <c r="L70" s="5" t="s">
        <v>34</v>
      </c>
      <c r="M70" s="154">
        <v>17.658000000000001</v>
      </c>
      <c r="N70" s="5" t="s">
        <v>44</v>
      </c>
      <c r="O70" s="165">
        <v>0.01</v>
      </c>
      <c r="P70" s="165">
        <v>2.0719999999999999E-2</v>
      </c>
      <c r="R70" s="154">
        <v>8018</v>
      </c>
      <c r="S70" s="166">
        <v>1</v>
      </c>
      <c r="T70" s="168">
        <v>99.57</v>
      </c>
      <c r="U70" s="154">
        <v>7.984</v>
      </c>
      <c r="W70" s="5" t="s">
        <v>36</v>
      </c>
      <c r="X70" s="165">
        <v>0</v>
      </c>
      <c r="Y70" s="165">
        <v>1.7458138965664598E-2</v>
      </c>
      <c r="Z70" s="165">
        <v>4.1383910458116504E-3</v>
      </c>
    </row>
    <row r="71" spans="1:26">
      <c r="A71" s="5">
        <v>424</v>
      </c>
      <c r="B71" s="5">
        <v>9817</v>
      </c>
      <c r="C71" s="5" t="s">
        <v>37</v>
      </c>
      <c r="D71" s="5" t="s">
        <v>45</v>
      </c>
      <c r="E71" s="5" t="s">
        <v>46</v>
      </c>
      <c r="F71" s="5" t="s">
        <v>40</v>
      </c>
      <c r="G71" s="5" t="s">
        <v>30</v>
      </c>
      <c r="H71" s="5" t="s">
        <v>30</v>
      </c>
      <c r="I71" s="5" t="s">
        <v>31</v>
      </c>
      <c r="J71" s="5" t="s">
        <v>32</v>
      </c>
      <c r="K71" s="5" t="s">
        <v>33</v>
      </c>
      <c r="L71" s="5" t="s">
        <v>34</v>
      </c>
      <c r="M71" s="154">
        <v>6.1310000000000002</v>
      </c>
      <c r="N71" s="5" t="s">
        <v>47</v>
      </c>
      <c r="O71" s="165">
        <v>1E-3</v>
      </c>
      <c r="P71" s="165">
        <v>1.9009999999999999E-2</v>
      </c>
      <c r="R71" s="154">
        <v>47186</v>
      </c>
      <c r="S71" s="166">
        <v>1</v>
      </c>
      <c r="T71" s="168">
        <v>106.54</v>
      </c>
      <c r="U71" s="154">
        <v>50.271999999999998</v>
      </c>
      <c r="W71" s="5" t="s">
        <v>36</v>
      </c>
      <c r="X71" s="165">
        <v>9.9999999999999995E-7</v>
      </c>
      <c r="Y71" s="165">
        <v>0.10993329442972199</v>
      </c>
      <c r="Z71" s="165">
        <v>2.6059304614271601E-2</v>
      </c>
    </row>
    <row r="72" spans="1:26">
      <c r="A72" s="5">
        <v>424</v>
      </c>
      <c r="B72" s="5">
        <v>9817</v>
      </c>
      <c r="C72" s="5" t="s">
        <v>48</v>
      </c>
      <c r="D72" s="5" t="s">
        <v>115</v>
      </c>
      <c r="E72" s="5" t="s">
        <v>116</v>
      </c>
      <c r="F72" s="5" t="s">
        <v>51</v>
      </c>
      <c r="G72" s="5" t="s">
        <v>30</v>
      </c>
      <c r="H72" s="5" t="s">
        <v>30</v>
      </c>
      <c r="I72" s="5" t="s">
        <v>31</v>
      </c>
      <c r="J72" s="5" t="s">
        <v>32</v>
      </c>
      <c r="K72" s="5" t="s">
        <v>33</v>
      </c>
      <c r="L72" s="5" t="s">
        <v>34</v>
      </c>
      <c r="M72" s="154">
        <v>3.1869999999999998</v>
      </c>
      <c r="N72" s="5" t="s">
        <v>117</v>
      </c>
      <c r="O72" s="165">
        <v>3.7499999999999999E-2</v>
      </c>
      <c r="P72" s="165">
        <v>3.9239999999999997E-2</v>
      </c>
      <c r="R72" s="154">
        <v>67057</v>
      </c>
      <c r="S72" s="166">
        <v>1</v>
      </c>
      <c r="T72" s="168">
        <v>101.7</v>
      </c>
      <c r="U72" s="154">
        <v>68.197000000000003</v>
      </c>
      <c r="W72" s="5" t="s">
        <v>36</v>
      </c>
      <c r="X72" s="165">
        <v>1.9999999999999999E-6</v>
      </c>
      <c r="Y72" s="165">
        <v>0.14913118199716999</v>
      </c>
      <c r="Z72" s="165">
        <v>3.53510273599143E-2</v>
      </c>
    </row>
    <row r="73" spans="1:26">
      <c r="A73" s="5">
        <v>424</v>
      </c>
      <c r="B73" s="5">
        <v>9817</v>
      </c>
      <c r="C73" s="5" t="s">
        <v>48</v>
      </c>
      <c r="D73" s="5" t="s">
        <v>49</v>
      </c>
      <c r="E73" s="5" t="s">
        <v>50</v>
      </c>
      <c r="F73" s="5" t="s">
        <v>51</v>
      </c>
      <c r="G73" s="5" t="s">
        <v>30</v>
      </c>
      <c r="H73" s="5" t="s">
        <v>30</v>
      </c>
      <c r="I73" s="5" t="s">
        <v>31</v>
      </c>
      <c r="J73" s="5" t="s">
        <v>32</v>
      </c>
      <c r="K73" s="5" t="s">
        <v>33</v>
      </c>
      <c r="L73" s="5" t="s">
        <v>34</v>
      </c>
      <c r="M73" s="154">
        <v>1.462</v>
      </c>
      <c r="N73" s="5" t="s">
        <v>52</v>
      </c>
      <c r="O73" s="165">
        <v>0.02</v>
      </c>
      <c r="P73" s="165">
        <v>3.9870000000000003E-2</v>
      </c>
      <c r="R73" s="154">
        <v>23827</v>
      </c>
      <c r="S73" s="166">
        <v>1</v>
      </c>
      <c r="T73" s="168">
        <v>98.22</v>
      </c>
      <c r="U73" s="154">
        <v>23.402999999999999</v>
      </c>
      <c r="W73" s="5" t="s">
        <v>36</v>
      </c>
      <c r="X73" s="165">
        <v>9.9999999999999995E-7</v>
      </c>
      <c r="Y73" s="165">
        <v>5.1176747562772497E-2</v>
      </c>
      <c r="Z73" s="165">
        <v>1.2131269792506101E-2</v>
      </c>
    </row>
    <row r="74" spans="1:26">
      <c r="A74" s="5">
        <v>424</v>
      </c>
      <c r="B74" s="5">
        <v>9817</v>
      </c>
      <c r="C74" s="5" t="s">
        <v>37</v>
      </c>
      <c r="D74" s="5" t="s">
        <v>56</v>
      </c>
      <c r="E74" s="5" t="s">
        <v>57</v>
      </c>
      <c r="F74" s="5" t="s">
        <v>40</v>
      </c>
      <c r="G74" s="5" t="s">
        <v>30</v>
      </c>
      <c r="H74" s="5" t="s">
        <v>30</v>
      </c>
      <c r="I74" s="5" t="s">
        <v>31</v>
      </c>
      <c r="J74" s="5" t="s">
        <v>32</v>
      </c>
      <c r="K74" s="5" t="s">
        <v>33</v>
      </c>
      <c r="L74" s="5" t="s">
        <v>34</v>
      </c>
      <c r="M74" s="154">
        <v>8.9559999999999995</v>
      </c>
      <c r="N74" s="5" t="s">
        <v>58</v>
      </c>
      <c r="O74" s="165">
        <v>0.04</v>
      </c>
      <c r="P74" s="165">
        <v>1.9400000000000001E-2</v>
      </c>
      <c r="R74" s="154">
        <v>6685</v>
      </c>
      <c r="S74" s="166">
        <v>1</v>
      </c>
      <c r="T74" s="168">
        <v>170.85</v>
      </c>
      <c r="U74" s="154">
        <v>11.420999999999999</v>
      </c>
      <c r="W74" s="5" t="s">
        <v>36</v>
      </c>
      <c r="X74" s="165">
        <v>0</v>
      </c>
      <c r="Y74" s="165">
        <v>2.49758214972262E-2</v>
      </c>
      <c r="Z74" s="165">
        <v>5.9204315104371503E-3</v>
      </c>
    </row>
    <row r="75" spans="1:26">
      <c r="A75" s="5">
        <v>424</v>
      </c>
      <c r="B75" s="5">
        <v>9817</v>
      </c>
      <c r="C75" s="5" t="s">
        <v>48</v>
      </c>
      <c r="D75" s="5" t="s">
        <v>118</v>
      </c>
      <c r="E75" s="5" t="s">
        <v>119</v>
      </c>
      <c r="F75" s="5" t="s">
        <v>51</v>
      </c>
      <c r="G75" s="5" t="s">
        <v>30</v>
      </c>
      <c r="H75" s="5" t="s">
        <v>30</v>
      </c>
      <c r="I75" s="5" t="s">
        <v>31</v>
      </c>
      <c r="J75" s="5" t="s">
        <v>32</v>
      </c>
      <c r="K75" s="5" t="s">
        <v>33</v>
      </c>
      <c r="L75" s="5" t="s">
        <v>34</v>
      </c>
      <c r="M75" s="154">
        <v>1.008</v>
      </c>
      <c r="N75" s="5" t="s">
        <v>120</v>
      </c>
      <c r="O75" s="165">
        <v>6.25E-2</v>
      </c>
      <c r="P75" s="165">
        <v>3.9019999999999999E-2</v>
      </c>
      <c r="R75" s="154">
        <v>50083</v>
      </c>
      <c r="S75" s="166">
        <v>1</v>
      </c>
      <c r="T75" s="168">
        <v>108.22</v>
      </c>
      <c r="U75" s="154">
        <v>54.2</v>
      </c>
      <c r="W75" s="5" t="s">
        <v>36</v>
      </c>
      <c r="X75" s="165">
        <v>3.0000000000000001E-6</v>
      </c>
      <c r="Y75" s="165">
        <v>0.118522622440521</v>
      </c>
      <c r="Z75" s="165">
        <v>2.8095374907865799E-2</v>
      </c>
    </row>
    <row r="76" spans="1:26">
      <c r="A76" s="5">
        <v>424</v>
      </c>
      <c r="B76" s="5">
        <v>9817</v>
      </c>
      <c r="C76" s="5" t="s">
        <v>48</v>
      </c>
      <c r="D76" s="5" t="s">
        <v>59</v>
      </c>
      <c r="E76" s="5" t="s">
        <v>60</v>
      </c>
      <c r="F76" s="5" t="s">
        <v>51</v>
      </c>
      <c r="G76" s="5" t="s">
        <v>30</v>
      </c>
      <c r="H76" s="5" t="s">
        <v>30</v>
      </c>
      <c r="I76" s="5" t="s">
        <v>31</v>
      </c>
      <c r="J76" s="5" t="s">
        <v>32</v>
      </c>
      <c r="K76" s="5" t="s">
        <v>33</v>
      </c>
      <c r="L76" s="5" t="s">
        <v>34</v>
      </c>
      <c r="M76" s="154">
        <v>11.16</v>
      </c>
      <c r="N76" s="5" t="s">
        <v>61</v>
      </c>
      <c r="O76" s="165">
        <v>5.5E-2</v>
      </c>
      <c r="P76" s="165">
        <v>4.3470000000000002E-2</v>
      </c>
      <c r="R76" s="154">
        <v>14496</v>
      </c>
      <c r="S76" s="166">
        <v>1</v>
      </c>
      <c r="T76" s="168">
        <v>117</v>
      </c>
      <c r="U76" s="154">
        <v>16.96</v>
      </c>
      <c r="W76" s="5" t="s">
        <v>36</v>
      </c>
      <c r="X76" s="165">
        <v>0</v>
      </c>
      <c r="Y76" s="165">
        <v>3.7088342865358698E-2</v>
      </c>
      <c r="Z76" s="165">
        <v>8.7916625202639504E-3</v>
      </c>
    </row>
    <row r="77" spans="1:26">
      <c r="A77" s="5">
        <v>424</v>
      </c>
      <c r="B77" s="5">
        <v>9817</v>
      </c>
      <c r="C77" s="5" t="s">
        <v>37</v>
      </c>
      <c r="D77" s="5" t="s">
        <v>62</v>
      </c>
      <c r="E77" s="5" t="s">
        <v>63</v>
      </c>
      <c r="F77" s="5" t="s">
        <v>40</v>
      </c>
      <c r="G77" s="5" t="s">
        <v>30</v>
      </c>
      <c r="H77" s="5" t="s">
        <v>30</v>
      </c>
      <c r="I77" s="5" t="s">
        <v>31</v>
      </c>
      <c r="J77" s="5" t="s">
        <v>32</v>
      </c>
      <c r="K77" s="5" t="s">
        <v>33</v>
      </c>
      <c r="L77" s="5" t="s">
        <v>34</v>
      </c>
      <c r="M77" s="154">
        <v>3.621</v>
      </c>
      <c r="N77" s="5" t="s">
        <v>64</v>
      </c>
      <c r="O77" s="165">
        <v>5.0000000000000001E-3</v>
      </c>
      <c r="P77" s="165">
        <v>1.9359999999999999E-2</v>
      </c>
      <c r="R77" s="154">
        <v>97754</v>
      </c>
      <c r="S77" s="166">
        <v>1</v>
      </c>
      <c r="T77" s="168">
        <v>113</v>
      </c>
      <c r="U77" s="154">
        <v>110.462</v>
      </c>
      <c r="W77" s="5" t="s">
        <v>36</v>
      </c>
      <c r="X77" s="165">
        <v>3.0000000000000001E-6</v>
      </c>
      <c r="Y77" s="165">
        <v>0.24155518712855201</v>
      </c>
      <c r="Z77" s="165">
        <v>5.72598159201387E-2</v>
      </c>
    </row>
    <row r="78" spans="1:26">
      <c r="A78" s="5">
        <v>424</v>
      </c>
      <c r="B78" s="5">
        <v>9817</v>
      </c>
      <c r="C78" s="5" t="s">
        <v>37</v>
      </c>
      <c r="D78" s="5" t="s">
        <v>65</v>
      </c>
      <c r="E78" s="5" t="s">
        <v>66</v>
      </c>
      <c r="F78" s="5" t="s">
        <v>40</v>
      </c>
      <c r="G78" s="5" t="s">
        <v>30</v>
      </c>
      <c r="H78" s="5" t="s">
        <v>30</v>
      </c>
      <c r="I78" s="5" t="s">
        <v>31</v>
      </c>
      <c r="J78" s="5" t="s">
        <v>32</v>
      </c>
      <c r="K78" s="5" t="s">
        <v>33</v>
      </c>
      <c r="L78" s="5" t="s">
        <v>34</v>
      </c>
      <c r="M78" s="154">
        <v>0.81599999999999995</v>
      </c>
      <c r="N78" s="5" t="s">
        <v>67</v>
      </c>
      <c r="O78" s="165">
        <v>1E-3</v>
      </c>
      <c r="P78" s="165">
        <v>2.7019999999999999E-2</v>
      </c>
      <c r="R78" s="154">
        <v>4610</v>
      </c>
      <c r="S78" s="166">
        <v>1</v>
      </c>
      <c r="T78" s="168">
        <v>116.31</v>
      </c>
      <c r="U78" s="154">
        <v>5.3620000000000001</v>
      </c>
      <c r="W78" s="5" t="s">
        <v>36</v>
      </c>
      <c r="X78" s="165">
        <v>0</v>
      </c>
      <c r="Y78" s="165">
        <v>1.1725229937564899E-2</v>
      </c>
      <c r="Z78" s="165">
        <v>2.7794249249094702E-3</v>
      </c>
    </row>
    <row r="79" spans="1:26">
      <c r="A79" s="5">
        <v>424</v>
      </c>
      <c r="B79" s="5">
        <v>9817</v>
      </c>
      <c r="C79" s="5" t="s">
        <v>37</v>
      </c>
      <c r="D79" s="5" t="s">
        <v>71</v>
      </c>
      <c r="E79" s="5" t="s">
        <v>72</v>
      </c>
      <c r="F79" s="5" t="s">
        <v>40</v>
      </c>
      <c r="G79" s="5" t="s">
        <v>30</v>
      </c>
      <c r="H79" s="5" t="s">
        <v>30</v>
      </c>
      <c r="I79" s="5" t="s">
        <v>31</v>
      </c>
      <c r="J79" s="5" t="s">
        <v>32</v>
      </c>
      <c r="K79" s="5" t="s">
        <v>33</v>
      </c>
      <c r="L79" s="5" t="s">
        <v>34</v>
      </c>
      <c r="M79" s="154">
        <v>7.5170000000000003</v>
      </c>
      <c r="N79" s="5" t="s">
        <v>73</v>
      </c>
      <c r="O79" s="165">
        <v>1.6E-2</v>
      </c>
      <c r="P79" s="165">
        <v>1.951E-2</v>
      </c>
      <c r="R79" s="154">
        <v>53196</v>
      </c>
      <c r="S79" s="166">
        <v>1</v>
      </c>
      <c r="T79" s="168">
        <v>105.4</v>
      </c>
      <c r="U79" s="154">
        <v>56.069000000000003</v>
      </c>
      <c r="W79" s="5" t="s">
        <v>36</v>
      </c>
      <c r="X79" s="165">
        <v>1.9999999999999999E-6</v>
      </c>
      <c r="Y79" s="165">
        <v>0.12260917644049001</v>
      </c>
      <c r="Z79" s="165">
        <v>2.9064078302595199E-2</v>
      </c>
    </row>
    <row r="80" spans="1:26">
      <c r="A80" s="5">
        <v>424</v>
      </c>
      <c r="B80" s="5">
        <v>9817</v>
      </c>
      <c r="C80" s="5" t="s">
        <v>26</v>
      </c>
      <c r="D80" s="5" t="s">
        <v>112</v>
      </c>
      <c r="E80" s="5" t="s">
        <v>113</v>
      </c>
      <c r="F80" s="5" t="s">
        <v>29</v>
      </c>
      <c r="G80" s="5" t="s">
        <v>30</v>
      </c>
      <c r="H80" s="5" t="s">
        <v>30</v>
      </c>
      <c r="I80" s="5" t="s">
        <v>31</v>
      </c>
      <c r="J80" s="5" t="s">
        <v>32</v>
      </c>
      <c r="K80" s="5" t="s">
        <v>33</v>
      </c>
      <c r="L80" s="5" t="s">
        <v>34</v>
      </c>
      <c r="M80" s="154">
        <v>0.753</v>
      </c>
      <c r="N80" s="5" t="s">
        <v>114</v>
      </c>
      <c r="O80" s="165">
        <v>0</v>
      </c>
      <c r="P80" s="165">
        <v>4.1829999999999999E-2</v>
      </c>
      <c r="R80" s="154">
        <v>15000</v>
      </c>
      <c r="S80" s="166">
        <v>1</v>
      </c>
      <c r="T80" s="168">
        <v>96.96</v>
      </c>
      <c r="U80" s="154">
        <v>14.544</v>
      </c>
      <c r="W80" s="5" t="s">
        <v>36</v>
      </c>
      <c r="X80" s="165">
        <v>9.9999999999999995E-7</v>
      </c>
      <c r="Y80" s="165">
        <v>3.1804403374097803E-2</v>
      </c>
      <c r="Z80" s="165">
        <v>7.5391230645836197E-3</v>
      </c>
    </row>
    <row r="81" spans="1:26">
      <c r="A81" s="5">
        <v>969</v>
      </c>
      <c r="B81" s="5">
        <v>969</v>
      </c>
      <c r="C81" s="5" t="s">
        <v>37</v>
      </c>
      <c r="D81" s="5" t="s">
        <v>42</v>
      </c>
      <c r="E81" s="5" t="s">
        <v>43</v>
      </c>
      <c r="F81" s="5" t="s">
        <v>40</v>
      </c>
      <c r="G81" s="5" t="s">
        <v>30</v>
      </c>
      <c r="H81" s="5" t="s">
        <v>30</v>
      </c>
      <c r="I81" s="5" t="s">
        <v>31</v>
      </c>
      <c r="J81" s="5" t="s">
        <v>32</v>
      </c>
      <c r="K81" s="5" t="s">
        <v>33</v>
      </c>
      <c r="L81" s="5" t="s">
        <v>34</v>
      </c>
      <c r="M81" s="154">
        <v>17.658000000000001</v>
      </c>
      <c r="N81" s="5" t="s">
        <v>44</v>
      </c>
      <c r="O81" s="165">
        <v>0.01</v>
      </c>
      <c r="P81" s="165">
        <v>2.0719999999999999E-2</v>
      </c>
      <c r="R81" s="154">
        <v>1512638</v>
      </c>
      <c r="S81" s="166">
        <v>1</v>
      </c>
      <c r="T81" s="168">
        <v>99.57</v>
      </c>
      <c r="U81" s="154">
        <v>1506.134</v>
      </c>
      <c r="W81" s="5" t="s">
        <v>36</v>
      </c>
      <c r="X81" s="165">
        <v>6.6000000000000005E-5</v>
      </c>
      <c r="Y81" s="165">
        <v>0.113405475844919</v>
      </c>
      <c r="Z81" s="165">
        <v>1.9841433451810601E-2</v>
      </c>
    </row>
    <row r="82" spans="1:26">
      <c r="A82" s="5">
        <v>969</v>
      </c>
      <c r="B82" s="5">
        <v>969</v>
      </c>
      <c r="C82" s="5" t="s">
        <v>37</v>
      </c>
      <c r="D82" s="5" t="s">
        <v>45</v>
      </c>
      <c r="E82" s="5" t="s">
        <v>46</v>
      </c>
      <c r="F82" s="5" t="s">
        <v>40</v>
      </c>
      <c r="G82" s="5" t="s">
        <v>30</v>
      </c>
      <c r="H82" s="5" t="s">
        <v>30</v>
      </c>
      <c r="I82" s="5" t="s">
        <v>31</v>
      </c>
      <c r="J82" s="5" t="s">
        <v>32</v>
      </c>
      <c r="K82" s="5" t="s">
        <v>33</v>
      </c>
      <c r="L82" s="5" t="s">
        <v>34</v>
      </c>
      <c r="M82" s="154">
        <v>6.1310000000000002</v>
      </c>
      <c r="N82" s="5" t="s">
        <v>47</v>
      </c>
      <c r="O82" s="165">
        <v>1E-3</v>
      </c>
      <c r="P82" s="165">
        <v>1.9009999999999999E-2</v>
      </c>
      <c r="R82" s="154">
        <v>2139078</v>
      </c>
      <c r="S82" s="166">
        <v>1</v>
      </c>
      <c r="T82" s="168">
        <v>106.54</v>
      </c>
      <c r="U82" s="154">
        <v>2278.9740000000002</v>
      </c>
      <c r="W82" s="5" t="s">
        <v>36</v>
      </c>
      <c r="X82" s="165">
        <v>6.2000000000000003E-5</v>
      </c>
      <c r="Y82" s="165">
        <v>0.17159705308363599</v>
      </c>
      <c r="Z82" s="165">
        <v>3.00226376541264E-2</v>
      </c>
    </row>
    <row r="83" spans="1:26">
      <c r="A83" s="5">
        <v>969</v>
      </c>
      <c r="B83" s="5">
        <v>969</v>
      </c>
      <c r="C83" s="5" t="s">
        <v>48</v>
      </c>
      <c r="D83" s="5" t="s">
        <v>49</v>
      </c>
      <c r="E83" s="5" t="s">
        <v>50</v>
      </c>
      <c r="F83" s="5" t="s">
        <v>51</v>
      </c>
      <c r="G83" s="5" t="s">
        <v>30</v>
      </c>
      <c r="H83" s="5" t="s">
        <v>30</v>
      </c>
      <c r="I83" s="5" t="s">
        <v>31</v>
      </c>
      <c r="J83" s="5" t="s">
        <v>32</v>
      </c>
      <c r="K83" s="5" t="s">
        <v>33</v>
      </c>
      <c r="L83" s="5" t="s">
        <v>34</v>
      </c>
      <c r="M83" s="154">
        <v>1.462</v>
      </c>
      <c r="N83" s="5" t="s">
        <v>52</v>
      </c>
      <c r="O83" s="165">
        <v>0.02</v>
      </c>
      <c r="P83" s="165">
        <v>3.9870000000000003E-2</v>
      </c>
      <c r="R83" s="154">
        <v>146623</v>
      </c>
      <c r="S83" s="166">
        <v>1</v>
      </c>
      <c r="T83" s="168">
        <v>98.22</v>
      </c>
      <c r="U83" s="154">
        <v>144.01300000000001</v>
      </c>
      <c r="W83" s="5" t="s">
        <v>36</v>
      </c>
      <c r="X83" s="165">
        <v>5.0000000000000004E-6</v>
      </c>
      <c r="Y83" s="165">
        <v>1.08435763744687E-2</v>
      </c>
      <c r="Z83" s="165">
        <v>1.8971932123265801E-3</v>
      </c>
    </row>
    <row r="84" spans="1:26">
      <c r="A84" s="5">
        <v>969</v>
      </c>
      <c r="B84" s="5">
        <v>969</v>
      </c>
      <c r="C84" s="5" t="s">
        <v>48</v>
      </c>
      <c r="D84" s="5" t="s">
        <v>106</v>
      </c>
      <c r="E84" s="5" t="s">
        <v>107</v>
      </c>
      <c r="F84" s="5" t="s">
        <v>51</v>
      </c>
      <c r="G84" s="5" t="s">
        <v>30</v>
      </c>
      <c r="H84" s="5" t="s">
        <v>30</v>
      </c>
      <c r="I84" s="5" t="s">
        <v>31</v>
      </c>
      <c r="J84" s="5" t="s">
        <v>32</v>
      </c>
      <c r="K84" s="5" t="s">
        <v>33</v>
      </c>
      <c r="L84" s="5" t="s">
        <v>34</v>
      </c>
      <c r="M84" s="154">
        <v>14.433999999999999</v>
      </c>
      <c r="N84" s="5" t="s">
        <v>108</v>
      </c>
      <c r="O84" s="165">
        <v>3.7499999999999999E-2</v>
      </c>
      <c r="P84" s="165">
        <v>4.4900000000000002E-2</v>
      </c>
      <c r="R84" s="154">
        <v>253360</v>
      </c>
      <c r="S84" s="166">
        <v>1</v>
      </c>
      <c r="T84" s="168">
        <v>91.85</v>
      </c>
      <c r="U84" s="154">
        <v>232.71100000000001</v>
      </c>
      <c r="W84" s="5" t="s">
        <v>36</v>
      </c>
      <c r="X84" s="165">
        <v>1.0000000000000001E-5</v>
      </c>
      <c r="Y84" s="165">
        <v>1.7522163267898998E-2</v>
      </c>
      <c r="Z84" s="165">
        <v>3.0656794464423202E-3</v>
      </c>
    </row>
    <row r="85" spans="1:26">
      <c r="A85" s="5">
        <v>969</v>
      </c>
      <c r="B85" s="5">
        <v>969</v>
      </c>
      <c r="C85" s="5" t="s">
        <v>37</v>
      </c>
      <c r="D85" s="5" t="s">
        <v>53</v>
      </c>
      <c r="E85" s="5" t="s">
        <v>54</v>
      </c>
      <c r="F85" s="5" t="s">
        <v>40</v>
      </c>
      <c r="G85" s="5" t="s">
        <v>30</v>
      </c>
      <c r="H85" s="5" t="s">
        <v>30</v>
      </c>
      <c r="I85" s="5" t="s">
        <v>31</v>
      </c>
      <c r="J85" s="5" t="s">
        <v>32</v>
      </c>
      <c r="K85" s="5" t="s">
        <v>33</v>
      </c>
      <c r="L85" s="5" t="s">
        <v>34</v>
      </c>
      <c r="M85" s="154">
        <v>13.218999999999999</v>
      </c>
      <c r="N85" s="5" t="s">
        <v>55</v>
      </c>
      <c r="O85" s="165">
        <v>2.75E-2</v>
      </c>
      <c r="P85" s="165">
        <v>2.019E-2</v>
      </c>
      <c r="R85" s="154">
        <v>506322</v>
      </c>
      <c r="S85" s="166">
        <v>1</v>
      </c>
      <c r="T85" s="168">
        <v>139.93</v>
      </c>
      <c r="U85" s="154">
        <v>708.49599999999998</v>
      </c>
      <c r="W85" s="5" t="s">
        <v>36</v>
      </c>
      <c r="X85" s="165">
        <v>2.5000000000000001E-5</v>
      </c>
      <c r="Y85" s="165">
        <v>5.3346771811269199E-2</v>
      </c>
      <c r="Z85" s="165">
        <v>9.3335565577951692E-3</v>
      </c>
    </row>
    <row r="86" spans="1:26">
      <c r="A86" s="5">
        <v>969</v>
      </c>
      <c r="B86" s="5">
        <v>969</v>
      </c>
      <c r="C86" s="5" t="s">
        <v>37</v>
      </c>
      <c r="D86" s="5" t="s">
        <v>62</v>
      </c>
      <c r="E86" s="5" t="s">
        <v>63</v>
      </c>
      <c r="F86" s="5" t="s">
        <v>40</v>
      </c>
      <c r="G86" s="5" t="s">
        <v>30</v>
      </c>
      <c r="H86" s="5" t="s">
        <v>30</v>
      </c>
      <c r="I86" s="5" t="s">
        <v>31</v>
      </c>
      <c r="J86" s="5" t="s">
        <v>32</v>
      </c>
      <c r="K86" s="5" t="s">
        <v>33</v>
      </c>
      <c r="L86" s="5" t="s">
        <v>34</v>
      </c>
      <c r="M86" s="154">
        <v>3.621</v>
      </c>
      <c r="N86" s="5" t="s">
        <v>64</v>
      </c>
      <c r="O86" s="165">
        <v>5.0000000000000001E-3</v>
      </c>
      <c r="P86" s="165">
        <v>1.9359999999999999E-2</v>
      </c>
      <c r="R86" s="154">
        <v>2281306</v>
      </c>
      <c r="S86" s="166">
        <v>1</v>
      </c>
      <c r="T86" s="168">
        <v>113</v>
      </c>
      <c r="U86" s="154">
        <v>2577.8760000000002</v>
      </c>
      <c r="W86" s="5" t="s">
        <v>36</v>
      </c>
      <c r="X86" s="165">
        <v>7.7999999999999999E-5</v>
      </c>
      <c r="Y86" s="165">
        <v>0.194103111778234</v>
      </c>
      <c r="Z86" s="165">
        <v>3.3960299945337703E-2</v>
      </c>
    </row>
    <row r="87" spans="1:26">
      <c r="A87" s="5">
        <v>969</v>
      </c>
      <c r="B87" s="5">
        <v>969</v>
      </c>
      <c r="C87" s="5" t="s">
        <v>37</v>
      </c>
      <c r="D87" s="5" t="s">
        <v>65</v>
      </c>
      <c r="E87" s="5" t="s">
        <v>66</v>
      </c>
      <c r="F87" s="5" t="s">
        <v>40</v>
      </c>
      <c r="G87" s="5" t="s">
        <v>30</v>
      </c>
      <c r="H87" s="5" t="s">
        <v>30</v>
      </c>
      <c r="I87" s="5" t="s">
        <v>31</v>
      </c>
      <c r="J87" s="5" t="s">
        <v>32</v>
      </c>
      <c r="K87" s="5" t="s">
        <v>33</v>
      </c>
      <c r="L87" s="5" t="s">
        <v>34</v>
      </c>
      <c r="M87" s="154">
        <v>0.81599999999999995</v>
      </c>
      <c r="N87" s="5" t="s">
        <v>67</v>
      </c>
      <c r="O87" s="165">
        <v>1E-3</v>
      </c>
      <c r="P87" s="165">
        <v>2.7019999999999999E-2</v>
      </c>
      <c r="R87" s="154">
        <v>2690862</v>
      </c>
      <c r="S87" s="166">
        <v>1</v>
      </c>
      <c r="T87" s="168">
        <v>116.31</v>
      </c>
      <c r="U87" s="154">
        <v>3129.7420000000002</v>
      </c>
      <c r="W87" s="5" t="s">
        <v>36</v>
      </c>
      <c r="X87" s="165">
        <v>1.3300000000000001E-4</v>
      </c>
      <c r="Y87" s="165">
        <v>0.23565626661335301</v>
      </c>
      <c r="Z87" s="165">
        <v>4.1230444091650803E-2</v>
      </c>
    </row>
    <row r="88" spans="1:26">
      <c r="A88" s="5">
        <v>969</v>
      </c>
      <c r="B88" s="5">
        <v>969</v>
      </c>
      <c r="C88" s="5" t="s">
        <v>37</v>
      </c>
      <c r="D88" s="5" t="s">
        <v>68</v>
      </c>
      <c r="E88" s="5" t="s">
        <v>69</v>
      </c>
      <c r="F88" s="5" t="s">
        <v>40</v>
      </c>
      <c r="G88" s="5" t="s">
        <v>30</v>
      </c>
      <c r="H88" s="5" t="s">
        <v>30</v>
      </c>
      <c r="I88" s="5" t="s">
        <v>31</v>
      </c>
      <c r="J88" s="5" t="s">
        <v>32</v>
      </c>
      <c r="K88" s="5" t="s">
        <v>33</v>
      </c>
      <c r="L88" s="5" t="s">
        <v>34</v>
      </c>
      <c r="M88" s="154">
        <v>3.0049999999999999</v>
      </c>
      <c r="N88" s="5" t="s">
        <v>70</v>
      </c>
      <c r="O88" s="165">
        <v>1.0999999999999999E-2</v>
      </c>
      <c r="P88" s="165">
        <v>1.9990000000000001E-2</v>
      </c>
      <c r="R88" s="154">
        <v>943783</v>
      </c>
      <c r="S88" s="166">
        <v>1</v>
      </c>
      <c r="T88" s="168">
        <v>105.65</v>
      </c>
      <c r="U88" s="154">
        <v>997.10699999999997</v>
      </c>
      <c r="W88" s="5" t="s">
        <v>36</v>
      </c>
      <c r="X88" s="165">
        <v>3.0000000000000001E-5</v>
      </c>
      <c r="Y88" s="165">
        <v>7.5077908103081403E-2</v>
      </c>
      <c r="Z88" s="165">
        <v>1.31356383475303E-2</v>
      </c>
    </row>
    <row r="89" spans="1:26">
      <c r="A89" s="5">
        <v>969</v>
      </c>
      <c r="B89" s="5">
        <v>969</v>
      </c>
      <c r="C89" s="5" t="s">
        <v>37</v>
      </c>
      <c r="D89" s="5" t="s">
        <v>71</v>
      </c>
      <c r="E89" s="5" t="s">
        <v>72</v>
      </c>
      <c r="F89" s="5" t="s">
        <v>40</v>
      </c>
      <c r="G89" s="5" t="s">
        <v>30</v>
      </c>
      <c r="H89" s="5" t="s">
        <v>30</v>
      </c>
      <c r="I89" s="5" t="s">
        <v>31</v>
      </c>
      <c r="J89" s="5" t="s">
        <v>32</v>
      </c>
      <c r="K89" s="5" t="s">
        <v>33</v>
      </c>
      <c r="L89" s="5" t="s">
        <v>34</v>
      </c>
      <c r="M89" s="154">
        <v>7.5170000000000003</v>
      </c>
      <c r="N89" s="5" t="s">
        <v>73</v>
      </c>
      <c r="O89" s="165">
        <v>1.6E-2</v>
      </c>
      <c r="P89" s="165">
        <v>1.951E-2</v>
      </c>
      <c r="R89" s="154">
        <v>1618509</v>
      </c>
      <c r="S89" s="166">
        <v>1</v>
      </c>
      <c r="T89" s="168">
        <v>105.4</v>
      </c>
      <c r="U89" s="154">
        <v>1705.9079999999999</v>
      </c>
      <c r="W89" s="5" t="s">
        <v>36</v>
      </c>
      <c r="X89" s="165">
        <v>6.0999999999999999E-5</v>
      </c>
      <c r="Y89" s="165">
        <v>0.12844767312313901</v>
      </c>
      <c r="Z89" s="165">
        <v>2.24732177994461E-2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124</v>
      </c>
      <c r="N1" s="19" t="s">
        <v>125</v>
      </c>
      <c r="O1" s="19" t="s">
        <v>9</v>
      </c>
      <c r="P1" s="19" t="s">
        <v>10</v>
      </c>
      <c r="Q1" s="19" t="s">
        <v>126</v>
      </c>
      <c r="R1" s="19" t="s">
        <v>11</v>
      </c>
      <c r="S1" s="19" t="s">
        <v>12</v>
      </c>
      <c r="T1" s="19" t="s">
        <v>127</v>
      </c>
      <c r="U1" s="19" t="s">
        <v>13</v>
      </c>
      <c r="V1" s="19" t="s">
        <v>14</v>
      </c>
      <c r="W1" s="19" t="s">
        <v>15</v>
      </c>
      <c r="X1" s="19" t="s">
        <v>128</v>
      </c>
      <c r="Y1" s="19" t="s">
        <v>129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130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8"/>
      <c r="X2" s="18"/>
      <c r="Y2" s="2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8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8"/>
      <c r="W9" s="18"/>
      <c r="X9" s="18"/>
      <c r="Y9" s="18"/>
      <c r="Z9" s="18"/>
      <c r="AB9" s="20"/>
      <c r="AC9" s="20"/>
      <c r="AD9" s="27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93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131</v>
      </c>
      <c r="M1" s="19" t="s">
        <v>8</v>
      </c>
      <c r="N1" s="19" t="s">
        <v>124</v>
      </c>
      <c r="O1" s="19" t="s">
        <v>125</v>
      </c>
      <c r="P1" s="19" t="s">
        <v>9</v>
      </c>
      <c r="Q1" s="19" t="s">
        <v>10</v>
      </c>
      <c r="R1" s="19" t="s">
        <v>126</v>
      </c>
      <c r="S1" s="19" t="s">
        <v>11</v>
      </c>
      <c r="T1" s="19" t="s">
        <v>12</v>
      </c>
      <c r="U1" s="19" t="s">
        <v>13</v>
      </c>
      <c r="V1" s="163" t="s">
        <v>14</v>
      </c>
      <c r="W1" s="163" t="s">
        <v>15</v>
      </c>
      <c r="X1" s="19" t="s">
        <v>128</v>
      </c>
      <c r="Y1" s="19" t="s">
        <v>129</v>
      </c>
      <c r="Z1" s="19" t="s">
        <v>17</v>
      </c>
      <c r="AA1" s="161" t="s">
        <v>18</v>
      </c>
      <c r="AB1" s="167" t="s">
        <v>19</v>
      </c>
      <c r="AC1" s="19" t="s">
        <v>16</v>
      </c>
      <c r="AD1" s="19" t="s">
        <v>20</v>
      </c>
      <c r="AE1" s="19" t="s">
        <v>21</v>
      </c>
      <c r="AF1" s="19" t="s">
        <v>130</v>
      </c>
      <c r="AG1" s="19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3">
        <v>1182</v>
      </c>
      <c r="B2" s="20">
        <v>1182</v>
      </c>
      <c r="C2" s="20" t="s">
        <v>132</v>
      </c>
      <c r="D2" s="20" t="s">
        <v>133</v>
      </c>
      <c r="E2" s="18" t="s">
        <v>134</v>
      </c>
      <c r="F2" s="20" t="s">
        <v>135</v>
      </c>
      <c r="G2" s="20" t="s">
        <v>136</v>
      </c>
      <c r="H2" s="18" t="s">
        <v>137</v>
      </c>
      <c r="I2" s="37" t="s">
        <v>138</v>
      </c>
      <c r="J2" s="18" t="s">
        <v>30</v>
      </c>
      <c r="K2" s="18" t="s">
        <v>30</v>
      </c>
      <c r="L2" s="20" t="s">
        <v>139</v>
      </c>
      <c r="M2" s="18" t="s">
        <v>31</v>
      </c>
      <c r="N2" s="20" t="s">
        <v>140</v>
      </c>
      <c r="O2" s="20" t="s">
        <v>141</v>
      </c>
      <c r="P2" s="20" t="s">
        <v>142</v>
      </c>
      <c r="Q2" s="20" t="s">
        <v>143</v>
      </c>
      <c r="R2" s="20" t="s">
        <v>144</v>
      </c>
      <c r="S2" s="18" t="s">
        <v>34</v>
      </c>
      <c r="T2" s="155">
        <v>4.7809999999999997</v>
      </c>
      <c r="U2" s="20" t="s">
        <v>145</v>
      </c>
      <c r="V2" s="169">
        <v>5.1499999999999997E-2</v>
      </c>
      <c r="W2" s="169">
        <v>4.1050000000000003E-2</v>
      </c>
      <c r="X2" s="18" t="s">
        <v>146</v>
      </c>
      <c r="Y2" s="28" t="s">
        <v>141</v>
      </c>
      <c r="Z2" s="155">
        <v>0.33</v>
      </c>
      <c r="AA2" s="170">
        <v>1</v>
      </c>
      <c r="AB2" s="171">
        <v>153.07</v>
      </c>
      <c r="AC2" s="20"/>
      <c r="AD2" s="155">
        <v>1E-3</v>
      </c>
      <c r="AE2" s="20"/>
      <c r="AF2" s="37"/>
      <c r="AG2" s="18" t="s">
        <v>36</v>
      </c>
      <c r="AH2" s="164">
        <v>0</v>
      </c>
      <c r="AI2" s="164">
        <v>1.08496315540748E-8</v>
      </c>
      <c r="AJ2" s="164">
        <v>1.0940418922781501E-9</v>
      </c>
    </row>
    <row r="3" spans="1:36">
      <c r="A3" s="20">
        <v>1182</v>
      </c>
      <c r="B3" s="20">
        <v>1182</v>
      </c>
      <c r="C3" s="20" t="s">
        <v>147</v>
      </c>
      <c r="D3" s="20" t="s">
        <v>148</v>
      </c>
      <c r="E3" s="18" t="s">
        <v>134</v>
      </c>
      <c r="F3" s="20" t="s">
        <v>149</v>
      </c>
      <c r="G3" s="20" t="s">
        <v>150</v>
      </c>
      <c r="H3" s="18" t="s">
        <v>137</v>
      </c>
      <c r="I3" s="21" t="s">
        <v>138</v>
      </c>
      <c r="J3" s="18" t="s">
        <v>30</v>
      </c>
      <c r="K3" s="18" t="s">
        <v>30</v>
      </c>
      <c r="L3" s="20" t="s">
        <v>139</v>
      </c>
      <c r="M3" s="18" t="s">
        <v>31</v>
      </c>
      <c r="N3" s="20" t="s">
        <v>151</v>
      </c>
      <c r="O3" s="20" t="s">
        <v>141</v>
      </c>
      <c r="P3" s="20" t="s">
        <v>152</v>
      </c>
      <c r="Q3" s="20" t="s">
        <v>143</v>
      </c>
      <c r="R3" s="20" t="s">
        <v>144</v>
      </c>
      <c r="S3" s="18" t="s">
        <v>34</v>
      </c>
      <c r="T3" s="155">
        <v>2.3959999999999999</v>
      </c>
      <c r="U3" s="20" t="s">
        <v>153</v>
      </c>
      <c r="V3" s="169">
        <v>2.75E-2</v>
      </c>
      <c r="W3" s="169">
        <v>3.0259999999999999E-2</v>
      </c>
      <c r="X3" s="18" t="s">
        <v>146</v>
      </c>
      <c r="Y3" s="18" t="s">
        <v>141</v>
      </c>
      <c r="Z3" s="155">
        <v>102921.97</v>
      </c>
      <c r="AA3" s="170">
        <v>1</v>
      </c>
      <c r="AB3" s="171">
        <v>117.38</v>
      </c>
      <c r="AC3" s="20"/>
      <c r="AD3" s="155">
        <v>120.81</v>
      </c>
      <c r="AE3" s="20"/>
      <c r="AG3" s="18" t="s">
        <v>36</v>
      </c>
      <c r="AH3" s="164">
        <v>1.3799999999999999E-4</v>
      </c>
      <c r="AI3" s="164">
        <v>2.59485541197525E-3</v>
      </c>
      <c r="AJ3" s="164">
        <v>2.61656860046958E-4</v>
      </c>
    </row>
    <row r="4" spans="1:36">
      <c r="A4" s="20">
        <v>1182</v>
      </c>
      <c r="B4" s="20">
        <v>1182</v>
      </c>
      <c r="C4" s="20" t="s">
        <v>147</v>
      </c>
      <c r="D4" s="20" t="s">
        <v>148</v>
      </c>
      <c r="E4" s="18" t="s">
        <v>134</v>
      </c>
      <c r="F4" s="20" t="s">
        <v>154</v>
      </c>
      <c r="G4" s="20" t="s">
        <v>155</v>
      </c>
      <c r="H4" s="18" t="s">
        <v>137</v>
      </c>
      <c r="I4" s="21" t="s">
        <v>156</v>
      </c>
      <c r="J4" s="18" t="s">
        <v>30</v>
      </c>
      <c r="K4" s="18" t="s">
        <v>30</v>
      </c>
      <c r="L4" s="20" t="s">
        <v>139</v>
      </c>
      <c r="M4" s="18" t="s">
        <v>31</v>
      </c>
      <c r="N4" s="20" t="s">
        <v>151</v>
      </c>
      <c r="O4" s="20" t="s">
        <v>141</v>
      </c>
      <c r="P4" s="20" t="s">
        <v>152</v>
      </c>
      <c r="Q4" s="20" t="s">
        <v>143</v>
      </c>
      <c r="R4" s="20" t="s">
        <v>144</v>
      </c>
      <c r="S4" s="18" t="s">
        <v>34</v>
      </c>
      <c r="T4" s="155">
        <v>2.7879999999999998</v>
      </c>
      <c r="U4" s="20" t="s">
        <v>157</v>
      </c>
      <c r="V4" s="169">
        <v>2.5000000000000001E-2</v>
      </c>
      <c r="W4" s="169">
        <v>4.9959999999999997E-2</v>
      </c>
      <c r="X4" s="18" t="s">
        <v>146</v>
      </c>
      <c r="Y4" s="18" t="s">
        <v>141</v>
      </c>
      <c r="Z4" s="155">
        <v>249600</v>
      </c>
      <c r="AA4" s="170">
        <v>1</v>
      </c>
      <c r="AB4" s="171">
        <v>93.71</v>
      </c>
      <c r="AC4" s="20"/>
      <c r="AD4" s="155">
        <v>233.9</v>
      </c>
      <c r="AE4" s="20"/>
      <c r="AG4" s="18" t="s">
        <v>36</v>
      </c>
      <c r="AH4" s="164">
        <v>3.7599999999999998E-4</v>
      </c>
      <c r="AI4" s="164">
        <v>5.0239057916444197E-3</v>
      </c>
      <c r="AJ4" s="164">
        <v>5.06594474800719E-4</v>
      </c>
    </row>
    <row r="5" spans="1:36">
      <c r="A5" s="20">
        <v>1182</v>
      </c>
      <c r="B5" s="20">
        <v>1182</v>
      </c>
      <c r="C5" s="20" t="s">
        <v>158</v>
      </c>
      <c r="D5" s="20" t="s">
        <v>159</v>
      </c>
      <c r="E5" s="18" t="s">
        <v>134</v>
      </c>
      <c r="F5" s="20" t="s">
        <v>160</v>
      </c>
      <c r="G5" s="20" t="s">
        <v>161</v>
      </c>
      <c r="H5" s="18" t="s">
        <v>137</v>
      </c>
      <c r="I5" s="21" t="s">
        <v>156</v>
      </c>
      <c r="J5" s="18" t="s">
        <v>30</v>
      </c>
      <c r="K5" s="18" t="s">
        <v>30</v>
      </c>
      <c r="L5" s="20" t="s">
        <v>139</v>
      </c>
      <c r="M5" s="18" t="s">
        <v>31</v>
      </c>
      <c r="N5" s="20" t="s">
        <v>162</v>
      </c>
      <c r="O5" s="20" t="s">
        <v>141</v>
      </c>
      <c r="P5" s="20" t="s">
        <v>163</v>
      </c>
      <c r="Q5" s="20" t="s">
        <v>164</v>
      </c>
      <c r="R5" s="20" t="s">
        <v>144</v>
      </c>
      <c r="S5" s="18" t="s">
        <v>34</v>
      </c>
      <c r="T5" s="155">
        <v>1.6819999999999999</v>
      </c>
      <c r="U5" s="20" t="s">
        <v>165</v>
      </c>
      <c r="V5" s="169">
        <v>2.5499999999999998E-2</v>
      </c>
      <c r="W5" s="169">
        <v>5.1679999999999997E-2</v>
      </c>
      <c r="X5" s="18" t="s">
        <v>146</v>
      </c>
      <c r="Y5" s="18" t="s">
        <v>141</v>
      </c>
      <c r="Z5" s="155">
        <v>334156.25</v>
      </c>
      <c r="AA5" s="170">
        <v>1</v>
      </c>
      <c r="AB5" s="171">
        <v>96.49</v>
      </c>
      <c r="AC5" s="20"/>
      <c r="AD5" s="155">
        <v>322.42700000000002</v>
      </c>
      <c r="AE5" s="20"/>
      <c r="AG5" s="18" t="s">
        <v>36</v>
      </c>
      <c r="AH5" s="164">
        <v>5.1099999999999995E-4</v>
      </c>
      <c r="AI5" s="164">
        <v>6.9253681123950103E-3</v>
      </c>
      <c r="AJ5" s="164">
        <v>6.9833180939327404E-4</v>
      </c>
    </row>
    <row r="6" spans="1:36">
      <c r="A6" s="20">
        <v>1182</v>
      </c>
      <c r="B6" s="20">
        <v>1182</v>
      </c>
      <c r="C6" s="20" t="s">
        <v>166</v>
      </c>
      <c r="D6" s="20" t="s">
        <v>167</v>
      </c>
      <c r="E6" s="18" t="s">
        <v>134</v>
      </c>
      <c r="F6" s="20" t="s">
        <v>168</v>
      </c>
      <c r="G6" s="20" t="s">
        <v>169</v>
      </c>
      <c r="H6" s="18" t="s">
        <v>137</v>
      </c>
      <c r="I6" s="21" t="s">
        <v>156</v>
      </c>
      <c r="J6" s="18" t="s">
        <v>30</v>
      </c>
      <c r="K6" s="18" t="s">
        <v>30</v>
      </c>
      <c r="L6" s="20" t="s">
        <v>139</v>
      </c>
      <c r="M6" s="18" t="s">
        <v>31</v>
      </c>
      <c r="N6" s="20" t="s">
        <v>170</v>
      </c>
      <c r="O6" s="20" t="s">
        <v>141</v>
      </c>
      <c r="P6" s="20" t="s">
        <v>171</v>
      </c>
      <c r="Q6" s="20" t="s">
        <v>164</v>
      </c>
      <c r="R6" s="20" t="s">
        <v>144</v>
      </c>
      <c r="S6" s="18" t="s">
        <v>34</v>
      </c>
      <c r="T6" s="155">
        <v>5.9370000000000003</v>
      </c>
      <c r="U6" s="20" t="s">
        <v>172</v>
      </c>
      <c r="V6" s="169">
        <v>5.1299999999999998E-2</v>
      </c>
      <c r="W6" s="169">
        <v>5.1470000000000002E-2</v>
      </c>
      <c r="X6" s="18" t="s">
        <v>146</v>
      </c>
      <c r="Y6" s="18" t="s">
        <v>141</v>
      </c>
      <c r="Z6" s="153">
        <v>670000</v>
      </c>
      <c r="AA6" s="162">
        <v>1</v>
      </c>
      <c r="AB6" s="172">
        <v>100.43</v>
      </c>
      <c r="AC6" s="20"/>
      <c r="AD6" s="153">
        <v>672.88099999999997</v>
      </c>
      <c r="AG6" s="3" t="s">
        <v>36</v>
      </c>
      <c r="AH6" s="164">
        <v>1.967E-3</v>
      </c>
      <c r="AI6" s="164">
        <v>1.44527081682522E-2</v>
      </c>
      <c r="AJ6" s="164">
        <v>1.4573645302268399E-3</v>
      </c>
    </row>
    <row r="7" spans="1:36">
      <c r="A7" s="20">
        <v>1182</v>
      </c>
      <c r="B7" s="20">
        <v>1182</v>
      </c>
      <c r="C7" s="20" t="s">
        <v>166</v>
      </c>
      <c r="D7" s="20" t="s">
        <v>167</v>
      </c>
      <c r="E7" s="18" t="s">
        <v>134</v>
      </c>
      <c r="F7" s="20" t="s">
        <v>173</v>
      </c>
      <c r="G7" s="20" t="s">
        <v>174</v>
      </c>
      <c r="H7" s="18" t="s">
        <v>137</v>
      </c>
      <c r="I7" s="21" t="s">
        <v>156</v>
      </c>
      <c r="J7" s="18" t="s">
        <v>30</v>
      </c>
      <c r="K7" s="18" t="s">
        <v>30</v>
      </c>
      <c r="L7" s="20" t="s">
        <v>139</v>
      </c>
      <c r="M7" s="18" t="s">
        <v>31</v>
      </c>
      <c r="N7" s="20" t="s">
        <v>170</v>
      </c>
      <c r="O7" s="20" t="s">
        <v>141</v>
      </c>
      <c r="P7" s="20" t="s">
        <v>171</v>
      </c>
      <c r="Q7" s="20" t="s">
        <v>164</v>
      </c>
      <c r="R7" s="20" t="s">
        <v>144</v>
      </c>
      <c r="S7" s="18" t="s">
        <v>34</v>
      </c>
      <c r="T7" s="155">
        <v>3.0779999999999998</v>
      </c>
      <c r="U7" s="20" t="s">
        <v>175</v>
      </c>
      <c r="V7" s="169">
        <v>2.18E-2</v>
      </c>
      <c r="W7" s="169">
        <v>4.58E-2</v>
      </c>
      <c r="X7" s="18" t="s">
        <v>146</v>
      </c>
      <c r="Y7" s="18" t="s">
        <v>141</v>
      </c>
      <c r="Z7" s="153">
        <v>965867</v>
      </c>
      <c r="AA7" s="162">
        <v>1</v>
      </c>
      <c r="AB7" s="172">
        <v>93.75</v>
      </c>
      <c r="AC7" s="20"/>
      <c r="AD7" s="153">
        <v>905.5</v>
      </c>
      <c r="AG7" s="3" t="s">
        <v>36</v>
      </c>
      <c r="AH7" s="164">
        <v>5.875E-3</v>
      </c>
      <c r="AI7" s="164">
        <v>1.9449102832185199E-2</v>
      </c>
      <c r="AJ7" s="164">
        <v>1.9611848715401698E-3</v>
      </c>
    </row>
    <row r="8" spans="1:36">
      <c r="A8" s="20">
        <v>1182</v>
      </c>
      <c r="B8" s="20">
        <v>1182</v>
      </c>
      <c r="C8" s="20" t="s">
        <v>176</v>
      </c>
      <c r="D8" s="20" t="s">
        <v>177</v>
      </c>
      <c r="E8" s="18" t="s">
        <v>134</v>
      </c>
      <c r="F8" s="20" t="s">
        <v>178</v>
      </c>
      <c r="G8" s="20" t="s">
        <v>179</v>
      </c>
      <c r="H8" s="18" t="s">
        <v>137</v>
      </c>
      <c r="I8" s="21" t="s">
        <v>156</v>
      </c>
      <c r="J8" s="18" t="s">
        <v>30</v>
      </c>
      <c r="K8" s="18" t="s">
        <v>30</v>
      </c>
      <c r="L8" s="20" t="s">
        <v>139</v>
      </c>
      <c r="M8" s="18" t="s">
        <v>31</v>
      </c>
      <c r="N8" s="20" t="s">
        <v>140</v>
      </c>
      <c r="O8" s="20" t="s">
        <v>141</v>
      </c>
      <c r="P8" s="20" t="s">
        <v>180</v>
      </c>
      <c r="Q8" s="20" t="s">
        <v>143</v>
      </c>
      <c r="R8" s="20" t="s">
        <v>144</v>
      </c>
      <c r="S8" s="18" t="s">
        <v>34</v>
      </c>
      <c r="T8" s="155">
        <v>7.07</v>
      </c>
      <c r="U8" s="20" t="s">
        <v>181</v>
      </c>
      <c r="V8" s="169">
        <v>2.4E-2</v>
      </c>
      <c r="W8" s="169">
        <v>4.6629999999999998E-2</v>
      </c>
      <c r="X8" s="18" t="s">
        <v>146</v>
      </c>
      <c r="Y8" s="18" t="s">
        <v>141</v>
      </c>
      <c r="Z8" s="155">
        <v>600000</v>
      </c>
      <c r="AA8" s="170">
        <v>1</v>
      </c>
      <c r="AB8" s="171">
        <v>86.13</v>
      </c>
      <c r="AC8" s="20"/>
      <c r="AD8" s="155">
        <v>516.78</v>
      </c>
      <c r="AE8" s="20"/>
      <c r="AG8" s="18" t="s">
        <v>36</v>
      </c>
      <c r="AH8" s="164">
        <v>3.8200000000000002E-4</v>
      </c>
      <c r="AI8" s="164">
        <v>1.1099838644855999E-2</v>
      </c>
      <c r="AJ8" s="164">
        <v>1.1192719692347201E-3</v>
      </c>
    </row>
    <row r="9" spans="1:36">
      <c r="A9" s="20">
        <v>1182</v>
      </c>
      <c r="B9" s="20">
        <v>1182</v>
      </c>
      <c r="C9" s="20" t="s">
        <v>182</v>
      </c>
      <c r="D9" s="20" t="s">
        <v>183</v>
      </c>
      <c r="E9" s="18" t="s">
        <v>134</v>
      </c>
      <c r="F9" s="20" t="s">
        <v>184</v>
      </c>
      <c r="G9" s="20" t="s">
        <v>185</v>
      </c>
      <c r="H9" s="18" t="s">
        <v>137</v>
      </c>
      <c r="I9" s="21" t="s">
        <v>138</v>
      </c>
      <c r="J9" s="18" t="s">
        <v>30</v>
      </c>
      <c r="K9" s="18" t="s">
        <v>30</v>
      </c>
      <c r="L9" s="20" t="s">
        <v>139</v>
      </c>
      <c r="M9" s="18" t="s">
        <v>31</v>
      </c>
      <c r="N9" s="20" t="s">
        <v>186</v>
      </c>
      <c r="O9" s="20" t="s">
        <v>141</v>
      </c>
      <c r="P9" s="20" t="s">
        <v>180</v>
      </c>
      <c r="Q9" s="20" t="s">
        <v>143</v>
      </c>
      <c r="R9" s="20" t="s">
        <v>144</v>
      </c>
      <c r="S9" s="18" t="s">
        <v>34</v>
      </c>
      <c r="T9" s="155">
        <v>1.7490000000000001</v>
      </c>
      <c r="U9" s="20" t="s">
        <v>117</v>
      </c>
      <c r="V9" s="169">
        <v>2.3400000000000001E-2</v>
      </c>
      <c r="W9" s="169">
        <v>2.9860000000000001E-2</v>
      </c>
      <c r="X9" s="18" t="s">
        <v>146</v>
      </c>
      <c r="Y9" s="18" t="s">
        <v>141</v>
      </c>
      <c r="Z9" s="155">
        <v>102000.02</v>
      </c>
      <c r="AA9" s="170">
        <v>1</v>
      </c>
      <c r="AB9" s="171">
        <v>118.73</v>
      </c>
      <c r="AC9" s="20"/>
      <c r="AD9" s="155">
        <v>121.105</v>
      </c>
      <c r="AE9" s="20"/>
      <c r="AG9" s="18" t="s">
        <v>36</v>
      </c>
      <c r="AH9" s="164">
        <v>6.3E-5</v>
      </c>
      <c r="AI9" s="164">
        <v>2.6011877060385402E-3</v>
      </c>
      <c r="AJ9" s="164">
        <v>2.62295388179912E-4</v>
      </c>
    </row>
    <row r="10" spans="1:36">
      <c r="A10" s="20">
        <v>1182</v>
      </c>
      <c r="B10" s="20">
        <v>1182</v>
      </c>
      <c r="C10" s="20" t="s">
        <v>187</v>
      </c>
      <c r="D10" s="20" t="s">
        <v>188</v>
      </c>
      <c r="E10" s="18" t="s">
        <v>134</v>
      </c>
      <c r="F10" s="20" t="s">
        <v>189</v>
      </c>
      <c r="G10" s="20" t="s">
        <v>190</v>
      </c>
      <c r="H10" s="18" t="s">
        <v>137</v>
      </c>
      <c r="I10" s="21" t="s">
        <v>156</v>
      </c>
      <c r="J10" s="18" t="s">
        <v>30</v>
      </c>
      <c r="K10" s="18" t="s">
        <v>30</v>
      </c>
      <c r="L10" s="20" t="s">
        <v>139</v>
      </c>
      <c r="M10" s="18" t="s">
        <v>31</v>
      </c>
      <c r="N10" s="20" t="s">
        <v>186</v>
      </c>
      <c r="O10" s="20" t="s">
        <v>141</v>
      </c>
      <c r="P10" s="20" t="s">
        <v>142</v>
      </c>
      <c r="Q10" s="20" t="s">
        <v>143</v>
      </c>
      <c r="R10" s="20" t="s">
        <v>144</v>
      </c>
      <c r="S10" s="18" t="s">
        <v>34</v>
      </c>
      <c r="T10" s="155">
        <v>3.4430000000000001</v>
      </c>
      <c r="U10" s="20" t="s">
        <v>191</v>
      </c>
      <c r="V10" s="169">
        <v>2.41E-2</v>
      </c>
      <c r="W10" s="169">
        <v>4.8230000000000002E-2</v>
      </c>
      <c r="X10" s="18" t="s">
        <v>146</v>
      </c>
      <c r="Y10" s="18" t="s">
        <v>141</v>
      </c>
      <c r="Z10" s="155">
        <v>204444.44</v>
      </c>
      <c r="AA10" s="170">
        <v>1</v>
      </c>
      <c r="AB10" s="171">
        <v>93.59</v>
      </c>
      <c r="AC10" s="20"/>
      <c r="AD10" s="155">
        <v>191.34</v>
      </c>
      <c r="AE10" s="20"/>
      <c r="AG10" s="18" t="s">
        <v>36</v>
      </c>
      <c r="AH10" s="164">
        <v>9.8999999999999994E-5</v>
      </c>
      <c r="AI10" s="164">
        <v>4.1097529836192003E-3</v>
      </c>
      <c r="AJ10" s="164">
        <v>4.14414250713047E-4</v>
      </c>
    </row>
    <row r="11" spans="1:36">
      <c r="A11" s="20">
        <v>1182</v>
      </c>
      <c r="B11" s="20">
        <v>1182</v>
      </c>
      <c r="C11" s="20" t="s">
        <v>187</v>
      </c>
      <c r="D11" s="20" t="s">
        <v>188</v>
      </c>
      <c r="E11" s="18" t="s">
        <v>134</v>
      </c>
      <c r="F11" s="20" t="s">
        <v>192</v>
      </c>
      <c r="G11" s="20" t="s">
        <v>193</v>
      </c>
      <c r="H11" s="18" t="s">
        <v>137</v>
      </c>
      <c r="I11" s="21" t="s">
        <v>156</v>
      </c>
      <c r="J11" s="18" t="s">
        <v>30</v>
      </c>
      <c r="K11" s="18" t="s">
        <v>30</v>
      </c>
      <c r="L11" s="20" t="s">
        <v>139</v>
      </c>
      <c r="M11" s="18" t="s">
        <v>31</v>
      </c>
      <c r="N11" s="20" t="s">
        <v>186</v>
      </c>
      <c r="O11" s="20" t="s">
        <v>141</v>
      </c>
      <c r="P11" s="20" t="s">
        <v>142</v>
      </c>
      <c r="Q11" s="20" t="s">
        <v>143</v>
      </c>
      <c r="R11" s="20" t="s">
        <v>144</v>
      </c>
      <c r="S11" s="18" t="s">
        <v>34</v>
      </c>
      <c r="T11" s="155">
        <v>5.6870000000000003</v>
      </c>
      <c r="U11" s="20" t="s">
        <v>194</v>
      </c>
      <c r="V11" s="169">
        <v>4.9399999999999999E-2</v>
      </c>
      <c r="W11" s="169">
        <v>5.142E-2</v>
      </c>
      <c r="X11" s="18" t="s">
        <v>146</v>
      </c>
      <c r="Y11" s="18" t="s">
        <v>141</v>
      </c>
      <c r="Z11" s="155">
        <v>691354</v>
      </c>
      <c r="AA11" s="170">
        <v>1</v>
      </c>
      <c r="AB11" s="171">
        <v>101.81</v>
      </c>
      <c r="AC11" s="20"/>
      <c r="AD11" s="155">
        <v>703.86800000000005</v>
      </c>
      <c r="AE11" s="20"/>
      <c r="AG11" s="18" t="s">
        <v>36</v>
      </c>
      <c r="AH11" s="164">
        <v>3.7100000000000002E-4</v>
      </c>
      <c r="AI11" s="164">
        <v>1.51182626252893E-2</v>
      </c>
      <c r="AJ11" s="164">
        <v>1.5244768974959E-3</v>
      </c>
    </row>
    <row r="12" spans="1:36">
      <c r="A12" s="20">
        <v>1182</v>
      </c>
      <c r="B12" s="20">
        <v>1182</v>
      </c>
      <c r="C12" s="20" t="s">
        <v>195</v>
      </c>
      <c r="D12" s="20" t="s">
        <v>196</v>
      </c>
      <c r="E12" s="18" t="s">
        <v>134</v>
      </c>
      <c r="F12" s="20" t="s">
        <v>197</v>
      </c>
      <c r="G12" s="20" t="s">
        <v>198</v>
      </c>
      <c r="H12" s="18" t="s">
        <v>137</v>
      </c>
      <c r="I12" s="21" t="s">
        <v>156</v>
      </c>
      <c r="J12" s="18" t="s">
        <v>30</v>
      </c>
      <c r="K12" s="18" t="s">
        <v>30</v>
      </c>
      <c r="L12" s="20" t="s">
        <v>139</v>
      </c>
      <c r="M12" s="18" t="s">
        <v>31</v>
      </c>
      <c r="N12" s="20" t="s">
        <v>199</v>
      </c>
      <c r="O12" s="20" t="s">
        <v>141</v>
      </c>
      <c r="P12" s="20" t="s">
        <v>152</v>
      </c>
      <c r="Q12" s="20" t="s">
        <v>143</v>
      </c>
      <c r="R12" s="20" t="s">
        <v>144</v>
      </c>
      <c r="S12" s="18" t="s">
        <v>34</v>
      </c>
      <c r="T12" s="155">
        <v>2.5489999999999999</v>
      </c>
      <c r="U12" s="20" t="s">
        <v>200</v>
      </c>
      <c r="V12" s="169">
        <v>0.04</v>
      </c>
      <c r="W12" s="169">
        <v>4.802E-2</v>
      </c>
      <c r="X12" s="18" t="s">
        <v>146</v>
      </c>
      <c r="Y12" s="18" t="s">
        <v>141</v>
      </c>
      <c r="Z12" s="155">
        <v>187500.07</v>
      </c>
      <c r="AA12" s="170">
        <v>1</v>
      </c>
      <c r="AB12" s="171">
        <v>99.07</v>
      </c>
      <c r="AC12" s="20"/>
      <c r="AD12" s="155">
        <v>185.756</v>
      </c>
      <c r="AE12" s="20"/>
      <c r="AG12" s="18" t="s">
        <v>36</v>
      </c>
      <c r="AH12" s="164">
        <v>3.2299999999999999E-4</v>
      </c>
      <c r="AI12" s="164">
        <v>3.98983159572012E-3</v>
      </c>
      <c r="AJ12" s="164">
        <v>4.0232176430115001E-4</v>
      </c>
    </row>
    <row r="13" spans="1:36">
      <c r="A13" s="20">
        <v>1182</v>
      </c>
      <c r="B13" s="20">
        <v>1182</v>
      </c>
      <c r="C13" s="20" t="s">
        <v>195</v>
      </c>
      <c r="D13" s="20" t="s">
        <v>196</v>
      </c>
      <c r="E13" s="18" t="s">
        <v>134</v>
      </c>
      <c r="F13" s="20" t="s">
        <v>201</v>
      </c>
      <c r="G13" s="20" t="s">
        <v>202</v>
      </c>
      <c r="H13" s="18" t="s">
        <v>137</v>
      </c>
      <c r="I13" s="21" t="s">
        <v>156</v>
      </c>
      <c r="J13" s="18" t="s">
        <v>30</v>
      </c>
      <c r="K13" s="18" t="s">
        <v>30</v>
      </c>
      <c r="L13" s="20" t="s">
        <v>139</v>
      </c>
      <c r="M13" s="18" t="s">
        <v>31</v>
      </c>
      <c r="N13" s="20" t="s">
        <v>199</v>
      </c>
      <c r="O13" s="20" t="s">
        <v>141</v>
      </c>
      <c r="P13" s="20" t="s">
        <v>152</v>
      </c>
      <c r="Q13" s="20" t="s">
        <v>143</v>
      </c>
      <c r="R13" s="20" t="s">
        <v>144</v>
      </c>
      <c r="S13" s="18" t="s">
        <v>34</v>
      </c>
      <c r="T13" s="155">
        <v>4.508</v>
      </c>
      <c r="U13" s="20" t="s">
        <v>203</v>
      </c>
      <c r="V13" s="169">
        <v>2.07E-2</v>
      </c>
      <c r="W13" s="169">
        <v>4.9689999999999998E-2</v>
      </c>
      <c r="X13" s="18" t="s">
        <v>146</v>
      </c>
      <c r="Y13" s="18" t="s">
        <v>141</v>
      </c>
      <c r="Z13" s="155">
        <v>906757.56</v>
      </c>
      <c r="AA13" s="170">
        <v>1</v>
      </c>
      <c r="AB13" s="171">
        <v>88.43</v>
      </c>
      <c r="AC13" s="20"/>
      <c r="AD13" s="155">
        <v>801.846</v>
      </c>
      <c r="AE13" s="20"/>
      <c r="AG13" s="18" t="s">
        <v>36</v>
      </c>
      <c r="AH13" s="164">
        <v>1.2489999999999999E-3</v>
      </c>
      <c r="AI13" s="164">
        <v>1.7222721472364901E-2</v>
      </c>
      <c r="AJ13" s="164">
        <v>1.7366837478208299E-3</v>
      </c>
    </row>
    <row r="14" spans="1:36">
      <c r="A14" s="20">
        <v>1182</v>
      </c>
      <c r="B14" s="20">
        <v>1182</v>
      </c>
      <c r="C14" s="20" t="s">
        <v>204</v>
      </c>
      <c r="D14" s="20" t="s">
        <v>205</v>
      </c>
      <c r="E14" s="18" t="s">
        <v>134</v>
      </c>
      <c r="F14" s="20" t="s">
        <v>206</v>
      </c>
      <c r="G14" s="20" t="s">
        <v>207</v>
      </c>
      <c r="H14" s="18" t="s">
        <v>137</v>
      </c>
      <c r="I14" s="21" t="s">
        <v>156</v>
      </c>
      <c r="J14" s="18" t="s">
        <v>30</v>
      </c>
      <c r="K14" s="18" t="s">
        <v>30</v>
      </c>
      <c r="L14" s="20" t="s">
        <v>139</v>
      </c>
      <c r="M14" s="18" t="s">
        <v>31</v>
      </c>
      <c r="N14" s="20" t="s">
        <v>208</v>
      </c>
      <c r="O14" s="20" t="s">
        <v>141</v>
      </c>
      <c r="P14" s="20" t="s">
        <v>209</v>
      </c>
      <c r="Q14" s="20" t="s">
        <v>164</v>
      </c>
      <c r="R14" s="20" t="s">
        <v>144</v>
      </c>
      <c r="S14" s="18" t="s">
        <v>34</v>
      </c>
      <c r="T14" s="155">
        <v>3.7789999999999999</v>
      </c>
      <c r="U14" s="20" t="s">
        <v>210</v>
      </c>
      <c r="V14" s="169">
        <v>6.0699999999999997E-2</v>
      </c>
      <c r="W14" s="169">
        <v>5.4559999999999997E-2</v>
      </c>
      <c r="X14" s="18" t="s">
        <v>146</v>
      </c>
      <c r="Y14" s="18" t="s">
        <v>141</v>
      </c>
      <c r="Z14" s="155">
        <v>417080</v>
      </c>
      <c r="AA14" s="170">
        <v>1</v>
      </c>
      <c r="AB14" s="171">
        <v>104.65</v>
      </c>
      <c r="AC14" s="20"/>
      <c r="AD14" s="155">
        <v>436.47399999999999</v>
      </c>
      <c r="AE14" s="20"/>
      <c r="AG14" s="18" t="s">
        <v>36</v>
      </c>
      <c r="AH14" s="164">
        <v>1E-3</v>
      </c>
      <c r="AI14" s="164">
        <v>9.3749630686934104E-3</v>
      </c>
      <c r="AJ14" s="164">
        <v>9.4534107306704497E-4</v>
      </c>
    </row>
    <row r="15" spans="1:36">
      <c r="A15" s="20">
        <v>1182</v>
      </c>
      <c r="B15" s="20">
        <v>1182</v>
      </c>
      <c r="C15" s="20" t="s">
        <v>211</v>
      </c>
      <c r="D15" s="20" t="s">
        <v>212</v>
      </c>
      <c r="E15" s="18" t="s">
        <v>134</v>
      </c>
      <c r="F15" s="20" t="s">
        <v>213</v>
      </c>
      <c r="G15" s="20" t="s">
        <v>214</v>
      </c>
      <c r="H15" s="18" t="s">
        <v>137</v>
      </c>
      <c r="I15" s="21" t="s">
        <v>156</v>
      </c>
      <c r="J15" s="18" t="s">
        <v>30</v>
      </c>
      <c r="K15" s="18" t="s">
        <v>30</v>
      </c>
      <c r="L15" s="20" t="s">
        <v>139</v>
      </c>
      <c r="M15" s="18" t="s">
        <v>31</v>
      </c>
      <c r="N15" s="20" t="s">
        <v>186</v>
      </c>
      <c r="O15" s="20" t="s">
        <v>141</v>
      </c>
      <c r="P15" s="20" t="s">
        <v>180</v>
      </c>
      <c r="Q15" s="20" t="s">
        <v>143</v>
      </c>
      <c r="R15" s="20" t="s">
        <v>144</v>
      </c>
      <c r="S15" s="18" t="s">
        <v>34</v>
      </c>
      <c r="T15" s="155">
        <v>7.165</v>
      </c>
      <c r="U15" s="20" t="s">
        <v>215</v>
      </c>
      <c r="V15" s="169">
        <v>5.79E-2</v>
      </c>
      <c r="W15" s="169">
        <v>4.99E-2</v>
      </c>
      <c r="X15" s="18" t="s">
        <v>146</v>
      </c>
      <c r="Y15" s="18" t="s">
        <v>141</v>
      </c>
      <c r="Z15" s="155">
        <v>210800</v>
      </c>
      <c r="AA15" s="170">
        <v>1</v>
      </c>
      <c r="AB15" s="171">
        <v>110.08</v>
      </c>
      <c r="AC15" s="20"/>
      <c r="AD15" s="155">
        <v>232.04900000000001</v>
      </c>
      <c r="AE15" s="20"/>
      <c r="AG15" s="18" t="s">
        <v>36</v>
      </c>
      <c r="AH15" s="164">
        <v>2.33E-4</v>
      </c>
      <c r="AI15" s="164">
        <v>4.9841372765166599E-3</v>
      </c>
      <c r="AJ15" s="164">
        <v>5.02584345855177E-4</v>
      </c>
    </row>
    <row r="16" spans="1:36">
      <c r="A16" s="20">
        <v>1182</v>
      </c>
      <c r="B16" s="20">
        <v>1182</v>
      </c>
      <c r="C16" s="20" t="s">
        <v>216</v>
      </c>
      <c r="D16" s="20" t="s">
        <v>217</v>
      </c>
      <c r="E16" s="18" t="s">
        <v>134</v>
      </c>
      <c r="F16" s="20" t="s">
        <v>218</v>
      </c>
      <c r="G16" s="20" t="s">
        <v>219</v>
      </c>
      <c r="H16" s="18" t="s">
        <v>137</v>
      </c>
      <c r="I16" s="21" t="s">
        <v>156</v>
      </c>
      <c r="J16" s="18" t="s">
        <v>30</v>
      </c>
      <c r="K16" s="18" t="s">
        <v>30</v>
      </c>
      <c r="L16" s="20" t="s">
        <v>139</v>
      </c>
      <c r="M16" s="18" t="s">
        <v>31</v>
      </c>
      <c r="N16" s="20" t="s">
        <v>220</v>
      </c>
      <c r="O16" s="20" t="s">
        <v>141</v>
      </c>
      <c r="P16" s="20" t="s">
        <v>171</v>
      </c>
      <c r="Q16" s="20" t="s">
        <v>164</v>
      </c>
      <c r="R16" s="20" t="s">
        <v>144</v>
      </c>
      <c r="S16" s="18" t="s">
        <v>34</v>
      </c>
      <c r="T16" s="155">
        <v>5.5110000000000001</v>
      </c>
      <c r="U16" s="20" t="s">
        <v>221</v>
      </c>
      <c r="V16" s="169">
        <v>0.05</v>
      </c>
      <c r="W16" s="169">
        <v>5.1290000000000002E-2</v>
      </c>
      <c r="X16" s="18" t="s">
        <v>146</v>
      </c>
      <c r="Y16" s="18" t="s">
        <v>141</v>
      </c>
      <c r="Z16" s="155">
        <v>600000</v>
      </c>
      <c r="AA16" s="170">
        <v>1</v>
      </c>
      <c r="AB16" s="171">
        <v>100.11</v>
      </c>
      <c r="AC16" s="20"/>
      <c r="AD16" s="155">
        <v>600.66</v>
      </c>
      <c r="AE16" s="20"/>
      <c r="AG16" s="18" t="s">
        <v>36</v>
      </c>
      <c r="AH16" s="164">
        <v>1.2800000000000001E-3</v>
      </c>
      <c r="AI16" s="164">
        <v>1.2901484346180599E-2</v>
      </c>
      <c r="AJ16" s="164">
        <v>1.3009441174978199E-3</v>
      </c>
    </row>
    <row r="17" spans="1:36">
      <c r="A17" s="20">
        <v>1182</v>
      </c>
      <c r="B17" s="20">
        <v>1182</v>
      </c>
      <c r="C17" s="20" t="s">
        <v>216</v>
      </c>
      <c r="D17" s="20" t="s">
        <v>217</v>
      </c>
      <c r="E17" s="18" t="s">
        <v>134</v>
      </c>
      <c r="F17" s="20" t="s">
        <v>222</v>
      </c>
      <c r="G17" s="20" t="s">
        <v>223</v>
      </c>
      <c r="H17" s="18" t="s">
        <v>137</v>
      </c>
      <c r="I17" s="21" t="s">
        <v>156</v>
      </c>
      <c r="J17" s="18" t="s">
        <v>30</v>
      </c>
      <c r="K17" s="18" t="s">
        <v>224</v>
      </c>
      <c r="L17" s="20" t="s">
        <v>139</v>
      </c>
      <c r="M17" s="18" t="s">
        <v>31</v>
      </c>
      <c r="N17" s="20" t="s">
        <v>220</v>
      </c>
      <c r="O17" s="20" t="s">
        <v>141</v>
      </c>
      <c r="P17" s="20" t="s">
        <v>171</v>
      </c>
      <c r="Q17" s="20" t="s">
        <v>164</v>
      </c>
      <c r="R17" s="20" t="s">
        <v>144</v>
      </c>
      <c r="S17" s="18" t="s">
        <v>34</v>
      </c>
      <c r="T17" s="155">
        <v>2.8079999999999998</v>
      </c>
      <c r="U17" s="20" t="s">
        <v>225</v>
      </c>
      <c r="V17" s="169">
        <v>1.4999999999999999E-2</v>
      </c>
      <c r="W17" s="169">
        <v>5.0139999999999997E-2</v>
      </c>
      <c r="X17" s="18" t="s">
        <v>146</v>
      </c>
      <c r="Y17" s="18" t="s">
        <v>141</v>
      </c>
      <c r="Z17" s="155">
        <v>742</v>
      </c>
      <c r="AA17" s="170">
        <v>1</v>
      </c>
      <c r="AB17" s="171">
        <v>90.97</v>
      </c>
      <c r="AC17" s="20"/>
      <c r="AD17" s="155">
        <v>0.67500000000000004</v>
      </c>
      <c r="AE17" s="20"/>
      <c r="AG17" s="18" t="s">
        <v>36</v>
      </c>
      <c r="AH17" s="164">
        <v>9.9999999999999995E-7</v>
      </c>
      <c r="AI17" s="164">
        <v>1.4498166000420499E-5</v>
      </c>
      <c r="AJ17" s="164">
        <v>1.4619483515738101E-6</v>
      </c>
    </row>
    <row r="18" spans="1:36">
      <c r="A18" s="20">
        <v>1182</v>
      </c>
      <c r="B18" s="20">
        <v>1182</v>
      </c>
      <c r="C18" s="20" t="s">
        <v>226</v>
      </c>
      <c r="D18" s="20" t="s">
        <v>227</v>
      </c>
      <c r="E18" s="18" t="s">
        <v>134</v>
      </c>
      <c r="F18" s="20" t="s">
        <v>228</v>
      </c>
      <c r="G18" s="20" t="s">
        <v>229</v>
      </c>
      <c r="H18" s="18" t="s">
        <v>137</v>
      </c>
      <c r="I18" s="21" t="s">
        <v>156</v>
      </c>
      <c r="J18" s="18" t="s">
        <v>30</v>
      </c>
      <c r="K18" s="18" t="s">
        <v>30</v>
      </c>
      <c r="L18" s="20" t="s">
        <v>139</v>
      </c>
      <c r="M18" s="18" t="s">
        <v>31</v>
      </c>
      <c r="N18" s="20" t="s">
        <v>220</v>
      </c>
      <c r="O18" s="20" t="s">
        <v>141</v>
      </c>
      <c r="P18" s="20" t="s">
        <v>230</v>
      </c>
      <c r="Q18" s="20" t="s">
        <v>143</v>
      </c>
      <c r="R18" s="20" t="s">
        <v>144</v>
      </c>
      <c r="S18" s="18" t="s">
        <v>34</v>
      </c>
      <c r="T18" s="155">
        <v>2.4319999999999999</v>
      </c>
      <c r="U18" s="20" t="s">
        <v>231</v>
      </c>
      <c r="V18" s="169">
        <v>2.0500000000000001E-2</v>
      </c>
      <c r="W18" s="169">
        <v>5.0529999999999999E-2</v>
      </c>
      <c r="X18" s="18" t="s">
        <v>146</v>
      </c>
      <c r="Y18" s="18" t="s">
        <v>141</v>
      </c>
      <c r="Z18" s="155">
        <v>739452.85</v>
      </c>
      <c r="AA18" s="170">
        <v>1</v>
      </c>
      <c r="AB18" s="171">
        <v>93.47</v>
      </c>
      <c r="AC18" s="20"/>
      <c r="AD18" s="155">
        <v>691.16700000000003</v>
      </c>
      <c r="AE18" s="20"/>
      <c r="AG18" s="18" t="s">
        <v>36</v>
      </c>
      <c r="AH18" s="164">
        <v>8.4800000000000001E-4</v>
      </c>
      <c r="AI18" s="164">
        <v>1.4845461322906499E-2</v>
      </c>
      <c r="AJ18" s="164">
        <v>1.49696849303191E-3</v>
      </c>
    </row>
    <row r="19" spans="1:36">
      <c r="A19" s="20">
        <v>1182</v>
      </c>
      <c r="B19" s="20">
        <v>1182</v>
      </c>
      <c r="C19" s="20" t="s">
        <v>232</v>
      </c>
      <c r="D19" s="20" t="s">
        <v>233</v>
      </c>
      <c r="E19" s="18" t="s">
        <v>134</v>
      </c>
      <c r="F19" s="20" t="s">
        <v>234</v>
      </c>
      <c r="G19" s="20" t="s">
        <v>235</v>
      </c>
      <c r="H19" s="18" t="s">
        <v>137</v>
      </c>
      <c r="I19" s="21" t="s">
        <v>138</v>
      </c>
      <c r="J19" s="18" t="s">
        <v>30</v>
      </c>
      <c r="K19" s="18" t="s">
        <v>30</v>
      </c>
      <c r="L19" s="20" t="s">
        <v>139</v>
      </c>
      <c r="M19" s="18" t="s">
        <v>31</v>
      </c>
      <c r="N19" s="20" t="s">
        <v>208</v>
      </c>
      <c r="O19" s="20" t="s">
        <v>141</v>
      </c>
      <c r="P19" s="20" t="s">
        <v>152</v>
      </c>
      <c r="Q19" s="20" t="s">
        <v>143</v>
      </c>
      <c r="R19" s="20" t="s">
        <v>144</v>
      </c>
      <c r="S19" s="18" t="s">
        <v>34</v>
      </c>
      <c r="T19" s="155">
        <v>0.79300000000000004</v>
      </c>
      <c r="U19" s="20" t="s">
        <v>236</v>
      </c>
      <c r="V19" s="169">
        <v>2.5700000000000001E-2</v>
      </c>
      <c r="W19" s="169">
        <v>4.0009999999999997E-2</v>
      </c>
      <c r="X19" s="18" t="s">
        <v>146</v>
      </c>
      <c r="Y19" s="18" t="s">
        <v>141</v>
      </c>
      <c r="Z19" s="155">
        <v>750021.18</v>
      </c>
      <c r="AA19" s="170">
        <v>1</v>
      </c>
      <c r="AB19" s="171">
        <v>119.85</v>
      </c>
      <c r="AC19" s="20"/>
      <c r="AD19" s="155">
        <v>898.9</v>
      </c>
      <c r="AE19" s="20"/>
      <c r="AG19" s="18" t="s">
        <v>36</v>
      </c>
      <c r="AH19" s="164">
        <v>7.1000000000000002E-4</v>
      </c>
      <c r="AI19" s="164">
        <v>1.9307343981485502E-2</v>
      </c>
      <c r="AJ19" s="164">
        <v>1.9468903657319501E-3</v>
      </c>
    </row>
    <row r="20" spans="1:36">
      <c r="A20" s="3">
        <v>1182</v>
      </c>
      <c r="B20" s="3">
        <v>1182</v>
      </c>
      <c r="C20" s="3" t="s">
        <v>232</v>
      </c>
      <c r="D20" s="3" t="s">
        <v>233</v>
      </c>
      <c r="E20" s="18" t="s">
        <v>134</v>
      </c>
      <c r="F20" s="3" t="s">
        <v>237</v>
      </c>
      <c r="G20" s="3" t="s">
        <v>238</v>
      </c>
      <c r="H20" s="18" t="s">
        <v>137</v>
      </c>
      <c r="I20" s="21" t="s">
        <v>138</v>
      </c>
      <c r="J20" s="18" t="s">
        <v>30</v>
      </c>
      <c r="K20" s="18" t="s">
        <v>30</v>
      </c>
      <c r="L20" s="20" t="s">
        <v>139</v>
      </c>
      <c r="M20" s="18" t="s">
        <v>31</v>
      </c>
      <c r="N20" s="20" t="s">
        <v>208</v>
      </c>
      <c r="O20" s="20" t="s">
        <v>141</v>
      </c>
      <c r="P20" s="3" t="s">
        <v>152</v>
      </c>
      <c r="Q20" s="20" t="s">
        <v>143</v>
      </c>
      <c r="R20" s="20" t="s">
        <v>144</v>
      </c>
      <c r="S20" s="3" t="s">
        <v>34</v>
      </c>
      <c r="T20" s="153">
        <v>4.226</v>
      </c>
      <c r="U20" s="3" t="s">
        <v>239</v>
      </c>
      <c r="V20" s="164">
        <v>1.54E-2</v>
      </c>
      <c r="W20" s="164">
        <v>3.075E-2</v>
      </c>
      <c r="X20" s="18" t="s">
        <v>146</v>
      </c>
      <c r="Y20" s="18" t="s">
        <v>141</v>
      </c>
      <c r="Z20" s="153">
        <v>317000</v>
      </c>
      <c r="AA20" s="162">
        <v>1</v>
      </c>
      <c r="AB20" s="172">
        <v>108.24</v>
      </c>
      <c r="AD20" s="153">
        <v>343.12099999999998</v>
      </c>
      <c r="AG20" s="3" t="s">
        <v>36</v>
      </c>
      <c r="AH20" s="164">
        <v>5.31E-4</v>
      </c>
      <c r="AI20" s="164">
        <v>7.3698392269319797E-3</v>
      </c>
      <c r="AJ20" s="164">
        <v>7.4315084465612405E-4</v>
      </c>
    </row>
    <row r="21" spans="1:36" s="39" customFormat="1">
      <c r="A21" s="39">
        <v>1182</v>
      </c>
      <c r="B21" s="39">
        <v>1182</v>
      </c>
      <c r="C21" s="39" t="s">
        <v>232</v>
      </c>
      <c r="D21" s="39" t="s">
        <v>233</v>
      </c>
      <c r="E21" s="42" t="s">
        <v>134</v>
      </c>
      <c r="F21" s="39" t="s">
        <v>240</v>
      </c>
      <c r="G21" s="39" t="s">
        <v>241</v>
      </c>
      <c r="H21" s="42" t="s">
        <v>137</v>
      </c>
      <c r="I21" s="39" t="s">
        <v>138</v>
      </c>
      <c r="J21" s="39" t="s">
        <v>30</v>
      </c>
      <c r="K21" s="39" t="s">
        <v>30</v>
      </c>
      <c r="L21" s="39" t="s">
        <v>139</v>
      </c>
      <c r="M21" s="42" t="s">
        <v>31</v>
      </c>
      <c r="N21" s="39" t="s">
        <v>208</v>
      </c>
      <c r="O21" s="39" t="s">
        <v>141</v>
      </c>
      <c r="P21" s="39" t="s">
        <v>152</v>
      </c>
      <c r="Q21" s="39" t="s">
        <v>143</v>
      </c>
      <c r="R21" s="39" t="s">
        <v>144</v>
      </c>
      <c r="S21" s="39" t="s">
        <v>34</v>
      </c>
      <c r="T21" s="153">
        <v>6.452</v>
      </c>
      <c r="U21" s="39" t="s">
        <v>242</v>
      </c>
      <c r="V21" s="164">
        <v>4.02E-2</v>
      </c>
      <c r="W21" s="164">
        <v>3.3029999999999997E-2</v>
      </c>
      <c r="X21" s="42" t="s">
        <v>146</v>
      </c>
      <c r="Y21" s="42" t="s">
        <v>141</v>
      </c>
      <c r="Z21" s="153">
        <v>398000</v>
      </c>
      <c r="AA21" s="162">
        <v>1</v>
      </c>
      <c r="AB21" s="172">
        <v>108.86</v>
      </c>
      <c r="AD21" s="153">
        <v>433.26299999999998</v>
      </c>
      <c r="AG21" s="39" t="s">
        <v>36</v>
      </c>
      <c r="AH21" s="164">
        <v>4.9299999999999995E-4</v>
      </c>
      <c r="AI21" s="164">
        <v>9.3059854692877399E-3</v>
      </c>
      <c r="AJ21" s="164">
        <v>9.3838559416414705E-4</v>
      </c>
    </row>
    <row r="22" spans="1:36">
      <c r="A22" s="3">
        <v>1182</v>
      </c>
      <c r="B22" s="3">
        <v>1182</v>
      </c>
      <c r="C22" s="3" t="s">
        <v>182</v>
      </c>
      <c r="D22" s="3" t="s">
        <v>183</v>
      </c>
      <c r="E22" s="5" t="s">
        <v>134</v>
      </c>
      <c r="F22" s="3" t="s">
        <v>243</v>
      </c>
      <c r="G22" s="3" t="s">
        <v>244</v>
      </c>
      <c r="H22" s="5" t="s">
        <v>137</v>
      </c>
      <c r="I22" s="3" t="s">
        <v>138</v>
      </c>
      <c r="J22" s="3" t="s">
        <v>30</v>
      </c>
      <c r="K22" s="3" t="s">
        <v>30</v>
      </c>
      <c r="L22" s="3" t="s">
        <v>139</v>
      </c>
      <c r="M22" s="5" t="s">
        <v>31</v>
      </c>
      <c r="N22" s="3" t="s">
        <v>186</v>
      </c>
      <c r="O22" s="3" t="s">
        <v>141</v>
      </c>
      <c r="P22" s="3" t="s">
        <v>180</v>
      </c>
      <c r="Q22" s="3" t="s">
        <v>143</v>
      </c>
      <c r="R22" s="3" t="s">
        <v>144</v>
      </c>
      <c r="S22" s="3" t="s">
        <v>34</v>
      </c>
      <c r="T22" s="153">
        <v>6.952</v>
      </c>
      <c r="U22" s="3" t="s">
        <v>245</v>
      </c>
      <c r="V22" s="164">
        <v>3.5999999999999997E-2</v>
      </c>
      <c r="W22" s="164">
        <v>2.989E-2</v>
      </c>
      <c r="X22" s="5" t="s">
        <v>146</v>
      </c>
      <c r="Y22" s="5" t="s">
        <v>141</v>
      </c>
      <c r="Z22" s="153">
        <v>420000</v>
      </c>
      <c r="AA22" s="162">
        <v>1</v>
      </c>
      <c r="AB22" s="172">
        <v>109.05</v>
      </c>
      <c r="AD22" s="153">
        <v>458.01</v>
      </c>
      <c r="AG22" s="3" t="s">
        <v>36</v>
      </c>
      <c r="AH22" s="164">
        <v>4.8000000000000001E-4</v>
      </c>
      <c r="AI22" s="164">
        <v>9.8375267961811601E-3</v>
      </c>
      <c r="AJ22" s="164">
        <v>9.9198450913192001E-4</v>
      </c>
    </row>
    <row r="23" spans="1:36">
      <c r="A23" s="3">
        <v>1182</v>
      </c>
      <c r="B23" s="3">
        <v>1182</v>
      </c>
      <c r="C23" s="3" t="s">
        <v>246</v>
      </c>
      <c r="D23" s="3" t="s">
        <v>247</v>
      </c>
      <c r="E23" s="5" t="s">
        <v>134</v>
      </c>
      <c r="F23" s="3" t="s">
        <v>248</v>
      </c>
      <c r="G23" s="3" t="s">
        <v>249</v>
      </c>
      <c r="H23" s="5" t="s">
        <v>137</v>
      </c>
      <c r="I23" s="3" t="s">
        <v>138</v>
      </c>
      <c r="J23" s="3" t="s">
        <v>30</v>
      </c>
      <c r="K23" s="3" t="s">
        <v>30</v>
      </c>
      <c r="L23" s="3" t="s">
        <v>139</v>
      </c>
      <c r="M23" s="3" t="s">
        <v>31</v>
      </c>
      <c r="N23" s="3" t="s">
        <v>186</v>
      </c>
      <c r="O23" s="3" t="s">
        <v>141</v>
      </c>
      <c r="P23" s="3" t="s">
        <v>230</v>
      </c>
      <c r="Q23" s="3" t="s">
        <v>143</v>
      </c>
      <c r="R23" s="3" t="s">
        <v>144</v>
      </c>
      <c r="S23" s="3" t="s">
        <v>34</v>
      </c>
      <c r="T23" s="153">
        <v>5.3049999999999997</v>
      </c>
      <c r="U23" s="3" t="s">
        <v>250</v>
      </c>
      <c r="V23" s="164">
        <v>3.6799999999999999E-2</v>
      </c>
      <c r="W23" s="164">
        <v>3.2320000000000002E-2</v>
      </c>
      <c r="X23" s="5" t="s">
        <v>146</v>
      </c>
      <c r="Y23" s="5" t="s">
        <v>141</v>
      </c>
      <c r="Z23" s="153">
        <v>864000</v>
      </c>
      <c r="AA23" s="162">
        <v>1</v>
      </c>
      <c r="AB23" s="172">
        <v>110.18</v>
      </c>
      <c r="AD23" s="153">
        <v>951.95500000000004</v>
      </c>
      <c r="AG23" s="3" t="s">
        <v>36</v>
      </c>
      <c r="AH23" s="164">
        <v>1.9469999999999999E-3</v>
      </c>
      <c r="AI23" s="164">
        <v>2.04469002614877E-2</v>
      </c>
      <c r="AJ23" s="164">
        <v>2.0617995497643699E-3</v>
      </c>
    </row>
    <row r="24" spans="1:36">
      <c r="A24" s="3">
        <v>1182</v>
      </c>
      <c r="B24" s="3">
        <v>1182</v>
      </c>
      <c r="C24" s="3" t="s">
        <v>246</v>
      </c>
      <c r="D24" s="3" t="s">
        <v>247</v>
      </c>
      <c r="E24" s="5" t="s">
        <v>134</v>
      </c>
      <c r="F24" s="3" t="s">
        <v>251</v>
      </c>
      <c r="G24" s="3" t="s">
        <v>252</v>
      </c>
      <c r="H24" s="3" t="s">
        <v>137</v>
      </c>
      <c r="I24" s="3" t="s">
        <v>138</v>
      </c>
      <c r="J24" s="3" t="s">
        <v>30</v>
      </c>
      <c r="K24" s="3" t="s">
        <v>30</v>
      </c>
      <c r="L24" s="3" t="s">
        <v>139</v>
      </c>
      <c r="M24" s="3" t="s">
        <v>31</v>
      </c>
      <c r="N24" s="3" t="s">
        <v>186</v>
      </c>
      <c r="O24" s="3" t="s">
        <v>141</v>
      </c>
      <c r="P24" s="3" t="s">
        <v>230</v>
      </c>
      <c r="Q24" s="3" t="s">
        <v>143</v>
      </c>
      <c r="R24" s="3" t="s">
        <v>144</v>
      </c>
      <c r="S24" s="3" t="s">
        <v>34</v>
      </c>
      <c r="T24" s="153">
        <v>0.96499999999999997</v>
      </c>
      <c r="U24" s="3" t="s">
        <v>253</v>
      </c>
      <c r="V24" s="164">
        <v>3.4599999999999999E-2</v>
      </c>
      <c r="W24" s="164">
        <v>3.4209999999999997E-2</v>
      </c>
      <c r="X24" s="5" t="s">
        <v>146</v>
      </c>
      <c r="Y24" s="5" t="s">
        <v>141</v>
      </c>
      <c r="Z24" s="153">
        <v>0.36</v>
      </c>
      <c r="AA24" s="162">
        <v>1</v>
      </c>
      <c r="AB24" s="172">
        <v>120.85</v>
      </c>
      <c r="AD24" s="153">
        <v>0</v>
      </c>
      <c r="AG24" s="3" t="s">
        <v>36</v>
      </c>
      <c r="AH24" s="164">
        <v>0</v>
      </c>
      <c r="AI24" s="164">
        <v>9.3445872534367703E-9</v>
      </c>
      <c r="AJ24" s="164">
        <v>9.4227807371658397E-10</v>
      </c>
    </row>
    <row r="25" spans="1:36">
      <c r="A25" s="3">
        <v>1182</v>
      </c>
      <c r="B25" s="3">
        <v>1182</v>
      </c>
      <c r="C25" s="3" t="s">
        <v>254</v>
      </c>
      <c r="D25" s="3" t="s">
        <v>255</v>
      </c>
      <c r="E25" s="5" t="s">
        <v>134</v>
      </c>
      <c r="F25" s="3" t="s">
        <v>256</v>
      </c>
      <c r="G25" s="3" t="s">
        <v>257</v>
      </c>
      <c r="H25" s="3" t="s">
        <v>137</v>
      </c>
      <c r="I25" s="3" t="s">
        <v>138</v>
      </c>
      <c r="J25" s="3" t="s">
        <v>30</v>
      </c>
      <c r="K25" s="3" t="s">
        <v>30</v>
      </c>
      <c r="L25" s="3" t="s">
        <v>139</v>
      </c>
      <c r="M25" s="3" t="s">
        <v>31</v>
      </c>
      <c r="N25" s="3" t="s">
        <v>162</v>
      </c>
      <c r="O25" s="3" t="s">
        <v>141</v>
      </c>
      <c r="P25" s="3" t="s">
        <v>230</v>
      </c>
      <c r="Q25" s="3" t="s">
        <v>143</v>
      </c>
      <c r="R25" s="3" t="s">
        <v>144</v>
      </c>
      <c r="S25" s="3" t="s">
        <v>34</v>
      </c>
      <c r="T25" s="153">
        <v>4.6859999999999999</v>
      </c>
      <c r="U25" s="3" t="s">
        <v>258</v>
      </c>
      <c r="V25" s="164">
        <v>4.0800000000000003E-2</v>
      </c>
      <c r="W25" s="164">
        <v>3.4189999999999998E-2</v>
      </c>
      <c r="X25" s="5" t="s">
        <v>146</v>
      </c>
      <c r="Y25" s="5" t="s">
        <v>141</v>
      </c>
      <c r="Z25" s="153">
        <v>700000</v>
      </c>
      <c r="AA25" s="162">
        <v>1</v>
      </c>
      <c r="AB25" s="172">
        <v>111.71</v>
      </c>
      <c r="AD25" s="153">
        <v>781.97</v>
      </c>
      <c r="AG25" s="3" t="s">
        <v>36</v>
      </c>
      <c r="AH25" s="164">
        <v>8.0599999999999997E-4</v>
      </c>
      <c r="AI25" s="164">
        <v>1.6795814128097199E-2</v>
      </c>
      <c r="AJ25" s="164">
        <v>1.69363578656773E-3</v>
      </c>
    </row>
    <row r="26" spans="1:36">
      <c r="A26" s="3">
        <v>1182</v>
      </c>
      <c r="B26" s="3">
        <v>1182</v>
      </c>
      <c r="C26" s="3" t="s">
        <v>259</v>
      </c>
      <c r="D26" s="3" t="s">
        <v>260</v>
      </c>
      <c r="E26" s="5" t="s">
        <v>134</v>
      </c>
      <c r="F26" s="3" t="s">
        <v>261</v>
      </c>
      <c r="G26" s="3" t="s">
        <v>262</v>
      </c>
      <c r="H26" s="3" t="s">
        <v>137</v>
      </c>
      <c r="I26" s="3" t="s">
        <v>156</v>
      </c>
      <c r="J26" s="3" t="s">
        <v>30</v>
      </c>
      <c r="K26" s="3" t="s">
        <v>30</v>
      </c>
      <c r="L26" s="3" t="s">
        <v>139</v>
      </c>
      <c r="M26" s="3" t="s">
        <v>31</v>
      </c>
      <c r="N26" s="3" t="s">
        <v>151</v>
      </c>
      <c r="O26" s="3" t="s">
        <v>141</v>
      </c>
      <c r="P26" s="3" t="s">
        <v>152</v>
      </c>
      <c r="Q26" s="3" t="s">
        <v>143</v>
      </c>
      <c r="R26" s="3" t="s">
        <v>144</v>
      </c>
      <c r="S26" s="3" t="s">
        <v>34</v>
      </c>
      <c r="T26" s="153">
        <v>5.7279999999999998</v>
      </c>
      <c r="U26" s="3" t="s">
        <v>263</v>
      </c>
      <c r="V26" s="164">
        <v>5.2499999999999998E-2</v>
      </c>
      <c r="W26" s="164">
        <v>5.339E-2</v>
      </c>
      <c r="X26" s="5" t="s">
        <v>146</v>
      </c>
      <c r="Y26" s="5" t="s">
        <v>141</v>
      </c>
      <c r="Z26" s="153">
        <v>450000</v>
      </c>
      <c r="AA26" s="162">
        <v>1</v>
      </c>
      <c r="AB26" s="172">
        <v>101.34</v>
      </c>
      <c r="AD26" s="153">
        <v>456.03</v>
      </c>
      <c r="AG26" s="3" t="s">
        <v>36</v>
      </c>
      <c r="AH26" s="164">
        <v>6.8499999999999995E-4</v>
      </c>
      <c r="AI26" s="164">
        <v>9.7949986787679195E-3</v>
      </c>
      <c r="AJ26" s="164">
        <v>9.8769611078236108E-4</v>
      </c>
    </row>
    <row r="27" spans="1:36">
      <c r="A27" s="3">
        <v>1182</v>
      </c>
      <c r="B27" s="3">
        <v>1182</v>
      </c>
      <c r="C27" s="3" t="s">
        <v>259</v>
      </c>
      <c r="D27" s="3" t="s">
        <v>260</v>
      </c>
      <c r="E27" s="5" t="s">
        <v>134</v>
      </c>
      <c r="F27" s="3" t="s">
        <v>264</v>
      </c>
      <c r="G27" s="3" t="s">
        <v>265</v>
      </c>
      <c r="H27" s="3" t="s">
        <v>137</v>
      </c>
      <c r="I27" s="3" t="s">
        <v>156</v>
      </c>
      <c r="J27" s="3" t="s">
        <v>30</v>
      </c>
      <c r="K27" s="3" t="s">
        <v>30</v>
      </c>
      <c r="L27" s="3" t="s">
        <v>139</v>
      </c>
      <c r="M27" s="3" t="s">
        <v>31</v>
      </c>
      <c r="N27" s="3" t="s">
        <v>151</v>
      </c>
      <c r="O27" s="3" t="s">
        <v>141</v>
      </c>
      <c r="P27" s="3" t="s">
        <v>152</v>
      </c>
      <c r="Q27" s="3" t="s">
        <v>143</v>
      </c>
      <c r="R27" s="3" t="s">
        <v>144</v>
      </c>
      <c r="S27" s="3" t="s">
        <v>34</v>
      </c>
      <c r="T27" s="153">
        <v>2.21</v>
      </c>
      <c r="U27" s="3" t="s">
        <v>266</v>
      </c>
      <c r="V27" s="164">
        <v>2.7E-2</v>
      </c>
      <c r="W27" s="164">
        <v>5.0229999999999997E-2</v>
      </c>
      <c r="X27" s="5" t="s">
        <v>146</v>
      </c>
      <c r="Y27" s="5" t="s">
        <v>141</v>
      </c>
      <c r="Z27" s="153">
        <v>131250</v>
      </c>
      <c r="AA27" s="162">
        <v>1</v>
      </c>
      <c r="AB27" s="172">
        <v>95.21</v>
      </c>
      <c r="AD27" s="153">
        <v>124.96299999999999</v>
      </c>
      <c r="AG27" s="3" t="s">
        <v>36</v>
      </c>
      <c r="AH27" s="164">
        <v>2.3000000000000001E-4</v>
      </c>
      <c r="AI27" s="164">
        <v>2.68406386481089E-3</v>
      </c>
      <c r="AJ27" s="164">
        <v>2.7065235303315601E-4</v>
      </c>
    </row>
    <row r="28" spans="1:36">
      <c r="A28" s="3">
        <v>1182</v>
      </c>
      <c r="B28" s="3">
        <v>1182</v>
      </c>
      <c r="C28" s="3" t="s">
        <v>267</v>
      </c>
      <c r="D28" s="3" t="s">
        <v>268</v>
      </c>
      <c r="E28" s="5" t="s">
        <v>134</v>
      </c>
      <c r="F28" s="3" t="s">
        <v>269</v>
      </c>
      <c r="G28" s="3" t="s">
        <v>270</v>
      </c>
      <c r="H28" s="3" t="s">
        <v>137</v>
      </c>
      <c r="I28" s="3" t="s">
        <v>138</v>
      </c>
      <c r="J28" s="3" t="s">
        <v>30</v>
      </c>
      <c r="K28" s="3" t="s">
        <v>30</v>
      </c>
      <c r="L28" s="3" t="s">
        <v>139</v>
      </c>
      <c r="M28" s="3" t="s">
        <v>31</v>
      </c>
      <c r="N28" s="3" t="s">
        <v>186</v>
      </c>
      <c r="O28" s="3" t="s">
        <v>141</v>
      </c>
      <c r="P28" s="3" t="s">
        <v>271</v>
      </c>
      <c r="Q28" s="3" t="s">
        <v>164</v>
      </c>
      <c r="R28" s="3" t="s">
        <v>144</v>
      </c>
      <c r="S28" s="3" t="s">
        <v>34</v>
      </c>
      <c r="T28" s="153">
        <v>3.51</v>
      </c>
      <c r="U28" s="3" t="s">
        <v>272</v>
      </c>
      <c r="V28" s="164">
        <v>1.17E-2</v>
      </c>
      <c r="W28" s="164">
        <v>2.8479999999999998E-2</v>
      </c>
      <c r="X28" s="5" t="s">
        <v>146</v>
      </c>
      <c r="Y28" s="5" t="s">
        <v>141</v>
      </c>
      <c r="Z28" s="153">
        <v>190888.24</v>
      </c>
      <c r="AA28" s="162">
        <v>1</v>
      </c>
      <c r="AB28" s="172">
        <v>111.54</v>
      </c>
      <c r="AD28" s="153">
        <v>212.917</v>
      </c>
      <c r="AG28" s="3" t="s">
        <v>36</v>
      </c>
      <c r="AH28" s="164">
        <v>2.7700000000000001E-4</v>
      </c>
      <c r="AI28" s="164">
        <v>4.5732061823868797E-3</v>
      </c>
      <c r="AJ28" s="164">
        <v>4.6114737819623097E-4</v>
      </c>
    </row>
    <row r="29" spans="1:36">
      <c r="A29" s="3">
        <v>1182</v>
      </c>
      <c r="B29" s="3">
        <v>1182</v>
      </c>
      <c r="C29" s="3" t="s">
        <v>267</v>
      </c>
      <c r="D29" s="3" t="s">
        <v>268</v>
      </c>
      <c r="E29" s="5" t="s">
        <v>134</v>
      </c>
      <c r="F29" s="3" t="s">
        <v>273</v>
      </c>
      <c r="G29" s="3" t="s">
        <v>274</v>
      </c>
      <c r="H29" s="3" t="s">
        <v>137</v>
      </c>
      <c r="I29" s="3" t="s">
        <v>138</v>
      </c>
      <c r="J29" s="3" t="s">
        <v>30</v>
      </c>
      <c r="K29" s="3" t="s">
        <v>30</v>
      </c>
      <c r="L29" s="3" t="s">
        <v>139</v>
      </c>
      <c r="M29" s="3" t="s">
        <v>31</v>
      </c>
      <c r="N29" s="3" t="s">
        <v>186</v>
      </c>
      <c r="O29" s="3" t="s">
        <v>141</v>
      </c>
      <c r="P29" s="3" t="s">
        <v>271</v>
      </c>
      <c r="Q29" s="3" t="s">
        <v>164</v>
      </c>
      <c r="R29" s="3" t="s">
        <v>144</v>
      </c>
      <c r="S29" s="3" t="s">
        <v>34</v>
      </c>
      <c r="T29" s="153">
        <v>3.524</v>
      </c>
      <c r="U29" s="3" t="s">
        <v>239</v>
      </c>
      <c r="V29" s="164">
        <v>1.3299999999999999E-2</v>
      </c>
      <c r="W29" s="164">
        <v>2.887E-2</v>
      </c>
      <c r="X29" s="5" t="s">
        <v>146</v>
      </c>
      <c r="Y29" s="5" t="s">
        <v>141</v>
      </c>
      <c r="Z29" s="153">
        <v>153000</v>
      </c>
      <c r="AA29" s="162">
        <v>1</v>
      </c>
      <c r="AB29" s="172">
        <v>112.31</v>
      </c>
      <c r="AD29" s="153">
        <v>171.834</v>
      </c>
      <c r="AG29" s="3" t="s">
        <v>36</v>
      </c>
      <c r="AH29" s="164">
        <v>1.36E-4</v>
      </c>
      <c r="AI29" s="164">
        <v>3.69080266970816E-3</v>
      </c>
      <c r="AJ29" s="164">
        <v>3.72168650766418E-4</v>
      </c>
    </row>
    <row r="30" spans="1:36">
      <c r="A30" s="3">
        <v>1182</v>
      </c>
      <c r="B30" s="3">
        <v>1182</v>
      </c>
      <c r="C30" s="3" t="s">
        <v>267</v>
      </c>
      <c r="D30" s="3" t="s">
        <v>268</v>
      </c>
      <c r="E30" s="5" t="s">
        <v>134</v>
      </c>
      <c r="F30" s="3" t="s">
        <v>275</v>
      </c>
      <c r="G30" s="3" t="s">
        <v>276</v>
      </c>
      <c r="H30" s="3" t="s">
        <v>137</v>
      </c>
      <c r="I30" s="3" t="s">
        <v>138</v>
      </c>
      <c r="J30" s="3" t="s">
        <v>30</v>
      </c>
      <c r="K30" s="3" t="s">
        <v>30</v>
      </c>
      <c r="L30" s="3" t="s">
        <v>139</v>
      </c>
      <c r="M30" s="3" t="s">
        <v>31</v>
      </c>
      <c r="N30" s="3" t="s">
        <v>186</v>
      </c>
      <c r="O30" s="3" t="s">
        <v>141</v>
      </c>
      <c r="P30" s="3" t="s">
        <v>142</v>
      </c>
      <c r="Q30" s="3" t="s">
        <v>143</v>
      </c>
      <c r="R30" s="3" t="s">
        <v>144</v>
      </c>
      <c r="S30" s="3" t="s">
        <v>34</v>
      </c>
      <c r="T30" s="153">
        <v>4.6689999999999996</v>
      </c>
      <c r="U30" s="3" t="s">
        <v>277</v>
      </c>
      <c r="V30" s="164">
        <v>1.8700000000000001E-2</v>
      </c>
      <c r="W30" s="164">
        <v>2.946E-2</v>
      </c>
      <c r="X30" s="5" t="s">
        <v>146</v>
      </c>
      <c r="Y30" s="5" t="s">
        <v>141</v>
      </c>
      <c r="Z30" s="153">
        <v>563181.81999999995</v>
      </c>
      <c r="AA30" s="162">
        <v>1</v>
      </c>
      <c r="AB30" s="172">
        <v>109.28</v>
      </c>
      <c r="AD30" s="153">
        <v>615.44500000000005</v>
      </c>
      <c r="AG30" s="3" t="s">
        <v>36</v>
      </c>
      <c r="AH30" s="164">
        <v>5.7600000000000001E-4</v>
      </c>
      <c r="AI30" s="164">
        <v>1.32190510970123E-2</v>
      </c>
      <c r="AJ30" s="164">
        <v>1.3329665255651299E-3</v>
      </c>
    </row>
    <row r="31" spans="1:36">
      <c r="A31" s="3">
        <v>1182</v>
      </c>
      <c r="B31" s="3">
        <v>1182</v>
      </c>
      <c r="C31" s="3" t="s">
        <v>267</v>
      </c>
      <c r="D31" s="3" t="s">
        <v>268</v>
      </c>
      <c r="E31" s="5" t="s">
        <v>134</v>
      </c>
      <c r="F31" s="3" t="s">
        <v>278</v>
      </c>
      <c r="G31" s="3" t="s">
        <v>279</v>
      </c>
      <c r="H31" s="3" t="s">
        <v>137</v>
      </c>
      <c r="I31" s="3" t="s">
        <v>138</v>
      </c>
      <c r="J31" s="3" t="s">
        <v>30</v>
      </c>
      <c r="K31" s="3" t="s">
        <v>30</v>
      </c>
      <c r="L31" s="3" t="s">
        <v>139</v>
      </c>
      <c r="M31" s="3" t="s">
        <v>31</v>
      </c>
      <c r="N31" s="3" t="s">
        <v>186</v>
      </c>
      <c r="O31" s="3" t="s">
        <v>141</v>
      </c>
      <c r="P31" s="3" t="s">
        <v>271</v>
      </c>
      <c r="Q31" s="3" t="s">
        <v>164</v>
      </c>
      <c r="R31" s="3" t="s">
        <v>144</v>
      </c>
      <c r="S31" s="3" t="s">
        <v>34</v>
      </c>
      <c r="T31" s="153">
        <v>6.9960000000000004</v>
      </c>
      <c r="U31" s="3" t="s">
        <v>280</v>
      </c>
      <c r="V31" s="164">
        <v>3.0599999999999999E-2</v>
      </c>
      <c r="W31" s="164">
        <v>3.1600000000000003E-2</v>
      </c>
      <c r="X31" s="5" t="s">
        <v>146</v>
      </c>
      <c r="Y31" s="5" t="s">
        <v>141</v>
      </c>
      <c r="Z31" s="153">
        <v>670000</v>
      </c>
      <c r="AA31" s="162">
        <v>1</v>
      </c>
      <c r="AB31" s="172">
        <v>101.01</v>
      </c>
      <c r="AD31" s="153">
        <v>676.76700000000005</v>
      </c>
      <c r="AG31" s="3" t="s">
        <v>36</v>
      </c>
      <c r="AH31" s="164">
        <v>6.2E-4</v>
      </c>
      <c r="AI31" s="164">
        <v>1.45361749683874E-2</v>
      </c>
      <c r="AJ31" s="164">
        <v>1.4657810534522901E-3</v>
      </c>
    </row>
    <row r="32" spans="1:36">
      <c r="A32" s="3">
        <v>1182</v>
      </c>
      <c r="B32" s="3">
        <v>1182</v>
      </c>
      <c r="C32" s="3" t="s">
        <v>281</v>
      </c>
      <c r="D32" s="3" t="s">
        <v>282</v>
      </c>
      <c r="E32" s="5" t="s">
        <v>134</v>
      </c>
      <c r="F32" s="3" t="s">
        <v>283</v>
      </c>
      <c r="G32" s="3" t="s">
        <v>284</v>
      </c>
      <c r="H32" s="3" t="s">
        <v>137</v>
      </c>
      <c r="I32" s="3" t="s">
        <v>138</v>
      </c>
      <c r="J32" s="3" t="s">
        <v>30</v>
      </c>
      <c r="K32" s="3" t="s">
        <v>30</v>
      </c>
      <c r="L32" s="3" t="s">
        <v>139</v>
      </c>
      <c r="M32" s="3" t="s">
        <v>31</v>
      </c>
      <c r="N32" s="3" t="s">
        <v>285</v>
      </c>
      <c r="O32" s="3" t="s">
        <v>141</v>
      </c>
      <c r="P32" s="3" t="s">
        <v>286</v>
      </c>
      <c r="Q32" s="3" t="s">
        <v>143</v>
      </c>
      <c r="R32" s="3" t="s">
        <v>144</v>
      </c>
      <c r="S32" s="3" t="s">
        <v>34</v>
      </c>
      <c r="T32" s="153">
        <v>2.8420000000000001</v>
      </c>
      <c r="U32" s="3" t="s">
        <v>287</v>
      </c>
      <c r="V32" s="164">
        <v>2.52E-2</v>
      </c>
      <c r="W32" s="164">
        <v>2.5590000000000002E-2</v>
      </c>
      <c r="X32" s="5" t="s">
        <v>146</v>
      </c>
      <c r="Y32" s="5" t="s">
        <v>141</v>
      </c>
      <c r="Z32" s="153">
        <v>675372</v>
      </c>
      <c r="AA32" s="162">
        <v>1</v>
      </c>
      <c r="AB32" s="172">
        <v>100.78</v>
      </c>
      <c r="AD32" s="153">
        <v>680.64</v>
      </c>
      <c r="AG32" s="3" t="s">
        <v>36</v>
      </c>
      <c r="AH32" s="164">
        <v>3.97E-4</v>
      </c>
      <c r="AI32" s="164">
        <v>1.46193604299908E-2</v>
      </c>
      <c r="AJ32" s="164">
        <v>1.4741692074065501E-3</v>
      </c>
    </row>
    <row r="33" spans="1:36">
      <c r="A33" s="3">
        <v>1182</v>
      </c>
      <c r="B33" s="3">
        <v>1182</v>
      </c>
      <c r="C33" s="3" t="s">
        <v>259</v>
      </c>
      <c r="D33" s="3" t="s">
        <v>260</v>
      </c>
      <c r="E33" s="5" t="s">
        <v>134</v>
      </c>
      <c r="F33" s="3" t="s">
        <v>288</v>
      </c>
      <c r="G33" s="3" t="s">
        <v>289</v>
      </c>
      <c r="H33" s="3" t="s">
        <v>137</v>
      </c>
      <c r="I33" s="3" t="s">
        <v>156</v>
      </c>
      <c r="J33" s="3" t="s">
        <v>30</v>
      </c>
      <c r="K33" s="3" t="s">
        <v>30</v>
      </c>
      <c r="L33" s="3" t="s">
        <v>139</v>
      </c>
      <c r="M33" s="3" t="s">
        <v>31</v>
      </c>
      <c r="N33" s="3" t="s">
        <v>151</v>
      </c>
      <c r="O33" s="3" t="s">
        <v>141</v>
      </c>
      <c r="P33" s="3" t="s">
        <v>152</v>
      </c>
      <c r="Q33" s="3" t="s">
        <v>143</v>
      </c>
      <c r="R33" s="3" t="s">
        <v>144</v>
      </c>
      <c r="S33" s="3" t="s">
        <v>34</v>
      </c>
      <c r="T33" s="153">
        <v>3.8719999999999999</v>
      </c>
      <c r="U33" s="3" t="s">
        <v>290</v>
      </c>
      <c r="V33" s="164">
        <v>5.7500000000000002E-2</v>
      </c>
      <c r="W33" s="164">
        <v>5.033E-2</v>
      </c>
      <c r="X33" s="5" t="s">
        <v>146</v>
      </c>
      <c r="Y33" s="5" t="s">
        <v>141</v>
      </c>
      <c r="Z33" s="153">
        <v>353711</v>
      </c>
      <c r="AA33" s="162">
        <v>1</v>
      </c>
      <c r="AB33" s="172">
        <v>103.14</v>
      </c>
      <c r="AD33" s="153">
        <v>364.81799999999998</v>
      </c>
      <c r="AG33" s="3" t="s">
        <v>36</v>
      </c>
      <c r="AH33" s="164">
        <v>6.7400000000000001E-4</v>
      </c>
      <c r="AI33" s="164">
        <v>7.8358598760703904E-3</v>
      </c>
      <c r="AJ33" s="164">
        <v>7.9014286556328595E-4</v>
      </c>
    </row>
    <row r="34" spans="1:36">
      <c r="A34" s="3">
        <v>1182</v>
      </c>
      <c r="B34" s="3">
        <v>1182</v>
      </c>
      <c r="C34" s="3" t="s">
        <v>291</v>
      </c>
      <c r="D34" s="3" t="s">
        <v>292</v>
      </c>
      <c r="E34" s="5" t="s">
        <v>134</v>
      </c>
      <c r="F34" s="3" t="s">
        <v>293</v>
      </c>
      <c r="G34" s="3" t="s">
        <v>294</v>
      </c>
      <c r="H34" s="3" t="s">
        <v>137</v>
      </c>
      <c r="I34" s="3" t="s">
        <v>156</v>
      </c>
      <c r="J34" s="3" t="s">
        <v>30</v>
      </c>
      <c r="K34" s="3" t="s">
        <v>30</v>
      </c>
      <c r="L34" s="3" t="s">
        <v>139</v>
      </c>
      <c r="M34" s="3" t="s">
        <v>31</v>
      </c>
      <c r="N34" s="3" t="s">
        <v>186</v>
      </c>
      <c r="O34" s="3" t="s">
        <v>141</v>
      </c>
      <c r="P34" s="3" t="s">
        <v>180</v>
      </c>
      <c r="Q34" s="3" t="s">
        <v>143</v>
      </c>
      <c r="R34" s="3" t="s">
        <v>144</v>
      </c>
      <c r="S34" s="3" t="s">
        <v>34</v>
      </c>
      <c r="T34" s="153">
        <v>4.5410000000000004</v>
      </c>
      <c r="U34" s="3" t="s">
        <v>295</v>
      </c>
      <c r="V34" s="164">
        <v>2.5499999999999998E-2</v>
      </c>
      <c r="W34" s="164">
        <v>4.9320000000000003E-2</v>
      </c>
      <c r="X34" s="5" t="s">
        <v>146</v>
      </c>
      <c r="Y34" s="5" t="s">
        <v>141</v>
      </c>
      <c r="Z34" s="153">
        <v>104333.35</v>
      </c>
      <c r="AA34" s="162">
        <v>1</v>
      </c>
      <c r="AB34" s="172">
        <v>90.63</v>
      </c>
      <c r="AD34" s="153">
        <v>94.557000000000002</v>
      </c>
      <c r="AG34" s="3" t="s">
        <v>36</v>
      </c>
      <c r="AH34" s="164">
        <v>3.6999999999999998E-5</v>
      </c>
      <c r="AI34" s="164">
        <v>2.0309821207405601E-3</v>
      </c>
      <c r="AJ34" s="164">
        <v>2.0479769395704401E-4</v>
      </c>
    </row>
    <row r="35" spans="1:36">
      <c r="A35" s="3">
        <v>1182</v>
      </c>
      <c r="B35" s="3">
        <v>1182</v>
      </c>
      <c r="C35" s="3" t="s">
        <v>291</v>
      </c>
      <c r="D35" s="3" t="s">
        <v>292</v>
      </c>
      <c r="E35" s="5" t="s">
        <v>134</v>
      </c>
      <c r="F35" s="3" t="s">
        <v>296</v>
      </c>
      <c r="G35" s="3" t="s">
        <v>297</v>
      </c>
      <c r="H35" s="3" t="s">
        <v>137</v>
      </c>
      <c r="I35" s="3" t="s">
        <v>138</v>
      </c>
      <c r="J35" s="3" t="s">
        <v>30</v>
      </c>
      <c r="K35" s="3" t="s">
        <v>30</v>
      </c>
      <c r="L35" s="3" t="s">
        <v>139</v>
      </c>
      <c r="M35" s="3" t="s">
        <v>31</v>
      </c>
      <c r="N35" s="3" t="s">
        <v>186</v>
      </c>
      <c r="O35" s="3" t="s">
        <v>141</v>
      </c>
      <c r="P35" s="3" t="s">
        <v>180</v>
      </c>
      <c r="Q35" s="3" t="s">
        <v>143</v>
      </c>
      <c r="R35" s="3" t="s">
        <v>144</v>
      </c>
      <c r="S35" s="3" t="s">
        <v>34</v>
      </c>
      <c r="T35" s="153">
        <v>3.726</v>
      </c>
      <c r="U35" s="3" t="s">
        <v>298</v>
      </c>
      <c r="V35" s="164">
        <v>5.0000000000000001E-3</v>
      </c>
      <c r="W35" s="164">
        <v>2.9350000000000001E-2</v>
      </c>
      <c r="X35" s="5" t="s">
        <v>146</v>
      </c>
      <c r="Y35" s="5" t="s">
        <v>141</v>
      </c>
      <c r="Z35" s="153">
        <v>54378.28</v>
      </c>
      <c r="AA35" s="162">
        <v>1</v>
      </c>
      <c r="AB35" s="172">
        <v>108.26</v>
      </c>
      <c r="AD35" s="153">
        <v>58.87</v>
      </c>
      <c r="AG35" s="3" t="s">
        <v>36</v>
      </c>
      <c r="AH35" s="164">
        <v>4.1E-5</v>
      </c>
      <c r="AI35" s="164">
        <v>1.2644581424115201E-3</v>
      </c>
      <c r="AJ35" s="164">
        <v>1.2750388544861401E-4</v>
      </c>
    </row>
    <row r="36" spans="1:36">
      <c r="A36" s="3">
        <v>1182</v>
      </c>
      <c r="B36" s="3">
        <v>1182</v>
      </c>
      <c r="C36" s="3" t="s">
        <v>291</v>
      </c>
      <c r="D36" s="3" t="s">
        <v>292</v>
      </c>
      <c r="E36" s="5" t="s">
        <v>134</v>
      </c>
      <c r="F36" s="3" t="s">
        <v>299</v>
      </c>
      <c r="G36" s="3" t="s">
        <v>300</v>
      </c>
      <c r="H36" s="3" t="s">
        <v>137</v>
      </c>
      <c r="I36" s="3" t="s">
        <v>138</v>
      </c>
      <c r="J36" s="3" t="s">
        <v>30</v>
      </c>
      <c r="K36" s="3" t="s">
        <v>30</v>
      </c>
      <c r="L36" s="3" t="s">
        <v>139</v>
      </c>
      <c r="M36" s="3" t="s">
        <v>31</v>
      </c>
      <c r="N36" s="3" t="s">
        <v>186</v>
      </c>
      <c r="O36" s="3" t="s">
        <v>141</v>
      </c>
      <c r="P36" s="3" t="s">
        <v>180</v>
      </c>
      <c r="Q36" s="3" t="s">
        <v>143</v>
      </c>
      <c r="R36" s="3" t="s">
        <v>144</v>
      </c>
      <c r="S36" s="3" t="s">
        <v>34</v>
      </c>
      <c r="T36" s="153">
        <v>4.1829999999999998</v>
      </c>
      <c r="U36" s="3" t="s">
        <v>301</v>
      </c>
      <c r="V36" s="164">
        <v>5.8999999999999999E-3</v>
      </c>
      <c r="W36" s="164">
        <v>2.921E-2</v>
      </c>
      <c r="X36" s="5" t="s">
        <v>146</v>
      </c>
      <c r="Y36" s="5" t="s">
        <v>141</v>
      </c>
      <c r="Z36" s="153">
        <v>559140</v>
      </c>
      <c r="AA36" s="162">
        <v>1</v>
      </c>
      <c r="AB36" s="172">
        <v>104.71</v>
      </c>
      <c r="AD36" s="153">
        <v>585.47500000000002</v>
      </c>
      <c r="AG36" s="3" t="s">
        <v>36</v>
      </c>
      <c r="AH36" s="164">
        <v>3.9899999999999999E-4</v>
      </c>
      <c r="AI36" s="164">
        <v>1.2575338662327001E-2</v>
      </c>
      <c r="AJ36" s="164">
        <v>1.2680566374628499E-3</v>
      </c>
    </row>
    <row r="37" spans="1:36">
      <c r="A37" s="3">
        <v>1182</v>
      </c>
      <c r="B37" s="3">
        <v>1182</v>
      </c>
      <c r="C37" s="3" t="s">
        <v>291</v>
      </c>
      <c r="D37" s="3" t="s">
        <v>292</v>
      </c>
      <c r="E37" s="5" t="s">
        <v>134</v>
      </c>
      <c r="F37" s="3" t="s">
        <v>302</v>
      </c>
      <c r="G37" s="3" t="s">
        <v>303</v>
      </c>
      <c r="H37" s="3" t="s">
        <v>137</v>
      </c>
      <c r="I37" s="3" t="s">
        <v>138</v>
      </c>
      <c r="J37" s="3" t="s">
        <v>30</v>
      </c>
      <c r="K37" s="3" t="s">
        <v>30</v>
      </c>
      <c r="L37" s="3" t="s">
        <v>139</v>
      </c>
      <c r="M37" s="3" t="s">
        <v>31</v>
      </c>
      <c r="N37" s="3" t="s">
        <v>186</v>
      </c>
      <c r="O37" s="3" t="s">
        <v>141</v>
      </c>
      <c r="P37" s="3" t="s">
        <v>180</v>
      </c>
      <c r="Q37" s="3" t="s">
        <v>143</v>
      </c>
      <c r="R37" s="3" t="s">
        <v>144</v>
      </c>
      <c r="S37" s="3" t="s">
        <v>34</v>
      </c>
      <c r="T37" s="153">
        <v>2.8519999999999999</v>
      </c>
      <c r="U37" s="3" t="s">
        <v>79</v>
      </c>
      <c r="V37" s="164">
        <v>3.3399999999999999E-2</v>
      </c>
      <c r="W37" s="164">
        <v>2.8539999999999999E-2</v>
      </c>
      <c r="X37" s="5" t="s">
        <v>146</v>
      </c>
      <c r="Y37" s="5" t="s">
        <v>141</v>
      </c>
      <c r="Z37" s="153">
        <v>673039</v>
      </c>
      <c r="AA37" s="162">
        <v>1</v>
      </c>
      <c r="AB37" s="172">
        <v>106.04</v>
      </c>
      <c r="AD37" s="153">
        <v>713.69100000000003</v>
      </c>
      <c r="AG37" s="3" t="s">
        <v>36</v>
      </c>
      <c r="AH37" s="164">
        <v>6.2500000000000001E-4</v>
      </c>
      <c r="AI37" s="164">
        <v>1.5329250376403199E-2</v>
      </c>
      <c r="AJ37" s="164">
        <v>1.5457522225911101E-3</v>
      </c>
    </row>
    <row r="38" spans="1:36">
      <c r="A38" s="3">
        <v>1182</v>
      </c>
      <c r="B38" s="3">
        <v>1182</v>
      </c>
      <c r="C38" s="3" t="s">
        <v>291</v>
      </c>
      <c r="D38" s="3" t="s">
        <v>292</v>
      </c>
      <c r="E38" s="5" t="s">
        <v>134</v>
      </c>
      <c r="F38" s="3" t="s">
        <v>304</v>
      </c>
      <c r="G38" s="3" t="s">
        <v>305</v>
      </c>
      <c r="H38" s="3" t="s">
        <v>137</v>
      </c>
      <c r="I38" s="3" t="s">
        <v>138</v>
      </c>
      <c r="J38" s="3" t="s">
        <v>30</v>
      </c>
      <c r="K38" s="3" t="s">
        <v>30</v>
      </c>
      <c r="L38" s="3" t="s">
        <v>139</v>
      </c>
      <c r="M38" s="3" t="s">
        <v>31</v>
      </c>
      <c r="N38" s="3" t="s">
        <v>186</v>
      </c>
      <c r="O38" s="3" t="s">
        <v>141</v>
      </c>
      <c r="P38" s="3" t="s">
        <v>180</v>
      </c>
      <c r="Q38" s="3" t="s">
        <v>143</v>
      </c>
      <c r="R38" s="3" t="s">
        <v>144</v>
      </c>
      <c r="S38" s="3" t="s">
        <v>34</v>
      </c>
      <c r="T38" s="153">
        <v>0.48199999999999998</v>
      </c>
      <c r="U38" s="3" t="s">
        <v>306</v>
      </c>
      <c r="V38" s="164">
        <v>4.7500000000000001E-2</v>
      </c>
      <c r="W38" s="164">
        <v>5.2159999999999998E-2</v>
      </c>
      <c r="X38" s="5" t="s">
        <v>146</v>
      </c>
      <c r="Y38" s="5" t="s">
        <v>141</v>
      </c>
      <c r="Z38" s="153">
        <v>90088.84</v>
      </c>
      <c r="AA38" s="162">
        <v>1</v>
      </c>
      <c r="AB38" s="172">
        <v>143.80000000000001</v>
      </c>
      <c r="AD38" s="153">
        <v>129.548</v>
      </c>
      <c r="AG38" s="3" t="s">
        <v>36</v>
      </c>
      <c r="AH38" s="164">
        <v>1.8900000000000001E-4</v>
      </c>
      <c r="AI38" s="164">
        <v>2.78253636579557E-3</v>
      </c>
      <c r="AJ38" s="164">
        <v>2.8058200278925101E-4</v>
      </c>
    </row>
    <row r="39" spans="1:36">
      <c r="A39" s="3">
        <v>1182</v>
      </c>
      <c r="B39" s="3">
        <v>1182</v>
      </c>
      <c r="C39" s="3" t="s">
        <v>307</v>
      </c>
      <c r="D39" s="3" t="s">
        <v>308</v>
      </c>
      <c r="E39" s="5" t="s">
        <v>134</v>
      </c>
      <c r="F39" s="3" t="s">
        <v>309</v>
      </c>
      <c r="G39" s="3" t="s">
        <v>310</v>
      </c>
      <c r="H39" s="3" t="s">
        <v>137</v>
      </c>
      <c r="I39" s="3" t="s">
        <v>138</v>
      </c>
      <c r="J39" s="3" t="s">
        <v>30</v>
      </c>
      <c r="K39" s="3" t="s">
        <v>30</v>
      </c>
      <c r="L39" s="3" t="s">
        <v>139</v>
      </c>
      <c r="M39" s="3" t="s">
        <v>31</v>
      </c>
      <c r="N39" s="3" t="s">
        <v>285</v>
      </c>
      <c r="O39" s="3" t="s">
        <v>141</v>
      </c>
      <c r="P39" s="3" t="s">
        <v>286</v>
      </c>
      <c r="Q39" s="3" t="s">
        <v>143</v>
      </c>
      <c r="R39" s="3" t="s">
        <v>144</v>
      </c>
      <c r="S39" s="3" t="s">
        <v>34</v>
      </c>
      <c r="T39" s="153">
        <v>4.633</v>
      </c>
      <c r="U39" s="3" t="s">
        <v>311</v>
      </c>
      <c r="V39" s="164">
        <v>2.47E-2</v>
      </c>
      <c r="W39" s="164">
        <v>2.5909999999999999E-2</v>
      </c>
      <c r="X39" s="5" t="s">
        <v>146</v>
      </c>
      <c r="Y39" s="5" t="s">
        <v>141</v>
      </c>
      <c r="Z39" s="153">
        <v>914330.69</v>
      </c>
      <c r="AA39" s="162">
        <v>1</v>
      </c>
      <c r="AB39" s="172">
        <v>105.47</v>
      </c>
      <c r="AD39" s="153">
        <v>964.34500000000003</v>
      </c>
      <c r="AG39" s="3" t="s">
        <v>36</v>
      </c>
      <c r="AH39" s="164">
        <v>3.5100000000000002E-4</v>
      </c>
      <c r="AI39" s="164">
        <v>2.0713009834144001E-2</v>
      </c>
      <c r="AJ39" s="164">
        <v>2.0886331817611E-3</v>
      </c>
    </row>
    <row r="40" spans="1:36">
      <c r="A40" s="3">
        <v>1182</v>
      </c>
      <c r="B40" s="3">
        <v>1182</v>
      </c>
      <c r="C40" s="3" t="s">
        <v>312</v>
      </c>
      <c r="D40" s="3" t="s">
        <v>313</v>
      </c>
      <c r="E40" s="5" t="s">
        <v>134</v>
      </c>
      <c r="F40" s="3" t="s">
        <v>314</v>
      </c>
      <c r="G40" s="3" t="s">
        <v>315</v>
      </c>
      <c r="H40" s="3" t="s">
        <v>137</v>
      </c>
      <c r="I40" s="3" t="s">
        <v>138</v>
      </c>
      <c r="J40" s="3" t="s">
        <v>30</v>
      </c>
      <c r="K40" s="3" t="s">
        <v>30</v>
      </c>
      <c r="L40" s="3" t="s">
        <v>139</v>
      </c>
      <c r="M40" s="3" t="s">
        <v>31</v>
      </c>
      <c r="N40" s="3" t="s">
        <v>199</v>
      </c>
      <c r="O40" s="3" t="s">
        <v>141</v>
      </c>
      <c r="P40" s="3" t="s">
        <v>316</v>
      </c>
      <c r="Q40" s="3" t="s">
        <v>143</v>
      </c>
      <c r="R40" s="3" t="s">
        <v>144</v>
      </c>
      <c r="S40" s="3" t="s">
        <v>34</v>
      </c>
      <c r="T40" s="153">
        <v>0.23599999999999999</v>
      </c>
      <c r="U40" s="3" t="s">
        <v>317</v>
      </c>
      <c r="V40" s="164">
        <v>4.9500000000000002E-2</v>
      </c>
      <c r="W40" s="164">
        <v>6.7369999999999999E-2</v>
      </c>
      <c r="X40" s="5" t="s">
        <v>146</v>
      </c>
      <c r="Y40" s="5" t="s">
        <v>318</v>
      </c>
      <c r="Z40" s="153">
        <v>0.03</v>
      </c>
      <c r="AA40" s="162">
        <v>1</v>
      </c>
      <c r="AB40" s="172">
        <v>148.12</v>
      </c>
      <c r="AD40" s="153">
        <v>0</v>
      </c>
      <c r="AG40" s="3" t="s">
        <v>36</v>
      </c>
      <c r="AH40" s="164">
        <v>0</v>
      </c>
      <c r="AI40" s="164">
        <v>9.5443405321959294E-10</v>
      </c>
      <c r="AJ40" s="164">
        <v>9.6242055081299497E-11</v>
      </c>
    </row>
    <row r="41" spans="1:36">
      <c r="A41" s="3">
        <v>1182</v>
      </c>
      <c r="B41" s="3">
        <v>1182</v>
      </c>
      <c r="C41" s="3" t="s">
        <v>307</v>
      </c>
      <c r="D41" s="3" t="s">
        <v>308</v>
      </c>
      <c r="E41" s="5" t="s">
        <v>134</v>
      </c>
      <c r="F41" s="3" t="s">
        <v>319</v>
      </c>
      <c r="G41" s="3" t="s">
        <v>320</v>
      </c>
      <c r="H41" s="3" t="s">
        <v>137</v>
      </c>
      <c r="I41" s="3" t="s">
        <v>138</v>
      </c>
      <c r="J41" s="3" t="s">
        <v>30</v>
      </c>
      <c r="K41" s="3" t="s">
        <v>30</v>
      </c>
      <c r="L41" s="3" t="s">
        <v>139</v>
      </c>
      <c r="M41" s="3" t="s">
        <v>31</v>
      </c>
      <c r="N41" s="3" t="s">
        <v>285</v>
      </c>
      <c r="O41" s="3" t="s">
        <v>141</v>
      </c>
      <c r="P41" s="3" t="s">
        <v>142</v>
      </c>
      <c r="Q41" s="3" t="s">
        <v>143</v>
      </c>
      <c r="R41" s="3" t="s">
        <v>144</v>
      </c>
      <c r="S41" s="3" t="s">
        <v>34</v>
      </c>
      <c r="T41" s="153">
        <v>2.9740000000000002</v>
      </c>
      <c r="U41" s="3" t="s">
        <v>321</v>
      </c>
      <c r="V41" s="164">
        <v>3.1699999999999999E-2</v>
      </c>
      <c r="W41" s="164">
        <v>2.8660000000000001E-2</v>
      </c>
      <c r="X41" s="5" t="s">
        <v>146</v>
      </c>
      <c r="Y41" s="5" t="s">
        <v>141</v>
      </c>
      <c r="Z41" s="153">
        <v>400000</v>
      </c>
      <c r="AA41" s="162">
        <v>1</v>
      </c>
      <c r="AB41" s="172">
        <v>114.09</v>
      </c>
      <c r="AD41" s="153">
        <v>456.36</v>
      </c>
      <c r="AG41" s="3" t="s">
        <v>36</v>
      </c>
      <c r="AH41" s="164">
        <v>4.7399999999999997E-4</v>
      </c>
      <c r="AI41" s="164">
        <v>9.8020866983367892E-3</v>
      </c>
      <c r="AJ41" s="164">
        <v>9.8841084384062097E-4</v>
      </c>
    </row>
    <row r="42" spans="1:36">
      <c r="A42" s="3">
        <v>1182</v>
      </c>
      <c r="B42" s="3">
        <v>1182</v>
      </c>
      <c r="C42" s="3" t="s">
        <v>322</v>
      </c>
      <c r="D42" s="3" t="s">
        <v>323</v>
      </c>
      <c r="E42" s="5" t="s">
        <v>134</v>
      </c>
      <c r="F42" s="3" t="s">
        <v>324</v>
      </c>
      <c r="G42" s="3" t="s">
        <v>325</v>
      </c>
      <c r="H42" s="3" t="s">
        <v>137</v>
      </c>
      <c r="I42" s="3" t="s">
        <v>138</v>
      </c>
      <c r="J42" s="3" t="s">
        <v>30</v>
      </c>
      <c r="K42" s="3" t="s">
        <v>30</v>
      </c>
      <c r="L42" s="3" t="s">
        <v>139</v>
      </c>
      <c r="M42" s="3" t="s">
        <v>31</v>
      </c>
      <c r="N42" s="3" t="s">
        <v>151</v>
      </c>
      <c r="O42" s="3" t="s">
        <v>141</v>
      </c>
      <c r="P42" s="3" t="s">
        <v>209</v>
      </c>
      <c r="Q42" s="3" t="s">
        <v>164</v>
      </c>
      <c r="R42" s="3" t="s">
        <v>144</v>
      </c>
      <c r="S42" s="3" t="s">
        <v>34</v>
      </c>
      <c r="T42" s="153">
        <v>3.2109999999999999</v>
      </c>
      <c r="U42" s="3" t="s">
        <v>326</v>
      </c>
      <c r="V42" s="164">
        <v>1.7999999999999999E-2</v>
      </c>
      <c r="W42" s="164">
        <v>3.2000000000000001E-2</v>
      </c>
      <c r="X42" s="5" t="s">
        <v>146</v>
      </c>
      <c r="Y42" s="5" t="s">
        <v>141</v>
      </c>
      <c r="Z42" s="153">
        <v>150268.82999999999</v>
      </c>
      <c r="AA42" s="162">
        <v>1</v>
      </c>
      <c r="AB42" s="172">
        <v>113.57</v>
      </c>
      <c r="AD42" s="153">
        <v>170.66</v>
      </c>
      <c r="AG42" s="3" t="s">
        <v>36</v>
      </c>
      <c r="AH42" s="164">
        <v>1.7000000000000001E-4</v>
      </c>
      <c r="AI42" s="164">
        <v>3.6655867228707899E-3</v>
      </c>
      <c r="AJ42" s="164">
        <v>3.6962595592410598E-4</v>
      </c>
    </row>
    <row r="43" spans="1:36">
      <c r="A43" s="3">
        <v>1182</v>
      </c>
      <c r="B43" s="3">
        <v>1182</v>
      </c>
      <c r="C43" s="3" t="s">
        <v>322</v>
      </c>
      <c r="D43" s="3" t="s">
        <v>323</v>
      </c>
      <c r="E43" s="5" t="s">
        <v>134</v>
      </c>
      <c r="F43" s="3" t="s">
        <v>327</v>
      </c>
      <c r="G43" s="3" t="s">
        <v>328</v>
      </c>
      <c r="H43" s="3" t="s">
        <v>137</v>
      </c>
      <c r="I43" s="3" t="s">
        <v>138</v>
      </c>
      <c r="J43" s="3" t="s">
        <v>30</v>
      </c>
      <c r="K43" s="3" t="s">
        <v>30</v>
      </c>
      <c r="L43" s="3" t="s">
        <v>139</v>
      </c>
      <c r="M43" s="3" t="s">
        <v>31</v>
      </c>
      <c r="N43" s="3" t="s">
        <v>151</v>
      </c>
      <c r="O43" s="3" t="s">
        <v>141</v>
      </c>
      <c r="P43" s="3" t="s">
        <v>329</v>
      </c>
      <c r="Q43" s="3" t="s">
        <v>143</v>
      </c>
      <c r="R43" s="3" t="s">
        <v>144</v>
      </c>
      <c r="S43" s="3" t="s">
        <v>34</v>
      </c>
      <c r="T43" s="153">
        <v>5.5270000000000001</v>
      </c>
      <c r="U43" s="3" t="s">
        <v>330</v>
      </c>
      <c r="V43" s="164">
        <v>3.3000000000000002E-2</v>
      </c>
      <c r="W43" s="164">
        <v>3.5090000000000003E-2</v>
      </c>
      <c r="X43" s="5" t="s">
        <v>146</v>
      </c>
      <c r="Y43" s="5" t="s">
        <v>141</v>
      </c>
      <c r="Z43" s="153">
        <v>621721.16</v>
      </c>
      <c r="AA43" s="162">
        <v>1</v>
      </c>
      <c r="AB43" s="172">
        <v>108.72</v>
      </c>
      <c r="AD43" s="153">
        <v>675.93499999999995</v>
      </c>
      <c r="AG43" s="3" t="s">
        <v>36</v>
      </c>
      <c r="AH43" s="164">
        <v>5.2400000000000005E-4</v>
      </c>
      <c r="AI43" s="164">
        <v>1.45183098331174E-2</v>
      </c>
      <c r="AJ43" s="164">
        <v>1.46397959076673E-3</v>
      </c>
    </row>
    <row r="44" spans="1:36">
      <c r="A44" s="3">
        <v>1182</v>
      </c>
      <c r="B44" s="3">
        <v>1182</v>
      </c>
      <c r="C44" s="3" t="s">
        <v>331</v>
      </c>
      <c r="D44" s="3" t="s">
        <v>332</v>
      </c>
      <c r="E44" s="5" t="s">
        <v>134</v>
      </c>
      <c r="F44" s="3" t="s">
        <v>333</v>
      </c>
      <c r="G44" s="3" t="s">
        <v>334</v>
      </c>
      <c r="H44" s="3" t="s">
        <v>137</v>
      </c>
      <c r="I44" s="3" t="s">
        <v>138</v>
      </c>
      <c r="J44" s="3" t="s">
        <v>30</v>
      </c>
      <c r="K44" s="3" t="s">
        <v>30</v>
      </c>
      <c r="L44" s="3" t="s">
        <v>139</v>
      </c>
      <c r="M44" s="3" t="s">
        <v>31</v>
      </c>
      <c r="N44" s="3" t="s">
        <v>186</v>
      </c>
      <c r="O44" s="3" t="s">
        <v>141</v>
      </c>
      <c r="P44" s="3" t="s">
        <v>329</v>
      </c>
      <c r="Q44" s="3" t="s">
        <v>143</v>
      </c>
      <c r="R44" s="3" t="s">
        <v>144</v>
      </c>
      <c r="S44" s="3" t="s">
        <v>34</v>
      </c>
      <c r="T44" s="153">
        <v>1.6659999999999999</v>
      </c>
      <c r="U44" s="3" t="s">
        <v>165</v>
      </c>
      <c r="V44" s="164">
        <v>3.6499999999999998E-2</v>
      </c>
      <c r="W44" s="164">
        <v>3.1359999999999999E-2</v>
      </c>
      <c r="X44" s="5" t="s">
        <v>146</v>
      </c>
      <c r="Y44" s="5" t="s">
        <v>141</v>
      </c>
      <c r="Z44" s="153">
        <v>320000</v>
      </c>
      <c r="AA44" s="162">
        <v>1</v>
      </c>
      <c r="AB44" s="172">
        <v>112.18</v>
      </c>
      <c r="AD44" s="153">
        <v>358.976</v>
      </c>
      <c r="AG44" s="3" t="s">
        <v>36</v>
      </c>
      <c r="AH44" s="164">
        <v>1.227E-3</v>
      </c>
      <c r="AI44" s="164">
        <v>7.7103906447150202E-3</v>
      </c>
      <c r="AJ44" s="164">
        <v>7.7749095249042598E-4</v>
      </c>
    </row>
    <row r="45" spans="1:36">
      <c r="A45" s="3">
        <v>1182</v>
      </c>
      <c r="B45" s="3">
        <v>1182</v>
      </c>
      <c r="C45" s="3" t="s">
        <v>331</v>
      </c>
      <c r="D45" s="3" t="s">
        <v>332</v>
      </c>
      <c r="E45" s="5" t="s">
        <v>134</v>
      </c>
      <c r="F45" s="3" t="s">
        <v>335</v>
      </c>
      <c r="G45" s="3" t="s">
        <v>336</v>
      </c>
      <c r="H45" s="3" t="s">
        <v>137</v>
      </c>
      <c r="I45" s="3" t="s">
        <v>138</v>
      </c>
      <c r="J45" s="3" t="s">
        <v>30</v>
      </c>
      <c r="K45" s="3" t="s">
        <v>30</v>
      </c>
      <c r="L45" s="3" t="s">
        <v>139</v>
      </c>
      <c r="M45" s="3" t="s">
        <v>31</v>
      </c>
      <c r="N45" s="3" t="s">
        <v>186</v>
      </c>
      <c r="O45" s="3" t="s">
        <v>141</v>
      </c>
      <c r="P45" s="3" t="s">
        <v>230</v>
      </c>
      <c r="Q45" s="3" t="s">
        <v>143</v>
      </c>
      <c r="R45" s="3" t="s">
        <v>144</v>
      </c>
      <c r="S45" s="3" t="s">
        <v>34</v>
      </c>
      <c r="T45" s="153">
        <v>1.996</v>
      </c>
      <c r="U45" s="3" t="s">
        <v>337</v>
      </c>
      <c r="V45" s="164">
        <v>1.7999999999999999E-2</v>
      </c>
      <c r="W45" s="164">
        <v>3.0210000000000001E-2</v>
      </c>
      <c r="X45" s="5" t="s">
        <v>146</v>
      </c>
      <c r="Y45" s="5" t="s">
        <v>141</v>
      </c>
      <c r="Z45" s="153">
        <v>0.76</v>
      </c>
      <c r="AA45" s="162">
        <v>1</v>
      </c>
      <c r="AB45" s="172">
        <v>116.94</v>
      </c>
      <c r="AD45" s="153">
        <v>1E-3</v>
      </c>
      <c r="AG45" s="3" t="s">
        <v>36</v>
      </c>
      <c r="AH45" s="164">
        <v>0</v>
      </c>
      <c r="AI45" s="164">
        <v>1.90891965567242E-8</v>
      </c>
      <c r="AJ45" s="164">
        <v>1.9248930822120402E-9</v>
      </c>
    </row>
    <row r="46" spans="1:36">
      <c r="A46" s="3">
        <v>1182</v>
      </c>
      <c r="B46" s="3">
        <v>1182</v>
      </c>
      <c r="C46" s="3" t="s">
        <v>338</v>
      </c>
      <c r="D46" s="3" t="s">
        <v>339</v>
      </c>
      <c r="E46" s="5" t="s">
        <v>134</v>
      </c>
      <c r="F46" s="3" t="s">
        <v>340</v>
      </c>
      <c r="G46" s="3" t="s">
        <v>341</v>
      </c>
      <c r="H46" s="3" t="s">
        <v>137</v>
      </c>
      <c r="I46" s="3" t="s">
        <v>156</v>
      </c>
      <c r="J46" s="3" t="s">
        <v>30</v>
      </c>
      <c r="K46" s="3" t="s">
        <v>30</v>
      </c>
      <c r="L46" s="3" t="s">
        <v>139</v>
      </c>
      <c r="M46" s="3" t="s">
        <v>31</v>
      </c>
      <c r="N46" s="3" t="s">
        <v>170</v>
      </c>
      <c r="O46" s="3" t="s">
        <v>141</v>
      </c>
      <c r="P46" s="3" t="s">
        <v>152</v>
      </c>
      <c r="Q46" s="3" t="s">
        <v>143</v>
      </c>
      <c r="R46" s="3" t="s">
        <v>144</v>
      </c>
      <c r="S46" s="3" t="s">
        <v>34</v>
      </c>
      <c r="T46" s="153">
        <v>7.4459999999999997</v>
      </c>
      <c r="U46" s="3" t="s">
        <v>342</v>
      </c>
      <c r="V46" s="164">
        <v>5.8500000000000003E-2</v>
      </c>
      <c r="W46" s="164">
        <v>5.2249999999999998E-2</v>
      </c>
      <c r="X46" s="5" t="s">
        <v>146</v>
      </c>
      <c r="Y46" s="5" t="s">
        <v>141</v>
      </c>
      <c r="Z46" s="153">
        <v>499000</v>
      </c>
      <c r="AA46" s="162">
        <v>1</v>
      </c>
      <c r="AB46" s="172">
        <v>107.8</v>
      </c>
      <c r="AD46" s="153">
        <v>537.92200000000003</v>
      </c>
      <c r="AG46" s="3" t="s">
        <v>36</v>
      </c>
      <c r="AH46" s="164">
        <v>4.9899999999999999E-4</v>
      </c>
      <c r="AI46" s="164">
        <v>1.1553944431901801E-2</v>
      </c>
      <c r="AJ46" s="164">
        <v>1.16506253383389E-3</v>
      </c>
    </row>
    <row r="47" spans="1:36">
      <c r="A47" s="3">
        <v>1182</v>
      </c>
      <c r="B47" s="3">
        <v>1182</v>
      </c>
      <c r="C47" s="3" t="s">
        <v>343</v>
      </c>
      <c r="D47" s="3" t="s">
        <v>344</v>
      </c>
      <c r="E47" s="5" t="s">
        <v>134</v>
      </c>
      <c r="F47" s="3" t="s">
        <v>345</v>
      </c>
      <c r="G47" s="3" t="s">
        <v>346</v>
      </c>
      <c r="H47" s="3" t="s">
        <v>137</v>
      </c>
      <c r="I47" s="3" t="s">
        <v>138</v>
      </c>
      <c r="J47" s="3" t="s">
        <v>30</v>
      </c>
      <c r="K47" s="3" t="s">
        <v>30</v>
      </c>
      <c r="L47" s="3" t="s">
        <v>139</v>
      </c>
      <c r="M47" s="3" t="s">
        <v>31</v>
      </c>
      <c r="N47" s="3" t="s">
        <v>186</v>
      </c>
      <c r="O47" s="3" t="s">
        <v>141</v>
      </c>
      <c r="P47" s="3" t="s">
        <v>171</v>
      </c>
      <c r="Q47" s="3" t="s">
        <v>164</v>
      </c>
      <c r="R47" s="3" t="s">
        <v>144</v>
      </c>
      <c r="S47" s="3" t="s">
        <v>34</v>
      </c>
      <c r="T47" s="153">
        <v>4.843</v>
      </c>
      <c r="U47" s="3" t="s">
        <v>347</v>
      </c>
      <c r="V47" s="164">
        <v>3.1800000000000002E-2</v>
      </c>
      <c r="W47" s="164">
        <v>3.2800000000000003E-2</v>
      </c>
      <c r="X47" s="5" t="s">
        <v>146</v>
      </c>
      <c r="Y47" s="5" t="s">
        <v>141</v>
      </c>
      <c r="Z47" s="153">
        <v>630000</v>
      </c>
      <c r="AA47" s="162">
        <v>1</v>
      </c>
      <c r="AB47" s="172">
        <v>103.74</v>
      </c>
      <c r="AD47" s="153">
        <v>653.56200000000001</v>
      </c>
      <c r="AG47" s="3" t="s">
        <v>36</v>
      </c>
      <c r="AH47" s="164">
        <v>2.823E-3</v>
      </c>
      <c r="AI47" s="164">
        <v>1.4037758319612599E-2</v>
      </c>
      <c r="AJ47" s="164">
        <v>1.41552232431011E-3</v>
      </c>
    </row>
    <row r="48" spans="1:36">
      <c r="A48" s="3">
        <v>1182</v>
      </c>
      <c r="B48" s="3">
        <v>1182</v>
      </c>
      <c r="C48" s="3" t="s">
        <v>348</v>
      </c>
      <c r="D48" s="3" t="s">
        <v>349</v>
      </c>
      <c r="E48" s="5" t="s">
        <v>134</v>
      </c>
      <c r="F48" s="3" t="s">
        <v>350</v>
      </c>
      <c r="G48" s="3" t="s">
        <v>351</v>
      </c>
      <c r="H48" s="3" t="s">
        <v>137</v>
      </c>
      <c r="I48" s="3" t="s">
        <v>138</v>
      </c>
      <c r="J48" s="3" t="s">
        <v>30</v>
      </c>
      <c r="K48" s="3" t="s">
        <v>30</v>
      </c>
      <c r="L48" s="3" t="s">
        <v>139</v>
      </c>
      <c r="M48" s="3" t="s">
        <v>31</v>
      </c>
      <c r="N48" s="3" t="s">
        <v>151</v>
      </c>
      <c r="O48" s="3" t="s">
        <v>141</v>
      </c>
      <c r="P48" s="3" t="s">
        <v>286</v>
      </c>
      <c r="Q48" s="3" t="s">
        <v>143</v>
      </c>
      <c r="R48" s="3" t="s">
        <v>144</v>
      </c>
      <c r="S48" s="3" t="s">
        <v>34</v>
      </c>
      <c r="T48" s="153">
        <v>0.4</v>
      </c>
      <c r="U48" s="3" t="s">
        <v>352</v>
      </c>
      <c r="V48" s="164">
        <v>4.4999999999999998E-2</v>
      </c>
      <c r="W48" s="164">
        <v>5.4760000000000003E-2</v>
      </c>
      <c r="X48" s="5" t="s">
        <v>146</v>
      </c>
      <c r="Y48" s="5" t="s">
        <v>141</v>
      </c>
      <c r="Z48" s="153">
        <v>83591</v>
      </c>
      <c r="AA48" s="162">
        <v>1</v>
      </c>
      <c r="AB48" s="172">
        <v>120.41</v>
      </c>
      <c r="AD48" s="153">
        <v>100.652</v>
      </c>
      <c r="AG48" s="3" t="s">
        <v>36</v>
      </c>
      <c r="AH48" s="164">
        <v>5.7000000000000003E-5</v>
      </c>
      <c r="AI48" s="164">
        <v>2.1618872744774498E-3</v>
      </c>
      <c r="AJ48" s="164">
        <v>2.17997747930257E-4</v>
      </c>
    </row>
    <row r="49" spans="1:36">
      <c r="A49" s="3">
        <v>1182</v>
      </c>
      <c r="B49" s="3">
        <v>1182</v>
      </c>
      <c r="C49" s="3" t="s">
        <v>348</v>
      </c>
      <c r="D49" s="3" t="s">
        <v>349</v>
      </c>
      <c r="E49" s="5" t="s">
        <v>134</v>
      </c>
      <c r="F49" s="3" t="s">
        <v>353</v>
      </c>
      <c r="G49" s="3" t="s">
        <v>354</v>
      </c>
      <c r="H49" s="3" t="s">
        <v>137</v>
      </c>
      <c r="I49" s="3" t="s">
        <v>138</v>
      </c>
      <c r="J49" s="3" t="s">
        <v>30</v>
      </c>
      <c r="K49" s="3" t="s">
        <v>30</v>
      </c>
      <c r="L49" s="3" t="s">
        <v>139</v>
      </c>
      <c r="M49" s="3" t="s">
        <v>31</v>
      </c>
      <c r="N49" s="3" t="s">
        <v>151</v>
      </c>
      <c r="O49" s="3" t="s">
        <v>141</v>
      </c>
      <c r="P49" s="3" t="s">
        <v>286</v>
      </c>
      <c r="Q49" s="3" t="s">
        <v>143</v>
      </c>
      <c r="R49" s="3" t="s">
        <v>144</v>
      </c>
      <c r="S49" s="3" t="s">
        <v>34</v>
      </c>
      <c r="T49" s="153">
        <v>6.8730000000000002</v>
      </c>
      <c r="U49" s="3" t="s">
        <v>355</v>
      </c>
      <c r="V49" s="164">
        <v>0.03</v>
      </c>
      <c r="W49" s="164">
        <v>2.632E-2</v>
      </c>
      <c r="X49" s="5" t="s">
        <v>146</v>
      </c>
      <c r="Y49" s="5" t="s">
        <v>141</v>
      </c>
      <c r="Z49" s="153">
        <v>660000</v>
      </c>
      <c r="AA49" s="162">
        <v>1</v>
      </c>
      <c r="AB49" s="172">
        <v>111.48</v>
      </c>
      <c r="AD49" s="153">
        <v>735.76800000000003</v>
      </c>
      <c r="AG49" s="3" t="s">
        <v>36</v>
      </c>
      <c r="AH49" s="164">
        <v>1.6200000000000001E-4</v>
      </c>
      <c r="AI49" s="164">
        <v>1.5803448430760501E-2</v>
      </c>
      <c r="AJ49" s="164">
        <v>1.59356882669587E-3</v>
      </c>
    </row>
    <row r="50" spans="1:36">
      <c r="A50" s="3">
        <v>1182</v>
      </c>
      <c r="B50" s="3">
        <v>1182</v>
      </c>
      <c r="C50" s="3" t="s">
        <v>348</v>
      </c>
      <c r="D50" s="3" t="s">
        <v>349</v>
      </c>
      <c r="E50" s="5" t="s">
        <v>134</v>
      </c>
      <c r="F50" s="3" t="s">
        <v>356</v>
      </c>
      <c r="G50" s="3" t="s">
        <v>357</v>
      </c>
      <c r="H50" s="3" t="s">
        <v>137</v>
      </c>
      <c r="I50" s="3" t="s">
        <v>138</v>
      </c>
      <c r="J50" s="3" t="s">
        <v>30</v>
      </c>
      <c r="K50" s="3" t="s">
        <v>30</v>
      </c>
      <c r="L50" s="3" t="s">
        <v>139</v>
      </c>
      <c r="M50" s="3" t="s">
        <v>31</v>
      </c>
      <c r="N50" s="3" t="s">
        <v>151</v>
      </c>
      <c r="O50" s="3" t="s">
        <v>141</v>
      </c>
      <c r="P50" s="3" t="s">
        <v>286</v>
      </c>
      <c r="Q50" s="3" t="s">
        <v>143</v>
      </c>
      <c r="R50" s="3" t="s">
        <v>144</v>
      </c>
      <c r="S50" s="3" t="s">
        <v>34</v>
      </c>
      <c r="T50" s="153">
        <v>7.569</v>
      </c>
      <c r="U50" s="3" t="s">
        <v>358</v>
      </c>
      <c r="V50" s="164">
        <v>2.9899999999999999E-2</v>
      </c>
      <c r="W50" s="164">
        <v>2.7519999999999999E-2</v>
      </c>
      <c r="X50" s="5" t="s">
        <v>146</v>
      </c>
      <c r="Y50" s="5" t="s">
        <v>141</v>
      </c>
      <c r="Z50" s="153">
        <v>730330</v>
      </c>
      <c r="AA50" s="162">
        <v>1</v>
      </c>
      <c r="AB50" s="172">
        <v>105.38</v>
      </c>
      <c r="AD50" s="153">
        <v>769.62199999999996</v>
      </c>
      <c r="AG50" s="3" t="s">
        <v>36</v>
      </c>
      <c r="AH50" s="164">
        <v>1.887E-3</v>
      </c>
      <c r="AI50" s="164">
        <v>1.6530588039341799E-2</v>
      </c>
      <c r="AJ50" s="164">
        <v>1.6668912422412999E-3</v>
      </c>
    </row>
    <row r="51" spans="1:36">
      <c r="A51" s="3">
        <v>1182</v>
      </c>
      <c r="B51" s="3">
        <v>1182</v>
      </c>
      <c r="C51" s="3" t="s">
        <v>359</v>
      </c>
      <c r="D51" s="3" t="s">
        <v>360</v>
      </c>
      <c r="E51" s="5" t="s">
        <v>134</v>
      </c>
      <c r="F51" s="3" t="s">
        <v>361</v>
      </c>
      <c r="G51" s="3" t="s">
        <v>362</v>
      </c>
      <c r="H51" s="3" t="s">
        <v>137</v>
      </c>
      <c r="I51" s="3" t="s">
        <v>138</v>
      </c>
      <c r="J51" s="3" t="s">
        <v>30</v>
      </c>
      <c r="K51" s="3" t="s">
        <v>30</v>
      </c>
      <c r="L51" s="3" t="s">
        <v>139</v>
      </c>
      <c r="M51" s="3" t="s">
        <v>31</v>
      </c>
      <c r="N51" s="3" t="s">
        <v>285</v>
      </c>
      <c r="O51" s="3" t="s">
        <v>141</v>
      </c>
      <c r="P51" s="3" t="s">
        <v>142</v>
      </c>
      <c r="Q51" s="3" t="s">
        <v>143</v>
      </c>
      <c r="R51" s="3" t="s">
        <v>144</v>
      </c>
      <c r="S51" s="3" t="s">
        <v>34</v>
      </c>
      <c r="T51" s="153">
        <v>3.6120000000000001</v>
      </c>
      <c r="U51" s="3" t="s">
        <v>363</v>
      </c>
      <c r="V51" s="164">
        <v>2.5899999999999999E-2</v>
      </c>
      <c r="W51" s="164">
        <v>2.6800000000000001E-2</v>
      </c>
      <c r="X51" s="5" t="s">
        <v>146</v>
      </c>
      <c r="Y51" s="5" t="s">
        <v>141</v>
      </c>
      <c r="Z51" s="153">
        <v>467000</v>
      </c>
      <c r="AA51" s="162">
        <v>1</v>
      </c>
      <c r="AB51" s="172">
        <v>107.69</v>
      </c>
      <c r="AD51" s="153">
        <v>502.91199999999998</v>
      </c>
      <c r="AG51" s="3" t="s">
        <v>36</v>
      </c>
      <c r="AH51" s="164">
        <v>6.8400000000000004E-4</v>
      </c>
      <c r="AI51" s="164">
        <v>1.0801976435840001E-2</v>
      </c>
      <c r="AJ51" s="164">
        <v>1.0892365036831201E-3</v>
      </c>
    </row>
    <row r="52" spans="1:36">
      <c r="A52" s="3">
        <v>1182</v>
      </c>
      <c r="B52" s="3">
        <v>1182</v>
      </c>
      <c r="C52" s="3" t="s">
        <v>364</v>
      </c>
      <c r="D52" s="3" t="s">
        <v>365</v>
      </c>
      <c r="E52" s="5" t="s">
        <v>366</v>
      </c>
      <c r="F52" s="3" t="s">
        <v>367</v>
      </c>
      <c r="G52" s="3" t="s">
        <v>368</v>
      </c>
      <c r="H52" s="3" t="s">
        <v>137</v>
      </c>
      <c r="I52" s="3" t="s">
        <v>156</v>
      </c>
      <c r="J52" s="3" t="s">
        <v>30</v>
      </c>
      <c r="K52" s="3" t="s">
        <v>30</v>
      </c>
      <c r="L52" s="3" t="s">
        <v>139</v>
      </c>
      <c r="M52" s="3" t="s">
        <v>31</v>
      </c>
      <c r="N52" s="3" t="s">
        <v>369</v>
      </c>
      <c r="O52" s="3" t="s">
        <v>141</v>
      </c>
      <c r="P52" s="3" t="s">
        <v>180</v>
      </c>
      <c r="Q52" s="3" t="s">
        <v>143</v>
      </c>
      <c r="R52" s="3" t="s">
        <v>144</v>
      </c>
      <c r="S52" s="3" t="s">
        <v>34</v>
      </c>
      <c r="T52" s="153">
        <v>2.8519999999999999</v>
      </c>
      <c r="U52" s="3" t="s">
        <v>370</v>
      </c>
      <c r="V52" s="164">
        <v>2.24E-2</v>
      </c>
      <c r="W52" s="164">
        <v>4.6460000000000001E-2</v>
      </c>
      <c r="X52" s="5" t="s">
        <v>146</v>
      </c>
      <c r="Y52" s="5" t="s">
        <v>141</v>
      </c>
      <c r="Z52" s="153">
        <v>0.92</v>
      </c>
      <c r="AA52" s="162">
        <v>1</v>
      </c>
      <c r="AB52" s="172">
        <v>94.99</v>
      </c>
      <c r="AD52" s="153">
        <v>1E-3</v>
      </c>
      <c r="AG52" s="3" t="s">
        <v>36</v>
      </c>
      <c r="AH52" s="164">
        <v>0</v>
      </c>
      <c r="AI52" s="164">
        <v>1.8770536379985301E-8</v>
      </c>
      <c r="AJ52" s="164">
        <v>1.8927604165988904E-9</v>
      </c>
    </row>
    <row r="53" spans="1:36">
      <c r="A53" s="3">
        <v>1182</v>
      </c>
      <c r="B53" s="3">
        <v>1182</v>
      </c>
      <c r="C53" s="3" t="s">
        <v>371</v>
      </c>
      <c r="D53" s="3" t="s">
        <v>372</v>
      </c>
      <c r="E53" s="5" t="s">
        <v>134</v>
      </c>
      <c r="F53" s="3" t="s">
        <v>373</v>
      </c>
      <c r="G53" s="3" t="s">
        <v>374</v>
      </c>
      <c r="H53" s="3" t="s">
        <v>137</v>
      </c>
      <c r="I53" s="3" t="s">
        <v>156</v>
      </c>
      <c r="J53" s="3" t="s">
        <v>30</v>
      </c>
      <c r="K53" s="3" t="s">
        <v>30</v>
      </c>
      <c r="L53" s="3" t="s">
        <v>139</v>
      </c>
      <c r="M53" s="3" t="s">
        <v>31</v>
      </c>
      <c r="N53" s="3" t="s">
        <v>170</v>
      </c>
      <c r="O53" s="3" t="s">
        <v>141</v>
      </c>
      <c r="P53" s="3" t="s">
        <v>142</v>
      </c>
      <c r="Q53" s="3" t="s">
        <v>143</v>
      </c>
      <c r="R53" s="3" t="s">
        <v>144</v>
      </c>
      <c r="S53" s="3" t="s">
        <v>34</v>
      </c>
      <c r="T53" s="153">
        <v>8.4480000000000004</v>
      </c>
      <c r="U53" s="3" t="s">
        <v>375</v>
      </c>
      <c r="V53" s="164">
        <v>5.5100000000000003E-2</v>
      </c>
      <c r="W53" s="164">
        <v>5.0360000000000002E-2</v>
      </c>
      <c r="X53" s="5" t="s">
        <v>146</v>
      </c>
      <c r="Y53" s="5" t="s">
        <v>141</v>
      </c>
      <c r="Z53" s="153">
        <v>519000</v>
      </c>
      <c r="AA53" s="162">
        <v>1</v>
      </c>
      <c r="AB53" s="172">
        <v>104.55</v>
      </c>
      <c r="AD53" s="153">
        <v>542.61500000000001</v>
      </c>
      <c r="AG53" s="3" t="s">
        <v>36</v>
      </c>
      <c r="AH53" s="164">
        <v>1.0380000000000001E-3</v>
      </c>
      <c r="AI53" s="164">
        <v>1.1654733922286499E-2</v>
      </c>
      <c r="AJ53" s="164">
        <v>1.1752258213365699E-3</v>
      </c>
    </row>
    <row r="54" spans="1:36">
      <c r="A54" s="3">
        <v>1182</v>
      </c>
      <c r="B54" s="3">
        <v>1182</v>
      </c>
      <c r="C54" s="3" t="s">
        <v>371</v>
      </c>
      <c r="D54" s="3" t="s">
        <v>372</v>
      </c>
      <c r="E54" s="5" t="s">
        <v>134</v>
      </c>
      <c r="F54" s="3" t="s">
        <v>376</v>
      </c>
      <c r="G54" s="3" t="s">
        <v>377</v>
      </c>
      <c r="H54" s="3" t="s">
        <v>137</v>
      </c>
      <c r="I54" s="3" t="s">
        <v>156</v>
      </c>
      <c r="J54" s="3" t="s">
        <v>30</v>
      </c>
      <c r="K54" s="3" t="s">
        <v>30</v>
      </c>
      <c r="L54" s="3" t="s">
        <v>139</v>
      </c>
      <c r="M54" s="3" t="s">
        <v>31</v>
      </c>
      <c r="N54" s="3" t="s">
        <v>378</v>
      </c>
      <c r="O54" s="3" t="s">
        <v>141</v>
      </c>
      <c r="P54" s="3" t="s">
        <v>142</v>
      </c>
      <c r="Q54" s="3" t="s">
        <v>143</v>
      </c>
      <c r="R54" s="3" t="s">
        <v>144</v>
      </c>
      <c r="S54" s="3" t="s">
        <v>34</v>
      </c>
      <c r="T54" s="153">
        <v>7.1269999999999998</v>
      </c>
      <c r="U54" s="3" t="s">
        <v>379</v>
      </c>
      <c r="V54" s="164">
        <v>5.3100000000000001E-2</v>
      </c>
      <c r="W54" s="164">
        <v>4.8730000000000002E-2</v>
      </c>
      <c r="X54" s="5" t="s">
        <v>146</v>
      </c>
      <c r="Y54" s="5" t="s">
        <v>141</v>
      </c>
      <c r="Z54" s="153">
        <v>581743</v>
      </c>
      <c r="AA54" s="162">
        <v>1</v>
      </c>
      <c r="AB54" s="172">
        <v>104.46</v>
      </c>
      <c r="AD54" s="153">
        <v>607.68899999999996</v>
      </c>
      <c r="AG54" s="3" t="s">
        <v>36</v>
      </c>
      <c r="AH54" s="164">
        <v>4.57E-4</v>
      </c>
      <c r="AI54" s="164">
        <v>1.30524535312439E-2</v>
      </c>
      <c r="AJ54" s="164">
        <v>1.31616736375085E-3</v>
      </c>
    </row>
    <row r="55" spans="1:36">
      <c r="A55" s="3">
        <v>1182</v>
      </c>
      <c r="B55" s="3">
        <v>1182</v>
      </c>
      <c r="C55" s="3" t="s">
        <v>380</v>
      </c>
      <c r="D55" s="3" t="s">
        <v>381</v>
      </c>
      <c r="E55" s="5" t="s">
        <v>134</v>
      </c>
      <c r="F55" s="3" t="s">
        <v>382</v>
      </c>
      <c r="G55" s="3" t="s">
        <v>383</v>
      </c>
      <c r="H55" s="3" t="s">
        <v>137</v>
      </c>
      <c r="I55" s="3" t="s">
        <v>138</v>
      </c>
      <c r="J55" s="3" t="s">
        <v>30</v>
      </c>
      <c r="K55" s="3" t="s">
        <v>30</v>
      </c>
      <c r="L55" s="3" t="s">
        <v>139</v>
      </c>
      <c r="M55" s="3" t="s">
        <v>31</v>
      </c>
      <c r="N55" s="3" t="s">
        <v>285</v>
      </c>
      <c r="O55" s="3" t="s">
        <v>141</v>
      </c>
      <c r="P55" s="3" t="s">
        <v>286</v>
      </c>
      <c r="Q55" s="3" t="s">
        <v>143</v>
      </c>
      <c r="R55" s="3" t="s">
        <v>144</v>
      </c>
      <c r="S55" s="3" t="s">
        <v>34</v>
      </c>
      <c r="T55" s="153">
        <v>0.73199999999999998</v>
      </c>
      <c r="U55" s="3" t="s">
        <v>384</v>
      </c>
      <c r="V55" s="164">
        <v>8.3000000000000001E-3</v>
      </c>
      <c r="W55" s="164">
        <v>3.2770000000000001E-2</v>
      </c>
      <c r="X55" s="5" t="s">
        <v>146</v>
      </c>
      <c r="Y55" s="5" t="s">
        <v>141</v>
      </c>
      <c r="Z55" s="153">
        <v>118106</v>
      </c>
      <c r="AA55" s="162">
        <v>1</v>
      </c>
      <c r="AB55" s="172">
        <v>116.83</v>
      </c>
      <c r="AD55" s="153">
        <v>137.983</v>
      </c>
      <c r="AG55" s="3" t="s">
        <v>36</v>
      </c>
      <c r="AH55" s="164">
        <v>7.7999999999999999E-5</v>
      </c>
      <c r="AI55" s="164">
        <v>2.96372092084538E-3</v>
      </c>
      <c r="AJ55" s="164">
        <v>2.9885206960859998E-4</v>
      </c>
    </row>
    <row r="56" spans="1:36">
      <c r="A56" s="3">
        <v>1182</v>
      </c>
      <c r="B56" s="3">
        <v>1182</v>
      </c>
      <c r="C56" s="3" t="s">
        <v>380</v>
      </c>
      <c r="D56" s="3" t="s">
        <v>381</v>
      </c>
      <c r="E56" s="5" t="s">
        <v>134</v>
      </c>
      <c r="F56" s="3" t="s">
        <v>385</v>
      </c>
      <c r="G56" s="3" t="s">
        <v>386</v>
      </c>
      <c r="H56" s="3" t="s">
        <v>137</v>
      </c>
      <c r="I56" s="3" t="s">
        <v>138</v>
      </c>
      <c r="J56" s="3" t="s">
        <v>30</v>
      </c>
      <c r="K56" s="3" t="s">
        <v>30</v>
      </c>
      <c r="L56" s="3" t="s">
        <v>139</v>
      </c>
      <c r="M56" s="3" t="s">
        <v>31</v>
      </c>
      <c r="N56" s="3" t="s">
        <v>285</v>
      </c>
      <c r="O56" s="3" t="s">
        <v>141</v>
      </c>
      <c r="P56" s="3" t="s">
        <v>286</v>
      </c>
      <c r="Q56" s="3" t="s">
        <v>143</v>
      </c>
      <c r="R56" s="3" t="s">
        <v>144</v>
      </c>
      <c r="S56" s="3" t="s">
        <v>34</v>
      </c>
      <c r="T56" s="153">
        <v>4.13</v>
      </c>
      <c r="U56" s="3" t="s">
        <v>387</v>
      </c>
      <c r="V56" s="164">
        <v>2.0199999999999999E-2</v>
      </c>
      <c r="W56" s="164">
        <v>2.5430000000000001E-2</v>
      </c>
      <c r="X56" s="5" t="s">
        <v>146</v>
      </c>
      <c r="Y56" s="5" t="s">
        <v>141</v>
      </c>
      <c r="Z56" s="153">
        <v>600000</v>
      </c>
      <c r="AA56" s="162">
        <v>1</v>
      </c>
      <c r="AB56" s="172">
        <v>105.02</v>
      </c>
      <c r="AD56" s="153">
        <v>630.12</v>
      </c>
      <c r="AG56" s="3" t="s">
        <v>36</v>
      </c>
      <c r="AH56" s="164">
        <v>1.6799999999999999E-4</v>
      </c>
      <c r="AI56" s="164">
        <v>1.3534251184056399E-2</v>
      </c>
      <c r="AJ56" s="164">
        <v>1.36475028688065E-3</v>
      </c>
    </row>
    <row r="57" spans="1:36">
      <c r="A57" s="3">
        <v>1182</v>
      </c>
      <c r="B57" s="3">
        <v>1182</v>
      </c>
      <c r="C57" s="3" t="s">
        <v>380</v>
      </c>
      <c r="D57" s="3" t="s">
        <v>381</v>
      </c>
      <c r="E57" s="5" t="s">
        <v>134</v>
      </c>
      <c r="F57" s="3" t="s">
        <v>388</v>
      </c>
      <c r="G57" s="3" t="s">
        <v>389</v>
      </c>
      <c r="H57" s="3" t="s">
        <v>137</v>
      </c>
      <c r="I57" s="3" t="s">
        <v>138</v>
      </c>
      <c r="J57" s="3" t="s">
        <v>30</v>
      </c>
      <c r="K57" s="3" t="s">
        <v>30</v>
      </c>
      <c r="L57" s="3" t="s">
        <v>139</v>
      </c>
      <c r="M57" s="3" t="s">
        <v>31</v>
      </c>
      <c r="N57" s="3" t="s">
        <v>285</v>
      </c>
      <c r="O57" s="3" t="s">
        <v>141</v>
      </c>
      <c r="P57" s="3" t="s">
        <v>286</v>
      </c>
      <c r="Q57" s="3" t="s">
        <v>143</v>
      </c>
      <c r="R57" s="3" t="s">
        <v>144</v>
      </c>
      <c r="S57" s="3" t="s">
        <v>34</v>
      </c>
      <c r="T57" s="153">
        <v>4.1289999999999996</v>
      </c>
      <c r="U57" s="3" t="s">
        <v>390</v>
      </c>
      <c r="V57" s="164">
        <v>1E-3</v>
      </c>
      <c r="W57" s="164">
        <v>2.5350000000000001E-2</v>
      </c>
      <c r="X57" s="5" t="s">
        <v>146</v>
      </c>
      <c r="Y57" s="5" t="s">
        <v>141</v>
      </c>
      <c r="Z57" s="153">
        <v>840000</v>
      </c>
      <c r="AA57" s="162">
        <v>1</v>
      </c>
      <c r="AB57" s="172">
        <v>104.89</v>
      </c>
      <c r="AD57" s="153">
        <v>881.07600000000002</v>
      </c>
      <c r="AG57" s="3" t="s">
        <v>36</v>
      </c>
      <c r="AH57" s="164">
        <v>1.9599999999999999E-4</v>
      </c>
      <c r="AI57" s="164">
        <v>1.8924496756560098E-2</v>
      </c>
      <c r="AJ57" s="164">
        <v>1.90828528496739E-3</v>
      </c>
    </row>
    <row r="58" spans="1:36">
      <c r="A58" s="3">
        <v>1182</v>
      </c>
      <c r="B58" s="3">
        <v>1182</v>
      </c>
      <c r="C58" s="3" t="s">
        <v>380</v>
      </c>
      <c r="D58" s="3" t="s">
        <v>381</v>
      </c>
      <c r="E58" s="5" t="s">
        <v>134</v>
      </c>
      <c r="F58" s="3" t="s">
        <v>391</v>
      </c>
      <c r="G58" s="3" t="s">
        <v>392</v>
      </c>
      <c r="H58" s="3" t="s">
        <v>137</v>
      </c>
      <c r="I58" s="3" t="s">
        <v>138</v>
      </c>
      <c r="J58" s="3" t="s">
        <v>30</v>
      </c>
      <c r="K58" s="3" t="s">
        <v>30</v>
      </c>
      <c r="L58" s="3" t="s">
        <v>139</v>
      </c>
      <c r="M58" s="3" t="s">
        <v>31</v>
      </c>
      <c r="N58" s="3" t="s">
        <v>285</v>
      </c>
      <c r="O58" s="3" t="s">
        <v>141</v>
      </c>
      <c r="P58" s="3" t="s">
        <v>393</v>
      </c>
      <c r="Q58" s="3" t="s">
        <v>164</v>
      </c>
      <c r="R58" s="3" t="s">
        <v>144</v>
      </c>
      <c r="S58" s="3" t="s">
        <v>34</v>
      </c>
      <c r="T58" s="153">
        <v>6.6959999999999997</v>
      </c>
      <c r="U58" s="3" t="s">
        <v>394</v>
      </c>
      <c r="V58" s="164">
        <v>2.5999999999999999E-2</v>
      </c>
      <c r="W58" s="164">
        <v>2.554E-2</v>
      </c>
      <c r="X58" s="5" t="s">
        <v>146</v>
      </c>
      <c r="Y58" s="5" t="s">
        <v>141</v>
      </c>
      <c r="Z58" s="153">
        <v>700000</v>
      </c>
      <c r="AA58" s="162">
        <v>1</v>
      </c>
      <c r="AB58" s="172">
        <v>101.17</v>
      </c>
      <c r="AD58" s="153">
        <v>708.19</v>
      </c>
      <c r="AG58" s="3" t="s">
        <v>36</v>
      </c>
      <c r="AH58" s="164">
        <v>3.8099999999999999E-4</v>
      </c>
      <c r="AI58" s="164">
        <v>1.52111047832745E-2</v>
      </c>
      <c r="AJ58" s="164">
        <v>1.53383880160288E-3</v>
      </c>
    </row>
    <row r="59" spans="1:36">
      <c r="A59" s="3">
        <v>1182</v>
      </c>
      <c r="B59" s="3">
        <v>1182</v>
      </c>
      <c r="C59" s="3" t="s">
        <v>380</v>
      </c>
      <c r="D59" s="3" t="s">
        <v>381</v>
      </c>
      <c r="E59" s="5" t="s">
        <v>134</v>
      </c>
      <c r="F59" s="3" t="s">
        <v>395</v>
      </c>
      <c r="G59" s="3" t="s">
        <v>396</v>
      </c>
      <c r="H59" s="3" t="s">
        <v>137</v>
      </c>
      <c r="I59" s="3" t="s">
        <v>138</v>
      </c>
      <c r="J59" s="3" t="s">
        <v>30</v>
      </c>
      <c r="K59" s="3" t="s">
        <v>30</v>
      </c>
      <c r="L59" s="3" t="s">
        <v>139</v>
      </c>
      <c r="M59" s="3" t="s">
        <v>31</v>
      </c>
      <c r="N59" s="3" t="s">
        <v>285</v>
      </c>
      <c r="O59" s="3" t="s">
        <v>141</v>
      </c>
      <c r="P59" s="3" t="s">
        <v>142</v>
      </c>
      <c r="Q59" s="3" t="s">
        <v>143</v>
      </c>
      <c r="R59" s="3" t="s">
        <v>144</v>
      </c>
      <c r="S59" s="3" t="s">
        <v>34</v>
      </c>
      <c r="T59" s="153">
        <v>4.968</v>
      </c>
      <c r="U59" s="3" t="s">
        <v>397</v>
      </c>
      <c r="V59" s="164">
        <v>3.1E-2</v>
      </c>
      <c r="W59" s="164">
        <v>2.972E-2</v>
      </c>
      <c r="X59" s="5" t="s">
        <v>146</v>
      </c>
      <c r="Y59" s="5" t="s">
        <v>141</v>
      </c>
      <c r="Z59" s="153">
        <v>600000</v>
      </c>
      <c r="AA59" s="162">
        <v>1</v>
      </c>
      <c r="AB59" s="172">
        <v>105.8</v>
      </c>
      <c r="AD59" s="153">
        <v>634.79999999999995</v>
      </c>
      <c r="AG59" s="3" t="s">
        <v>36</v>
      </c>
      <c r="AH59" s="164">
        <v>3.9100000000000002E-4</v>
      </c>
      <c r="AI59" s="164">
        <v>1.3634772188851301E-2</v>
      </c>
      <c r="AJ59" s="164">
        <v>1.3748865011614199E-3</v>
      </c>
    </row>
    <row r="60" spans="1:36">
      <c r="A60" s="3">
        <v>1182</v>
      </c>
      <c r="B60" s="3">
        <v>1182</v>
      </c>
      <c r="C60" s="3" t="s">
        <v>398</v>
      </c>
      <c r="D60" s="3" t="s">
        <v>399</v>
      </c>
      <c r="E60" s="5" t="s">
        <v>134</v>
      </c>
      <c r="F60" s="3" t="s">
        <v>400</v>
      </c>
      <c r="G60" s="3" t="s">
        <v>401</v>
      </c>
      <c r="H60" s="3" t="s">
        <v>137</v>
      </c>
      <c r="I60" s="3" t="s">
        <v>138</v>
      </c>
      <c r="J60" s="3" t="s">
        <v>30</v>
      </c>
      <c r="K60" s="3" t="s">
        <v>30</v>
      </c>
      <c r="L60" s="3" t="s">
        <v>139</v>
      </c>
      <c r="M60" s="3" t="s">
        <v>31</v>
      </c>
      <c r="N60" s="3" t="s">
        <v>186</v>
      </c>
      <c r="O60" s="3" t="s">
        <v>141</v>
      </c>
      <c r="P60" s="3" t="s">
        <v>180</v>
      </c>
      <c r="Q60" s="3" t="s">
        <v>143</v>
      </c>
      <c r="R60" s="3" t="s">
        <v>144</v>
      </c>
      <c r="S60" s="3" t="s">
        <v>34</v>
      </c>
      <c r="T60" s="153">
        <v>5.1689999999999996</v>
      </c>
      <c r="U60" s="3" t="s">
        <v>402</v>
      </c>
      <c r="V60" s="164">
        <v>3.5000000000000001E-3</v>
      </c>
      <c r="W60" s="164">
        <v>2.9669999999999998E-2</v>
      </c>
      <c r="X60" s="5" t="s">
        <v>146</v>
      </c>
      <c r="Y60" s="5" t="s">
        <v>141</v>
      </c>
      <c r="Z60" s="153">
        <v>711167.68</v>
      </c>
      <c r="AA60" s="162">
        <v>1</v>
      </c>
      <c r="AB60" s="172">
        <v>101.29</v>
      </c>
      <c r="AD60" s="153">
        <v>720.34199999999998</v>
      </c>
      <c r="AG60" s="3" t="s">
        <v>36</v>
      </c>
      <c r="AH60" s="164">
        <v>2.04E-4</v>
      </c>
      <c r="AI60" s="164">
        <v>1.54721102156692E-2</v>
      </c>
      <c r="AJ60" s="164">
        <v>1.56015774853935E-3</v>
      </c>
    </row>
    <row r="61" spans="1:36">
      <c r="A61" s="3">
        <v>1182</v>
      </c>
      <c r="B61" s="3">
        <v>1182</v>
      </c>
      <c r="C61" s="3" t="s">
        <v>403</v>
      </c>
      <c r="D61" s="3" t="s">
        <v>404</v>
      </c>
      <c r="E61" s="5" t="s">
        <v>134</v>
      </c>
      <c r="F61" s="3" t="s">
        <v>405</v>
      </c>
      <c r="G61" s="3" t="s">
        <v>406</v>
      </c>
      <c r="H61" s="3" t="s">
        <v>137</v>
      </c>
      <c r="I61" s="3" t="s">
        <v>156</v>
      </c>
      <c r="J61" s="3" t="s">
        <v>30</v>
      </c>
      <c r="K61" s="3" t="s">
        <v>30</v>
      </c>
      <c r="L61" s="3" t="s">
        <v>139</v>
      </c>
      <c r="M61" s="3" t="s">
        <v>31</v>
      </c>
      <c r="N61" s="3" t="s">
        <v>170</v>
      </c>
      <c r="O61" s="3" t="s">
        <v>141</v>
      </c>
      <c r="P61" s="3" t="s">
        <v>163</v>
      </c>
      <c r="Q61" s="3" t="s">
        <v>164</v>
      </c>
      <c r="R61" s="3" t="s">
        <v>144</v>
      </c>
      <c r="S61" s="3" t="s">
        <v>34</v>
      </c>
      <c r="T61" s="153">
        <v>6.5819999999999999</v>
      </c>
      <c r="U61" s="3" t="s">
        <v>250</v>
      </c>
      <c r="V61" s="164">
        <v>6.0699999999999997E-2</v>
      </c>
      <c r="W61" s="164">
        <v>4.9540000000000001E-2</v>
      </c>
      <c r="X61" s="5" t="s">
        <v>146</v>
      </c>
      <c r="Y61" s="5" t="s">
        <v>141</v>
      </c>
      <c r="Z61" s="153">
        <v>399000</v>
      </c>
      <c r="AA61" s="162">
        <v>1</v>
      </c>
      <c r="AB61" s="172">
        <v>109.46</v>
      </c>
      <c r="AD61" s="153">
        <v>436.745</v>
      </c>
      <c r="AG61" s="3" t="s">
        <v>36</v>
      </c>
      <c r="AH61" s="164">
        <v>6.3400000000000001E-4</v>
      </c>
      <c r="AI61" s="164">
        <v>9.3807877024712494E-3</v>
      </c>
      <c r="AJ61" s="164">
        <v>9.4592841037231497E-4</v>
      </c>
    </row>
    <row r="62" spans="1:36">
      <c r="A62" s="3">
        <v>1182</v>
      </c>
      <c r="B62" s="3">
        <v>1182</v>
      </c>
      <c r="C62" s="3" t="s">
        <v>403</v>
      </c>
      <c r="D62" s="3" t="s">
        <v>404</v>
      </c>
      <c r="E62" s="5" t="s">
        <v>134</v>
      </c>
      <c r="F62" s="3" t="s">
        <v>407</v>
      </c>
      <c r="G62" s="3" t="s">
        <v>408</v>
      </c>
      <c r="H62" s="3" t="s">
        <v>137</v>
      </c>
      <c r="I62" s="3" t="s">
        <v>156</v>
      </c>
      <c r="J62" s="3" t="s">
        <v>30</v>
      </c>
      <c r="K62" s="3" t="s">
        <v>30</v>
      </c>
      <c r="L62" s="3" t="s">
        <v>139</v>
      </c>
      <c r="M62" s="3" t="s">
        <v>31</v>
      </c>
      <c r="N62" s="3" t="s">
        <v>170</v>
      </c>
      <c r="O62" s="3" t="s">
        <v>141</v>
      </c>
      <c r="P62" s="3" t="s">
        <v>152</v>
      </c>
      <c r="Q62" s="3" t="s">
        <v>143</v>
      </c>
      <c r="R62" s="3" t="s">
        <v>144</v>
      </c>
      <c r="S62" s="3" t="s">
        <v>34</v>
      </c>
      <c r="T62" s="153">
        <v>5.931</v>
      </c>
      <c r="U62" s="3" t="s">
        <v>258</v>
      </c>
      <c r="V62" s="164">
        <v>6.0699999999999997E-2</v>
      </c>
      <c r="W62" s="164">
        <v>4.929E-2</v>
      </c>
      <c r="X62" s="5" t="s">
        <v>146</v>
      </c>
      <c r="Y62" s="5" t="s">
        <v>141</v>
      </c>
      <c r="Z62" s="153">
        <v>700077</v>
      </c>
      <c r="AA62" s="162">
        <v>1</v>
      </c>
      <c r="AB62" s="172">
        <v>108.82</v>
      </c>
      <c r="AD62" s="153">
        <v>761.82399999999996</v>
      </c>
      <c r="AG62" s="3" t="s">
        <v>36</v>
      </c>
      <c r="AH62" s="164">
        <v>1.1130000000000001E-3</v>
      </c>
      <c r="AI62" s="164">
        <v>1.6363096792353499E-2</v>
      </c>
      <c r="AJ62" s="164">
        <v>1.65000196449193E-3</v>
      </c>
    </row>
    <row r="63" spans="1:36">
      <c r="A63" s="3">
        <v>1182</v>
      </c>
      <c r="B63" s="3">
        <v>1182</v>
      </c>
      <c r="C63" s="3" t="s">
        <v>409</v>
      </c>
      <c r="D63" s="3" t="s">
        <v>410</v>
      </c>
      <c r="E63" s="5" t="s">
        <v>134</v>
      </c>
      <c r="F63" s="3" t="s">
        <v>411</v>
      </c>
      <c r="G63" s="3" t="s">
        <v>412</v>
      </c>
      <c r="H63" s="3" t="s">
        <v>137</v>
      </c>
      <c r="I63" s="3" t="s">
        <v>156</v>
      </c>
      <c r="J63" s="3" t="s">
        <v>30</v>
      </c>
      <c r="K63" s="3" t="s">
        <v>30</v>
      </c>
      <c r="L63" s="3" t="s">
        <v>139</v>
      </c>
      <c r="M63" s="3" t="s">
        <v>31</v>
      </c>
      <c r="N63" s="3" t="s">
        <v>186</v>
      </c>
      <c r="O63" s="3" t="s">
        <v>141</v>
      </c>
      <c r="P63" s="3" t="s">
        <v>171</v>
      </c>
      <c r="Q63" s="3" t="s">
        <v>164</v>
      </c>
      <c r="R63" s="3" t="s">
        <v>144</v>
      </c>
      <c r="S63" s="3" t="s">
        <v>34</v>
      </c>
      <c r="T63" s="153">
        <v>6.2949999999999999</v>
      </c>
      <c r="U63" s="3" t="s">
        <v>301</v>
      </c>
      <c r="V63" s="164">
        <v>5.2900000000000003E-2</v>
      </c>
      <c r="W63" s="164">
        <v>5.1069999999999997E-2</v>
      </c>
      <c r="X63" s="5" t="s">
        <v>146</v>
      </c>
      <c r="Y63" s="5" t="s">
        <v>141</v>
      </c>
      <c r="Z63" s="153">
        <v>633000</v>
      </c>
      <c r="AA63" s="162">
        <v>1</v>
      </c>
      <c r="AB63" s="172">
        <v>102.93</v>
      </c>
      <c r="AD63" s="153">
        <v>651.54700000000003</v>
      </c>
      <c r="AG63" s="3" t="s">
        <v>36</v>
      </c>
      <c r="AH63" s="164">
        <v>1.152E-3</v>
      </c>
      <c r="AI63" s="164">
        <v>1.39944762946634E-2</v>
      </c>
      <c r="AJ63" s="164">
        <v>1.4111579043534501E-3</v>
      </c>
    </row>
    <row r="64" spans="1:36">
      <c r="A64" s="3">
        <v>1182</v>
      </c>
      <c r="B64" s="3">
        <v>1182</v>
      </c>
      <c r="C64" s="3" t="s">
        <v>413</v>
      </c>
      <c r="D64" s="3" t="s">
        <v>414</v>
      </c>
      <c r="E64" s="5" t="s">
        <v>134</v>
      </c>
      <c r="F64" s="3" t="s">
        <v>415</v>
      </c>
      <c r="G64" s="3" t="s">
        <v>416</v>
      </c>
      <c r="H64" s="3" t="s">
        <v>137</v>
      </c>
      <c r="I64" s="3" t="s">
        <v>138</v>
      </c>
      <c r="J64" s="3" t="s">
        <v>30</v>
      </c>
      <c r="K64" s="3" t="s">
        <v>30</v>
      </c>
      <c r="L64" s="3" t="s">
        <v>139</v>
      </c>
      <c r="M64" s="3" t="s">
        <v>31</v>
      </c>
      <c r="N64" s="3" t="s">
        <v>186</v>
      </c>
      <c r="O64" s="3" t="s">
        <v>141</v>
      </c>
      <c r="P64" s="3" t="s">
        <v>152</v>
      </c>
      <c r="Q64" s="3" t="s">
        <v>143</v>
      </c>
      <c r="R64" s="3" t="s">
        <v>144</v>
      </c>
      <c r="S64" s="3" t="s">
        <v>34</v>
      </c>
      <c r="T64" s="153">
        <v>5.0469999999999997</v>
      </c>
      <c r="U64" s="3" t="s">
        <v>417</v>
      </c>
      <c r="V64" s="164">
        <v>9.7000000000000003E-3</v>
      </c>
      <c r="W64" s="164">
        <v>3.1480000000000001E-2</v>
      </c>
      <c r="X64" s="5" t="s">
        <v>146</v>
      </c>
      <c r="Y64" s="5" t="s">
        <v>141</v>
      </c>
      <c r="Z64" s="153">
        <v>611764.69999999995</v>
      </c>
      <c r="AA64" s="162">
        <v>1</v>
      </c>
      <c r="AB64" s="172">
        <v>104.98</v>
      </c>
      <c r="AD64" s="153">
        <v>642.23099999999999</v>
      </c>
      <c r="AG64" s="3" t="s">
        <v>36</v>
      </c>
      <c r="AH64" s="164">
        <v>1.016E-3</v>
      </c>
      <c r="AI64" s="164">
        <v>1.3794372525364701E-2</v>
      </c>
      <c r="AJ64" s="164">
        <v>1.39098008492019E-3</v>
      </c>
    </row>
    <row r="65" spans="1:36">
      <c r="A65" s="3">
        <v>1182</v>
      </c>
      <c r="B65" s="3">
        <v>1182</v>
      </c>
      <c r="C65" s="3" t="s">
        <v>418</v>
      </c>
      <c r="D65" s="3" t="s">
        <v>419</v>
      </c>
      <c r="E65" s="5" t="s">
        <v>134</v>
      </c>
      <c r="F65" s="3" t="s">
        <v>420</v>
      </c>
      <c r="G65" s="3" t="s">
        <v>421</v>
      </c>
      <c r="H65" s="3" t="s">
        <v>137</v>
      </c>
      <c r="I65" s="3" t="s">
        <v>138</v>
      </c>
      <c r="J65" s="3" t="s">
        <v>30</v>
      </c>
      <c r="K65" s="3" t="s">
        <v>30</v>
      </c>
      <c r="L65" s="3" t="s">
        <v>139</v>
      </c>
      <c r="M65" s="3" t="s">
        <v>31</v>
      </c>
      <c r="N65" s="3" t="s">
        <v>285</v>
      </c>
      <c r="O65" s="3" t="s">
        <v>141</v>
      </c>
      <c r="P65" s="3" t="s">
        <v>142</v>
      </c>
      <c r="Q65" s="3" t="s">
        <v>143</v>
      </c>
      <c r="R65" s="3" t="s">
        <v>144</v>
      </c>
      <c r="S65" s="3" t="s">
        <v>34</v>
      </c>
      <c r="T65" s="153">
        <v>3.5310000000000001</v>
      </c>
      <c r="U65" s="3" t="s">
        <v>422</v>
      </c>
      <c r="V65" s="164">
        <v>3.3599999999999998E-2</v>
      </c>
      <c r="W65" s="164">
        <v>2.955E-2</v>
      </c>
      <c r="X65" s="5" t="s">
        <v>146</v>
      </c>
      <c r="Y65" s="5" t="s">
        <v>141</v>
      </c>
      <c r="Z65" s="153">
        <v>500000</v>
      </c>
      <c r="AA65" s="162">
        <v>1</v>
      </c>
      <c r="AB65" s="172">
        <v>108.97</v>
      </c>
      <c r="AD65" s="153">
        <v>544.85</v>
      </c>
      <c r="AG65" s="3" t="s">
        <v>36</v>
      </c>
      <c r="AH65" s="164">
        <v>4.28E-4</v>
      </c>
      <c r="AI65" s="164">
        <v>1.1702749885153799E-2</v>
      </c>
      <c r="AJ65" s="164">
        <v>1.18006759634184E-3</v>
      </c>
    </row>
    <row r="66" spans="1:36">
      <c r="A66" s="3">
        <v>1182</v>
      </c>
      <c r="B66" s="3">
        <v>1182</v>
      </c>
      <c r="C66" s="3" t="s">
        <v>418</v>
      </c>
      <c r="D66" s="3" t="s">
        <v>419</v>
      </c>
      <c r="E66" s="5" t="s">
        <v>134</v>
      </c>
      <c r="F66" s="3" t="s">
        <v>423</v>
      </c>
      <c r="G66" s="3" t="s">
        <v>424</v>
      </c>
      <c r="H66" s="3" t="s">
        <v>137</v>
      </c>
      <c r="I66" s="3" t="s">
        <v>138</v>
      </c>
      <c r="J66" s="3" t="s">
        <v>30</v>
      </c>
      <c r="K66" s="3" t="s">
        <v>30</v>
      </c>
      <c r="L66" s="3" t="s">
        <v>139</v>
      </c>
      <c r="M66" s="3" t="s">
        <v>31</v>
      </c>
      <c r="N66" s="3" t="s">
        <v>285</v>
      </c>
      <c r="O66" s="3" t="s">
        <v>141</v>
      </c>
      <c r="P66" s="3" t="s">
        <v>142</v>
      </c>
      <c r="Q66" s="3" t="s">
        <v>143</v>
      </c>
      <c r="R66" s="3" t="s">
        <v>144</v>
      </c>
      <c r="S66" s="3" t="s">
        <v>34</v>
      </c>
      <c r="T66" s="153">
        <v>4.6829999999999998</v>
      </c>
      <c r="U66" s="3" t="s">
        <v>425</v>
      </c>
      <c r="V66" s="164">
        <v>3.3500000000000002E-2</v>
      </c>
      <c r="W66" s="164">
        <v>3.0839999999999999E-2</v>
      </c>
      <c r="X66" s="5" t="s">
        <v>146</v>
      </c>
      <c r="Y66" s="5" t="s">
        <v>141</v>
      </c>
      <c r="Z66" s="153">
        <v>620000</v>
      </c>
      <c r="AA66" s="162">
        <v>1</v>
      </c>
      <c r="AB66" s="172">
        <v>106.95</v>
      </c>
      <c r="AD66" s="153">
        <v>663.09</v>
      </c>
      <c r="AG66" s="3" t="s">
        <v>36</v>
      </c>
      <c r="AH66" s="164">
        <v>4.0900000000000002E-4</v>
      </c>
      <c r="AI66" s="164">
        <v>1.42424087755284E-2</v>
      </c>
      <c r="AJ66" s="164">
        <v>1.4361586169740501E-3</v>
      </c>
    </row>
    <row r="67" spans="1:36">
      <c r="A67" s="3">
        <v>1182</v>
      </c>
      <c r="B67" s="3">
        <v>1182</v>
      </c>
      <c r="C67" s="3" t="s">
        <v>418</v>
      </c>
      <c r="D67" s="3" t="s">
        <v>419</v>
      </c>
      <c r="E67" s="5" t="s">
        <v>134</v>
      </c>
      <c r="F67" s="3" t="s">
        <v>426</v>
      </c>
      <c r="G67" s="3" t="s">
        <v>427</v>
      </c>
      <c r="H67" s="3" t="s">
        <v>137</v>
      </c>
      <c r="I67" s="3" t="s">
        <v>138</v>
      </c>
      <c r="J67" s="3" t="s">
        <v>30</v>
      </c>
      <c r="K67" s="3" t="s">
        <v>30</v>
      </c>
      <c r="L67" s="3" t="s">
        <v>139</v>
      </c>
      <c r="M67" s="3" t="s">
        <v>31</v>
      </c>
      <c r="N67" s="3" t="s">
        <v>285</v>
      </c>
      <c r="O67" s="3" t="s">
        <v>141</v>
      </c>
      <c r="P67" s="3" t="s">
        <v>286</v>
      </c>
      <c r="Q67" s="3" t="s">
        <v>143</v>
      </c>
      <c r="R67" s="3" t="s">
        <v>144</v>
      </c>
      <c r="S67" s="3" t="s">
        <v>34</v>
      </c>
      <c r="T67" s="153">
        <v>4.3650000000000002</v>
      </c>
      <c r="U67" s="3" t="s">
        <v>428</v>
      </c>
      <c r="V67" s="164">
        <v>2.2013000000000001E-2</v>
      </c>
      <c r="W67" s="164">
        <v>2.4549999999999999E-2</v>
      </c>
      <c r="X67" s="5" t="s">
        <v>146</v>
      </c>
      <c r="Y67" s="5" t="s">
        <v>141</v>
      </c>
      <c r="Z67" s="153">
        <v>735928</v>
      </c>
      <c r="AA67" s="162">
        <v>1</v>
      </c>
      <c r="AB67" s="172">
        <v>125.71</v>
      </c>
      <c r="AD67" s="153">
        <v>925.13499999999999</v>
      </c>
      <c r="AG67" s="3" t="s">
        <v>36</v>
      </c>
      <c r="AH67" s="164">
        <v>1.0480000000000001E-3</v>
      </c>
      <c r="AI67" s="164">
        <v>1.9870835191715099E-2</v>
      </c>
      <c r="AJ67" s="164">
        <v>2.0037110040042401E-3</v>
      </c>
    </row>
    <row r="68" spans="1:36">
      <c r="A68" s="3">
        <v>1182</v>
      </c>
      <c r="B68" s="3">
        <v>1182</v>
      </c>
      <c r="C68" s="3" t="s">
        <v>429</v>
      </c>
      <c r="D68" s="3" t="s">
        <v>430</v>
      </c>
      <c r="E68" s="5" t="s">
        <v>134</v>
      </c>
      <c r="F68" s="3" t="s">
        <v>431</v>
      </c>
      <c r="G68" s="3" t="s">
        <v>432</v>
      </c>
      <c r="H68" s="3" t="s">
        <v>137</v>
      </c>
      <c r="I68" s="3" t="s">
        <v>138</v>
      </c>
      <c r="J68" s="3" t="s">
        <v>30</v>
      </c>
      <c r="K68" s="3" t="s">
        <v>30</v>
      </c>
      <c r="L68" s="3" t="s">
        <v>139</v>
      </c>
      <c r="M68" s="3" t="s">
        <v>31</v>
      </c>
      <c r="N68" s="3" t="s">
        <v>186</v>
      </c>
      <c r="O68" s="3" t="s">
        <v>141</v>
      </c>
      <c r="P68" s="3" t="s">
        <v>180</v>
      </c>
      <c r="Q68" s="3" t="s">
        <v>143</v>
      </c>
      <c r="R68" s="3" t="s">
        <v>144</v>
      </c>
      <c r="S68" s="3" t="s">
        <v>34</v>
      </c>
      <c r="T68" s="153">
        <v>3.4809999999999999</v>
      </c>
      <c r="U68" s="3" t="s">
        <v>433</v>
      </c>
      <c r="V68" s="164">
        <v>1.43E-2</v>
      </c>
      <c r="W68" s="164">
        <v>2.8119999999999999E-2</v>
      </c>
      <c r="X68" s="5" t="s">
        <v>146</v>
      </c>
      <c r="Y68" s="5" t="s">
        <v>141</v>
      </c>
      <c r="Z68" s="153">
        <v>593406.59</v>
      </c>
      <c r="AA68" s="162">
        <v>1</v>
      </c>
      <c r="AB68" s="172">
        <v>113.61</v>
      </c>
      <c r="AD68" s="153">
        <v>674.16899999999998</v>
      </c>
      <c r="AG68" s="3" t="s">
        <v>36</v>
      </c>
      <c r="AH68" s="164">
        <v>3.0800000000000001E-4</v>
      </c>
      <c r="AI68" s="164">
        <v>1.44803777969469E-2</v>
      </c>
      <c r="AJ68" s="164">
        <v>1.46015464644276E-3</v>
      </c>
    </row>
    <row r="69" spans="1:36">
      <c r="A69" s="3">
        <v>1182</v>
      </c>
      <c r="B69" s="3">
        <v>1182</v>
      </c>
      <c r="C69" s="3" t="s">
        <v>429</v>
      </c>
      <c r="D69" s="3" t="s">
        <v>430</v>
      </c>
      <c r="E69" s="5" t="s">
        <v>134</v>
      </c>
      <c r="F69" s="3" t="s">
        <v>434</v>
      </c>
      <c r="G69" s="3" t="s">
        <v>435</v>
      </c>
      <c r="H69" s="3" t="s">
        <v>137</v>
      </c>
      <c r="I69" s="3" t="s">
        <v>138</v>
      </c>
      <c r="J69" s="3" t="s">
        <v>30</v>
      </c>
      <c r="K69" s="3" t="s">
        <v>30</v>
      </c>
      <c r="L69" s="3" t="s">
        <v>139</v>
      </c>
      <c r="M69" s="3" t="s">
        <v>31</v>
      </c>
      <c r="N69" s="3" t="s">
        <v>186</v>
      </c>
      <c r="O69" s="3" t="s">
        <v>141</v>
      </c>
      <c r="P69" s="3" t="s">
        <v>180</v>
      </c>
      <c r="Q69" s="3" t="s">
        <v>143</v>
      </c>
      <c r="R69" s="3" t="s">
        <v>144</v>
      </c>
      <c r="S69" s="3" t="s">
        <v>34</v>
      </c>
      <c r="T69" s="153">
        <v>5.3339999999999996</v>
      </c>
      <c r="U69" s="3" t="s">
        <v>436</v>
      </c>
      <c r="V69" s="164">
        <v>3.61E-2</v>
      </c>
      <c r="W69" s="164">
        <v>2.9340000000000001E-2</v>
      </c>
      <c r="X69" s="5" t="s">
        <v>146</v>
      </c>
      <c r="Y69" s="5" t="s">
        <v>141</v>
      </c>
      <c r="Z69" s="153">
        <v>1020725.12</v>
      </c>
      <c r="AA69" s="162">
        <v>1</v>
      </c>
      <c r="AB69" s="172">
        <v>113.95</v>
      </c>
      <c r="AD69" s="153">
        <v>1163.116</v>
      </c>
      <c r="AG69" s="3" t="s">
        <v>36</v>
      </c>
      <c r="AH69" s="164">
        <v>4.6500000000000003E-4</v>
      </c>
      <c r="AI69" s="164">
        <v>2.49823967051165E-2</v>
      </c>
      <c r="AJ69" s="164">
        <v>2.5191443993915299E-3</v>
      </c>
    </row>
    <row r="70" spans="1:36">
      <c r="A70" s="3">
        <v>1182</v>
      </c>
      <c r="B70" s="3">
        <v>1182</v>
      </c>
      <c r="C70" s="3" t="s">
        <v>429</v>
      </c>
      <c r="D70" s="3" t="s">
        <v>430</v>
      </c>
      <c r="E70" s="5" t="s">
        <v>134</v>
      </c>
      <c r="F70" s="3" t="s">
        <v>437</v>
      </c>
      <c r="G70" s="3" t="s">
        <v>438</v>
      </c>
      <c r="H70" s="3" t="s">
        <v>137</v>
      </c>
      <c r="I70" s="3" t="s">
        <v>138</v>
      </c>
      <c r="J70" s="3" t="s">
        <v>30</v>
      </c>
      <c r="K70" s="3" t="s">
        <v>30</v>
      </c>
      <c r="L70" s="3" t="s">
        <v>139</v>
      </c>
      <c r="M70" s="3" t="s">
        <v>31</v>
      </c>
      <c r="N70" s="3" t="s">
        <v>186</v>
      </c>
      <c r="O70" s="3" t="s">
        <v>141</v>
      </c>
      <c r="P70" s="3" t="s">
        <v>180</v>
      </c>
      <c r="Q70" s="3" t="s">
        <v>143</v>
      </c>
      <c r="R70" s="3" t="s">
        <v>144</v>
      </c>
      <c r="S70" s="3" t="s">
        <v>34</v>
      </c>
      <c r="T70" s="153">
        <v>0.54500000000000004</v>
      </c>
      <c r="U70" s="3" t="s">
        <v>439</v>
      </c>
      <c r="V70" s="164">
        <v>2.1499999999999998E-2</v>
      </c>
      <c r="W70" s="164">
        <v>5.0410000000000003E-2</v>
      </c>
      <c r="X70" s="5" t="s">
        <v>146</v>
      </c>
      <c r="Y70" s="5" t="s">
        <v>141</v>
      </c>
      <c r="Z70" s="153">
        <v>10096.780000000001</v>
      </c>
      <c r="AA70" s="162">
        <v>1</v>
      </c>
      <c r="AB70" s="172">
        <v>120.11</v>
      </c>
      <c r="AD70" s="153">
        <v>12.127000000000001</v>
      </c>
      <c r="AG70" s="3" t="s">
        <v>36</v>
      </c>
      <c r="AH70" s="164">
        <v>1.7E-5</v>
      </c>
      <c r="AI70" s="164">
        <v>2.60479187450844E-4</v>
      </c>
      <c r="AJ70" s="164">
        <v>2.6265882091707399E-5</v>
      </c>
    </row>
    <row r="71" spans="1:36">
      <c r="A71" s="3">
        <v>1182</v>
      </c>
      <c r="B71" s="3">
        <v>1182</v>
      </c>
      <c r="C71" s="3" t="s">
        <v>429</v>
      </c>
      <c r="D71" s="3" t="s">
        <v>430</v>
      </c>
      <c r="E71" s="5" t="s">
        <v>134</v>
      </c>
      <c r="F71" s="3" t="s">
        <v>440</v>
      </c>
      <c r="G71" s="3" t="s">
        <v>441</v>
      </c>
      <c r="H71" s="3" t="s">
        <v>137</v>
      </c>
      <c r="I71" s="3" t="s">
        <v>138</v>
      </c>
      <c r="J71" s="3" t="s">
        <v>30</v>
      </c>
      <c r="K71" s="3" t="s">
        <v>30</v>
      </c>
      <c r="L71" s="3" t="s">
        <v>139</v>
      </c>
      <c r="M71" s="3" t="s">
        <v>31</v>
      </c>
      <c r="N71" s="3" t="s">
        <v>186</v>
      </c>
      <c r="O71" s="3" t="s">
        <v>141</v>
      </c>
      <c r="P71" s="3" t="s">
        <v>180</v>
      </c>
      <c r="Q71" s="3" t="s">
        <v>143</v>
      </c>
      <c r="R71" s="3" t="s">
        <v>144</v>
      </c>
      <c r="S71" s="3" t="s">
        <v>34</v>
      </c>
      <c r="T71" s="153">
        <v>3.0649999999999999</v>
      </c>
      <c r="U71" s="3" t="s">
        <v>442</v>
      </c>
      <c r="V71" s="164">
        <v>2.2499999999999999E-2</v>
      </c>
      <c r="W71" s="164">
        <v>2.9350000000000001E-2</v>
      </c>
      <c r="X71" s="5" t="s">
        <v>146</v>
      </c>
      <c r="Y71" s="5" t="s">
        <v>141</v>
      </c>
      <c r="Z71" s="153">
        <v>468465.68</v>
      </c>
      <c r="AA71" s="162">
        <v>1</v>
      </c>
      <c r="AB71" s="172">
        <v>118.47</v>
      </c>
      <c r="AD71" s="153">
        <v>554.99099999999999</v>
      </c>
      <c r="AG71" s="3" t="s">
        <v>36</v>
      </c>
      <c r="AH71" s="164">
        <v>2.7E-4</v>
      </c>
      <c r="AI71" s="164">
        <v>1.1920573126796501E-2</v>
      </c>
      <c r="AJ71" s="164">
        <v>1.20203219028047E-3</v>
      </c>
    </row>
    <row r="72" spans="1:36">
      <c r="A72" s="3">
        <v>1182</v>
      </c>
      <c r="B72" s="3">
        <v>1182</v>
      </c>
      <c r="C72" s="3" t="s">
        <v>443</v>
      </c>
      <c r="D72" s="3" t="s">
        <v>444</v>
      </c>
      <c r="E72" s="5" t="s">
        <v>134</v>
      </c>
      <c r="F72" s="3" t="s">
        <v>445</v>
      </c>
      <c r="G72" s="3" t="s">
        <v>446</v>
      </c>
      <c r="H72" s="3" t="s">
        <v>137</v>
      </c>
      <c r="I72" s="3" t="s">
        <v>156</v>
      </c>
      <c r="J72" s="3" t="s">
        <v>30</v>
      </c>
      <c r="K72" s="3" t="s">
        <v>30</v>
      </c>
      <c r="L72" s="3" t="s">
        <v>139</v>
      </c>
      <c r="M72" s="3" t="s">
        <v>31</v>
      </c>
      <c r="N72" s="3" t="s">
        <v>447</v>
      </c>
      <c r="O72" s="3" t="s">
        <v>141</v>
      </c>
      <c r="P72" s="3" t="s">
        <v>209</v>
      </c>
      <c r="Q72" s="3" t="s">
        <v>164</v>
      </c>
      <c r="R72" s="3" t="s">
        <v>144</v>
      </c>
      <c r="S72" s="3" t="s">
        <v>34</v>
      </c>
      <c r="T72" s="153">
        <v>0.96699999999999997</v>
      </c>
      <c r="U72" s="3" t="s">
        <v>448</v>
      </c>
      <c r="V72" s="164">
        <v>0.114</v>
      </c>
      <c r="W72" s="164">
        <v>1E-4</v>
      </c>
      <c r="X72" s="5" t="s">
        <v>146</v>
      </c>
      <c r="Y72" s="5" t="s">
        <v>141</v>
      </c>
      <c r="Z72" s="153">
        <v>262435.8</v>
      </c>
      <c r="AA72" s="162">
        <v>1</v>
      </c>
      <c r="AB72" s="172">
        <v>100.46</v>
      </c>
      <c r="AD72" s="153">
        <v>263.64299999999997</v>
      </c>
      <c r="AG72" s="3" t="s">
        <v>36</v>
      </c>
      <c r="AH72" s="164">
        <v>1.0859999999999999E-3</v>
      </c>
      <c r="AI72" s="164">
        <v>5.6627478071771698E-3</v>
      </c>
      <c r="AJ72" s="164">
        <v>5.71013245526417E-4</v>
      </c>
    </row>
    <row r="73" spans="1:36">
      <c r="A73" s="3">
        <v>1182</v>
      </c>
      <c r="B73" s="3">
        <v>1182</v>
      </c>
      <c r="C73" s="3" t="s">
        <v>443</v>
      </c>
      <c r="D73" s="3" t="s">
        <v>444</v>
      </c>
      <c r="E73" s="5" t="s">
        <v>134</v>
      </c>
      <c r="F73" s="3" t="s">
        <v>449</v>
      </c>
      <c r="G73" s="3" t="s">
        <v>450</v>
      </c>
      <c r="H73" s="3" t="s">
        <v>137</v>
      </c>
      <c r="I73" s="3" t="s">
        <v>156</v>
      </c>
      <c r="J73" s="3" t="s">
        <v>30</v>
      </c>
      <c r="K73" s="3" t="s">
        <v>30</v>
      </c>
      <c r="L73" s="3" t="s">
        <v>139</v>
      </c>
      <c r="M73" s="3" t="s">
        <v>31</v>
      </c>
      <c r="N73" s="3" t="s">
        <v>447</v>
      </c>
      <c r="O73" s="3" t="s">
        <v>141</v>
      </c>
      <c r="P73" s="3" t="s">
        <v>209</v>
      </c>
      <c r="Q73" s="3" t="s">
        <v>164</v>
      </c>
      <c r="R73" s="3" t="s">
        <v>144</v>
      </c>
      <c r="S73" s="3" t="s">
        <v>34</v>
      </c>
      <c r="T73" s="153">
        <v>1.714</v>
      </c>
      <c r="U73" s="3" t="s">
        <v>451</v>
      </c>
      <c r="V73" s="164">
        <v>7.22E-2</v>
      </c>
      <c r="W73" s="164">
        <v>5.8099999999999999E-2</v>
      </c>
      <c r="X73" s="5" t="s">
        <v>146</v>
      </c>
      <c r="Y73" s="5" t="s">
        <v>141</v>
      </c>
      <c r="Z73" s="153">
        <v>299000</v>
      </c>
      <c r="AA73" s="162">
        <v>1</v>
      </c>
      <c r="AB73" s="172">
        <v>103.83</v>
      </c>
      <c r="AD73" s="153">
        <v>310.452</v>
      </c>
      <c r="AG73" s="3" t="s">
        <v>36</v>
      </c>
      <c r="AH73" s="164">
        <v>8.5899999999999995E-4</v>
      </c>
      <c r="AI73" s="164">
        <v>6.6681446205759604E-3</v>
      </c>
      <c r="AJ73" s="164">
        <v>6.7239422116039001E-4</v>
      </c>
    </row>
    <row r="74" spans="1:36">
      <c r="A74" s="3">
        <v>1182</v>
      </c>
      <c r="B74" s="3">
        <v>1182</v>
      </c>
      <c r="C74" s="3" t="s">
        <v>443</v>
      </c>
      <c r="D74" s="3" t="s">
        <v>444</v>
      </c>
      <c r="E74" s="5" t="s">
        <v>134</v>
      </c>
      <c r="F74" s="3" t="s">
        <v>452</v>
      </c>
      <c r="G74" s="3" t="s">
        <v>453</v>
      </c>
      <c r="H74" s="3" t="s">
        <v>137</v>
      </c>
      <c r="I74" s="3" t="s">
        <v>156</v>
      </c>
      <c r="J74" s="3" t="s">
        <v>30</v>
      </c>
      <c r="K74" s="3" t="s">
        <v>30</v>
      </c>
      <c r="L74" s="3" t="s">
        <v>139</v>
      </c>
      <c r="M74" s="3" t="s">
        <v>31</v>
      </c>
      <c r="N74" s="3" t="s">
        <v>447</v>
      </c>
      <c r="O74" s="3" t="s">
        <v>141</v>
      </c>
      <c r="P74" s="3" t="s">
        <v>209</v>
      </c>
      <c r="Q74" s="3" t="s">
        <v>164</v>
      </c>
      <c r="R74" s="3" t="s">
        <v>144</v>
      </c>
      <c r="S74" s="3" t="s">
        <v>34</v>
      </c>
      <c r="T74" s="153">
        <v>2.8410000000000002</v>
      </c>
      <c r="U74" s="3" t="s">
        <v>454</v>
      </c>
      <c r="V74" s="164">
        <v>6.4000000000000001E-2</v>
      </c>
      <c r="W74" s="164">
        <v>5.8369999999999998E-2</v>
      </c>
      <c r="X74" s="5" t="s">
        <v>146</v>
      </c>
      <c r="Y74" s="5" t="s">
        <v>141</v>
      </c>
      <c r="Z74" s="153">
        <v>409000</v>
      </c>
      <c r="AA74" s="162">
        <v>1</v>
      </c>
      <c r="AB74" s="172">
        <v>104.05</v>
      </c>
      <c r="AD74" s="153">
        <v>425.565</v>
      </c>
      <c r="AG74" s="3" t="s">
        <v>36</v>
      </c>
      <c r="AH74" s="164">
        <v>1.181E-3</v>
      </c>
      <c r="AI74" s="164">
        <v>9.1406348600542291E-3</v>
      </c>
      <c r="AJ74" s="164">
        <v>9.2171217142959902E-4</v>
      </c>
    </row>
    <row r="75" spans="1:36">
      <c r="A75" s="3">
        <v>1182</v>
      </c>
      <c r="B75" s="3">
        <v>1182</v>
      </c>
      <c r="C75" s="3" t="s">
        <v>455</v>
      </c>
      <c r="D75" s="3" t="s">
        <v>456</v>
      </c>
      <c r="E75" s="5" t="s">
        <v>134</v>
      </c>
      <c r="F75" s="3" t="s">
        <v>457</v>
      </c>
      <c r="G75" s="3" t="s">
        <v>458</v>
      </c>
      <c r="H75" s="3" t="s">
        <v>137</v>
      </c>
      <c r="I75" s="3" t="s">
        <v>138</v>
      </c>
      <c r="J75" s="3" t="s">
        <v>30</v>
      </c>
      <c r="K75" s="3" t="s">
        <v>30</v>
      </c>
      <c r="L75" s="3" t="s">
        <v>139</v>
      </c>
      <c r="M75" s="3" t="s">
        <v>31</v>
      </c>
      <c r="N75" s="3" t="s">
        <v>162</v>
      </c>
      <c r="O75" s="3" t="s">
        <v>141</v>
      </c>
      <c r="P75" s="3" t="s">
        <v>459</v>
      </c>
      <c r="Q75" s="3" t="s">
        <v>164</v>
      </c>
      <c r="R75" s="3" t="s">
        <v>144</v>
      </c>
      <c r="S75" s="3" t="s">
        <v>34</v>
      </c>
      <c r="T75" s="153">
        <v>3.2679999999999998</v>
      </c>
      <c r="U75" s="3" t="s">
        <v>460</v>
      </c>
      <c r="V75" s="164">
        <v>2.07E-2</v>
      </c>
      <c r="W75" s="164">
        <v>4.1239999999999999E-2</v>
      </c>
      <c r="X75" s="5" t="s">
        <v>146</v>
      </c>
      <c r="Y75" s="5" t="s">
        <v>141</v>
      </c>
      <c r="Z75" s="153">
        <v>306725.43</v>
      </c>
      <c r="AA75" s="162">
        <v>1</v>
      </c>
      <c r="AB75" s="172">
        <v>109.03</v>
      </c>
      <c r="AD75" s="153">
        <v>334.423</v>
      </c>
      <c r="AG75" s="3" t="s">
        <v>36</v>
      </c>
      <c r="AH75" s="164">
        <v>7.3499999999999998E-4</v>
      </c>
      <c r="AI75" s="164">
        <v>7.1830148465945398E-3</v>
      </c>
      <c r="AJ75" s="164">
        <v>7.2431207602427104E-4</v>
      </c>
    </row>
    <row r="76" spans="1:36">
      <c r="A76" s="3">
        <v>1182</v>
      </c>
      <c r="B76" s="3">
        <v>1182</v>
      </c>
      <c r="C76" s="3" t="s">
        <v>461</v>
      </c>
      <c r="D76" s="3" t="s">
        <v>462</v>
      </c>
      <c r="E76" s="5" t="s">
        <v>134</v>
      </c>
      <c r="F76" s="3" t="s">
        <v>463</v>
      </c>
      <c r="G76" s="3" t="s">
        <v>464</v>
      </c>
      <c r="H76" s="3" t="s">
        <v>137</v>
      </c>
      <c r="I76" s="3" t="s">
        <v>138</v>
      </c>
      <c r="J76" s="3" t="s">
        <v>30</v>
      </c>
      <c r="K76" s="3" t="s">
        <v>30</v>
      </c>
      <c r="L76" s="3" t="s">
        <v>139</v>
      </c>
      <c r="M76" s="3" t="s">
        <v>31</v>
      </c>
      <c r="N76" s="3" t="s">
        <v>465</v>
      </c>
      <c r="O76" s="3" t="s">
        <v>141</v>
      </c>
      <c r="P76" s="3" t="s">
        <v>286</v>
      </c>
      <c r="Q76" s="3" t="s">
        <v>143</v>
      </c>
      <c r="R76" s="3" t="s">
        <v>144</v>
      </c>
      <c r="S76" s="3" t="s">
        <v>34</v>
      </c>
      <c r="T76" s="153">
        <v>11.507999999999999</v>
      </c>
      <c r="U76" s="3" t="s">
        <v>466</v>
      </c>
      <c r="V76" s="164">
        <v>2.07E-2</v>
      </c>
      <c r="W76" s="164">
        <v>2.7050000000000001E-2</v>
      </c>
      <c r="X76" s="5" t="s">
        <v>146</v>
      </c>
      <c r="Y76" s="5" t="s">
        <v>141</v>
      </c>
      <c r="Z76" s="153">
        <v>283659.58</v>
      </c>
      <c r="AA76" s="162">
        <v>1</v>
      </c>
      <c r="AB76" s="172">
        <v>109.4</v>
      </c>
      <c r="AD76" s="153">
        <v>310.32400000000001</v>
      </c>
      <c r="AG76" s="3" t="s">
        <v>36</v>
      </c>
      <c r="AH76" s="164">
        <v>5.1999999999999997E-5</v>
      </c>
      <c r="AI76" s="164">
        <v>6.6653927618444599E-3</v>
      </c>
      <c r="AJ76" s="164">
        <v>6.7211673259141001E-4</v>
      </c>
    </row>
    <row r="77" spans="1:36">
      <c r="A77" s="3">
        <v>1182</v>
      </c>
      <c r="B77" s="3">
        <v>1182</v>
      </c>
      <c r="C77" s="3" t="s">
        <v>467</v>
      </c>
      <c r="D77" s="3" t="s">
        <v>468</v>
      </c>
      <c r="E77" s="5" t="s">
        <v>366</v>
      </c>
      <c r="F77" s="3" t="s">
        <v>469</v>
      </c>
      <c r="G77" s="3" t="s">
        <v>470</v>
      </c>
      <c r="H77" s="3" t="s">
        <v>137</v>
      </c>
      <c r="I77" s="3" t="s">
        <v>156</v>
      </c>
      <c r="J77" s="3" t="s">
        <v>30</v>
      </c>
      <c r="K77" s="3" t="s">
        <v>30</v>
      </c>
      <c r="L77" s="3" t="s">
        <v>139</v>
      </c>
      <c r="M77" s="3" t="s">
        <v>31</v>
      </c>
      <c r="N77" s="3" t="s">
        <v>369</v>
      </c>
      <c r="O77" s="3" t="s">
        <v>141</v>
      </c>
      <c r="P77" s="3" t="s">
        <v>471</v>
      </c>
      <c r="Q77" s="3" t="s">
        <v>143</v>
      </c>
      <c r="R77" s="3" t="s">
        <v>144</v>
      </c>
      <c r="S77" s="3" t="s">
        <v>34</v>
      </c>
      <c r="T77" s="153">
        <v>3.746</v>
      </c>
      <c r="U77" s="3" t="s">
        <v>472</v>
      </c>
      <c r="V77" s="164">
        <v>0.06</v>
      </c>
      <c r="W77" s="164">
        <v>5.5539999999999999E-2</v>
      </c>
      <c r="X77" s="5" t="s">
        <v>146</v>
      </c>
      <c r="Y77" s="5" t="s">
        <v>141</v>
      </c>
      <c r="Z77" s="153">
        <v>520000</v>
      </c>
      <c r="AA77" s="162">
        <v>1</v>
      </c>
      <c r="AB77" s="172">
        <v>103.52</v>
      </c>
      <c r="AD77" s="153">
        <v>538.30399999999997</v>
      </c>
      <c r="AG77" s="3" t="s">
        <v>36</v>
      </c>
      <c r="AH77" s="164">
        <v>5.1999999999999995E-4</v>
      </c>
      <c r="AI77" s="164">
        <v>1.1562149351524E-2</v>
      </c>
      <c r="AJ77" s="164">
        <v>1.16588989149527E-3</v>
      </c>
    </row>
    <row r="78" spans="1:36">
      <c r="A78" s="3">
        <v>1182</v>
      </c>
      <c r="B78" s="3">
        <v>1182</v>
      </c>
      <c r="C78" s="3" t="s">
        <v>467</v>
      </c>
      <c r="D78" s="3" t="s">
        <v>468</v>
      </c>
      <c r="E78" s="5" t="s">
        <v>366</v>
      </c>
      <c r="F78" s="3" t="s">
        <v>473</v>
      </c>
      <c r="G78" s="3" t="s">
        <v>474</v>
      </c>
      <c r="H78" s="3" t="s">
        <v>137</v>
      </c>
      <c r="I78" s="3" t="s">
        <v>156</v>
      </c>
      <c r="J78" s="3" t="s">
        <v>30</v>
      </c>
      <c r="K78" s="3" t="s">
        <v>30</v>
      </c>
      <c r="L78" s="3" t="s">
        <v>139</v>
      </c>
      <c r="M78" s="3" t="s">
        <v>31</v>
      </c>
      <c r="N78" s="3" t="s">
        <v>369</v>
      </c>
      <c r="O78" s="3" t="s">
        <v>141</v>
      </c>
      <c r="P78" s="3" t="s">
        <v>329</v>
      </c>
      <c r="Q78" s="3" t="s">
        <v>143</v>
      </c>
      <c r="R78" s="3" t="s">
        <v>144</v>
      </c>
      <c r="S78" s="3" t="s">
        <v>34</v>
      </c>
      <c r="T78" s="153">
        <v>2.9580000000000002</v>
      </c>
      <c r="U78" s="3" t="s">
        <v>475</v>
      </c>
      <c r="V78" s="164">
        <v>6.7000000000000004E-2</v>
      </c>
      <c r="W78" s="164">
        <v>5.1299999999999998E-2</v>
      </c>
      <c r="X78" s="5" t="s">
        <v>146</v>
      </c>
      <c r="Y78" s="5" t="s">
        <v>141</v>
      </c>
      <c r="Z78" s="153">
        <v>261000</v>
      </c>
      <c r="AA78" s="162">
        <v>1</v>
      </c>
      <c r="AB78" s="172">
        <v>104.89</v>
      </c>
      <c r="AD78" s="153">
        <v>273.76299999999998</v>
      </c>
      <c r="AG78" s="3" t="s">
        <v>36</v>
      </c>
      <c r="AH78" s="164">
        <v>2.8699999999999998E-4</v>
      </c>
      <c r="AI78" s="164">
        <v>5.8801114922169004E-3</v>
      </c>
      <c r="AJ78" s="164">
        <v>5.92931499257725E-4</v>
      </c>
    </row>
    <row r="79" spans="1:36">
      <c r="A79" s="3">
        <v>1182</v>
      </c>
      <c r="B79" s="3">
        <v>1182</v>
      </c>
      <c r="C79" s="3" t="s">
        <v>476</v>
      </c>
      <c r="D79" s="3" t="s">
        <v>477</v>
      </c>
      <c r="E79" s="5" t="s">
        <v>134</v>
      </c>
      <c r="F79" s="3" t="s">
        <v>478</v>
      </c>
      <c r="G79" s="3" t="s">
        <v>479</v>
      </c>
      <c r="H79" s="3" t="s">
        <v>137</v>
      </c>
      <c r="I79" s="3" t="s">
        <v>156</v>
      </c>
      <c r="J79" s="3" t="s">
        <v>30</v>
      </c>
      <c r="K79" s="3" t="s">
        <v>30</v>
      </c>
      <c r="L79" s="3" t="s">
        <v>139</v>
      </c>
      <c r="M79" s="3" t="s">
        <v>31</v>
      </c>
      <c r="N79" s="3" t="s">
        <v>480</v>
      </c>
      <c r="O79" s="3" t="s">
        <v>141</v>
      </c>
      <c r="P79" s="3" t="s">
        <v>481</v>
      </c>
      <c r="Q79" s="3" t="s">
        <v>481</v>
      </c>
      <c r="R79" s="3" t="s">
        <v>481</v>
      </c>
      <c r="S79" s="3" t="s">
        <v>34</v>
      </c>
      <c r="T79" s="153">
        <v>3.6760000000000002</v>
      </c>
      <c r="U79" s="3" t="s">
        <v>482</v>
      </c>
      <c r="V79" s="164">
        <v>5.8999999999999997E-2</v>
      </c>
      <c r="W79" s="164">
        <v>5.3530000000000001E-2</v>
      </c>
      <c r="X79" s="5" t="s">
        <v>146</v>
      </c>
      <c r="Y79" s="5" t="s">
        <v>141</v>
      </c>
      <c r="Z79" s="153">
        <v>620000</v>
      </c>
      <c r="AA79" s="162">
        <v>1</v>
      </c>
      <c r="AB79" s="172">
        <v>102.31</v>
      </c>
      <c r="AD79" s="153">
        <v>634.322</v>
      </c>
      <c r="AG79" s="3" t="s">
        <v>36</v>
      </c>
      <c r="AH79" s="164">
        <v>1.2750000000000001E-3</v>
      </c>
      <c r="AI79" s="164">
        <v>1.36245052999001E-2</v>
      </c>
      <c r="AJ79" s="164">
        <v>1.3738512211558199E-3</v>
      </c>
    </row>
    <row r="80" spans="1:36">
      <c r="A80" s="3">
        <v>1182</v>
      </c>
      <c r="B80" s="3">
        <v>1182</v>
      </c>
      <c r="C80" s="3" t="s">
        <v>483</v>
      </c>
      <c r="D80" s="3" t="s">
        <v>484</v>
      </c>
      <c r="E80" s="5" t="s">
        <v>134</v>
      </c>
      <c r="F80" s="3" t="s">
        <v>485</v>
      </c>
      <c r="G80" s="3" t="s">
        <v>486</v>
      </c>
      <c r="H80" s="3" t="s">
        <v>137</v>
      </c>
      <c r="I80" s="3" t="s">
        <v>156</v>
      </c>
      <c r="J80" s="3" t="s">
        <v>30</v>
      </c>
      <c r="K80" s="3" t="s">
        <v>30</v>
      </c>
      <c r="L80" s="3" t="s">
        <v>139</v>
      </c>
      <c r="M80" s="3" t="s">
        <v>31</v>
      </c>
      <c r="N80" s="3" t="s">
        <v>220</v>
      </c>
      <c r="O80" s="3" t="s">
        <v>141</v>
      </c>
      <c r="P80" s="3" t="s">
        <v>209</v>
      </c>
      <c r="Q80" s="3" t="s">
        <v>164</v>
      </c>
      <c r="R80" s="3" t="s">
        <v>144</v>
      </c>
      <c r="S80" s="3" t="s">
        <v>34</v>
      </c>
      <c r="T80" s="153">
        <v>2.992</v>
      </c>
      <c r="U80" s="3" t="s">
        <v>472</v>
      </c>
      <c r="V80" s="164">
        <v>6.9500000000000006E-2</v>
      </c>
      <c r="W80" s="164">
        <v>5.3469999999999997E-2</v>
      </c>
      <c r="X80" s="5" t="s">
        <v>146</v>
      </c>
      <c r="Y80" s="5" t="s">
        <v>141</v>
      </c>
      <c r="Z80" s="153">
        <v>351500</v>
      </c>
      <c r="AA80" s="162">
        <v>1</v>
      </c>
      <c r="AB80" s="172">
        <v>106.87</v>
      </c>
      <c r="AD80" s="153">
        <v>375.64800000000002</v>
      </c>
      <c r="AG80" s="3" t="s">
        <v>36</v>
      </c>
      <c r="AH80" s="164">
        <v>4.3800000000000002E-4</v>
      </c>
      <c r="AI80" s="164">
        <v>8.0684870588157397E-3</v>
      </c>
      <c r="AJ80" s="164">
        <v>8.1360024122969598E-4</v>
      </c>
    </row>
    <row r="81" spans="1:36">
      <c r="A81" s="3">
        <v>1182</v>
      </c>
      <c r="B81" s="3">
        <v>1182</v>
      </c>
      <c r="C81" s="3" t="s">
        <v>483</v>
      </c>
      <c r="D81" s="3" t="s">
        <v>484</v>
      </c>
      <c r="E81" s="5" t="s">
        <v>134</v>
      </c>
      <c r="F81" s="3" t="s">
        <v>487</v>
      </c>
      <c r="G81" s="3" t="s">
        <v>488</v>
      </c>
      <c r="H81" s="3" t="s">
        <v>137</v>
      </c>
      <c r="I81" s="3" t="s">
        <v>156</v>
      </c>
      <c r="J81" s="3" t="s">
        <v>30</v>
      </c>
      <c r="K81" s="3" t="s">
        <v>30</v>
      </c>
      <c r="L81" s="3" t="s">
        <v>139</v>
      </c>
      <c r="M81" s="3" t="s">
        <v>31</v>
      </c>
      <c r="N81" s="3" t="s">
        <v>220</v>
      </c>
      <c r="O81" s="3" t="s">
        <v>141</v>
      </c>
      <c r="P81" s="3" t="s">
        <v>209</v>
      </c>
      <c r="Q81" s="3" t="s">
        <v>164</v>
      </c>
      <c r="R81" s="3" t="s">
        <v>144</v>
      </c>
      <c r="S81" s="3" t="s">
        <v>34</v>
      </c>
      <c r="T81" s="153">
        <v>5.5030000000000001</v>
      </c>
      <c r="U81" s="3" t="s">
        <v>489</v>
      </c>
      <c r="V81" s="164">
        <v>6.6900000000000001E-2</v>
      </c>
      <c r="W81" s="164">
        <v>5.6550000000000003E-2</v>
      </c>
      <c r="X81" s="5" t="s">
        <v>146</v>
      </c>
      <c r="Y81" s="5" t="s">
        <v>141</v>
      </c>
      <c r="Z81" s="153">
        <v>171558</v>
      </c>
      <c r="AA81" s="162">
        <v>1</v>
      </c>
      <c r="AB81" s="172">
        <v>107.94</v>
      </c>
      <c r="AD81" s="153">
        <v>185.18</v>
      </c>
      <c r="AG81" s="3" t="s">
        <v>36</v>
      </c>
      <c r="AH81" s="164">
        <v>2.2699999999999999E-4</v>
      </c>
      <c r="AI81" s="164">
        <v>3.9774465885328396E-3</v>
      </c>
      <c r="AJ81" s="164">
        <v>4.0107290007645199E-4</v>
      </c>
    </row>
    <row r="82" spans="1:36">
      <c r="A82" s="3">
        <v>1182</v>
      </c>
      <c r="B82" s="3">
        <v>1182</v>
      </c>
      <c r="C82" s="3" t="s">
        <v>490</v>
      </c>
      <c r="D82" s="3" t="s">
        <v>491</v>
      </c>
      <c r="E82" s="5" t="s">
        <v>492</v>
      </c>
      <c r="F82" s="3" t="s">
        <v>493</v>
      </c>
      <c r="G82" s="3" t="s">
        <v>494</v>
      </c>
      <c r="H82" s="3" t="s">
        <v>137</v>
      </c>
      <c r="I82" s="3" t="s">
        <v>156</v>
      </c>
      <c r="J82" s="3" t="s">
        <v>30</v>
      </c>
      <c r="K82" s="3" t="s">
        <v>30</v>
      </c>
      <c r="L82" s="3" t="s">
        <v>139</v>
      </c>
      <c r="M82" s="3" t="s">
        <v>31</v>
      </c>
      <c r="N82" s="3" t="s">
        <v>208</v>
      </c>
      <c r="O82" s="3" t="s">
        <v>141</v>
      </c>
      <c r="P82" s="3" t="s">
        <v>180</v>
      </c>
      <c r="Q82" s="3" t="s">
        <v>143</v>
      </c>
      <c r="R82" s="3" t="s">
        <v>144</v>
      </c>
      <c r="S82" s="3" t="s">
        <v>34</v>
      </c>
      <c r="T82" s="153">
        <v>3.2290000000000001</v>
      </c>
      <c r="U82" s="3" t="s">
        <v>495</v>
      </c>
      <c r="V82" s="164">
        <v>6.25E-2</v>
      </c>
      <c r="W82" s="164">
        <v>5.2150000000000002E-2</v>
      </c>
      <c r="X82" s="5" t="s">
        <v>146</v>
      </c>
      <c r="Y82" s="5" t="s">
        <v>141</v>
      </c>
      <c r="Z82" s="153">
        <v>576871</v>
      </c>
      <c r="AA82" s="162">
        <v>1</v>
      </c>
      <c r="AB82" s="172">
        <v>106.47</v>
      </c>
      <c r="AD82" s="153">
        <v>614.19500000000005</v>
      </c>
      <c r="AG82" s="3" t="s">
        <v>36</v>
      </c>
      <c r="AH82" s="164">
        <v>1.049E-3</v>
      </c>
      <c r="AI82" s="164">
        <v>1.31921909567308E-2</v>
      </c>
      <c r="AJ82" s="164">
        <v>1.3302580355529199E-3</v>
      </c>
    </row>
    <row r="83" spans="1:36">
      <c r="A83" s="3">
        <v>1182</v>
      </c>
      <c r="B83" s="3">
        <v>1182</v>
      </c>
      <c r="C83" s="3" t="s">
        <v>490</v>
      </c>
      <c r="D83" s="3" t="s">
        <v>491</v>
      </c>
      <c r="E83" s="5" t="s">
        <v>492</v>
      </c>
      <c r="F83" s="3" t="s">
        <v>496</v>
      </c>
      <c r="G83" s="3" t="s">
        <v>497</v>
      </c>
      <c r="H83" s="3" t="s">
        <v>137</v>
      </c>
      <c r="I83" s="3" t="s">
        <v>156</v>
      </c>
      <c r="J83" s="3" t="s">
        <v>30</v>
      </c>
      <c r="K83" s="3" t="s">
        <v>30</v>
      </c>
      <c r="L83" s="3" t="s">
        <v>139</v>
      </c>
      <c r="M83" s="3" t="s">
        <v>498</v>
      </c>
      <c r="N83" s="3" t="s">
        <v>208</v>
      </c>
      <c r="O83" s="3" t="s">
        <v>141</v>
      </c>
      <c r="P83" s="3" t="s">
        <v>142</v>
      </c>
      <c r="Q83" s="3" t="s">
        <v>143</v>
      </c>
      <c r="R83" s="3" t="s">
        <v>144</v>
      </c>
      <c r="S83" s="3" t="s">
        <v>34</v>
      </c>
      <c r="T83" s="153">
        <v>4.1349999999999998</v>
      </c>
      <c r="U83" s="3" t="s">
        <v>472</v>
      </c>
      <c r="V83" s="164">
        <v>2.9000000000000001E-2</v>
      </c>
      <c r="W83" s="164">
        <v>5.738E-2</v>
      </c>
      <c r="X83" s="5" t="s">
        <v>146</v>
      </c>
      <c r="Y83" s="5" t="s">
        <v>141</v>
      </c>
      <c r="Z83" s="153">
        <v>598000</v>
      </c>
      <c r="AA83" s="162">
        <v>1</v>
      </c>
      <c r="AB83" s="172">
        <v>102.45</v>
      </c>
      <c r="AD83" s="153">
        <v>612.65099999999995</v>
      </c>
      <c r="AG83" s="3" t="s">
        <v>36</v>
      </c>
      <c r="AH83" s="164">
        <v>1.709E-3</v>
      </c>
      <c r="AI83" s="164">
        <v>1.31590372026968E-2</v>
      </c>
      <c r="AJ83" s="164">
        <v>1.32691491780568E-3</v>
      </c>
    </row>
    <row r="84" spans="1:36">
      <c r="A84" s="3">
        <v>1182</v>
      </c>
      <c r="B84" s="3">
        <v>1182</v>
      </c>
      <c r="C84" s="3" t="s">
        <v>499</v>
      </c>
      <c r="D84" s="3" t="s">
        <v>500</v>
      </c>
      <c r="E84" s="5" t="s">
        <v>492</v>
      </c>
      <c r="F84" s="3" t="s">
        <v>501</v>
      </c>
      <c r="G84" s="3" t="s">
        <v>502</v>
      </c>
      <c r="H84" s="3" t="s">
        <v>137</v>
      </c>
      <c r="I84" s="3" t="s">
        <v>156</v>
      </c>
      <c r="J84" s="3" t="s">
        <v>30</v>
      </c>
      <c r="K84" s="3" t="s">
        <v>224</v>
      </c>
      <c r="L84" s="3" t="s">
        <v>139</v>
      </c>
      <c r="M84" s="3" t="s">
        <v>31</v>
      </c>
      <c r="N84" s="3" t="s">
        <v>208</v>
      </c>
      <c r="O84" s="3" t="s">
        <v>141</v>
      </c>
      <c r="P84" s="3" t="s">
        <v>180</v>
      </c>
      <c r="Q84" s="3" t="s">
        <v>143</v>
      </c>
      <c r="R84" s="3" t="s">
        <v>144</v>
      </c>
      <c r="S84" s="3" t="s">
        <v>34</v>
      </c>
      <c r="T84" s="153">
        <v>1.1879999999999999</v>
      </c>
      <c r="U84" s="3" t="s">
        <v>337</v>
      </c>
      <c r="V84" s="164">
        <v>3.49E-2</v>
      </c>
      <c r="W84" s="164">
        <v>5.4760000000000003E-2</v>
      </c>
      <c r="X84" s="5" t="s">
        <v>146</v>
      </c>
      <c r="Y84" s="5" t="s">
        <v>141</v>
      </c>
      <c r="Z84" s="153">
        <v>744564</v>
      </c>
      <c r="AA84" s="162">
        <v>1</v>
      </c>
      <c r="AB84" s="172">
        <v>98.69</v>
      </c>
      <c r="AD84" s="153">
        <v>734.81</v>
      </c>
      <c r="AG84" s="3" t="s">
        <v>36</v>
      </c>
      <c r="AH84" s="164">
        <v>7.8700000000000005E-4</v>
      </c>
      <c r="AI84" s="164">
        <v>1.5782876240087701E-2</v>
      </c>
      <c r="AJ84" s="164">
        <v>1.5914943932646599E-3</v>
      </c>
    </row>
    <row r="85" spans="1:36">
      <c r="A85" s="3">
        <v>1182</v>
      </c>
      <c r="B85" s="3">
        <v>1182</v>
      </c>
      <c r="C85" s="3" t="s">
        <v>499</v>
      </c>
      <c r="D85" s="3" t="s">
        <v>500</v>
      </c>
      <c r="E85" s="5" t="s">
        <v>492</v>
      </c>
      <c r="F85" s="3" t="s">
        <v>503</v>
      </c>
      <c r="G85" s="3" t="s">
        <v>504</v>
      </c>
      <c r="H85" s="3" t="s">
        <v>137</v>
      </c>
      <c r="I85" s="3" t="s">
        <v>156</v>
      </c>
      <c r="J85" s="3" t="s">
        <v>30</v>
      </c>
      <c r="K85" s="3" t="s">
        <v>224</v>
      </c>
      <c r="L85" s="3" t="s">
        <v>139</v>
      </c>
      <c r="M85" s="3" t="s">
        <v>31</v>
      </c>
      <c r="N85" s="3" t="s">
        <v>208</v>
      </c>
      <c r="O85" s="3" t="s">
        <v>141</v>
      </c>
      <c r="P85" s="3" t="s">
        <v>180</v>
      </c>
      <c r="Q85" s="3" t="s">
        <v>143</v>
      </c>
      <c r="R85" s="3" t="s">
        <v>144</v>
      </c>
      <c r="S85" s="3" t="s">
        <v>34</v>
      </c>
      <c r="T85" s="153">
        <v>3.6960000000000002</v>
      </c>
      <c r="U85" s="3" t="s">
        <v>505</v>
      </c>
      <c r="V85" s="164">
        <v>6.7400000000000002E-2</v>
      </c>
      <c r="W85" s="164">
        <v>5.6890000000000003E-2</v>
      </c>
      <c r="X85" s="5" t="s">
        <v>146</v>
      </c>
      <c r="Y85" s="5" t="s">
        <v>141</v>
      </c>
      <c r="Z85" s="153">
        <v>381000</v>
      </c>
      <c r="AA85" s="162">
        <v>1</v>
      </c>
      <c r="AB85" s="172">
        <v>105.95</v>
      </c>
      <c r="AD85" s="153">
        <v>403.67</v>
      </c>
      <c r="AG85" s="3" t="s">
        <v>36</v>
      </c>
      <c r="AH85" s="164">
        <v>1.3370000000000001E-3</v>
      </c>
      <c r="AI85" s="164">
        <v>8.6703555010830598E-3</v>
      </c>
      <c r="AJ85" s="164">
        <v>8.7429071594294296E-4</v>
      </c>
    </row>
    <row r="86" spans="1:36">
      <c r="A86" s="3">
        <v>1182</v>
      </c>
      <c r="B86" s="3">
        <v>1182</v>
      </c>
      <c r="C86" s="3" t="s">
        <v>506</v>
      </c>
      <c r="D86" s="3" t="s">
        <v>507</v>
      </c>
      <c r="E86" s="5" t="s">
        <v>134</v>
      </c>
      <c r="F86" s="3" t="s">
        <v>508</v>
      </c>
      <c r="G86" s="3" t="s">
        <v>509</v>
      </c>
      <c r="H86" s="3" t="s">
        <v>137</v>
      </c>
      <c r="I86" s="3" t="s">
        <v>138</v>
      </c>
      <c r="J86" s="3" t="s">
        <v>30</v>
      </c>
      <c r="K86" s="3" t="s">
        <v>30</v>
      </c>
      <c r="L86" s="3" t="s">
        <v>139</v>
      </c>
      <c r="M86" s="3" t="s">
        <v>31</v>
      </c>
      <c r="N86" s="3" t="s">
        <v>186</v>
      </c>
      <c r="O86" s="3" t="s">
        <v>141</v>
      </c>
      <c r="P86" s="3" t="s">
        <v>510</v>
      </c>
      <c r="Q86" s="3" t="s">
        <v>164</v>
      </c>
      <c r="R86" s="3" t="s">
        <v>144</v>
      </c>
      <c r="S86" s="3" t="s">
        <v>34</v>
      </c>
      <c r="T86" s="153">
        <v>1.6930000000000001</v>
      </c>
      <c r="U86" s="3" t="s">
        <v>511</v>
      </c>
      <c r="V86" s="164">
        <v>1.77E-2</v>
      </c>
      <c r="W86" s="164">
        <v>2.93E-2</v>
      </c>
      <c r="X86" s="5" t="s">
        <v>146</v>
      </c>
      <c r="Y86" s="5" t="s">
        <v>141</v>
      </c>
      <c r="Z86" s="153">
        <v>180000</v>
      </c>
      <c r="AA86" s="162">
        <v>1</v>
      </c>
      <c r="AB86" s="172">
        <v>116.94</v>
      </c>
      <c r="AD86" s="153">
        <v>210.49199999999999</v>
      </c>
      <c r="AG86" s="3" t="s">
        <v>36</v>
      </c>
      <c r="AH86" s="164">
        <v>7.3999999999999996E-5</v>
      </c>
      <c r="AI86" s="164">
        <v>4.5211255002767696E-3</v>
      </c>
      <c r="AJ86" s="164">
        <v>4.5589572999758999E-4</v>
      </c>
    </row>
    <row r="87" spans="1:36">
      <c r="A87" s="3">
        <v>1182</v>
      </c>
      <c r="B87" s="3">
        <v>1182</v>
      </c>
      <c r="C87" s="3" t="s">
        <v>506</v>
      </c>
      <c r="D87" s="3" t="s">
        <v>507</v>
      </c>
      <c r="E87" s="5" t="s">
        <v>134</v>
      </c>
      <c r="F87" s="3" t="s">
        <v>512</v>
      </c>
      <c r="G87" s="3" t="s">
        <v>513</v>
      </c>
      <c r="H87" s="3" t="s">
        <v>137</v>
      </c>
      <c r="I87" s="3" t="s">
        <v>138</v>
      </c>
      <c r="J87" s="3" t="s">
        <v>30</v>
      </c>
      <c r="K87" s="3" t="s">
        <v>30</v>
      </c>
      <c r="L87" s="3" t="s">
        <v>139</v>
      </c>
      <c r="M87" s="3" t="s">
        <v>31</v>
      </c>
      <c r="N87" s="3" t="s">
        <v>186</v>
      </c>
      <c r="O87" s="3" t="s">
        <v>141</v>
      </c>
      <c r="P87" s="3" t="s">
        <v>514</v>
      </c>
      <c r="Q87" s="3" t="s">
        <v>143</v>
      </c>
      <c r="R87" s="3" t="s">
        <v>144</v>
      </c>
      <c r="S87" s="3" t="s">
        <v>34</v>
      </c>
      <c r="T87" s="153">
        <v>6.157</v>
      </c>
      <c r="U87" s="3" t="s">
        <v>515</v>
      </c>
      <c r="V87" s="164">
        <v>8.9999999999999993E-3</v>
      </c>
      <c r="W87" s="164">
        <v>2.7810000000000001E-2</v>
      </c>
      <c r="X87" s="5" t="s">
        <v>146</v>
      </c>
      <c r="Y87" s="5" t="s">
        <v>141</v>
      </c>
      <c r="Z87" s="153">
        <v>587755.1</v>
      </c>
      <c r="AA87" s="162">
        <v>1</v>
      </c>
      <c r="AB87" s="172">
        <v>104.46</v>
      </c>
      <c r="AD87" s="153">
        <v>613.96900000000005</v>
      </c>
      <c r="AG87" s="3" t="s">
        <v>36</v>
      </c>
      <c r="AH87" s="164">
        <v>2.1800000000000001E-4</v>
      </c>
      <c r="AI87" s="164">
        <v>1.31873458391448E-2</v>
      </c>
      <c r="AJ87" s="164">
        <v>1.3297694695047801E-3</v>
      </c>
    </row>
    <row r="88" spans="1:36">
      <c r="A88" s="3">
        <v>1182</v>
      </c>
      <c r="B88" s="3">
        <v>1182</v>
      </c>
      <c r="C88" s="3" t="s">
        <v>506</v>
      </c>
      <c r="D88" s="3" t="s">
        <v>507</v>
      </c>
      <c r="E88" s="5" t="s">
        <v>134</v>
      </c>
      <c r="F88" s="3" t="s">
        <v>516</v>
      </c>
      <c r="G88" s="3" t="s">
        <v>517</v>
      </c>
      <c r="H88" s="3" t="s">
        <v>137</v>
      </c>
      <c r="I88" s="3" t="s">
        <v>138</v>
      </c>
      <c r="J88" s="3" t="s">
        <v>30</v>
      </c>
      <c r="K88" s="3" t="s">
        <v>30</v>
      </c>
      <c r="L88" s="3" t="s">
        <v>139</v>
      </c>
      <c r="M88" s="3" t="s">
        <v>31</v>
      </c>
      <c r="N88" s="3" t="s">
        <v>186</v>
      </c>
      <c r="O88" s="3" t="s">
        <v>141</v>
      </c>
      <c r="P88" s="3" t="s">
        <v>514</v>
      </c>
      <c r="Q88" s="3" t="s">
        <v>143</v>
      </c>
      <c r="R88" s="3" t="s">
        <v>144</v>
      </c>
      <c r="S88" s="3" t="s">
        <v>34</v>
      </c>
      <c r="T88" s="153">
        <v>9.6180000000000003</v>
      </c>
      <c r="U88" s="3" t="s">
        <v>518</v>
      </c>
      <c r="V88" s="164">
        <v>1.6899999999999998E-2</v>
      </c>
      <c r="W88" s="164">
        <v>2.9430000000000001E-2</v>
      </c>
      <c r="X88" s="5" t="s">
        <v>146</v>
      </c>
      <c r="Y88" s="5" t="s">
        <v>141</v>
      </c>
      <c r="Z88" s="153">
        <v>532888</v>
      </c>
      <c r="AA88" s="162">
        <v>1</v>
      </c>
      <c r="AB88" s="172">
        <v>104.3</v>
      </c>
      <c r="AD88" s="153">
        <v>555.80200000000002</v>
      </c>
      <c r="AG88" s="3" t="s">
        <v>36</v>
      </c>
      <c r="AH88" s="164">
        <v>1.22E-4</v>
      </c>
      <c r="AI88" s="164">
        <v>1.1937990171559601E-2</v>
      </c>
      <c r="AJ88" s="164">
        <v>1.2037884689628799E-3</v>
      </c>
    </row>
    <row r="89" spans="1:36">
      <c r="A89" s="3">
        <v>1182</v>
      </c>
      <c r="B89" s="3">
        <v>1182</v>
      </c>
      <c r="C89" s="3" t="s">
        <v>506</v>
      </c>
      <c r="D89" s="3" t="s">
        <v>507</v>
      </c>
      <c r="E89" s="5" t="s">
        <v>134</v>
      </c>
      <c r="F89" s="3" t="s">
        <v>519</v>
      </c>
      <c r="G89" s="3" t="s">
        <v>520</v>
      </c>
      <c r="H89" s="3" t="s">
        <v>137</v>
      </c>
      <c r="I89" s="3" t="s">
        <v>138</v>
      </c>
      <c r="J89" s="3" t="s">
        <v>30</v>
      </c>
      <c r="K89" s="3" t="s">
        <v>30</v>
      </c>
      <c r="L89" s="3" t="s">
        <v>139</v>
      </c>
      <c r="M89" s="3" t="s">
        <v>31</v>
      </c>
      <c r="N89" s="3" t="s">
        <v>186</v>
      </c>
      <c r="O89" s="3" t="s">
        <v>141</v>
      </c>
      <c r="P89" s="3" t="s">
        <v>510</v>
      </c>
      <c r="Q89" s="3" t="s">
        <v>164</v>
      </c>
      <c r="R89" s="3" t="s">
        <v>144</v>
      </c>
      <c r="S89" s="3" t="s">
        <v>34</v>
      </c>
      <c r="T89" s="153">
        <v>11.696</v>
      </c>
      <c r="U89" s="3" t="s">
        <v>521</v>
      </c>
      <c r="V89" s="164">
        <v>3.6700000000000003E-2</v>
      </c>
      <c r="W89" s="164">
        <v>3.0839999999999999E-2</v>
      </c>
      <c r="X89" s="5" t="s">
        <v>146</v>
      </c>
      <c r="Y89" s="5" t="s">
        <v>141</v>
      </c>
      <c r="Z89" s="153">
        <v>600000</v>
      </c>
      <c r="AA89" s="162">
        <v>1</v>
      </c>
      <c r="AB89" s="172">
        <v>112.94</v>
      </c>
      <c r="AD89" s="153">
        <v>677.64</v>
      </c>
      <c r="AG89" s="3" t="s">
        <v>36</v>
      </c>
      <c r="AH89" s="164">
        <v>1.18E-4</v>
      </c>
      <c r="AI89" s="164">
        <v>1.45549260019742E-2</v>
      </c>
      <c r="AJ89" s="164">
        <v>1.4676718472700499E-3</v>
      </c>
    </row>
    <row r="90" spans="1:36">
      <c r="A90" s="3">
        <v>1182</v>
      </c>
      <c r="B90" s="3">
        <v>1182</v>
      </c>
      <c r="C90" s="3" t="s">
        <v>522</v>
      </c>
      <c r="D90" s="3" t="s">
        <v>523</v>
      </c>
      <c r="E90" s="5" t="s">
        <v>134</v>
      </c>
      <c r="F90" s="3" t="s">
        <v>524</v>
      </c>
      <c r="G90" s="3" t="s">
        <v>525</v>
      </c>
      <c r="H90" s="3" t="s">
        <v>137</v>
      </c>
      <c r="I90" s="3" t="s">
        <v>138</v>
      </c>
      <c r="J90" s="3" t="s">
        <v>30</v>
      </c>
      <c r="K90" s="3" t="s">
        <v>30</v>
      </c>
      <c r="L90" s="3" t="s">
        <v>139</v>
      </c>
      <c r="M90" s="3" t="s">
        <v>31</v>
      </c>
      <c r="N90" s="3" t="s">
        <v>285</v>
      </c>
      <c r="O90" s="3" t="s">
        <v>141</v>
      </c>
      <c r="P90" s="3" t="s">
        <v>142</v>
      </c>
      <c r="Q90" s="3" t="s">
        <v>143</v>
      </c>
      <c r="R90" s="3" t="s">
        <v>144</v>
      </c>
      <c r="S90" s="3" t="s">
        <v>34</v>
      </c>
      <c r="T90" s="153">
        <v>10.029</v>
      </c>
      <c r="U90" s="3" t="s">
        <v>526</v>
      </c>
      <c r="V90" s="164">
        <v>3.1899999999999998E-2</v>
      </c>
      <c r="W90" s="164">
        <v>3.2599999999999997E-2</v>
      </c>
      <c r="X90" s="5" t="s">
        <v>146</v>
      </c>
      <c r="Y90" s="5" t="s">
        <v>141</v>
      </c>
      <c r="Z90" s="153">
        <v>540000</v>
      </c>
      <c r="AA90" s="162">
        <v>1</v>
      </c>
      <c r="AB90" s="172">
        <v>100.37</v>
      </c>
      <c r="AD90" s="153">
        <v>541.99800000000005</v>
      </c>
      <c r="AG90" s="3" t="s">
        <v>36</v>
      </c>
      <c r="AH90" s="164">
        <v>5.6899999999999995E-4</v>
      </c>
      <c r="AI90" s="164">
        <v>1.1641492213001E-2</v>
      </c>
      <c r="AJ90" s="164">
        <v>1.17389057003227E-3</v>
      </c>
    </row>
    <row r="91" spans="1:36">
      <c r="A91" s="3">
        <v>1182</v>
      </c>
      <c r="B91" s="3">
        <v>1182</v>
      </c>
      <c r="C91" s="3" t="s">
        <v>522</v>
      </c>
      <c r="D91" s="3" t="s">
        <v>523</v>
      </c>
      <c r="E91" s="5" t="s">
        <v>134</v>
      </c>
      <c r="F91" s="3" t="s">
        <v>527</v>
      </c>
      <c r="G91" s="3" t="s">
        <v>528</v>
      </c>
      <c r="H91" s="3" t="s">
        <v>137</v>
      </c>
      <c r="I91" s="3" t="s">
        <v>138</v>
      </c>
      <c r="J91" s="3" t="s">
        <v>30</v>
      </c>
      <c r="K91" s="3" t="s">
        <v>30</v>
      </c>
      <c r="L91" s="3" t="s">
        <v>139</v>
      </c>
      <c r="M91" s="3" t="s">
        <v>31</v>
      </c>
      <c r="N91" s="3" t="s">
        <v>285</v>
      </c>
      <c r="O91" s="3" t="s">
        <v>141</v>
      </c>
      <c r="P91" s="3" t="s">
        <v>142</v>
      </c>
      <c r="Q91" s="3" t="s">
        <v>143</v>
      </c>
      <c r="R91" s="3" t="s">
        <v>144</v>
      </c>
      <c r="S91" s="3" t="s">
        <v>34</v>
      </c>
      <c r="T91" s="153">
        <v>3.8340000000000001</v>
      </c>
      <c r="U91" s="3" t="s">
        <v>529</v>
      </c>
      <c r="V91" s="164">
        <v>3.7100000000000001E-2</v>
      </c>
      <c r="W91" s="164">
        <v>2.98E-2</v>
      </c>
      <c r="X91" s="5" t="s">
        <v>146</v>
      </c>
      <c r="Y91" s="5" t="s">
        <v>141</v>
      </c>
      <c r="Z91" s="153">
        <v>500000</v>
      </c>
      <c r="AA91" s="162">
        <v>1</v>
      </c>
      <c r="AB91" s="172">
        <v>112.43</v>
      </c>
      <c r="AD91" s="153">
        <v>562.15</v>
      </c>
      <c r="AG91" s="3" t="s">
        <v>36</v>
      </c>
      <c r="AH91" s="164">
        <v>1.302E-3</v>
      </c>
      <c r="AI91" s="164">
        <v>1.20743339413402E-2</v>
      </c>
      <c r="AJ91" s="164">
        <v>1.21753693545667E-3</v>
      </c>
    </row>
    <row r="92" spans="1:36">
      <c r="A92" s="3">
        <v>1182</v>
      </c>
      <c r="B92" s="3">
        <v>1182</v>
      </c>
      <c r="C92" s="3" t="s">
        <v>522</v>
      </c>
      <c r="D92" s="3" t="s">
        <v>523</v>
      </c>
      <c r="E92" s="5" t="s">
        <v>134</v>
      </c>
      <c r="F92" s="3" t="s">
        <v>530</v>
      </c>
      <c r="G92" s="3" t="s">
        <v>531</v>
      </c>
      <c r="H92" s="3" t="s">
        <v>137</v>
      </c>
      <c r="I92" s="3" t="s">
        <v>138</v>
      </c>
      <c r="J92" s="3" t="s">
        <v>30</v>
      </c>
      <c r="K92" s="3" t="s">
        <v>30</v>
      </c>
      <c r="L92" s="3" t="s">
        <v>139</v>
      </c>
      <c r="M92" s="3" t="s">
        <v>31</v>
      </c>
      <c r="N92" s="3" t="s">
        <v>285</v>
      </c>
      <c r="O92" s="3" t="s">
        <v>141</v>
      </c>
      <c r="P92" s="3" t="s">
        <v>142</v>
      </c>
      <c r="Q92" s="3" t="s">
        <v>143</v>
      </c>
      <c r="R92" s="3" t="s">
        <v>144</v>
      </c>
      <c r="S92" s="3" t="s">
        <v>34</v>
      </c>
      <c r="T92" s="153">
        <v>6.2939999999999996</v>
      </c>
      <c r="U92" s="3" t="s">
        <v>532</v>
      </c>
      <c r="V92" s="164">
        <v>3.4500000000000003E-2</v>
      </c>
      <c r="W92" s="164">
        <v>2.9739999999999999E-2</v>
      </c>
      <c r="X92" s="5" t="s">
        <v>146</v>
      </c>
      <c r="Y92" s="5" t="s">
        <v>141</v>
      </c>
      <c r="Z92" s="153">
        <v>620000</v>
      </c>
      <c r="AA92" s="162">
        <v>1</v>
      </c>
      <c r="AB92" s="172">
        <v>108.65</v>
      </c>
      <c r="AD92" s="153">
        <v>673.63</v>
      </c>
      <c r="AG92" s="3" t="s">
        <v>36</v>
      </c>
      <c r="AH92" s="164">
        <v>4.2099999999999999E-4</v>
      </c>
      <c r="AI92" s="164">
        <v>1.4468795824788799E-2</v>
      </c>
      <c r="AJ92" s="164">
        <v>1.45898675768331E-3</v>
      </c>
    </row>
    <row r="93" spans="1:36">
      <c r="A93" s="3">
        <v>1182</v>
      </c>
      <c r="B93" s="3">
        <v>1182</v>
      </c>
      <c r="C93" s="3" t="s">
        <v>533</v>
      </c>
      <c r="D93" s="3" t="s">
        <v>534</v>
      </c>
      <c r="E93" s="5" t="s">
        <v>134</v>
      </c>
      <c r="F93" s="3" t="s">
        <v>535</v>
      </c>
      <c r="G93" s="3" t="s">
        <v>536</v>
      </c>
      <c r="H93" s="3" t="s">
        <v>137</v>
      </c>
      <c r="I93" s="3" t="s">
        <v>156</v>
      </c>
      <c r="J93" s="3" t="s">
        <v>30</v>
      </c>
      <c r="K93" s="3" t="s">
        <v>30</v>
      </c>
      <c r="L93" s="3" t="s">
        <v>139</v>
      </c>
      <c r="M93" s="3" t="s">
        <v>31</v>
      </c>
      <c r="N93" s="3" t="s">
        <v>208</v>
      </c>
      <c r="O93" s="3" t="s">
        <v>141</v>
      </c>
      <c r="P93" s="3" t="s">
        <v>171</v>
      </c>
      <c r="Q93" s="3" t="s">
        <v>164</v>
      </c>
      <c r="R93" s="3" t="s">
        <v>144</v>
      </c>
      <c r="S93" s="3" t="s">
        <v>34</v>
      </c>
      <c r="T93" s="153">
        <v>5.5339999999999998</v>
      </c>
      <c r="U93" s="3" t="s">
        <v>330</v>
      </c>
      <c r="V93" s="164">
        <v>5.5899999999999998E-2</v>
      </c>
      <c r="W93" s="164">
        <v>5.425E-2</v>
      </c>
      <c r="X93" s="5" t="s">
        <v>146</v>
      </c>
      <c r="Y93" s="5" t="s">
        <v>141</v>
      </c>
      <c r="Z93" s="153">
        <v>565000</v>
      </c>
      <c r="AA93" s="162">
        <v>1</v>
      </c>
      <c r="AB93" s="172">
        <v>101.35</v>
      </c>
      <c r="AD93" s="153">
        <v>572.62800000000004</v>
      </c>
      <c r="AG93" s="3" t="s">
        <v>36</v>
      </c>
      <c r="AH93" s="164">
        <v>2.526E-3</v>
      </c>
      <c r="AI93" s="164">
        <v>1.2299378562651999E-2</v>
      </c>
      <c r="AJ93" s="164">
        <v>1.24022971005641E-3</v>
      </c>
    </row>
    <row r="94" spans="1:36">
      <c r="A94" s="3">
        <v>1182</v>
      </c>
      <c r="B94" s="3">
        <v>1182</v>
      </c>
      <c r="C94" s="3" t="s">
        <v>533</v>
      </c>
      <c r="D94" s="3" t="s">
        <v>534</v>
      </c>
      <c r="E94" s="5" t="s">
        <v>134</v>
      </c>
      <c r="F94" s="3" t="s">
        <v>537</v>
      </c>
      <c r="G94" s="3" t="s">
        <v>538</v>
      </c>
      <c r="H94" s="3" t="s">
        <v>137</v>
      </c>
      <c r="I94" s="3" t="s">
        <v>156</v>
      </c>
      <c r="J94" s="3" t="s">
        <v>30</v>
      </c>
      <c r="K94" s="3" t="s">
        <v>30</v>
      </c>
      <c r="L94" s="3" t="s">
        <v>139</v>
      </c>
      <c r="M94" s="3" t="s">
        <v>31</v>
      </c>
      <c r="N94" s="3" t="s">
        <v>208</v>
      </c>
      <c r="O94" s="3" t="s">
        <v>141</v>
      </c>
      <c r="P94" s="3" t="s">
        <v>171</v>
      </c>
      <c r="Q94" s="3" t="s">
        <v>164</v>
      </c>
      <c r="R94" s="3" t="s">
        <v>144</v>
      </c>
      <c r="S94" s="3" t="s">
        <v>34</v>
      </c>
      <c r="T94" s="153">
        <v>1.37</v>
      </c>
      <c r="U94" s="3" t="s">
        <v>539</v>
      </c>
      <c r="V94" s="164">
        <v>2.6499999999999999E-2</v>
      </c>
      <c r="W94" s="164">
        <v>4.9149999999999999E-2</v>
      </c>
      <c r="X94" s="5" t="s">
        <v>146</v>
      </c>
      <c r="Y94" s="5" t="s">
        <v>141</v>
      </c>
      <c r="Z94" s="153">
        <v>168571.42</v>
      </c>
      <c r="AA94" s="162">
        <v>1</v>
      </c>
      <c r="AB94" s="172">
        <v>97.33</v>
      </c>
      <c r="AD94" s="153">
        <v>164.071</v>
      </c>
      <c r="AG94" s="3" t="s">
        <v>36</v>
      </c>
      <c r="AH94" s="164">
        <v>4.1100000000000002E-4</v>
      </c>
      <c r="AI94" s="164">
        <v>3.5240465509990102E-3</v>
      </c>
      <c r="AJ94" s="164">
        <v>3.5535350098439599E-4</v>
      </c>
    </row>
    <row r="95" spans="1:36">
      <c r="A95" s="3">
        <v>1182</v>
      </c>
      <c r="B95" s="3">
        <v>1182</v>
      </c>
      <c r="C95" s="3" t="s">
        <v>540</v>
      </c>
      <c r="D95" s="3" t="s">
        <v>541</v>
      </c>
      <c r="E95" s="5" t="s">
        <v>134</v>
      </c>
      <c r="F95" s="3" t="s">
        <v>542</v>
      </c>
      <c r="G95" s="3" t="s">
        <v>543</v>
      </c>
      <c r="H95" s="3" t="s">
        <v>137</v>
      </c>
      <c r="I95" s="3" t="s">
        <v>156</v>
      </c>
      <c r="J95" s="3" t="s">
        <v>30</v>
      </c>
      <c r="K95" s="3" t="s">
        <v>30</v>
      </c>
      <c r="L95" s="3" t="s">
        <v>139</v>
      </c>
      <c r="M95" s="3" t="s">
        <v>31</v>
      </c>
      <c r="N95" s="3" t="s">
        <v>544</v>
      </c>
      <c r="O95" s="3" t="s">
        <v>141</v>
      </c>
      <c r="P95" s="3" t="s">
        <v>171</v>
      </c>
      <c r="Q95" s="3" t="s">
        <v>164</v>
      </c>
      <c r="R95" s="3" t="s">
        <v>144</v>
      </c>
      <c r="S95" s="3" t="s">
        <v>34</v>
      </c>
      <c r="T95" s="153">
        <v>3.734</v>
      </c>
      <c r="U95" s="3" t="s">
        <v>545</v>
      </c>
      <c r="V95" s="164">
        <v>6.3299999999999995E-2</v>
      </c>
      <c r="W95" s="164">
        <v>5.2850000000000001E-2</v>
      </c>
      <c r="X95" s="5" t="s">
        <v>146</v>
      </c>
      <c r="Y95" s="5" t="s">
        <v>141</v>
      </c>
      <c r="Z95" s="153">
        <v>450000</v>
      </c>
      <c r="AA95" s="162">
        <v>1</v>
      </c>
      <c r="AB95" s="172">
        <v>104.74</v>
      </c>
      <c r="AD95" s="153">
        <v>471.33</v>
      </c>
      <c r="AG95" s="3" t="s">
        <v>36</v>
      </c>
      <c r="AH95" s="164">
        <v>6.8499999999999995E-4</v>
      </c>
      <c r="AI95" s="164">
        <v>1.01236250405975E-2</v>
      </c>
      <c r="AJ95" s="164">
        <v>1.02083373439258E-3</v>
      </c>
    </row>
    <row r="96" spans="1:36">
      <c r="A96" s="3">
        <v>1182</v>
      </c>
      <c r="B96" s="3">
        <v>1182</v>
      </c>
      <c r="C96" s="3" t="s">
        <v>546</v>
      </c>
      <c r="D96" s="3" t="s">
        <v>547</v>
      </c>
      <c r="E96" s="5" t="s">
        <v>134</v>
      </c>
      <c r="F96" s="3" t="s">
        <v>548</v>
      </c>
      <c r="G96" s="3" t="s">
        <v>549</v>
      </c>
      <c r="H96" s="3" t="s">
        <v>137</v>
      </c>
      <c r="I96" s="3" t="s">
        <v>138</v>
      </c>
      <c r="J96" s="3" t="s">
        <v>30</v>
      </c>
      <c r="K96" s="3" t="s">
        <v>30</v>
      </c>
      <c r="L96" s="3" t="s">
        <v>139</v>
      </c>
      <c r="M96" s="3" t="s">
        <v>31</v>
      </c>
      <c r="N96" s="3" t="s">
        <v>199</v>
      </c>
      <c r="O96" s="3" t="s">
        <v>141</v>
      </c>
      <c r="P96" s="3" t="s">
        <v>481</v>
      </c>
      <c r="Q96" s="3" t="s">
        <v>481</v>
      </c>
      <c r="R96" s="3" t="s">
        <v>481</v>
      </c>
      <c r="S96" s="3" t="s">
        <v>34</v>
      </c>
      <c r="T96" s="153">
        <v>6.4660000000000002</v>
      </c>
      <c r="U96" s="3" t="s">
        <v>550</v>
      </c>
      <c r="V96" s="164">
        <v>4.1000000000000002E-2</v>
      </c>
      <c r="W96" s="164">
        <v>3.7850000000000002E-2</v>
      </c>
      <c r="X96" s="5" t="s">
        <v>146</v>
      </c>
      <c r="Y96" s="5" t="s">
        <v>141</v>
      </c>
      <c r="Z96" s="153">
        <v>697000</v>
      </c>
      <c r="AA96" s="162">
        <v>1</v>
      </c>
      <c r="AB96" s="172">
        <v>104.73</v>
      </c>
      <c r="AD96" s="153">
        <v>729.96799999999996</v>
      </c>
      <c r="AG96" s="3" t="s">
        <v>36</v>
      </c>
      <c r="AH96" s="164">
        <v>2.4889999999999999E-3</v>
      </c>
      <c r="AI96" s="164">
        <v>1.5678873265010499E-2</v>
      </c>
      <c r="AJ96" s="164">
        <v>1.58100706831829E-3</v>
      </c>
    </row>
    <row r="97" spans="1:36">
      <c r="A97" s="3">
        <v>1182</v>
      </c>
      <c r="B97" s="3">
        <v>1182</v>
      </c>
      <c r="C97" s="3" t="s">
        <v>551</v>
      </c>
      <c r="D97" s="3" t="s">
        <v>552</v>
      </c>
      <c r="E97" s="5" t="s">
        <v>134</v>
      </c>
      <c r="F97" s="3" t="s">
        <v>553</v>
      </c>
      <c r="G97" s="3" t="s">
        <v>554</v>
      </c>
      <c r="H97" s="3" t="s">
        <v>137</v>
      </c>
      <c r="I97" s="3" t="s">
        <v>156</v>
      </c>
      <c r="J97" s="3" t="s">
        <v>30</v>
      </c>
      <c r="K97" s="3" t="s">
        <v>30</v>
      </c>
      <c r="L97" s="3" t="s">
        <v>139</v>
      </c>
      <c r="M97" s="3" t="s">
        <v>31</v>
      </c>
      <c r="N97" s="3" t="s">
        <v>555</v>
      </c>
      <c r="O97" s="3" t="s">
        <v>141</v>
      </c>
      <c r="P97" s="3" t="s">
        <v>142</v>
      </c>
      <c r="Q97" s="3" t="s">
        <v>143</v>
      </c>
      <c r="R97" s="3" t="s">
        <v>144</v>
      </c>
      <c r="S97" s="3" t="s">
        <v>34</v>
      </c>
      <c r="T97" s="153">
        <v>3.399</v>
      </c>
      <c r="U97" s="3" t="s">
        <v>556</v>
      </c>
      <c r="V97" s="164">
        <v>5.04E-2</v>
      </c>
      <c r="W97" s="164">
        <v>4.922E-2</v>
      </c>
      <c r="X97" s="5" t="s">
        <v>146</v>
      </c>
      <c r="Y97" s="5" t="s">
        <v>141</v>
      </c>
      <c r="Z97" s="153">
        <v>680000</v>
      </c>
      <c r="AA97" s="162">
        <v>1</v>
      </c>
      <c r="AB97" s="172">
        <v>101.51</v>
      </c>
      <c r="AD97" s="153">
        <v>690.26800000000003</v>
      </c>
      <c r="AG97" s="3" t="s">
        <v>36</v>
      </c>
      <c r="AH97" s="164">
        <v>1.3730000000000001E-3</v>
      </c>
      <c r="AI97" s="164">
        <v>1.48261608841431E-2</v>
      </c>
      <c r="AJ97" s="164">
        <v>1.49502229896612E-3</v>
      </c>
    </row>
    <row r="98" spans="1:36">
      <c r="A98" s="3">
        <v>1182</v>
      </c>
      <c r="B98" s="3">
        <v>1182</v>
      </c>
      <c r="C98" s="3" t="s">
        <v>557</v>
      </c>
      <c r="D98" s="3" t="s">
        <v>558</v>
      </c>
      <c r="E98" s="5" t="s">
        <v>134</v>
      </c>
      <c r="F98" s="3" t="s">
        <v>559</v>
      </c>
      <c r="G98" s="3" t="s">
        <v>560</v>
      </c>
      <c r="H98" s="3" t="s">
        <v>137</v>
      </c>
      <c r="I98" s="3" t="s">
        <v>156</v>
      </c>
      <c r="J98" s="3" t="s">
        <v>30</v>
      </c>
      <c r="K98" s="3" t="s">
        <v>30</v>
      </c>
      <c r="L98" s="3" t="s">
        <v>139</v>
      </c>
      <c r="M98" s="3" t="s">
        <v>31</v>
      </c>
      <c r="N98" s="3" t="s">
        <v>162</v>
      </c>
      <c r="O98" s="3" t="s">
        <v>141</v>
      </c>
      <c r="P98" s="3" t="s">
        <v>171</v>
      </c>
      <c r="Q98" s="3" t="s">
        <v>164</v>
      </c>
      <c r="R98" s="3" t="s">
        <v>144</v>
      </c>
      <c r="S98" s="3" t="s">
        <v>34</v>
      </c>
      <c r="T98" s="153">
        <v>3.4180000000000001</v>
      </c>
      <c r="U98" s="3" t="s">
        <v>82</v>
      </c>
      <c r="V98" s="164">
        <v>5.8200000000000002E-2</v>
      </c>
      <c r="W98" s="164">
        <v>4.9939999999999998E-2</v>
      </c>
      <c r="X98" s="5" t="s">
        <v>146</v>
      </c>
      <c r="Y98" s="5" t="s">
        <v>141</v>
      </c>
      <c r="Z98" s="153">
        <v>251383</v>
      </c>
      <c r="AA98" s="162">
        <v>1</v>
      </c>
      <c r="AB98" s="172">
        <v>105.57</v>
      </c>
      <c r="AD98" s="153">
        <v>265.38499999999999</v>
      </c>
      <c r="AG98" s="3" t="s">
        <v>36</v>
      </c>
      <c r="AH98" s="164">
        <v>1.436E-3</v>
      </c>
      <c r="AI98" s="164">
        <v>5.7001645693907799E-3</v>
      </c>
      <c r="AJ98" s="164">
        <v>5.7478623128460397E-4</v>
      </c>
    </row>
    <row r="99" spans="1:36">
      <c r="A99" s="3">
        <v>1182</v>
      </c>
      <c r="B99" s="3">
        <v>1182</v>
      </c>
      <c r="C99" s="3" t="s">
        <v>561</v>
      </c>
      <c r="D99" s="3" t="s">
        <v>562</v>
      </c>
      <c r="E99" s="5" t="s">
        <v>492</v>
      </c>
      <c r="F99" s="3" t="s">
        <v>563</v>
      </c>
      <c r="G99" s="3" t="s">
        <v>564</v>
      </c>
      <c r="H99" s="3" t="s">
        <v>137</v>
      </c>
      <c r="I99" s="3" t="s">
        <v>565</v>
      </c>
      <c r="J99" s="3" t="s">
        <v>30</v>
      </c>
      <c r="K99" s="3" t="s">
        <v>566</v>
      </c>
      <c r="L99" s="3" t="s">
        <v>139</v>
      </c>
      <c r="M99" s="3" t="s">
        <v>31</v>
      </c>
      <c r="N99" s="3" t="s">
        <v>208</v>
      </c>
      <c r="O99" s="3" t="s">
        <v>141</v>
      </c>
      <c r="P99" s="3" t="s">
        <v>271</v>
      </c>
      <c r="Q99" s="3" t="s">
        <v>164</v>
      </c>
      <c r="R99" s="3" t="s">
        <v>144</v>
      </c>
      <c r="S99" s="3" t="s">
        <v>34</v>
      </c>
      <c r="T99" s="153">
        <v>2.3410000000000002</v>
      </c>
      <c r="U99" s="3" t="s">
        <v>567</v>
      </c>
      <c r="V99" s="164">
        <v>4.2999999999999997E-2</v>
      </c>
      <c r="W99" s="164">
        <v>7.3359999999999995E-2</v>
      </c>
      <c r="X99" s="5" t="s">
        <v>146</v>
      </c>
      <c r="Y99" s="5" t="s">
        <v>141</v>
      </c>
      <c r="Z99" s="153">
        <v>0.7</v>
      </c>
      <c r="AA99" s="162">
        <v>1</v>
      </c>
      <c r="AB99" s="172">
        <v>88.55</v>
      </c>
      <c r="AD99" s="153">
        <v>1E-3</v>
      </c>
      <c r="AG99" s="3" t="s">
        <v>36</v>
      </c>
      <c r="AH99" s="164">
        <v>0</v>
      </c>
      <c r="AI99" s="164">
        <v>1.33136634235342E-8</v>
      </c>
      <c r="AJ99" s="164">
        <v>1.3425069277645001E-9</v>
      </c>
    </row>
    <row r="100" spans="1:36">
      <c r="A100" s="3">
        <v>1182</v>
      </c>
      <c r="B100" s="3">
        <v>1182</v>
      </c>
      <c r="C100" s="3" t="s">
        <v>568</v>
      </c>
      <c r="D100" s="3" t="s">
        <v>569</v>
      </c>
      <c r="E100" s="5" t="s">
        <v>134</v>
      </c>
      <c r="F100" s="3" t="s">
        <v>570</v>
      </c>
      <c r="G100" s="3" t="s">
        <v>571</v>
      </c>
      <c r="H100" s="3" t="s">
        <v>137</v>
      </c>
      <c r="I100" s="3" t="s">
        <v>565</v>
      </c>
      <c r="J100" s="3" t="s">
        <v>572</v>
      </c>
      <c r="K100" s="3" t="s">
        <v>224</v>
      </c>
      <c r="L100" s="3" t="s">
        <v>139</v>
      </c>
      <c r="M100" s="3" t="s">
        <v>498</v>
      </c>
      <c r="N100" s="3" t="s">
        <v>573</v>
      </c>
      <c r="O100" s="3" t="s">
        <v>141</v>
      </c>
      <c r="P100" s="3" t="s">
        <v>574</v>
      </c>
      <c r="Q100" s="3" t="s">
        <v>575</v>
      </c>
      <c r="R100" s="3" t="s">
        <v>144</v>
      </c>
      <c r="S100" s="3" t="s">
        <v>576</v>
      </c>
      <c r="T100" s="153">
        <v>3.94</v>
      </c>
      <c r="U100" s="3" t="s">
        <v>577</v>
      </c>
      <c r="V100" s="164">
        <v>4.3749999999999997E-2</v>
      </c>
      <c r="W100" s="164">
        <v>3.8309999999999997E-2</v>
      </c>
      <c r="X100" s="5" t="s">
        <v>146</v>
      </c>
      <c r="Y100" s="5" t="s">
        <v>141</v>
      </c>
      <c r="Z100" s="153">
        <v>124000</v>
      </c>
      <c r="AA100" s="162">
        <v>3.8807</v>
      </c>
      <c r="AB100" s="172">
        <v>104.277</v>
      </c>
      <c r="AD100" s="153">
        <v>501.78800000000001</v>
      </c>
      <c r="AG100" s="3" t="s">
        <v>36</v>
      </c>
      <c r="AH100" s="164">
        <v>8.2999999999999998E-5</v>
      </c>
      <c r="AI100" s="164">
        <v>1.07778177508502E-2</v>
      </c>
      <c r="AJ100" s="164">
        <v>1.0868004197193901E-3</v>
      </c>
    </row>
    <row r="101" spans="1:36">
      <c r="A101" s="3">
        <v>1182</v>
      </c>
      <c r="B101" s="3">
        <v>14769</v>
      </c>
      <c r="C101" s="3" t="s">
        <v>158</v>
      </c>
      <c r="D101" s="3" t="s">
        <v>159</v>
      </c>
      <c r="E101" s="5" t="s">
        <v>134</v>
      </c>
      <c r="F101" s="3" t="s">
        <v>160</v>
      </c>
      <c r="G101" s="3" t="s">
        <v>161</v>
      </c>
      <c r="H101" s="3" t="s">
        <v>137</v>
      </c>
      <c r="I101" s="3" t="s">
        <v>156</v>
      </c>
      <c r="J101" s="3" t="s">
        <v>30</v>
      </c>
      <c r="K101" s="3" t="s">
        <v>30</v>
      </c>
      <c r="L101" s="3" t="s">
        <v>139</v>
      </c>
      <c r="M101" s="3" t="s">
        <v>31</v>
      </c>
      <c r="N101" s="3" t="s">
        <v>162</v>
      </c>
      <c r="O101" s="3" t="s">
        <v>141</v>
      </c>
      <c r="P101" s="3" t="s">
        <v>163</v>
      </c>
      <c r="Q101" s="3" t="s">
        <v>164</v>
      </c>
      <c r="R101" s="3" t="s">
        <v>144</v>
      </c>
      <c r="S101" s="3" t="s">
        <v>34</v>
      </c>
      <c r="T101" s="153">
        <v>1.6819999999999999</v>
      </c>
      <c r="U101" s="3" t="s">
        <v>165</v>
      </c>
      <c r="V101" s="164">
        <v>2.5499999999999998E-2</v>
      </c>
      <c r="W101" s="164">
        <v>5.1679999999999997E-2</v>
      </c>
      <c r="X101" s="5" t="s">
        <v>146</v>
      </c>
      <c r="Y101" s="5" t="s">
        <v>141</v>
      </c>
      <c r="Z101" s="153">
        <v>7433.25</v>
      </c>
      <c r="AA101" s="162">
        <v>1</v>
      </c>
      <c r="AB101" s="172">
        <v>96.49</v>
      </c>
      <c r="AD101" s="153">
        <v>7.1719999999999997</v>
      </c>
      <c r="AG101" s="3" t="s">
        <v>36</v>
      </c>
      <c r="AH101" s="164">
        <v>1.1E-5</v>
      </c>
      <c r="AI101" s="164">
        <v>1.087960045575E-2</v>
      </c>
      <c r="AJ101" s="164">
        <v>2.4888540883239802E-4</v>
      </c>
    </row>
    <row r="102" spans="1:36">
      <c r="A102" s="3">
        <v>1182</v>
      </c>
      <c r="B102" s="3">
        <v>14769</v>
      </c>
      <c r="C102" s="3" t="s">
        <v>166</v>
      </c>
      <c r="D102" s="3" t="s">
        <v>167</v>
      </c>
      <c r="E102" s="5" t="s">
        <v>134</v>
      </c>
      <c r="F102" s="3" t="s">
        <v>168</v>
      </c>
      <c r="G102" s="3" t="s">
        <v>169</v>
      </c>
      <c r="H102" s="3" t="s">
        <v>137</v>
      </c>
      <c r="I102" s="3" t="s">
        <v>156</v>
      </c>
      <c r="J102" s="3" t="s">
        <v>30</v>
      </c>
      <c r="K102" s="3" t="s">
        <v>30</v>
      </c>
      <c r="L102" s="3" t="s">
        <v>139</v>
      </c>
      <c r="M102" s="3" t="s">
        <v>31</v>
      </c>
      <c r="N102" s="3" t="s">
        <v>170</v>
      </c>
      <c r="O102" s="3" t="s">
        <v>141</v>
      </c>
      <c r="P102" s="3" t="s">
        <v>171</v>
      </c>
      <c r="Q102" s="3" t="s">
        <v>164</v>
      </c>
      <c r="R102" s="3" t="s">
        <v>144</v>
      </c>
      <c r="S102" s="3" t="s">
        <v>34</v>
      </c>
      <c r="T102" s="153">
        <v>5.9370000000000003</v>
      </c>
      <c r="U102" s="3" t="s">
        <v>172</v>
      </c>
      <c r="V102" s="164">
        <v>5.1299999999999998E-2</v>
      </c>
      <c r="W102" s="164">
        <v>5.1470000000000002E-2</v>
      </c>
      <c r="X102" s="5" t="s">
        <v>146</v>
      </c>
      <c r="Y102" s="5" t="s">
        <v>141</v>
      </c>
      <c r="Z102" s="153">
        <v>13000</v>
      </c>
      <c r="AA102" s="162">
        <v>1</v>
      </c>
      <c r="AB102" s="172">
        <v>100.43</v>
      </c>
      <c r="AD102" s="153">
        <v>13.055999999999999</v>
      </c>
      <c r="AG102" s="3" t="s">
        <v>36</v>
      </c>
      <c r="AH102" s="164">
        <v>3.8000000000000002E-5</v>
      </c>
      <c r="AI102" s="164">
        <v>1.9804264391084899E-2</v>
      </c>
      <c r="AJ102" s="164">
        <v>4.5304903058227799E-4</v>
      </c>
    </row>
    <row r="103" spans="1:36">
      <c r="A103" s="3">
        <v>1182</v>
      </c>
      <c r="B103" s="3">
        <v>14769</v>
      </c>
      <c r="C103" s="3" t="s">
        <v>195</v>
      </c>
      <c r="D103" s="3" t="s">
        <v>196</v>
      </c>
      <c r="E103" s="5" t="s">
        <v>134</v>
      </c>
      <c r="F103" s="3" t="s">
        <v>201</v>
      </c>
      <c r="G103" s="3" t="s">
        <v>202</v>
      </c>
      <c r="H103" s="3" t="s">
        <v>137</v>
      </c>
      <c r="I103" s="3" t="s">
        <v>156</v>
      </c>
      <c r="J103" s="3" t="s">
        <v>30</v>
      </c>
      <c r="K103" s="3" t="s">
        <v>30</v>
      </c>
      <c r="L103" s="3" t="s">
        <v>139</v>
      </c>
      <c r="M103" s="3" t="s">
        <v>31</v>
      </c>
      <c r="N103" s="3" t="s">
        <v>199</v>
      </c>
      <c r="O103" s="3" t="s">
        <v>141</v>
      </c>
      <c r="P103" s="3" t="s">
        <v>152</v>
      </c>
      <c r="Q103" s="3" t="s">
        <v>143</v>
      </c>
      <c r="R103" s="3" t="s">
        <v>144</v>
      </c>
      <c r="S103" s="3" t="s">
        <v>34</v>
      </c>
      <c r="T103" s="153">
        <v>4.508</v>
      </c>
      <c r="U103" s="3" t="s">
        <v>203</v>
      </c>
      <c r="V103" s="164">
        <v>2.07E-2</v>
      </c>
      <c r="W103" s="164">
        <v>4.9689999999999998E-2</v>
      </c>
      <c r="X103" s="5" t="s">
        <v>146</v>
      </c>
      <c r="Y103" s="5" t="s">
        <v>141</v>
      </c>
      <c r="Z103" s="153">
        <v>14105.32</v>
      </c>
      <c r="AA103" s="162">
        <v>1</v>
      </c>
      <c r="AB103" s="172">
        <v>88.43</v>
      </c>
      <c r="AD103" s="153">
        <v>12.473000000000001</v>
      </c>
      <c r="AG103" s="3" t="s">
        <v>36</v>
      </c>
      <c r="AH103" s="164">
        <v>1.9000000000000001E-5</v>
      </c>
      <c r="AI103" s="164">
        <v>1.8920581024758E-2</v>
      </c>
      <c r="AJ103" s="164">
        <v>4.3283359189947099E-4</v>
      </c>
    </row>
    <row r="104" spans="1:36">
      <c r="A104" s="3">
        <v>1182</v>
      </c>
      <c r="B104" s="3">
        <v>14769</v>
      </c>
      <c r="C104" s="3" t="s">
        <v>204</v>
      </c>
      <c r="D104" s="3" t="s">
        <v>205</v>
      </c>
      <c r="E104" s="5" t="s">
        <v>134</v>
      </c>
      <c r="F104" s="3" t="s">
        <v>206</v>
      </c>
      <c r="G104" s="3" t="s">
        <v>207</v>
      </c>
      <c r="H104" s="3" t="s">
        <v>137</v>
      </c>
      <c r="I104" s="3" t="s">
        <v>156</v>
      </c>
      <c r="J104" s="3" t="s">
        <v>30</v>
      </c>
      <c r="K104" s="3" t="s">
        <v>30</v>
      </c>
      <c r="L104" s="3" t="s">
        <v>139</v>
      </c>
      <c r="M104" s="3" t="s">
        <v>31</v>
      </c>
      <c r="N104" s="3" t="s">
        <v>208</v>
      </c>
      <c r="O104" s="3" t="s">
        <v>141</v>
      </c>
      <c r="P104" s="3" t="s">
        <v>209</v>
      </c>
      <c r="Q104" s="3" t="s">
        <v>164</v>
      </c>
      <c r="R104" s="3" t="s">
        <v>144</v>
      </c>
      <c r="S104" s="3" t="s">
        <v>34</v>
      </c>
      <c r="T104" s="153">
        <v>3.7789999999999999</v>
      </c>
      <c r="U104" s="3" t="s">
        <v>210</v>
      </c>
      <c r="V104" s="164">
        <v>6.0699999999999997E-2</v>
      </c>
      <c r="W104" s="164">
        <v>5.4559999999999997E-2</v>
      </c>
      <c r="X104" s="5" t="s">
        <v>146</v>
      </c>
      <c r="Y104" s="5" t="s">
        <v>141</v>
      </c>
      <c r="Z104" s="153">
        <v>19861</v>
      </c>
      <c r="AA104" s="162">
        <v>1</v>
      </c>
      <c r="AB104" s="172">
        <v>104.65</v>
      </c>
      <c r="AD104" s="153">
        <v>20.785</v>
      </c>
      <c r="AG104" s="3" t="s">
        <v>36</v>
      </c>
      <c r="AH104" s="164">
        <v>4.8000000000000001E-5</v>
      </c>
      <c r="AI104" s="164">
        <v>3.1527696757186703E-2</v>
      </c>
      <c r="AJ104" s="164">
        <v>7.2123822275193302E-4</v>
      </c>
    </row>
    <row r="105" spans="1:36">
      <c r="A105" s="3">
        <v>1182</v>
      </c>
      <c r="B105" s="3">
        <v>14769</v>
      </c>
      <c r="C105" s="3" t="s">
        <v>216</v>
      </c>
      <c r="D105" s="3" t="s">
        <v>217</v>
      </c>
      <c r="E105" s="5" t="s">
        <v>134</v>
      </c>
      <c r="F105" s="3" t="s">
        <v>222</v>
      </c>
      <c r="G105" s="3" t="s">
        <v>223</v>
      </c>
      <c r="H105" s="3" t="s">
        <v>137</v>
      </c>
      <c r="I105" s="3" t="s">
        <v>156</v>
      </c>
      <c r="J105" s="3" t="s">
        <v>30</v>
      </c>
      <c r="K105" s="3" t="s">
        <v>224</v>
      </c>
      <c r="L105" s="3" t="s">
        <v>139</v>
      </c>
      <c r="M105" s="3" t="s">
        <v>31</v>
      </c>
      <c r="N105" s="3" t="s">
        <v>220</v>
      </c>
      <c r="O105" s="3" t="s">
        <v>141</v>
      </c>
      <c r="P105" s="3" t="s">
        <v>171</v>
      </c>
      <c r="Q105" s="3" t="s">
        <v>164</v>
      </c>
      <c r="R105" s="3" t="s">
        <v>144</v>
      </c>
      <c r="S105" s="3" t="s">
        <v>34</v>
      </c>
      <c r="T105" s="153">
        <v>2.8079999999999998</v>
      </c>
      <c r="U105" s="3" t="s">
        <v>225</v>
      </c>
      <c r="V105" s="164">
        <v>1.4999999999999999E-2</v>
      </c>
      <c r="W105" s="164">
        <v>5.0139999999999997E-2</v>
      </c>
      <c r="X105" s="5" t="s">
        <v>146</v>
      </c>
      <c r="Y105" s="5" t="s">
        <v>141</v>
      </c>
      <c r="Z105" s="153">
        <v>31783</v>
      </c>
      <c r="AA105" s="162">
        <v>1</v>
      </c>
      <c r="AB105" s="172">
        <v>90.97</v>
      </c>
      <c r="AD105" s="153">
        <v>28.913</v>
      </c>
      <c r="AG105" s="3" t="s">
        <v>36</v>
      </c>
      <c r="AH105" s="164">
        <v>2.6999999999999999E-5</v>
      </c>
      <c r="AI105" s="164">
        <v>4.3857612213523502E-2</v>
      </c>
      <c r="AJ105" s="164">
        <v>1.0033015266113501E-3</v>
      </c>
    </row>
    <row r="106" spans="1:36">
      <c r="A106" s="3">
        <v>1182</v>
      </c>
      <c r="B106" s="3">
        <v>14769</v>
      </c>
      <c r="C106" s="3" t="s">
        <v>226</v>
      </c>
      <c r="D106" s="3" t="s">
        <v>227</v>
      </c>
      <c r="E106" s="5" t="s">
        <v>134</v>
      </c>
      <c r="F106" s="3" t="s">
        <v>228</v>
      </c>
      <c r="G106" s="3" t="s">
        <v>229</v>
      </c>
      <c r="H106" s="3" t="s">
        <v>137</v>
      </c>
      <c r="I106" s="3" t="s">
        <v>156</v>
      </c>
      <c r="J106" s="3" t="s">
        <v>30</v>
      </c>
      <c r="K106" s="3" t="s">
        <v>30</v>
      </c>
      <c r="L106" s="3" t="s">
        <v>139</v>
      </c>
      <c r="M106" s="3" t="s">
        <v>31</v>
      </c>
      <c r="N106" s="3" t="s">
        <v>220</v>
      </c>
      <c r="O106" s="3" t="s">
        <v>141</v>
      </c>
      <c r="P106" s="3" t="s">
        <v>230</v>
      </c>
      <c r="Q106" s="3" t="s">
        <v>143</v>
      </c>
      <c r="R106" s="3" t="s">
        <v>144</v>
      </c>
      <c r="S106" s="3" t="s">
        <v>34</v>
      </c>
      <c r="T106" s="153">
        <v>2.4319999999999999</v>
      </c>
      <c r="U106" s="3" t="s">
        <v>231</v>
      </c>
      <c r="V106" s="164">
        <v>2.0500000000000001E-2</v>
      </c>
      <c r="W106" s="164">
        <v>5.0529999999999999E-2</v>
      </c>
      <c r="X106" s="5" t="s">
        <v>146</v>
      </c>
      <c r="Y106" s="5" t="s">
        <v>141</v>
      </c>
      <c r="Z106" s="153">
        <v>20000</v>
      </c>
      <c r="AA106" s="162">
        <v>1</v>
      </c>
      <c r="AB106" s="172">
        <v>93.47</v>
      </c>
      <c r="AD106" s="153">
        <v>18.693999999999999</v>
      </c>
      <c r="AG106" s="3" t="s">
        <v>36</v>
      </c>
      <c r="AH106" s="164">
        <v>2.3E-5</v>
      </c>
      <c r="AI106" s="164">
        <v>2.8356598819456399E-2</v>
      </c>
      <c r="AJ106" s="164">
        <v>6.48695116974325E-4</v>
      </c>
    </row>
    <row r="107" spans="1:36">
      <c r="A107" s="3">
        <v>1182</v>
      </c>
      <c r="B107" s="3">
        <v>14769</v>
      </c>
      <c r="C107" s="3" t="s">
        <v>232</v>
      </c>
      <c r="D107" s="3" t="s">
        <v>233</v>
      </c>
      <c r="E107" s="5" t="s">
        <v>134</v>
      </c>
      <c r="F107" s="3" t="s">
        <v>240</v>
      </c>
      <c r="G107" s="3" t="s">
        <v>241</v>
      </c>
      <c r="H107" s="3" t="s">
        <v>137</v>
      </c>
      <c r="I107" s="3" t="s">
        <v>138</v>
      </c>
      <c r="J107" s="3" t="s">
        <v>30</v>
      </c>
      <c r="K107" s="3" t="s">
        <v>30</v>
      </c>
      <c r="L107" s="3" t="s">
        <v>139</v>
      </c>
      <c r="M107" s="3" t="s">
        <v>31</v>
      </c>
      <c r="N107" s="3" t="s">
        <v>208</v>
      </c>
      <c r="O107" s="3" t="s">
        <v>141</v>
      </c>
      <c r="P107" s="3" t="s">
        <v>152</v>
      </c>
      <c r="Q107" s="3" t="s">
        <v>143</v>
      </c>
      <c r="R107" s="3" t="s">
        <v>144</v>
      </c>
      <c r="S107" s="3" t="s">
        <v>34</v>
      </c>
      <c r="T107" s="153">
        <v>6.452</v>
      </c>
      <c r="U107" s="3" t="s">
        <v>242</v>
      </c>
      <c r="V107" s="164">
        <v>4.02E-2</v>
      </c>
      <c r="W107" s="164">
        <v>3.3029999999999997E-2</v>
      </c>
      <c r="X107" s="5" t="s">
        <v>146</v>
      </c>
      <c r="Y107" s="5" t="s">
        <v>141</v>
      </c>
      <c r="Z107" s="153">
        <v>15000</v>
      </c>
      <c r="AA107" s="162">
        <v>1</v>
      </c>
      <c r="AB107" s="172">
        <v>108.86</v>
      </c>
      <c r="AD107" s="153">
        <v>16.329000000000001</v>
      </c>
      <c r="AG107" s="3" t="s">
        <v>36</v>
      </c>
      <c r="AH107" s="164">
        <v>1.9000000000000001E-5</v>
      </c>
      <c r="AI107" s="164">
        <v>2.4769172040382099E-2</v>
      </c>
      <c r="AJ107" s="164">
        <v>5.6662793222818895E-4</v>
      </c>
    </row>
    <row r="108" spans="1:36">
      <c r="A108" s="3">
        <v>1182</v>
      </c>
      <c r="B108" s="3">
        <v>14769</v>
      </c>
      <c r="C108" s="3" t="s">
        <v>246</v>
      </c>
      <c r="D108" s="3" t="s">
        <v>247</v>
      </c>
      <c r="E108" s="5" t="s">
        <v>134</v>
      </c>
      <c r="F108" s="3" t="s">
        <v>248</v>
      </c>
      <c r="G108" s="3" t="s">
        <v>249</v>
      </c>
      <c r="H108" s="3" t="s">
        <v>137</v>
      </c>
      <c r="I108" s="3" t="s">
        <v>138</v>
      </c>
      <c r="J108" s="3" t="s">
        <v>30</v>
      </c>
      <c r="K108" s="3" t="s">
        <v>30</v>
      </c>
      <c r="L108" s="3" t="s">
        <v>139</v>
      </c>
      <c r="M108" s="3" t="s">
        <v>31</v>
      </c>
      <c r="N108" s="3" t="s">
        <v>186</v>
      </c>
      <c r="O108" s="3" t="s">
        <v>141</v>
      </c>
      <c r="P108" s="3" t="s">
        <v>230</v>
      </c>
      <c r="Q108" s="3" t="s">
        <v>143</v>
      </c>
      <c r="R108" s="3" t="s">
        <v>144</v>
      </c>
      <c r="S108" s="3" t="s">
        <v>34</v>
      </c>
      <c r="T108" s="153">
        <v>5.3049999999999997</v>
      </c>
      <c r="U108" s="3" t="s">
        <v>250</v>
      </c>
      <c r="V108" s="164">
        <v>3.6799999999999999E-2</v>
      </c>
      <c r="W108" s="164">
        <v>3.2320000000000002E-2</v>
      </c>
      <c r="X108" s="5" t="s">
        <v>146</v>
      </c>
      <c r="Y108" s="5" t="s">
        <v>141</v>
      </c>
      <c r="Z108" s="153">
        <v>28130</v>
      </c>
      <c r="AA108" s="162">
        <v>1</v>
      </c>
      <c r="AB108" s="172">
        <v>110.18</v>
      </c>
      <c r="AD108" s="153">
        <v>30.994</v>
      </c>
      <c r="AG108" s="3" t="s">
        <v>36</v>
      </c>
      <c r="AH108" s="164">
        <v>6.3E-5</v>
      </c>
      <c r="AI108" s="164">
        <v>4.7013696656417199E-2</v>
      </c>
      <c r="AJ108" s="164">
        <v>1.07550117861824E-3</v>
      </c>
    </row>
    <row r="109" spans="1:36">
      <c r="A109" s="3">
        <v>1182</v>
      </c>
      <c r="B109" s="3">
        <v>14769</v>
      </c>
      <c r="C109" s="3" t="s">
        <v>267</v>
      </c>
      <c r="D109" s="3" t="s">
        <v>268</v>
      </c>
      <c r="E109" s="5" t="s">
        <v>134</v>
      </c>
      <c r="F109" s="3" t="s">
        <v>275</v>
      </c>
      <c r="G109" s="3" t="s">
        <v>276</v>
      </c>
      <c r="H109" s="3" t="s">
        <v>137</v>
      </c>
      <c r="I109" s="3" t="s">
        <v>138</v>
      </c>
      <c r="J109" s="3" t="s">
        <v>30</v>
      </c>
      <c r="K109" s="3" t="s">
        <v>30</v>
      </c>
      <c r="L109" s="3" t="s">
        <v>139</v>
      </c>
      <c r="M109" s="3" t="s">
        <v>31</v>
      </c>
      <c r="N109" s="3" t="s">
        <v>186</v>
      </c>
      <c r="O109" s="3" t="s">
        <v>141</v>
      </c>
      <c r="P109" s="3" t="s">
        <v>142</v>
      </c>
      <c r="Q109" s="3" t="s">
        <v>143</v>
      </c>
      <c r="R109" s="3" t="s">
        <v>144</v>
      </c>
      <c r="S109" s="3" t="s">
        <v>34</v>
      </c>
      <c r="T109" s="153">
        <v>4.6689999999999996</v>
      </c>
      <c r="U109" s="3" t="s">
        <v>277</v>
      </c>
      <c r="V109" s="164">
        <v>1.8700000000000001E-2</v>
      </c>
      <c r="W109" s="164">
        <v>2.946E-2</v>
      </c>
      <c r="X109" s="5" t="s">
        <v>146</v>
      </c>
      <c r="Y109" s="5" t="s">
        <v>141</v>
      </c>
      <c r="Z109" s="153">
        <v>28636.36</v>
      </c>
      <c r="AA109" s="162">
        <v>1</v>
      </c>
      <c r="AB109" s="172">
        <v>109.28</v>
      </c>
      <c r="AD109" s="153">
        <v>31.294</v>
      </c>
      <c r="AG109" s="3" t="s">
        <v>36</v>
      </c>
      <c r="AH109" s="164">
        <v>2.9E-5</v>
      </c>
      <c r="AI109" s="164">
        <v>4.74690347184583E-2</v>
      </c>
      <c r="AJ109" s="164">
        <v>1.08591764567409E-3</v>
      </c>
    </row>
    <row r="110" spans="1:36">
      <c r="A110" s="3">
        <v>1182</v>
      </c>
      <c r="B110" s="3">
        <v>14769</v>
      </c>
      <c r="C110" s="3" t="s">
        <v>267</v>
      </c>
      <c r="D110" s="3" t="s">
        <v>268</v>
      </c>
      <c r="E110" s="5" t="s">
        <v>134</v>
      </c>
      <c r="F110" s="3" t="s">
        <v>278</v>
      </c>
      <c r="G110" s="3" t="s">
        <v>279</v>
      </c>
      <c r="H110" s="3" t="s">
        <v>137</v>
      </c>
      <c r="I110" s="3" t="s">
        <v>138</v>
      </c>
      <c r="J110" s="3" t="s">
        <v>30</v>
      </c>
      <c r="K110" s="3" t="s">
        <v>30</v>
      </c>
      <c r="L110" s="3" t="s">
        <v>139</v>
      </c>
      <c r="M110" s="3" t="s">
        <v>31</v>
      </c>
      <c r="N110" s="3" t="s">
        <v>186</v>
      </c>
      <c r="O110" s="3" t="s">
        <v>141</v>
      </c>
      <c r="P110" s="3" t="s">
        <v>271</v>
      </c>
      <c r="Q110" s="3" t="s">
        <v>164</v>
      </c>
      <c r="R110" s="3" t="s">
        <v>144</v>
      </c>
      <c r="S110" s="3" t="s">
        <v>34</v>
      </c>
      <c r="T110" s="153">
        <v>6.9960000000000004</v>
      </c>
      <c r="U110" s="3" t="s">
        <v>280</v>
      </c>
      <c r="V110" s="164">
        <v>3.0599999999999999E-2</v>
      </c>
      <c r="W110" s="164">
        <v>3.1600000000000003E-2</v>
      </c>
      <c r="X110" s="5" t="s">
        <v>146</v>
      </c>
      <c r="Y110" s="5" t="s">
        <v>141</v>
      </c>
      <c r="Z110" s="153">
        <v>63967</v>
      </c>
      <c r="AA110" s="162">
        <v>1</v>
      </c>
      <c r="AB110" s="172">
        <v>101.01</v>
      </c>
      <c r="AD110" s="153">
        <v>64.613</v>
      </c>
      <c r="AG110" s="3" t="s">
        <v>36</v>
      </c>
      <c r="AH110" s="164">
        <v>5.8999999999999998E-5</v>
      </c>
      <c r="AI110" s="164">
        <v>9.8010421039193094E-2</v>
      </c>
      <c r="AJ110" s="164">
        <v>2.24211944265681E-3</v>
      </c>
    </row>
    <row r="111" spans="1:36">
      <c r="A111" s="3">
        <v>1182</v>
      </c>
      <c r="B111" s="3">
        <v>14769</v>
      </c>
      <c r="C111" s="3" t="s">
        <v>259</v>
      </c>
      <c r="D111" s="3" t="s">
        <v>260</v>
      </c>
      <c r="E111" s="5" t="s">
        <v>134</v>
      </c>
      <c r="F111" s="3" t="s">
        <v>288</v>
      </c>
      <c r="G111" s="3" t="s">
        <v>289</v>
      </c>
      <c r="H111" s="3" t="s">
        <v>137</v>
      </c>
      <c r="I111" s="3" t="s">
        <v>156</v>
      </c>
      <c r="J111" s="3" t="s">
        <v>30</v>
      </c>
      <c r="K111" s="3" t="s">
        <v>30</v>
      </c>
      <c r="L111" s="3" t="s">
        <v>139</v>
      </c>
      <c r="M111" s="3" t="s">
        <v>31</v>
      </c>
      <c r="N111" s="3" t="s">
        <v>151</v>
      </c>
      <c r="O111" s="3" t="s">
        <v>141</v>
      </c>
      <c r="P111" s="3" t="s">
        <v>152</v>
      </c>
      <c r="Q111" s="3" t="s">
        <v>143</v>
      </c>
      <c r="R111" s="3" t="s">
        <v>144</v>
      </c>
      <c r="S111" s="3" t="s">
        <v>34</v>
      </c>
      <c r="T111" s="153">
        <v>3.8719999999999999</v>
      </c>
      <c r="U111" s="3" t="s">
        <v>290</v>
      </c>
      <c r="V111" s="164">
        <v>5.7500000000000002E-2</v>
      </c>
      <c r="W111" s="164">
        <v>5.033E-2</v>
      </c>
      <c r="X111" s="5" t="s">
        <v>146</v>
      </c>
      <c r="Y111" s="5" t="s">
        <v>141</v>
      </c>
      <c r="Z111" s="153">
        <v>7993</v>
      </c>
      <c r="AA111" s="162">
        <v>1</v>
      </c>
      <c r="AB111" s="172">
        <v>103.14</v>
      </c>
      <c r="AD111" s="153">
        <v>8.2439999999999998</v>
      </c>
      <c r="AG111" s="3" t="s">
        <v>36</v>
      </c>
      <c r="AH111" s="164">
        <v>1.5E-5</v>
      </c>
      <c r="AI111" s="164">
        <v>1.25051481334622E-2</v>
      </c>
      <c r="AJ111" s="164">
        <v>2.8607198567310498E-4</v>
      </c>
    </row>
    <row r="112" spans="1:36">
      <c r="A112" s="3">
        <v>1182</v>
      </c>
      <c r="B112" s="3">
        <v>14769</v>
      </c>
      <c r="C112" s="3" t="s">
        <v>291</v>
      </c>
      <c r="D112" s="3" t="s">
        <v>292</v>
      </c>
      <c r="E112" s="5" t="s">
        <v>134</v>
      </c>
      <c r="F112" s="3" t="s">
        <v>299</v>
      </c>
      <c r="G112" s="3" t="s">
        <v>300</v>
      </c>
      <c r="H112" s="3" t="s">
        <v>137</v>
      </c>
      <c r="I112" s="3" t="s">
        <v>138</v>
      </c>
      <c r="J112" s="3" t="s">
        <v>30</v>
      </c>
      <c r="K112" s="3" t="s">
        <v>30</v>
      </c>
      <c r="L112" s="3" t="s">
        <v>139</v>
      </c>
      <c r="M112" s="3" t="s">
        <v>31</v>
      </c>
      <c r="N112" s="3" t="s">
        <v>186</v>
      </c>
      <c r="O112" s="3" t="s">
        <v>141</v>
      </c>
      <c r="P112" s="3" t="s">
        <v>180</v>
      </c>
      <c r="Q112" s="3" t="s">
        <v>143</v>
      </c>
      <c r="R112" s="3" t="s">
        <v>144</v>
      </c>
      <c r="S112" s="3" t="s">
        <v>34</v>
      </c>
      <c r="T112" s="153">
        <v>4.1829999999999998</v>
      </c>
      <c r="U112" s="3" t="s">
        <v>301</v>
      </c>
      <c r="V112" s="164">
        <v>5.8999999999999999E-3</v>
      </c>
      <c r="W112" s="164">
        <v>2.921E-2</v>
      </c>
      <c r="X112" s="5" t="s">
        <v>146</v>
      </c>
      <c r="Y112" s="5" t="s">
        <v>141</v>
      </c>
      <c r="Z112" s="153">
        <v>8614</v>
      </c>
      <c r="AA112" s="162">
        <v>1</v>
      </c>
      <c r="AB112" s="172">
        <v>104.71</v>
      </c>
      <c r="AD112" s="153">
        <v>9.02</v>
      </c>
      <c r="AG112" s="3" t="s">
        <v>36</v>
      </c>
      <c r="AH112" s="164">
        <v>6.0000000000000002E-6</v>
      </c>
      <c r="AI112" s="164">
        <v>1.36818532411398E-2</v>
      </c>
      <c r="AJ112" s="164">
        <v>3.1299068852351497E-4</v>
      </c>
    </row>
    <row r="113" spans="1:36">
      <c r="A113" s="3">
        <v>1182</v>
      </c>
      <c r="B113" s="3">
        <v>14769</v>
      </c>
      <c r="C113" s="3" t="s">
        <v>322</v>
      </c>
      <c r="D113" s="3" t="s">
        <v>323</v>
      </c>
      <c r="E113" s="5" t="s">
        <v>134</v>
      </c>
      <c r="F113" s="3" t="s">
        <v>327</v>
      </c>
      <c r="G113" s="3" t="s">
        <v>328</v>
      </c>
      <c r="H113" s="3" t="s">
        <v>137</v>
      </c>
      <c r="I113" s="3" t="s">
        <v>138</v>
      </c>
      <c r="J113" s="3" t="s">
        <v>30</v>
      </c>
      <c r="K113" s="3" t="s">
        <v>30</v>
      </c>
      <c r="L113" s="3" t="s">
        <v>139</v>
      </c>
      <c r="M113" s="3" t="s">
        <v>31</v>
      </c>
      <c r="N113" s="3" t="s">
        <v>151</v>
      </c>
      <c r="O113" s="3" t="s">
        <v>141</v>
      </c>
      <c r="P113" s="3" t="s">
        <v>329</v>
      </c>
      <c r="Q113" s="3" t="s">
        <v>143</v>
      </c>
      <c r="R113" s="3" t="s">
        <v>144</v>
      </c>
      <c r="S113" s="3" t="s">
        <v>34</v>
      </c>
      <c r="T113" s="153">
        <v>5.5270000000000001</v>
      </c>
      <c r="U113" s="3" t="s">
        <v>330</v>
      </c>
      <c r="V113" s="164">
        <v>3.3000000000000002E-2</v>
      </c>
      <c r="W113" s="164">
        <v>3.5090000000000003E-2</v>
      </c>
      <c r="X113" s="5" t="s">
        <v>146</v>
      </c>
      <c r="Y113" s="5" t="s">
        <v>141</v>
      </c>
      <c r="Z113" s="153">
        <v>7234.24</v>
      </c>
      <c r="AA113" s="162">
        <v>1</v>
      </c>
      <c r="AB113" s="172">
        <v>108.72</v>
      </c>
      <c r="AD113" s="153">
        <v>7.8650000000000002</v>
      </c>
      <c r="AG113" s="3" t="s">
        <v>36</v>
      </c>
      <c r="AH113" s="164">
        <v>6.0000000000000002E-6</v>
      </c>
      <c r="AI113" s="164">
        <v>1.19303794553093E-2</v>
      </c>
      <c r="AJ113" s="164">
        <v>2.7292338356883002E-4</v>
      </c>
    </row>
    <row r="114" spans="1:36">
      <c r="A114" s="3">
        <v>1182</v>
      </c>
      <c r="B114" s="3">
        <v>14769</v>
      </c>
      <c r="C114" s="3" t="s">
        <v>331</v>
      </c>
      <c r="D114" s="3" t="s">
        <v>332</v>
      </c>
      <c r="E114" s="5" t="s">
        <v>134</v>
      </c>
      <c r="F114" s="3" t="s">
        <v>333</v>
      </c>
      <c r="G114" s="3" t="s">
        <v>334</v>
      </c>
      <c r="H114" s="3" t="s">
        <v>137</v>
      </c>
      <c r="I114" s="3" t="s">
        <v>138</v>
      </c>
      <c r="J114" s="3" t="s">
        <v>30</v>
      </c>
      <c r="K114" s="3" t="s">
        <v>30</v>
      </c>
      <c r="L114" s="3" t="s">
        <v>139</v>
      </c>
      <c r="M114" s="3" t="s">
        <v>31</v>
      </c>
      <c r="N114" s="3" t="s">
        <v>186</v>
      </c>
      <c r="O114" s="3" t="s">
        <v>141</v>
      </c>
      <c r="P114" s="3" t="s">
        <v>329</v>
      </c>
      <c r="Q114" s="3" t="s">
        <v>143</v>
      </c>
      <c r="R114" s="3" t="s">
        <v>144</v>
      </c>
      <c r="S114" s="3" t="s">
        <v>34</v>
      </c>
      <c r="T114" s="153">
        <v>1.6659999999999999</v>
      </c>
      <c r="U114" s="3" t="s">
        <v>165</v>
      </c>
      <c r="V114" s="164">
        <v>3.6499999999999998E-2</v>
      </c>
      <c r="W114" s="164">
        <v>3.1359999999999999E-2</v>
      </c>
      <c r="X114" s="5" t="s">
        <v>146</v>
      </c>
      <c r="Y114" s="5" t="s">
        <v>141</v>
      </c>
      <c r="Z114" s="153">
        <v>6289.6</v>
      </c>
      <c r="AA114" s="162">
        <v>1</v>
      </c>
      <c r="AB114" s="172">
        <v>112.18</v>
      </c>
      <c r="AD114" s="153">
        <v>7.056</v>
      </c>
      <c r="AG114" s="3" t="s">
        <v>36</v>
      </c>
      <c r="AH114" s="164">
        <v>2.4000000000000001E-5</v>
      </c>
      <c r="AI114" s="164">
        <v>1.0702626329416799E-2</v>
      </c>
      <c r="AJ114" s="164">
        <v>2.4483688903938298E-4</v>
      </c>
    </row>
    <row r="115" spans="1:36">
      <c r="A115" s="3">
        <v>1182</v>
      </c>
      <c r="B115" s="3">
        <v>14769</v>
      </c>
      <c r="C115" s="3" t="s">
        <v>348</v>
      </c>
      <c r="D115" s="3" t="s">
        <v>349</v>
      </c>
      <c r="E115" s="5" t="s">
        <v>134</v>
      </c>
      <c r="F115" s="3" t="s">
        <v>353</v>
      </c>
      <c r="G115" s="3" t="s">
        <v>354</v>
      </c>
      <c r="H115" s="3" t="s">
        <v>137</v>
      </c>
      <c r="I115" s="3" t="s">
        <v>138</v>
      </c>
      <c r="J115" s="3" t="s">
        <v>30</v>
      </c>
      <c r="K115" s="3" t="s">
        <v>30</v>
      </c>
      <c r="L115" s="3" t="s">
        <v>139</v>
      </c>
      <c r="M115" s="3" t="s">
        <v>31</v>
      </c>
      <c r="N115" s="3" t="s">
        <v>151</v>
      </c>
      <c r="O115" s="3" t="s">
        <v>141</v>
      </c>
      <c r="P115" s="3" t="s">
        <v>286</v>
      </c>
      <c r="Q115" s="3" t="s">
        <v>143</v>
      </c>
      <c r="R115" s="3" t="s">
        <v>144</v>
      </c>
      <c r="S115" s="3" t="s">
        <v>34</v>
      </c>
      <c r="T115" s="153">
        <v>6.8730000000000002</v>
      </c>
      <c r="U115" s="3" t="s">
        <v>355</v>
      </c>
      <c r="V115" s="164">
        <v>0.03</v>
      </c>
      <c r="W115" s="164">
        <v>2.632E-2</v>
      </c>
      <c r="X115" s="5" t="s">
        <v>146</v>
      </c>
      <c r="Y115" s="5" t="s">
        <v>141</v>
      </c>
      <c r="Z115" s="153">
        <v>21000</v>
      </c>
      <c r="AA115" s="162">
        <v>1</v>
      </c>
      <c r="AB115" s="172">
        <v>111.48</v>
      </c>
      <c r="AD115" s="153">
        <v>23.411000000000001</v>
      </c>
      <c r="AG115" s="3" t="s">
        <v>36</v>
      </c>
      <c r="AH115" s="164">
        <v>5.0000000000000004E-6</v>
      </c>
      <c r="AI115" s="164">
        <v>3.5511429530465898E-2</v>
      </c>
      <c r="AJ115" s="164">
        <v>8.1237143706336401E-4</v>
      </c>
    </row>
    <row r="116" spans="1:36">
      <c r="A116" s="3">
        <v>1182</v>
      </c>
      <c r="B116" s="3">
        <v>14769</v>
      </c>
      <c r="C116" s="3" t="s">
        <v>348</v>
      </c>
      <c r="D116" s="3" t="s">
        <v>349</v>
      </c>
      <c r="E116" s="5" t="s">
        <v>134</v>
      </c>
      <c r="F116" s="3" t="s">
        <v>578</v>
      </c>
      <c r="G116" s="3" t="s">
        <v>579</v>
      </c>
      <c r="H116" s="3" t="s">
        <v>137</v>
      </c>
      <c r="I116" s="3" t="s">
        <v>138</v>
      </c>
      <c r="J116" s="3" t="s">
        <v>30</v>
      </c>
      <c r="K116" s="3" t="s">
        <v>30</v>
      </c>
      <c r="L116" s="3" t="s">
        <v>139</v>
      </c>
      <c r="M116" s="3" t="s">
        <v>31</v>
      </c>
      <c r="N116" s="3" t="s">
        <v>151</v>
      </c>
      <c r="O116" s="3" t="s">
        <v>141</v>
      </c>
      <c r="P116" s="3" t="s">
        <v>286</v>
      </c>
      <c r="Q116" s="3" t="s">
        <v>143</v>
      </c>
      <c r="R116" s="3" t="s">
        <v>144</v>
      </c>
      <c r="S116" s="3" t="s">
        <v>34</v>
      </c>
      <c r="T116" s="153">
        <v>9.7940000000000005</v>
      </c>
      <c r="U116" s="3" t="s">
        <v>580</v>
      </c>
      <c r="V116" s="164">
        <v>3.2000000000000001E-2</v>
      </c>
      <c r="W116" s="164">
        <v>2.8170000000000001E-2</v>
      </c>
      <c r="X116" s="5" t="s">
        <v>146</v>
      </c>
      <c r="Y116" s="5" t="s">
        <v>141</v>
      </c>
      <c r="Z116" s="153">
        <v>21000</v>
      </c>
      <c r="AA116" s="162">
        <v>1</v>
      </c>
      <c r="AB116" s="172">
        <v>112.97</v>
      </c>
      <c r="AD116" s="153">
        <v>23.724</v>
      </c>
      <c r="AG116" s="3" t="s">
        <v>36</v>
      </c>
      <c r="AH116" s="164">
        <v>3.9999999999999998E-6</v>
      </c>
      <c r="AI116" s="164">
        <v>3.59860620206022E-2</v>
      </c>
      <c r="AJ116" s="164">
        <v>8.2322928996275799E-4</v>
      </c>
    </row>
    <row r="117" spans="1:36">
      <c r="A117" s="3">
        <v>1182</v>
      </c>
      <c r="B117" s="3">
        <v>14769</v>
      </c>
      <c r="C117" s="3" t="s">
        <v>398</v>
      </c>
      <c r="D117" s="3" t="s">
        <v>399</v>
      </c>
      <c r="E117" s="5" t="s">
        <v>134</v>
      </c>
      <c r="F117" s="3" t="s">
        <v>400</v>
      </c>
      <c r="G117" s="3" t="s">
        <v>401</v>
      </c>
      <c r="H117" s="3" t="s">
        <v>137</v>
      </c>
      <c r="I117" s="3" t="s">
        <v>138</v>
      </c>
      <c r="J117" s="3" t="s">
        <v>30</v>
      </c>
      <c r="K117" s="3" t="s">
        <v>30</v>
      </c>
      <c r="L117" s="3" t="s">
        <v>139</v>
      </c>
      <c r="M117" s="3" t="s">
        <v>31</v>
      </c>
      <c r="N117" s="3" t="s">
        <v>186</v>
      </c>
      <c r="O117" s="3" t="s">
        <v>141</v>
      </c>
      <c r="P117" s="3" t="s">
        <v>180</v>
      </c>
      <c r="Q117" s="3" t="s">
        <v>143</v>
      </c>
      <c r="R117" s="3" t="s">
        <v>144</v>
      </c>
      <c r="S117" s="3" t="s">
        <v>34</v>
      </c>
      <c r="T117" s="153">
        <v>5.1689999999999996</v>
      </c>
      <c r="U117" s="3" t="s">
        <v>402</v>
      </c>
      <c r="V117" s="164">
        <v>3.5000000000000001E-3</v>
      </c>
      <c r="W117" s="164">
        <v>2.9669999999999998E-2</v>
      </c>
      <c r="X117" s="5" t="s">
        <v>146</v>
      </c>
      <c r="Y117" s="5" t="s">
        <v>141</v>
      </c>
      <c r="Z117" s="153">
        <v>8422.11</v>
      </c>
      <c r="AA117" s="162">
        <v>1</v>
      </c>
      <c r="AB117" s="172">
        <v>101.29</v>
      </c>
      <c r="AD117" s="153">
        <v>8.5310000000000006</v>
      </c>
      <c r="AG117" s="3" t="s">
        <v>36</v>
      </c>
      <c r="AH117" s="164">
        <v>1.9999999999999999E-6</v>
      </c>
      <c r="AI117" s="164">
        <v>1.2940152100789901E-2</v>
      </c>
      <c r="AJ117" s="164">
        <v>2.9602328312124397E-4</v>
      </c>
    </row>
    <row r="118" spans="1:36">
      <c r="A118" s="3">
        <v>1182</v>
      </c>
      <c r="B118" s="3">
        <v>14769</v>
      </c>
      <c r="C118" s="3" t="s">
        <v>429</v>
      </c>
      <c r="D118" s="3" t="s">
        <v>430</v>
      </c>
      <c r="E118" s="5" t="s">
        <v>134</v>
      </c>
      <c r="F118" s="3" t="s">
        <v>434</v>
      </c>
      <c r="G118" s="3" t="s">
        <v>435</v>
      </c>
      <c r="H118" s="3" t="s">
        <v>137</v>
      </c>
      <c r="I118" s="3" t="s">
        <v>138</v>
      </c>
      <c r="J118" s="3" t="s">
        <v>30</v>
      </c>
      <c r="K118" s="3" t="s">
        <v>30</v>
      </c>
      <c r="L118" s="3" t="s">
        <v>139</v>
      </c>
      <c r="M118" s="3" t="s">
        <v>31</v>
      </c>
      <c r="N118" s="3" t="s">
        <v>186</v>
      </c>
      <c r="O118" s="3" t="s">
        <v>141</v>
      </c>
      <c r="P118" s="3" t="s">
        <v>180</v>
      </c>
      <c r="Q118" s="3" t="s">
        <v>143</v>
      </c>
      <c r="R118" s="3" t="s">
        <v>144</v>
      </c>
      <c r="S118" s="3" t="s">
        <v>34</v>
      </c>
      <c r="T118" s="153">
        <v>5.3339999999999996</v>
      </c>
      <c r="U118" s="3" t="s">
        <v>436</v>
      </c>
      <c r="V118" s="164">
        <v>3.61E-2</v>
      </c>
      <c r="W118" s="164">
        <v>2.9340000000000001E-2</v>
      </c>
      <c r="X118" s="5" t="s">
        <v>146</v>
      </c>
      <c r="Y118" s="5" t="s">
        <v>141</v>
      </c>
      <c r="Z118" s="153">
        <v>24872.44</v>
      </c>
      <c r="AA118" s="162">
        <v>1</v>
      </c>
      <c r="AB118" s="172">
        <v>113.95</v>
      </c>
      <c r="AD118" s="153">
        <v>28.341999999999999</v>
      </c>
      <c r="AG118" s="3" t="s">
        <v>36</v>
      </c>
      <c r="AH118" s="164">
        <v>1.1E-5</v>
      </c>
      <c r="AI118" s="164">
        <v>4.2991700343605901E-2</v>
      </c>
      <c r="AJ118" s="164">
        <v>9.8349263467328711E-4</v>
      </c>
    </row>
    <row r="119" spans="1:36">
      <c r="A119" s="3">
        <v>1182</v>
      </c>
      <c r="B119" s="3">
        <v>14769</v>
      </c>
      <c r="C119" s="3" t="s">
        <v>467</v>
      </c>
      <c r="D119" s="3" t="s">
        <v>468</v>
      </c>
      <c r="E119" s="5" t="s">
        <v>366</v>
      </c>
      <c r="F119" s="3" t="s">
        <v>469</v>
      </c>
      <c r="G119" s="3" t="s">
        <v>470</v>
      </c>
      <c r="H119" s="3" t="s">
        <v>137</v>
      </c>
      <c r="I119" s="3" t="s">
        <v>156</v>
      </c>
      <c r="J119" s="3" t="s">
        <v>30</v>
      </c>
      <c r="K119" s="3" t="s">
        <v>30</v>
      </c>
      <c r="L119" s="3" t="s">
        <v>139</v>
      </c>
      <c r="M119" s="3" t="s">
        <v>31</v>
      </c>
      <c r="N119" s="3" t="s">
        <v>369</v>
      </c>
      <c r="O119" s="3" t="s">
        <v>141</v>
      </c>
      <c r="P119" s="3" t="s">
        <v>471</v>
      </c>
      <c r="Q119" s="3" t="s">
        <v>143</v>
      </c>
      <c r="R119" s="3" t="s">
        <v>144</v>
      </c>
      <c r="S119" s="3" t="s">
        <v>34</v>
      </c>
      <c r="T119" s="153">
        <v>3.746</v>
      </c>
      <c r="U119" s="3" t="s">
        <v>472</v>
      </c>
      <c r="V119" s="164">
        <v>0.06</v>
      </c>
      <c r="W119" s="164">
        <v>5.5539999999999999E-2</v>
      </c>
      <c r="X119" s="5" t="s">
        <v>146</v>
      </c>
      <c r="Y119" s="5" t="s">
        <v>141</v>
      </c>
      <c r="Z119" s="153">
        <v>27000</v>
      </c>
      <c r="AA119" s="162">
        <v>1</v>
      </c>
      <c r="AB119" s="172">
        <v>103.52</v>
      </c>
      <c r="AD119" s="153">
        <v>27.95</v>
      </c>
      <c r="AG119" s="3" t="s">
        <v>36</v>
      </c>
      <c r="AH119" s="164">
        <v>2.6999999999999999E-5</v>
      </c>
      <c r="AI119" s="164">
        <v>4.2397468687457703E-2</v>
      </c>
      <c r="AJ119" s="164">
        <v>9.6989879092110797E-4</v>
      </c>
    </row>
    <row r="120" spans="1:36">
      <c r="A120" s="3">
        <v>1182</v>
      </c>
      <c r="B120" s="3">
        <v>14769</v>
      </c>
      <c r="C120" s="3" t="s">
        <v>467</v>
      </c>
      <c r="D120" s="3" t="s">
        <v>468</v>
      </c>
      <c r="E120" s="5" t="s">
        <v>366</v>
      </c>
      <c r="F120" s="3" t="s">
        <v>473</v>
      </c>
      <c r="G120" s="3" t="s">
        <v>474</v>
      </c>
      <c r="H120" s="3" t="s">
        <v>137</v>
      </c>
      <c r="I120" s="3" t="s">
        <v>156</v>
      </c>
      <c r="J120" s="3" t="s">
        <v>30</v>
      </c>
      <c r="K120" s="3" t="s">
        <v>30</v>
      </c>
      <c r="L120" s="3" t="s">
        <v>139</v>
      </c>
      <c r="M120" s="3" t="s">
        <v>31</v>
      </c>
      <c r="N120" s="3" t="s">
        <v>369</v>
      </c>
      <c r="O120" s="3" t="s">
        <v>141</v>
      </c>
      <c r="P120" s="3" t="s">
        <v>329</v>
      </c>
      <c r="Q120" s="3" t="s">
        <v>143</v>
      </c>
      <c r="R120" s="3" t="s">
        <v>144</v>
      </c>
      <c r="S120" s="3" t="s">
        <v>34</v>
      </c>
      <c r="T120" s="153">
        <v>2.9580000000000002</v>
      </c>
      <c r="U120" s="3" t="s">
        <v>475</v>
      </c>
      <c r="V120" s="164">
        <v>6.7000000000000004E-2</v>
      </c>
      <c r="W120" s="164">
        <v>5.1299999999999998E-2</v>
      </c>
      <c r="X120" s="5" t="s">
        <v>146</v>
      </c>
      <c r="Y120" s="5" t="s">
        <v>141</v>
      </c>
      <c r="Z120" s="153">
        <v>7000</v>
      </c>
      <c r="AA120" s="162">
        <v>1</v>
      </c>
      <c r="AB120" s="172">
        <v>104.89</v>
      </c>
      <c r="AD120" s="153">
        <v>7.3419999999999996</v>
      </c>
      <c r="AG120" s="3" t="s">
        <v>36</v>
      </c>
      <c r="AH120" s="164">
        <v>7.9999999999999996E-6</v>
      </c>
      <c r="AI120" s="164">
        <v>1.1137405344607601E-2</v>
      </c>
      <c r="AJ120" s="164">
        <v>2.5478304040657898E-4</v>
      </c>
    </row>
    <row r="121" spans="1:36">
      <c r="A121" s="3">
        <v>1182</v>
      </c>
      <c r="B121" s="3">
        <v>14769</v>
      </c>
      <c r="C121" s="3" t="s">
        <v>490</v>
      </c>
      <c r="D121" s="3" t="s">
        <v>491</v>
      </c>
      <c r="E121" s="5" t="s">
        <v>492</v>
      </c>
      <c r="F121" s="3" t="s">
        <v>493</v>
      </c>
      <c r="G121" s="3" t="s">
        <v>494</v>
      </c>
      <c r="H121" s="3" t="s">
        <v>137</v>
      </c>
      <c r="I121" s="3" t="s">
        <v>156</v>
      </c>
      <c r="J121" s="3" t="s">
        <v>30</v>
      </c>
      <c r="K121" s="3" t="s">
        <v>30</v>
      </c>
      <c r="L121" s="3" t="s">
        <v>139</v>
      </c>
      <c r="M121" s="3" t="s">
        <v>31</v>
      </c>
      <c r="N121" s="3" t="s">
        <v>208</v>
      </c>
      <c r="O121" s="3" t="s">
        <v>141</v>
      </c>
      <c r="P121" s="3" t="s">
        <v>180</v>
      </c>
      <c r="Q121" s="3" t="s">
        <v>143</v>
      </c>
      <c r="R121" s="3" t="s">
        <v>144</v>
      </c>
      <c r="S121" s="3" t="s">
        <v>34</v>
      </c>
      <c r="T121" s="153">
        <v>3.2290000000000001</v>
      </c>
      <c r="U121" s="3" t="s">
        <v>495</v>
      </c>
      <c r="V121" s="164">
        <v>6.25E-2</v>
      </c>
      <c r="W121" s="164">
        <v>5.2150000000000002E-2</v>
      </c>
      <c r="X121" s="5" t="s">
        <v>146</v>
      </c>
      <c r="Y121" s="5" t="s">
        <v>141</v>
      </c>
      <c r="Z121" s="153">
        <v>12832</v>
      </c>
      <c r="AA121" s="162">
        <v>1</v>
      </c>
      <c r="AB121" s="172">
        <v>106.47</v>
      </c>
      <c r="AD121" s="153">
        <v>13.662000000000001</v>
      </c>
      <c r="AG121" s="3" t="s">
        <v>36</v>
      </c>
      <c r="AH121" s="164">
        <v>2.3E-5</v>
      </c>
      <c r="AI121" s="164">
        <v>2.0723996278580299E-2</v>
      </c>
      <c r="AJ121" s="164">
        <v>4.7408912739157902E-4</v>
      </c>
    </row>
    <row r="122" spans="1:36">
      <c r="A122" s="3">
        <v>1182</v>
      </c>
      <c r="B122" s="3">
        <v>14769</v>
      </c>
      <c r="C122" s="3" t="s">
        <v>499</v>
      </c>
      <c r="D122" s="3" t="s">
        <v>500</v>
      </c>
      <c r="E122" s="5" t="s">
        <v>492</v>
      </c>
      <c r="F122" s="3" t="s">
        <v>501</v>
      </c>
      <c r="G122" s="3" t="s">
        <v>502</v>
      </c>
      <c r="H122" s="3" t="s">
        <v>137</v>
      </c>
      <c r="I122" s="3" t="s">
        <v>156</v>
      </c>
      <c r="J122" s="3" t="s">
        <v>30</v>
      </c>
      <c r="K122" s="3" t="s">
        <v>224</v>
      </c>
      <c r="L122" s="3" t="s">
        <v>139</v>
      </c>
      <c r="M122" s="3" t="s">
        <v>31</v>
      </c>
      <c r="N122" s="3" t="s">
        <v>208</v>
      </c>
      <c r="O122" s="3" t="s">
        <v>141</v>
      </c>
      <c r="P122" s="3" t="s">
        <v>180</v>
      </c>
      <c r="Q122" s="3" t="s">
        <v>143</v>
      </c>
      <c r="R122" s="3" t="s">
        <v>144</v>
      </c>
      <c r="S122" s="3" t="s">
        <v>34</v>
      </c>
      <c r="T122" s="153">
        <v>1.1879999999999999</v>
      </c>
      <c r="U122" s="3" t="s">
        <v>337</v>
      </c>
      <c r="V122" s="164">
        <v>3.49E-2</v>
      </c>
      <c r="W122" s="164">
        <v>5.4760000000000003E-2</v>
      </c>
      <c r="X122" s="5" t="s">
        <v>146</v>
      </c>
      <c r="Y122" s="5" t="s">
        <v>141</v>
      </c>
      <c r="Z122" s="153">
        <v>19259</v>
      </c>
      <c r="AA122" s="162">
        <v>1</v>
      </c>
      <c r="AB122" s="172">
        <v>98.69</v>
      </c>
      <c r="AD122" s="153">
        <v>19.007000000000001</v>
      </c>
      <c r="AG122" s="3" t="s">
        <v>36</v>
      </c>
      <c r="AH122" s="164">
        <v>2.0000000000000002E-5</v>
      </c>
      <c r="AI122" s="164">
        <v>2.8830938702985601E-2</v>
      </c>
      <c r="AJ122" s="164">
        <v>6.5954627610630395E-4</v>
      </c>
    </row>
    <row r="123" spans="1:36">
      <c r="A123" s="3">
        <v>1182</v>
      </c>
      <c r="B123" s="3">
        <v>14769</v>
      </c>
      <c r="C123" s="3" t="s">
        <v>499</v>
      </c>
      <c r="D123" s="3" t="s">
        <v>500</v>
      </c>
      <c r="E123" s="5" t="s">
        <v>492</v>
      </c>
      <c r="F123" s="3" t="s">
        <v>503</v>
      </c>
      <c r="G123" s="3" t="s">
        <v>504</v>
      </c>
      <c r="H123" s="3" t="s">
        <v>137</v>
      </c>
      <c r="I123" s="3" t="s">
        <v>156</v>
      </c>
      <c r="J123" s="3" t="s">
        <v>30</v>
      </c>
      <c r="K123" s="3" t="s">
        <v>224</v>
      </c>
      <c r="L123" s="3" t="s">
        <v>139</v>
      </c>
      <c r="M123" s="3" t="s">
        <v>31</v>
      </c>
      <c r="N123" s="3" t="s">
        <v>208</v>
      </c>
      <c r="O123" s="3" t="s">
        <v>141</v>
      </c>
      <c r="P123" s="3" t="s">
        <v>180</v>
      </c>
      <c r="Q123" s="3" t="s">
        <v>143</v>
      </c>
      <c r="R123" s="3" t="s">
        <v>144</v>
      </c>
      <c r="S123" s="3" t="s">
        <v>34</v>
      </c>
      <c r="T123" s="153">
        <v>3.6960000000000002</v>
      </c>
      <c r="U123" s="3" t="s">
        <v>505</v>
      </c>
      <c r="V123" s="164">
        <v>6.7400000000000002E-2</v>
      </c>
      <c r="W123" s="164">
        <v>5.6890000000000003E-2</v>
      </c>
      <c r="X123" s="5" t="s">
        <v>146</v>
      </c>
      <c r="Y123" s="5" t="s">
        <v>141</v>
      </c>
      <c r="Z123" s="153">
        <v>14000</v>
      </c>
      <c r="AA123" s="162">
        <v>1</v>
      </c>
      <c r="AB123" s="172">
        <v>105.95</v>
      </c>
      <c r="AD123" s="153">
        <v>14.833</v>
      </c>
      <c r="AG123" s="3" t="s">
        <v>36</v>
      </c>
      <c r="AH123" s="164">
        <v>4.8999999999999998E-5</v>
      </c>
      <c r="AI123" s="164">
        <v>2.24999160312933E-2</v>
      </c>
      <c r="AJ123" s="164">
        <v>5.1471566652830695E-4</v>
      </c>
    </row>
    <row r="124" spans="1:36">
      <c r="A124" s="3">
        <v>1182</v>
      </c>
      <c r="B124" s="3">
        <v>14769</v>
      </c>
      <c r="C124" s="3" t="s">
        <v>506</v>
      </c>
      <c r="D124" s="3" t="s">
        <v>507</v>
      </c>
      <c r="E124" s="5" t="s">
        <v>134</v>
      </c>
      <c r="F124" s="3" t="s">
        <v>519</v>
      </c>
      <c r="G124" s="3" t="s">
        <v>520</v>
      </c>
      <c r="H124" s="3" t="s">
        <v>137</v>
      </c>
      <c r="I124" s="3" t="s">
        <v>138</v>
      </c>
      <c r="J124" s="3" t="s">
        <v>30</v>
      </c>
      <c r="K124" s="3" t="s">
        <v>30</v>
      </c>
      <c r="L124" s="3" t="s">
        <v>139</v>
      </c>
      <c r="M124" s="3" t="s">
        <v>31</v>
      </c>
      <c r="N124" s="3" t="s">
        <v>186</v>
      </c>
      <c r="O124" s="3" t="s">
        <v>141</v>
      </c>
      <c r="P124" s="3" t="s">
        <v>510</v>
      </c>
      <c r="Q124" s="3" t="s">
        <v>164</v>
      </c>
      <c r="R124" s="3" t="s">
        <v>144</v>
      </c>
      <c r="S124" s="3" t="s">
        <v>34</v>
      </c>
      <c r="T124" s="153">
        <v>11.696</v>
      </c>
      <c r="U124" s="3" t="s">
        <v>521</v>
      </c>
      <c r="V124" s="164">
        <v>3.6700000000000003E-2</v>
      </c>
      <c r="W124" s="164">
        <v>3.0839999999999999E-2</v>
      </c>
      <c r="X124" s="5" t="s">
        <v>146</v>
      </c>
      <c r="Y124" s="5" t="s">
        <v>141</v>
      </c>
      <c r="Z124" s="153">
        <v>21000</v>
      </c>
      <c r="AA124" s="162">
        <v>1</v>
      </c>
      <c r="AB124" s="172">
        <v>112.94</v>
      </c>
      <c r="AD124" s="153">
        <v>23.716999999999999</v>
      </c>
      <c r="AG124" s="3" t="s">
        <v>36</v>
      </c>
      <c r="AH124" s="164">
        <v>3.9999999999999998E-6</v>
      </c>
      <c r="AI124" s="164">
        <v>3.5976505661740397E-2</v>
      </c>
      <c r="AJ124" s="164">
        <v>8.2301067547485096E-4</v>
      </c>
    </row>
    <row r="125" spans="1:36">
      <c r="A125" s="3">
        <v>1182</v>
      </c>
      <c r="B125" s="3">
        <v>14769</v>
      </c>
      <c r="C125" s="3" t="s">
        <v>533</v>
      </c>
      <c r="D125" s="3" t="s">
        <v>534</v>
      </c>
      <c r="E125" s="5" t="s">
        <v>134</v>
      </c>
      <c r="F125" s="3" t="s">
        <v>535</v>
      </c>
      <c r="G125" s="3" t="s">
        <v>536</v>
      </c>
      <c r="H125" s="3" t="s">
        <v>137</v>
      </c>
      <c r="I125" s="3" t="s">
        <v>156</v>
      </c>
      <c r="J125" s="3" t="s">
        <v>30</v>
      </c>
      <c r="K125" s="3" t="s">
        <v>30</v>
      </c>
      <c r="L125" s="3" t="s">
        <v>139</v>
      </c>
      <c r="M125" s="3" t="s">
        <v>31</v>
      </c>
      <c r="N125" s="3" t="s">
        <v>208</v>
      </c>
      <c r="O125" s="3" t="s">
        <v>141</v>
      </c>
      <c r="P125" s="3" t="s">
        <v>171</v>
      </c>
      <c r="Q125" s="3" t="s">
        <v>164</v>
      </c>
      <c r="R125" s="3" t="s">
        <v>144</v>
      </c>
      <c r="S125" s="3" t="s">
        <v>34</v>
      </c>
      <c r="T125" s="153">
        <v>5.5339999999999998</v>
      </c>
      <c r="U125" s="3" t="s">
        <v>330</v>
      </c>
      <c r="V125" s="164">
        <v>5.5899999999999998E-2</v>
      </c>
      <c r="W125" s="164">
        <v>5.425E-2</v>
      </c>
      <c r="X125" s="5" t="s">
        <v>146</v>
      </c>
      <c r="Y125" s="5" t="s">
        <v>141</v>
      </c>
      <c r="Z125" s="153">
        <v>19000</v>
      </c>
      <c r="AA125" s="162">
        <v>1</v>
      </c>
      <c r="AB125" s="172">
        <v>101.35</v>
      </c>
      <c r="AD125" s="153">
        <v>19.256</v>
      </c>
      <c r="AG125" s="3" t="s">
        <v>36</v>
      </c>
      <c r="AH125" s="164">
        <v>8.5000000000000006E-5</v>
      </c>
      <c r="AI125" s="164">
        <v>2.92098451464032E-2</v>
      </c>
      <c r="AJ125" s="164">
        <v>6.6821426768033003E-4</v>
      </c>
    </row>
    <row r="126" spans="1:36">
      <c r="A126" s="3">
        <v>1182</v>
      </c>
      <c r="B126" s="3">
        <v>14769</v>
      </c>
      <c r="C126" s="3" t="s">
        <v>551</v>
      </c>
      <c r="D126" s="3" t="s">
        <v>552</v>
      </c>
      <c r="E126" s="5" t="s">
        <v>134</v>
      </c>
      <c r="F126" s="3" t="s">
        <v>553</v>
      </c>
      <c r="G126" s="3" t="s">
        <v>554</v>
      </c>
      <c r="H126" s="3" t="s">
        <v>137</v>
      </c>
      <c r="I126" s="3" t="s">
        <v>156</v>
      </c>
      <c r="J126" s="3" t="s">
        <v>30</v>
      </c>
      <c r="K126" s="3" t="s">
        <v>30</v>
      </c>
      <c r="L126" s="3" t="s">
        <v>139</v>
      </c>
      <c r="M126" s="3" t="s">
        <v>31</v>
      </c>
      <c r="N126" s="3" t="s">
        <v>555</v>
      </c>
      <c r="O126" s="3" t="s">
        <v>141</v>
      </c>
      <c r="P126" s="3" t="s">
        <v>142</v>
      </c>
      <c r="Q126" s="3" t="s">
        <v>143</v>
      </c>
      <c r="R126" s="3" t="s">
        <v>144</v>
      </c>
      <c r="S126" s="3" t="s">
        <v>34</v>
      </c>
      <c r="T126" s="153">
        <v>3.399</v>
      </c>
      <c r="U126" s="3" t="s">
        <v>556</v>
      </c>
      <c r="V126" s="164">
        <v>5.04E-2</v>
      </c>
      <c r="W126" s="164">
        <v>4.922E-2</v>
      </c>
      <c r="X126" s="5" t="s">
        <v>146</v>
      </c>
      <c r="Y126" s="5" t="s">
        <v>141</v>
      </c>
      <c r="Z126" s="153">
        <v>170391</v>
      </c>
      <c r="AA126" s="162">
        <v>1</v>
      </c>
      <c r="AB126" s="172">
        <v>101.51</v>
      </c>
      <c r="AD126" s="153">
        <v>172.964</v>
      </c>
      <c r="AG126" s="3" t="s">
        <v>36</v>
      </c>
      <c r="AH126" s="164">
        <v>3.4400000000000001E-4</v>
      </c>
      <c r="AI126" s="164">
        <v>0.26236589487592898</v>
      </c>
      <c r="AJ126" s="164">
        <v>6.0019706859144898E-3</v>
      </c>
    </row>
    <row r="127" spans="1:36">
      <c r="A127" s="3">
        <v>12904</v>
      </c>
      <c r="B127" s="3">
        <v>12905</v>
      </c>
      <c r="C127" s="3" t="s">
        <v>147</v>
      </c>
      <c r="D127" s="3" t="s">
        <v>148</v>
      </c>
      <c r="E127" s="5" t="s">
        <v>134</v>
      </c>
      <c r="F127" s="3" t="s">
        <v>149</v>
      </c>
      <c r="G127" s="3" t="s">
        <v>150</v>
      </c>
      <c r="H127" s="3" t="s">
        <v>137</v>
      </c>
      <c r="I127" s="3" t="s">
        <v>138</v>
      </c>
      <c r="J127" s="3" t="s">
        <v>30</v>
      </c>
      <c r="K127" s="3" t="s">
        <v>30</v>
      </c>
      <c r="L127" s="3" t="s">
        <v>139</v>
      </c>
      <c r="M127" s="3" t="s">
        <v>31</v>
      </c>
      <c r="N127" s="3" t="s">
        <v>151</v>
      </c>
      <c r="O127" s="3" t="s">
        <v>141</v>
      </c>
      <c r="P127" s="3" t="s">
        <v>152</v>
      </c>
      <c r="Q127" s="3" t="s">
        <v>143</v>
      </c>
      <c r="R127" s="3" t="s">
        <v>144</v>
      </c>
      <c r="S127" s="3" t="s">
        <v>34</v>
      </c>
      <c r="T127" s="153">
        <v>2.3959999999999999</v>
      </c>
      <c r="U127" s="3" t="s">
        <v>153</v>
      </c>
      <c r="V127" s="164">
        <v>2.75E-2</v>
      </c>
      <c r="W127" s="164">
        <v>3.0259999999999999E-2</v>
      </c>
      <c r="X127" s="5" t="s">
        <v>146</v>
      </c>
      <c r="Y127" s="5" t="s">
        <v>141</v>
      </c>
      <c r="Z127" s="153">
        <v>11637.26</v>
      </c>
      <c r="AA127" s="162">
        <v>1</v>
      </c>
      <c r="AB127" s="172">
        <v>117.38</v>
      </c>
      <c r="AD127" s="153">
        <v>13.66</v>
      </c>
      <c r="AG127" s="3" t="s">
        <v>36</v>
      </c>
      <c r="AH127" s="164">
        <v>1.5999999999999999E-5</v>
      </c>
      <c r="AI127" s="164">
        <v>2.6157378066638602E-3</v>
      </c>
      <c r="AJ127" s="164">
        <v>2.83338281639013E-4</v>
      </c>
    </row>
    <row r="128" spans="1:36">
      <c r="A128" s="3">
        <v>12904</v>
      </c>
      <c r="B128" s="3">
        <v>12905</v>
      </c>
      <c r="C128" s="3" t="s">
        <v>147</v>
      </c>
      <c r="D128" s="3" t="s">
        <v>148</v>
      </c>
      <c r="E128" s="5" t="s">
        <v>134</v>
      </c>
      <c r="F128" s="3" t="s">
        <v>154</v>
      </c>
      <c r="G128" s="3" t="s">
        <v>155</v>
      </c>
      <c r="H128" s="3" t="s">
        <v>137</v>
      </c>
      <c r="I128" s="3" t="s">
        <v>156</v>
      </c>
      <c r="J128" s="3" t="s">
        <v>30</v>
      </c>
      <c r="K128" s="3" t="s">
        <v>30</v>
      </c>
      <c r="L128" s="3" t="s">
        <v>139</v>
      </c>
      <c r="M128" s="3" t="s">
        <v>31</v>
      </c>
      <c r="N128" s="3" t="s">
        <v>151</v>
      </c>
      <c r="O128" s="3" t="s">
        <v>141</v>
      </c>
      <c r="P128" s="3" t="s">
        <v>152</v>
      </c>
      <c r="Q128" s="3" t="s">
        <v>143</v>
      </c>
      <c r="R128" s="3" t="s">
        <v>144</v>
      </c>
      <c r="S128" s="3" t="s">
        <v>34</v>
      </c>
      <c r="T128" s="153">
        <v>2.7879999999999998</v>
      </c>
      <c r="U128" s="3" t="s">
        <v>157</v>
      </c>
      <c r="V128" s="164">
        <v>2.5000000000000001E-2</v>
      </c>
      <c r="W128" s="164">
        <v>4.9959999999999997E-2</v>
      </c>
      <c r="X128" s="5" t="s">
        <v>146</v>
      </c>
      <c r="Y128" s="5" t="s">
        <v>141</v>
      </c>
      <c r="Z128" s="153">
        <v>12141.48</v>
      </c>
      <c r="AA128" s="162">
        <v>1</v>
      </c>
      <c r="AB128" s="172">
        <v>93.71</v>
      </c>
      <c r="AD128" s="153">
        <v>11.378</v>
      </c>
      <c r="AG128" s="3" t="s">
        <v>36</v>
      </c>
      <c r="AH128" s="164">
        <v>1.8E-5</v>
      </c>
      <c r="AI128" s="164">
        <v>2.17874765947714E-3</v>
      </c>
      <c r="AJ128" s="164">
        <v>2.36003247874684E-4</v>
      </c>
    </row>
    <row r="129" spans="1:36">
      <c r="A129" s="3">
        <v>12904</v>
      </c>
      <c r="B129" s="3">
        <v>12905</v>
      </c>
      <c r="C129" s="3" t="s">
        <v>158</v>
      </c>
      <c r="D129" s="3" t="s">
        <v>159</v>
      </c>
      <c r="E129" s="5" t="s">
        <v>134</v>
      </c>
      <c r="F129" s="3" t="s">
        <v>160</v>
      </c>
      <c r="G129" s="3" t="s">
        <v>161</v>
      </c>
      <c r="H129" s="3" t="s">
        <v>137</v>
      </c>
      <c r="I129" s="3" t="s">
        <v>156</v>
      </c>
      <c r="J129" s="3" t="s">
        <v>30</v>
      </c>
      <c r="K129" s="3" t="s">
        <v>30</v>
      </c>
      <c r="L129" s="3" t="s">
        <v>139</v>
      </c>
      <c r="M129" s="3" t="s">
        <v>31</v>
      </c>
      <c r="N129" s="3" t="s">
        <v>162</v>
      </c>
      <c r="O129" s="3" t="s">
        <v>141</v>
      </c>
      <c r="P129" s="3" t="s">
        <v>163</v>
      </c>
      <c r="Q129" s="3" t="s">
        <v>164</v>
      </c>
      <c r="R129" s="3" t="s">
        <v>144</v>
      </c>
      <c r="S129" s="3" t="s">
        <v>34</v>
      </c>
      <c r="T129" s="153">
        <v>1.6819999999999999</v>
      </c>
      <c r="U129" s="3" t="s">
        <v>165</v>
      </c>
      <c r="V129" s="164">
        <v>2.5499999999999998E-2</v>
      </c>
      <c r="W129" s="164">
        <v>5.1679999999999997E-2</v>
      </c>
      <c r="X129" s="5" t="s">
        <v>146</v>
      </c>
      <c r="Y129" s="5" t="s">
        <v>141</v>
      </c>
      <c r="Z129" s="153">
        <v>23216.05</v>
      </c>
      <c r="AA129" s="162">
        <v>1</v>
      </c>
      <c r="AB129" s="172">
        <v>96.49</v>
      </c>
      <c r="AD129" s="153">
        <v>22.401</v>
      </c>
      <c r="AG129" s="3" t="s">
        <v>36</v>
      </c>
      <c r="AH129" s="164">
        <v>3.6000000000000001E-5</v>
      </c>
      <c r="AI129" s="164">
        <v>4.2896316770376598E-3</v>
      </c>
      <c r="AJ129" s="164">
        <v>4.6465546552094299E-4</v>
      </c>
    </row>
    <row r="130" spans="1:36">
      <c r="A130" s="3">
        <v>12904</v>
      </c>
      <c r="B130" s="3">
        <v>12905</v>
      </c>
      <c r="C130" s="3" t="s">
        <v>166</v>
      </c>
      <c r="D130" s="3" t="s">
        <v>167</v>
      </c>
      <c r="E130" s="5" t="s">
        <v>134</v>
      </c>
      <c r="F130" s="3" t="s">
        <v>168</v>
      </c>
      <c r="G130" s="3" t="s">
        <v>169</v>
      </c>
      <c r="H130" s="3" t="s">
        <v>137</v>
      </c>
      <c r="I130" s="3" t="s">
        <v>156</v>
      </c>
      <c r="J130" s="3" t="s">
        <v>30</v>
      </c>
      <c r="K130" s="3" t="s">
        <v>30</v>
      </c>
      <c r="L130" s="3" t="s">
        <v>139</v>
      </c>
      <c r="M130" s="3" t="s">
        <v>31</v>
      </c>
      <c r="N130" s="3" t="s">
        <v>170</v>
      </c>
      <c r="O130" s="3" t="s">
        <v>141</v>
      </c>
      <c r="P130" s="3" t="s">
        <v>171</v>
      </c>
      <c r="Q130" s="3" t="s">
        <v>164</v>
      </c>
      <c r="R130" s="3" t="s">
        <v>144</v>
      </c>
      <c r="S130" s="3" t="s">
        <v>34</v>
      </c>
      <c r="T130" s="153">
        <v>5.9370000000000003</v>
      </c>
      <c r="U130" s="3" t="s">
        <v>172</v>
      </c>
      <c r="V130" s="164">
        <v>5.1299999999999998E-2</v>
      </c>
      <c r="W130" s="164">
        <v>5.1470000000000002E-2</v>
      </c>
      <c r="X130" s="5" t="s">
        <v>146</v>
      </c>
      <c r="Y130" s="5" t="s">
        <v>141</v>
      </c>
      <c r="Z130" s="153">
        <v>84000</v>
      </c>
      <c r="AA130" s="162">
        <v>1</v>
      </c>
      <c r="AB130" s="172">
        <v>100.43</v>
      </c>
      <c r="AD130" s="153">
        <v>84.361000000000004</v>
      </c>
      <c r="AG130" s="3" t="s">
        <v>36</v>
      </c>
      <c r="AH130" s="164">
        <v>2.4699999999999999E-4</v>
      </c>
      <c r="AI130" s="164">
        <v>1.6154447737822701E-2</v>
      </c>
      <c r="AJ130" s="164">
        <v>1.74985942826575E-3</v>
      </c>
    </row>
    <row r="131" spans="1:36">
      <c r="A131" s="3">
        <v>12904</v>
      </c>
      <c r="B131" s="3">
        <v>12905</v>
      </c>
      <c r="C131" s="3" t="s">
        <v>166</v>
      </c>
      <c r="D131" s="3" t="s">
        <v>167</v>
      </c>
      <c r="E131" s="5" t="s">
        <v>134</v>
      </c>
      <c r="F131" s="3" t="s">
        <v>173</v>
      </c>
      <c r="G131" s="3" t="s">
        <v>174</v>
      </c>
      <c r="H131" s="3" t="s">
        <v>137</v>
      </c>
      <c r="I131" s="3" t="s">
        <v>156</v>
      </c>
      <c r="J131" s="3" t="s">
        <v>30</v>
      </c>
      <c r="K131" s="3" t="s">
        <v>30</v>
      </c>
      <c r="L131" s="3" t="s">
        <v>139</v>
      </c>
      <c r="M131" s="3" t="s">
        <v>31</v>
      </c>
      <c r="N131" s="3" t="s">
        <v>170</v>
      </c>
      <c r="O131" s="3" t="s">
        <v>141</v>
      </c>
      <c r="P131" s="3" t="s">
        <v>171</v>
      </c>
      <c r="Q131" s="3" t="s">
        <v>164</v>
      </c>
      <c r="R131" s="3" t="s">
        <v>144</v>
      </c>
      <c r="S131" s="3" t="s">
        <v>34</v>
      </c>
      <c r="T131" s="153">
        <v>3.0779999999999998</v>
      </c>
      <c r="U131" s="3" t="s">
        <v>175</v>
      </c>
      <c r="V131" s="164">
        <v>2.18E-2</v>
      </c>
      <c r="W131" s="164">
        <v>4.58E-2</v>
      </c>
      <c r="X131" s="5" t="s">
        <v>146</v>
      </c>
      <c r="Y131" s="5" t="s">
        <v>141</v>
      </c>
      <c r="Z131" s="153">
        <v>72602</v>
      </c>
      <c r="AA131" s="162">
        <v>1</v>
      </c>
      <c r="AB131" s="172">
        <v>93.75</v>
      </c>
      <c r="AD131" s="153">
        <v>68.063999999999993</v>
      </c>
      <c r="AG131" s="3" t="s">
        <v>36</v>
      </c>
      <c r="AH131" s="164">
        <v>4.4200000000000001E-4</v>
      </c>
      <c r="AI131" s="164">
        <v>1.30337452376811E-2</v>
      </c>
      <c r="AJ131" s="164">
        <v>1.4118230694059001E-3</v>
      </c>
    </row>
    <row r="132" spans="1:36">
      <c r="A132" s="3">
        <v>12904</v>
      </c>
      <c r="B132" s="3">
        <v>12905</v>
      </c>
      <c r="C132" s="3" t="s">
        <v>176</v>
      </c>
      <c r="D132" s="3" t="s">
        <v>177</v>
      </c>
      <c r="E132" s="5" t="s">
        <v>134</v>
      </c>
      <c r="F132" s="3" t="s">
        <v>178</v>
      </c>
      <c r="G132" s="3" t="s">
        <v>179</v>
      </c>
      <c r="H132" s="3" t="s">
        <v>137</v>
      </c>
      <c r="I132" s="3" t="s">
        <v>156</v>
      </c>
      <c r="J132" s="3" t="s">
        <v>30</v>
      </c>
      <c r="K132" s="3" t="s">
        <v>30</v>
      </c>
      <c r="L132" s="3" t="s">
        <v>139</v>
      </c>
      <c r="M132" s="3" t="s">
        <v>31</v>
      </c>
      <c r="N132" s="3" t="s">
        <v>140</v>
      </c>
      <c r="O132" s="3" t="s">
        <v>141</v>
      </c>
      <c r="P132" s="3" t="s">
        <v>180</v>
      </c>
      <c r="Q132" s="3" t="s">
        <v>143</v>
      </c>
      <c r="R132" s="3" t="s">
        <v>144</v>
      </c>
      <c r="S132" s="3" t="s">
        <v>34</v>
      </c>
      <c r="T132" s="153">
        <v>7.07</v>
      </c>
      <c r="U132" s="3" t="s">
        <v>181</v>
      </c>
      <c r="V132" s="164">
        <v>2.4E-2</v>
      </c>
      <c r="W132" s="164">
        <v>4.6629999999999998E-2</v>
      </c>
      <c r="X132" s="5" t="s">
        <v>146</v>
      </c>
      <c r="Y132" s="5" t="s">
        <v>141</v>
      </c>
      <c r="Z132" s="153">
        <v>80000</v>
      </c>
      <c r="AA132" s="162">
        <v>1</v>
      </c>
      <c r="AB132" s="172">
        <v>86.13</v>
      </c>
      <c r="AD132" s="153">
        <v>68.903999999999996</v>
      </c>
      <c r="AG132" s="3" t="s">
        <v>36</v>
      </c>
      <c r="AH132" s="164">
        <v>5.1E-5</v>
      </c>
      <c r="AI132" s="164">
        <v>1.3194526238684799E-2</v>
      </c>
      <c r="AJ132" s="164">
        <v>1.4292389634716299E-3</v>
      </c>
    </row>
    <row r="133" spans="1:36">
      <c r="A133" s="3">
        <v>12904</v>
      </c>
      <c r="B133" s="3">
        <v>12905</v>
      </c>
      <c r="C133" s="3" t="s">
        <v>187</v>
      </c>
      <c r="D133" s="3" t="s">
        <v>188</v>
      </c>
      <c r="E133" s="5" t="s">
        <v>134</v>
      </c>
      <c r="F133" s="3" t="s">
        <v>189</v>
      </c>
      <c r="G133" s="3" t="s">
        <v>190</v>
      </c>
      <c r="H133" s="3" t="s">
        <v>137</v>
      </c>
      <c r="I133" s="3" t="s">
        <v>156</v>
      </c>
      <c r="J133" s="3" t="s">
        <v>30</v>
      </c>
      <c r="K133" s="3" t="s">
        <v>30</v>
      </c>
      <c r="L133" s="3" t="s">
        <v>139</v>
      </c>
      <c r="M133" s="3" t="s">
        <v>31</v>
      </c>
      <c r="N133" s="3" t="s">
        <v>186</v>
      </c>
      <c r="O133" s="3" t="s">
        <v>141</v>
      </c>
      <c r="P133" s="3" t="s">
        <v>142</v>
      </c>
      <c r="Q133" s="3" t="s">
        <v>143</v>
      </c>
      <c r="R133" s="3" t="s">
        <v>144</v>
      </c>
      <c r="S133" s="3" t="s">
        <v>34</v>
      </c>
      <c r="T133" s="153">
        <v>3.4430000000000001</v>
      </c>
      <c r="U133" s="3" t="s">
        <v>191</v>
      </c>
      <c r="V133" s="164">
        <v>2.41E-2</v>
      </c>
      <c r="W133" s="164">
        <v>4.8230000000000002E-2</v>
      </c>
      <c r="X133" s="5" t="s">
        <v>146</v>
      </c>
      <c r="Y133" s="5" t="s">
        <v>141</v>
      </c>
      <c r="Z133" s="153">
        <v>10666.67</v>
      </c>
      <c r="AA133" s="162">
        <v>1</v>
      </c>
      <c r="AB133" s="172">
        <v>93.59</v>
      </c>
      <c r="AD133" s="153">
        <v>9.9830000000000005</v>
      </c>
      <c r="AG133" s="3" t="s">
        <v>36</v>
      </c>
      <c r="AH133" s="164">
        <v>5.0000000000000004E-6</v>
      </c>
      <c r="AI133" s="164">
        <v>1.9116468850608301E-3</v>
      </c>
      <c r="AJ133" s="164">
        <v>2.0707073244643099E-4</v>
      </c>
    </row>
    <row r="134" spans="1:36">
      <c r="A134" s="3">
        <v>12904</v>
      </c>
      <c r="B134" s="3">
        <v>12905</v>
      </c>
      <c r="C134" s="3" t="s">
        <v>187</v>
      </c>
      <c r="D134" s="3" t="s">
        <v>188</v>
      </c>
      <c r="E134" s="5" t="s">
        <v>134</v>
      </c>
      <c r="F134" s="3" t="s">
        <v>192</v>
      </c>
      <c r="G134" s="3" t="s">
        <v>193</v>
      </c>
      <c r="H134" s="3" t="s">
        <v>137</v>
      </c>
      <c r="I134" s="3" t="s">
        <v>156</v>
      </c>
      <c r="J134" s="3" t="s">
        <v>30</v>
      </c>
      <c r="K134" s="3" t="s">
        <v>30</v>
      </c>
      <c r="L134" s="3" t="s">
        <v>139</v>
      </c>
      <c r="M134" s="3" t="s">
        <v>31</v>
      </c>
      <c r="N134" s="3" t="s">
        <v>186</v>
      </c>
      <c r="O134" s="3" t="s">
        <v>141</v>
      </c>
      <c r="P134" s="3" t="s">
        <v>142</v>
      </c>
      <c r="Q134" s="3" t="s">
        <v>143</v>
      </c>
      <c r="R134" s="3" t="s">
        <v>144</v>
      </c>
      <c r="S134" s="3" t="s">
        <v>34</v>
      </c>
      <c r="T134" s="153">
        <v>5.6870000000000003</v>
      </c>
      <c r="U134" s="3" t="s">
        <v>194</v>
      </c>
      <c r="V134" s="164">
        <v>4.9399999999999999E-2</v>
      </c>
      <c r="W134" s="164">
        <v>5.142E-2</v>
      </c>
      <c r="X134" s="5" t="s">
        <v>146</v>
      </c>
      <c r="Y134" s="5" t="s">
        <v>141</v>
      </c>
      <c r="Z134" s="153">
        <v>52310</v>
      </c>
      <c r="AA134" s="162">
        <v>1</v>
      </c>
      <c r="AB134" s="172">
        <v>101.81</v>
      </c>
      <c r="AD134" s="153">
        <v>53.256999999999998</v>
      </c>
      <c r="AG134" s="3" t="s">
        <v>36</v>
      </c>
      <c r="AH134" s="164">
        <v>2.8E-5</v>
      </c>
      <c r="AI134" s="164">
        <v>1.0198223472195799E-2</v>
      </c>
      <c r="AJ134" s="164">
        <v>1.10467765806694E-3</v>
      </c>
    </row>
    <row r="135" spans="1:36">
      <c r="A135" s="3">
        <v>12904</v>
      </c>
      <c r="B135" s="3">
        <v>12905</v>
      </c>
      <c r="C135" s="3" t="s">
        <v>195</v>
      </c>
      <c r="D135" s="3" t="s">
        <v>196</v>
      </c>
      <c r="E135" s="5" t="s">
        <v>134</v>
      </c>
      <c r="F135" s="3" t="s">
        <v>197</v>
      </c>
      <c r="G135" s="3" t="s">
        <v>198</v>
      </c>
      <c r="H135" s="3" t="s">
        <v>137</v>
      </c>
      <c r="I135" s="3" t="s">
        <v>156</v>
      </c>
      <c r="J135" s="3" t="s">
        <v>30</v>
      </c>
      <c r="K135" s="3" t="s">
        <v>30</v>
      </c>
      <c r="L135" s="3" t="s">
        <v>139</v>
      </c>
      <c r="M135" s="3" t="s">
        <v>31</v>
      </c>
      <c r="N135" s="3" t="s">
        <v>199</v>
      </c>
      <c r="O135" s="3" t="s">
        <v>141</v>
      </c>
      <c r="P135" s="3" t="s">
        <v>152</v>
      </c>
      <c r="Q135" s="3" t="s">
        <v>143</v>
      </c>
      <c r="R135" s="3" t="s">
        <v>144</v>
      </c>
      <c r="S135" s="3" t="s">
        <v>34</v>
      </c>
      <c r="T135" s="153">
        <v>2.5489999999999999</v>
      </c>
      <c r="U135" s="3" t="s">
        <v>200</v>
      </c>
      <c r="V135" s="164">
        <v>0.04</v>
      </c>
      <c r="W135" s="164">
        <v>4.802E-2</v>
      </c>
      <c r="X135" s="5" t="s">
        <v>146</v>
      </c>
      <c r="Y135" s="5" t="s">
        <v>141</v>
      </c>
      <c r="Z135" s="153">
        <v>18750</v>
      </c>
      <c r="AA135" s="162">
        <v>1</v>
      </c>
      <c r="AB135" s="172">
        <v>99.07</v>
      </c>
      <c r="AD135" s="153">
        <v>18.576000000000001</v>
      </c>
      <c r="AG135" s="3" t="s">
        <v>36</v>
      </c>
      <c r="AH135" s="164">
        <v>3.1999999999999999E-5</v>
      </c>
      <c r="AI135" s="164">
        <v>3.55707319549618E-3</v>
      </c>
      <c r="AJ135" s="164">
        <v>3.8530429323170898E-4</v>
      </c>
    </row>
    <row r="136" spans="1:36">
      <c r="A136" s="3">
        <v>12904</v>
      </c>
      <c r="B136" s="3">
        <v>12905</v>
      </c>
      <c r="C136" s="3" t="s">
        <v>195</v>
      </c>
      <c r="D136" s="3" t="s">
        <v>196</v>
      </c>
      <c r="E136" s="5" t="s">
        <v>134</v>
      </c>
      <c r="F136" s="3" t="s">
        <v>201</v>
      </c>
      <c r="G136" s="3" t="s">
        <v>202</v>
      </c>
      <c r="H136" s="3" t="s">
        <v>137</v>
      </c>
      <c r="I136" s="3" t="s">
        <v>156</v>
      </c>
      <c r="J136" s="3" t="s">
        <v>30</v>
      </c>
      <c r="K136" s="3" t="s">
        <v>30</v>
      </c>
      <c r="L136" s="3" t="s">
        <v>139</v>
      </c>
      <c r="M136" s="3" t="s">
        <v>31</v>
      </c>
      <c r="N136" s="3" t="s">
        <v>199</v>
      </c>
      <c r="O136" s="3" t="s">
        <v>141</v>
      </c>
      <c r="P136" s="3" t="s">
        <v>152</v>
      </c>
      <c r="Q136" s="3" t="s">
        <v>143</v>
      </c>
      <c r="R136" s="3" t="s">
        <v>144</v>
      </c>
      <c r="S136" s="3" t="s">
        <v>34</v>
      </c>
      <c r="T136" s="153">
        <v>4.508</v>
      </c>
      <c r="U136" s="3" t="s">
        <v>203</v>
      </c>
      <c r="V136" s="164">
        <v>2.07E-2</v>
      </c>
      <c r="W136" s="164">
        <v>4.9689999999999998E-2</v>
      </c>
      <c r="X136" s="5" t="s">
        <v>146</v>
      </c>
      <c r="Y136" s="5" t="s">
        <v>141</v>
      </c>
      <c r="Z136" s="153">
        <v>89536.69</v>
      </c>
      <c r="AA136" s="162">
        <v>1</v>
      </c>
      <c r="AB136" s="172">
        <v>88.43</v>
      </c>
      <c r="AD136" s="153">
        <v>79.177000000000007</v>
      </c>
      <c r="AG136" s="3" t="s">
        <v>36</v>
      </c>
      <c r="AH136" s="164">
        <v>1.2300000000000001E-4</v>
      </c>
      <c r="AI136" s="164">
        <v>1.51617742939476E-2</v>
      </c>
      <c r="AJ136" s="164">
        <v>1.6423324478857899E-3</v>
      </c>
    </row>
    <row r="137" spans="1:36">
      <c r="A137" s="3">
        <v>12904</v>
      </c>
      <c r="B137" s="3">
        <v>12905</v>
      </c>
      <c r="C137" s="3" t="s">
        <v>204</v>
      </c>
      <c r="D137" s="3" t="s">
        <v>205</v>
      </c>
      <c r="E137" s="5" t="s">
        <v>134</v>
      </c>
      <c r="F137" s="3" t="s">
        <v>206</v>
      </c>
      <c r="G137" s="3" t="s">
        <v>207</v>
      </c>
      <c r="H137" s="3" t="s">
        <v>137</v>
      </c>
      <c r="I137" s="3" t="s">
        <v>156</v>
      </c>
      <c r="J137" s="3" t="s">
        <v>30</v>
      </c>
      <c r="K137" s="3" t="s">
        <v>30</v>
      </c>
      <c r="L137" s="3" t="s">
        <v>139</v>
      </c>
      <c r="M137" s="3" t="s">
        <v>31</v>
      </c>
      <c r="N137" s="3" t="s">
        <v>208</v>
      </c>
      <c r="O137" s="3" t="s">
        <v>141</v>
      </c>
      <c r="P137" s="3" t="s">
        <v>209</v>
      </c>
      <c r="Q137" s="3" t="s">
        <v>164</v>
      </c>
      <c r="R137" s="3" t="s">
        <v>144</v>
      </c>
      <c r="S137" s="3" t="s">
        <v>34</v>
      </c>
      <c r="T137" s="153">
        <v>3.7789999999999999</v>
      </c>
      <c r="U137" s="3" t="s">
        <v>210</v>
      </c>
      <c r="V137" s="164">
        <v>6.0699999999999997E-2</v>
      </c>
      <c r="W137" s="164">
        <v>5.4559999999999997E-2</v>
      </c>
      <c r="X137" s="5" t="s">
        <v>146</v>
      </c>
      <c r="Y137" s="5" t="s">
        <v>141</v>
      </c>
      <c r="Z137" s="153">
        <v>41708</v>
      </c>
      <c r="AA137" s="162">
        <v>1</v>
      </c>
      <c r="AB137" s="172">
        <v>104.65</v>
      </c>
      <c r="AD137" s="153">
        <v>43.646999999999998</v>
      </c>
      <c r="AG137" s="3" t="s">
        <v>36</v>
      </c>
      <c r="AH137" s="164">
        <v>1E-4</v>
      </c>
      <c r="AI137" s="164">
        <v>8.3581077271268397E-3</v>
      </c>
      <c r="AJ137" s="164">
        <v>9.0535522143110495E-4</v>
      </c>
    </row>
    <row r="138" spans="1:36">
      <c r="A138" s="3">
        <v>12904</v>
      </c>
      <c r="B138" s="3">
        <v>12905</v>
      </c>
      <c r="C138" s="3" t="s">
        <v>216</v>
      </c>
      <c r="D138" s="3" t="s">
        <v>217</v>
      </c>
      <c r="E138" s="5" t="s">
        <v>134</v>
      </c>
      <c r="F138" s="3" t="s">
        <v>218</v>
      </c>
      <c r="G138" s="3" t="s">
        <v>219</v>
      </c>
      <c r="H138" s="3" t="s">
        <v>137</v>
      </c>
      <c r="I138" s="3" t="s">
        <v>156</v>
      </c>
      <c r="J138" s="3" t="s">
        <v>30</v>
      </c>
      <c r="K138" s="3" t="s">
        <v>30</v>
      </c>
      <c r="L138" s="3" t="s">
        <v>139</v>
      </c>
      <c r="M138" s="3" t="s">
        <v>31</v>
      </c>
      <c r="N138" s="3" t="s">
        <v>220</v>
      </c>
      <c r="O138" s="3" t="s">
        <v>141</v>
      </c>
      <c r="P138" s="3" t="s">
        <v>171</v>
      </c>
      <c r="Q138" s="3" t="s">
        <v>164</v>
      </c>
      <c r="R138" s="3" t="s">
        <v>144</v>
      </c>
      <c r="S138" s="3" t="s">
        <v>34</v>
      </c>
      <c r="T138" s="153">
        <v>5.5110000000000001</v>
      </c>
      <c r="U138" s="3" t="s">
        <v>221</v>
      </c>
      <c r="V138" s="164">
        <v>0.05</v>
      </c>
      <c r="W138" s="164">
        <v>5.1290000000000002E-2</v>
      </c>
      <c r="X138" s="5" t="s">
        <v>146</v>
      </c>
      <c r="Y138" s="5" t="s">
        <v>141</v>
      </c>
      <c r="Z138" s="153">
        <v>60000</v>
      </c>
      <c r="AA138" s="162">
        <v>1</v>
      </c>
      <c r="AB138" s="172">
        <v>100.11</v>
      </c>
      <c r="AD138" s="153">
        <v>60.066000000000003</v>
      </c>
      <c r="AG138" s="3" t="s">
        <v>36</v>
      </c>
      <c r="AH138" s="164">
        <v>1.2799999999999999E-4</v>
      </c>
      <c r="AI138" s="164">
        <v>1.15021248846633E-2</v>
      </c>
      <c r="AJ138" s="164">
        <v>1.24591703790617E-3</v>
      </c>
    </row>
    <row r="139" spans="1:36">
      <c r="A139" s="3">
        <v>12904</v>
      </c>
      <c r="B139" s="3">
        <v>12905</v>
      </c>
      <c r="C139" s="3" t="s">
        <v>216</v>
      </c>
      <c r="D139" s="3" t="s">
        <v>217</v>
      </c>
      <c r="E139" s="5" t="s">
        <v>134</v>
      </c>
      <c r="F139" s="3" t="s">
        <v>222</v>
      </c>
      <c r="G139" s="3" t="s">
        <v>223</v>
      </c>
      <c r="H139" s="3" t="s">
        <v>137</v>
      </c>
      <c r="I139" s="3" t="s">
        <v>156</v>
      </c>
      <c r="J139" s="3" t="s">
        <v>30</v>
      </c>
      <c r="K139" s="3" t="s">
        <v>224</v>
      </c>
      <c r="L139" s="3" t="s">
        <v>139</v>
      </c>
      <c r="M139" s="3" t="s">
        <v>31</v>
      </c>
      <c r="N139" s="3" t="s">
        <v>220</v>
      </c>
      <c r="O139" s="3" t="s">
        <v>141</v>
      </c>
      <c r="P139" s="3" t="s">
        <v>171</v>
      </c>
      <c r="Q139" s="3" t="s">
        <v>164</v>
      </c>
      <c r="R139" s="3" t="s">
        <v>144</v>
      </c>
      <c r="S139" s="3" t="s">
        <v>34</v>
      </c>
      <c r="T139" s="153">
        <v>2.8079999999999998</v>
      </c>
      <c r="U139" s="3" t="s">
        <v>225</v>
      </c>
      <c r="V139" s="164">
        <v>1.4999999999999999E-2</v>
      </c>
      <c r="W139" s="164">
        <v>5.0139999999999997E-2</v>
      </c>
      <c r="X139" s="5" t="s">
        <v>146</v>
      </c>
      <c r="Y139" s="5" t="s">
        <v>141</v>
      </c>
      <c r="Z139" s="153">
        <v>60035</v>
      </c>
      <c r="AA139" s="162">
        <v>1</v>
      </c>
      <c r="AB139" s="172">
        <v>90.97</v>
      </c>
      <c r="AD139" s="153">
        <v>54.613999999999997</v>
      </c>
      <c r="AG139" s="3" t="s">
        <v>36</v>
      </c>
      <c r="AH139" s="164">
        <v>5.1E-5</v>
      </c>
      <c r="AI139" s="164">
        <v>1.0458082814902901E-2</v>
      </c>
      <c r="AJ139" s="164">
        <v>1.1328257772870399E-3</v>
      </c>
    </row>
    <row r="140" spans="1:36">
      <c r="A140" s="3">
        <v>12904</v>
      </c>
      <c r="B140" s="3">
        <v>12905</v>
      </c>
      <c r="C140" s="3" t="s">
        <v>226</v>
      </c>
      <c r="D140" s="3" t="s">
        <v>227</v>
      </c>
      <c r="E140" s="5" t="s">
        <v>134</v>
      </c>
      <c r="F140" s="3" t="s">
        <v>228</v>
      </c>
      <c r="G140" s="3" t="s">
        <v>229</v>
      </c>
      <c r="H140" s="3" t="s">
        <v>137</v>
      </c>
      <c r="I140" s="3" t="s">
        <v>156</v>
      </c>
      <c r="J140" s="3" t="s">
        <v>30</v>
      </c>
      <c r="K140" s="3" t="s">
        <v>30</v>
      </c>
      <c r="L140" s="3" t="s">
        <v>139</v>
      </c>
      <c r="M140" s="3" t="s">
        <v>31</v>
      </c>
      <c r="N140" s="3" t="s">
        <v>220</v>
      </c>
      <c r="O140" s="3" t="s">
        <v>141</v>
      </c>
      <c r="P140" s="3" t="s">
        <v>230</v>
      </c>
      <c r="Q140" s="3" t="s">
        <v>143</v>
      </c>
      <c r="R140" s="3" t="s">
        <v>144</v>
      </c>
      <c r="S140" s="3" t="s">
        <v>34</v>
      </c>
      <c r="T140" s="153">
        <v>2.4319999999999999</v>
      </c>
      <c r="U140" s="3" t="s">
        <v>231</v>
      </c>
      <c r="V140" s="164">
        <v>2.0500000000000001E-2</v>
      </c>
      <c r="W140" s="164">
        <v>5.0529999999999999E-2</v>
      </c>
      <c r="X140" s="5" t="s">
        <v>146</v>
      </c>
      <c r="Y140" s="5" t="s">
        <v>141</v>
      </c>
      <c r="Z140" s="153">
        <v>128254.57</v>
      </c>
      <c r="AA140" s="162">
        <v>1</v>
      </c>
      <c r="AB140" s="172">
        <v>93.47</v>
      </c>
      <c r="AD140" s="153">
        <v>119.88</v>
      </c>
      <c r="AG140" s="3" t="s">
        <v>36</v>
      </c>
      <c r="AH140" s="164">
        <v>1.47E-4</v>
      </c>
      <c r="AI140" s="164">
        <v>2.2955907099997799E-2</v>
      </c>
      <c r="AJ140" s="164">
        <v>2.4865975689948201E-3</v>
      </c>
    </row>
    <row r="141" spans="1:36">
      <c r="A141" s="3">
        <v>12904</v>
      </c>
      <c r="B141" s="3">
        <v>12905</v>
      </c>
      <c r="C141" s="3" t="s">
        <v>232</v>
      </c>
      <c r="D141" s="3" t="s">
        <v>233</v>
      </c>
      <c r="E141" s="5" t="s">
        <v>134</v>
      </c>
      <c r="F141" s="3" t="s">
        <v>234</v>
      </c>
      <c r="G141" s="3" t="s">
        <v>235</v>
      </c>
      <c r="H141" s="3" t="s">
        <v>137</v>
      </c>
      <c r="I141" s="3" t="s">
        <v>138</v>
      </c>
      <c r="J141" s="3" t="s">
        <v>30</v>
      </c>
      <c r="K141" s="3" t="s">
        <v>30</v>
      </c>
      <c r="L141" s="3" t="s">
        <v>139</v>
      </c>
      <c r="M141" s="3" t="s">
        <v>31</v>
      </c>
      <c r="N141" s="3" t="s">
        <v>208</v>
      </c>
      <c r="O141" s="3" t="s">
        <v>141</v>
      </c>
      <c r="P141" s="3" t="s">
        <v>152</v>
      </c>
      <c r="Q141" s="3" t="s">
        <v>143</v>
      </c>
      <c r="R141" s="3" t="s">
        <v>144</v>
      </c>
      <c r="S141" s="3" t="s">
        <v>34</v>
      </c>
      <c r="T141" s="153">
        <v>0.79300000000000004</v>
      </c>
      <c r="U141" s="3" t="s">
        <v>236</v>
      </c>
      <c r="V141" s="164">
        <v>2.5700000000000001E-2</v>
      </c>
      <c r="W141" s="164">
        <v>4.0009999999999997E-2</v>
      </c>
      <c r="X141" s="5" t="s">
        <v>146</v>
      </c>
      <c r="Y141" s="5" t="s">
        <v>141</v>
      </c>
      <c r="Z141" s="153">
        <v>57042.59</v>
      </c>
      <c r="AA141" s="162">
        <v>1</v>
      </c>
      <c r="AB141" s="172">
        <v>119.85</v>
      </c>
      <c r="AD141" s="153">
        <v>68.366</v>
      </c>
      <c r="AG141" s="3" t="s">
        <v>36</v>
      </c>
      <c r="AH141" s="164">
        <v>5.3999999999999998E-5</v>
      </c>
      <c r="AI141" s="164">
        <v>1.30914165454448E-2</v>
      </c>
      <c r="AJ141" s="164">
        <v>1.41807005991084E-3</v>
      </c>
    </row>
    <row r="142" spans="1:36">
      <c r="A142" s="3">
        <v>12904</v>
      </c>
      <c r="B142" s="3">
        <v>12905</v>
      </c>
      <c r="C142" s="3" t="s">
        <v>232</v>
      </c>
      <c r="D142" s="3" t="s">
        <v>233</v>
      </c>
      <c r="E142" s="5" t="s">
        <v>134</v>
      </c>
      <c r="F142" s="3" t="s">
        <v>237</v>
      </c>
      <c r="G142" s="3" t="s">
        <v>238</v>
      </c>
      <c r="H142" s="3" t="s">
        <v>137</v>
      </c>
      <c r="I142" s="3" t="s">
        <v>138</v>
      </c>
      <c r="J142" s="3" t="s">
        <v>30</v>
      </c>
      <c r="K142" s="3" t="s">
        <v>30</v>
      </c>
      <c r="L142" s="3" t="s">
        <v>139</v>
      </c>
      <c r="M142" s="3" t="s">
        <v>31</v>
      </c>
      <c r="N142" s="3" t="s">
        <v>208</v>
      </c>
      <c r="O142" s="3" t="s">
        <v>141</v>
      </c>
      <c r="P142" s="3" t="s">
        <v>152</v>
      </c>
      <c r="Q142" s="3" t="s">
        <v>143</v>
      </c>
      <c r="R142" s="3" t="s">
        <v>144</v>
      </c>
      <c r="S142" s="3" t="s">
        <v>34</v>
      </c>
      <c r="T142" s="153">
        <v>4.226</v>
      </c>
      <c r="U142" s="3" t="s">
        <v>239</v>
      </c>
      <c r="V142" s="164">
        <v>1.54E-2</v>
      </c>
      <c r="W142" s="164">
        <v>3.075E-2</v>
      </c>
      <c r="X142" s="5" t="s">
        <v>146</v>
      </c>
      <c r="Y142" s="5" t="s">
        <v>141</v>
      </c>
      <c r="Z142" s="153">
        <v>21070</v>
      </c>
      <c r="AA142" s="162">
        <v>1</v>
      </c>
      <c r="AB142" s="172">
        <v>108.24</v>
      </c>
      <c r="AD142" s="153">
        <v>22.806000000000001</v>
      </c>
      <c r="AG142" s="3" t="s">
        <v>36</v>
      </c>
      <c r="AH142" s="164">
        <v>3.4999999999999997E-5</v>
      </c>
      <c r="AI142" s="164">
        <v>4.36718597004315E-3</v>
      </c>
      <c r="AJ142" s="164">
        <v>4.73056192863692E-4</v>
      </c>
    </row>
    <row r="143" spans="1:36">
      <c r="A143" s="3">
        <v>12904</v>
      </c>
      <c r="B143" s="3">
        <v>12905</v>
      </c>
      <c r="C143" s="3" t="s">
        <v>232</v>
      </c>
      <c r="D143" s="3" t="s">
        <v>233</v>
      </c>
      <c r="E143" s="5" t="s">
        <v>134</v>
      </c>
      <c r="F143" s="3" t="s">
        <v>240</v>
      </c>
      <c r="G143" s="3" t="s">
        <v>241</v>
      </c>
      <c r="H143" s="3" t="s">
        <v>137</v>
      </c>
      <c r="I143" s="3" t="s">
        <v>138</v>
      </c>
      <c r="J143" s="3" t="s">
        <v>30</v>
      </c>
      <c r="K143" s="3" t="s">
        <v>30</v>
      </c>
      <c r="L143" s="3" t="s">
        <v>139</v>
      </c>
      <c r="M143" s="3" t="s">
        <v>31</v>
      </c>
      <c r="N143" s="3" t="s">
        <v>208</v>
      </c>
      <c r="O143" s="3" t="s">
        <v>141</v>
      </c>
      <c r="P143" s="3" t="s">
        <v>152</v>
      </c>
      <c r="Q143" s="3" t="s">
        <v>143</v>
      </c>
      <c r="R143" s="3" t="s">
        <v>144</v>
      </c>
      <c r="S143" s="3" t="s">
        <v>34</v>
      </c>
      <c r="T143" s="153">
        <v>6.452</v>
      </c>
      <c r="U143" s="3" t="s">
        <v>242</v>
      </c>
      <c r="V143" s="164">
        <v>4.02E-2</v>
      </c>
      <c r="W143" s="164">
        <v>3.3029999999999997E-2</v>
      </c>
      <c r="X143" s="5" t="s">
        <v>146</v>
      </c>
      <c r="Y143" s="5" t="s">
        <v>141</v>
      </c>
      <c r="Z143" s="153">
        <v>45000</v>
      </c>
      <c r="AA143" s="162">
        <v>1</v>
      </c>
      <c r="AB143" s="172">
        <v>108.86</v>
      </c>
      <c r="AD143" s="153">
        <v>48.987000000000002</v>
      </c>
      <c r="AG143" s="3" t="s">
        <v>36</v>
      </c>
      <c r="AH143" s="164">
        <v>5.5999999999999999E-5</v>
      </c>
      <c r="AI143" s="164">
        <v>9.3805912117504303E-3</v>
      </c>
      <c r="AJ143" s="164">
        <v>1.01611124323094E-3</v>
      </c>
    </row>
    <row r="144" spans="1:36">
      <c r="A144" s="3">
        <v>12904</v>
      </c>
      <c r="B144" s="3">
        <v>12905</v>
      </c>
      <c r="C144" s="3" t="s">
        <v>581</v>
      </c>
      <c r="D144" s="3" t="s">
        <v>582</v>
      </c>
      <c r="E144" s="5" t="s">
        <v>134</v>
      </c>
      <c r="F144" s="3" t="s">
        <v>583</v>
      </c>
      <c r="G144" s="3" t="s">
        <v>584</v>
      </c>
      <c r="H144" s="3" t="s">
        <v>137</v>
      </c>
      <c r="I144" s="3" t="s">
        <v>156</v>
      </c>
      <c r="J144" s="3" t="s">
        <v>30</v>
      </c>
      <c r="K144" s="3" t="s">
        <v>30</v>
      </c>
      <c r="L144" s="3" t="s">
        <v>139</v>
      </c>
      <c r="M144" s="3" t="s">
        <v>31</v>
      </c>
      <c r="N144" s="3" t="s">
        <v>162</v>
      </c>
      <c r="O144" s="3" t="s">
        <v>141</v>
      </c>
      <c r="P144" s="3" t="s">
        <v>209</v>
      </c>
      <c r="Q144" s="3" t="s">
        <v>164</v>
      </c>
      <c r="R144" s="3" t="s">
        <v>144</v>
      </c>
      <c r="S144" s="3" t="s">
        <v>34</v>
      </c>
      <c r="T144" s="153">
        <v>4.8499999999999996</v>
      </c>
      <c r="U144" s="3" t="s">
        <v>258</v>
      </c>
      <c r="V144" s="164">
        <v>5.3800000000000001E-2</v>
      </c>
      <c r="W144" s="164">
        <v>5.5210000000000002E-2</v>
      </c>
      <c r="X144" s="5" t="s">
        <v>146</v>
      </c>
      <c r="Y144" s="5" t="s">
        <v>141</v>
      </c>
      <c r="Z144" s="153">
        <v>63221</v>
      </c>
      <c r="AA144" s="162">
        <v>1</v>
      </c>
      <c r="AB144" s="172">
        <v>100.68</v>
      </c>
      <c r="AD144" s="153">
        <v>63.651000000000003</v>
      </c>
      <c r="AG144" s="3" t="s">
        <v>36</v>
      </c>
      <c r="AH144" s="164">
        <v>2.5300000000000002E-4</v>
      </c>
      <c r="AI144" s="164">
        <v>1.2188603087057E-2</v>
      </c>
      <c r="AJ144" s="164">
        <v>1.32027676683365E-3</v>
      </c>
    </row>
    <row r="145" spans="1:36">
      <c r="A145" s="3">
        <v>12904</v>
      </c>
      <c r="B145" s="3">
        <v>12905</v>
      </c>
      <c r="C145" s="3" t="s">
        <v>182</v>
      </c>
      <c r="D145" s="3" t="s">
        <v>183</v>
      </c>
      <c r="E145" s="5" t="s">
        <v>134</v>
      </c>
      <c r="F145" s="3" t="s">
        <v>243</v>
      </c>
      <c r="G145" s="3" t="s">
        <v>244</v>
      </c>
      <c r="H145" s="3" t="s">
        <v>137</v>
      </c>
      <c r="I145" s="3" t="s">
        <v>138</v>
      </c>
      <c r="J145" s="3" t="s">
        <v>30</v>
      </c>
      <c r="K145" s="3" t="s">
        <v>30</v>
      </c>
      <c r="L145" s="3" t="s">
        <v>139</v>
      </c>
      <c r="M145" s="3" t="s">
        <v>31</v>
      </c>
      <c r="N145" s="3" t="s">
        <v>186</v>
      </c>
      <c r="O145" s="3" t="s">
        <v>141</v>
      </c>
      <c r="P145" s="3" t="s">
        <v>180</v>
      </c>
      <c r="Q145" s="3" t="s">
        <v>143</v>
      </c>
      <c r="R145" s="3" t="s">
        <v>144</v>
      </c>
      <c r="S145" s="3" t="s">
        <v>34</v>
      </c>
      <c r="T145" s="153">
        <v>6.952</v>
      </c>
      <c r="U145" s="3" t="s">
        <v>245</v>
      </c>
      <c r="V145" s="164">
        <v>3.5999999999999997E-2</v>
      </c>
      <c r="W145" s="164">
        <v>2.989E-2</v>
      </c>
      <c r="X145" s="5" t="s">
        <v>146</v>
      </c>
      <c r="Y145" s="5" t="s">
        <v>141</v>
      </c>
      <c r="Z145" s="153">
        <v>40000</v>
      </c>
      <c r="AA145" s="162">
        <v>1</v>
      </c>
      <c r="AB145" s="172">
        <v>109.05</v>
      </c>
      <c r="AD145" s="153">
        <v>43.62</v>
      </c>
      <c r="AG145" s="3" t="s">
        <v>36</v>
      </c>
      <c r="AH145" s="164">
        <v>4.6E-5</v>
      </c>
      <c r="AI145" s="164">
        <v>8.3528566488365007E-3</v>
      </c>
      <c r="AJ145" s="164">
        <v>9.0478642149414404E-4</v>
      </c>
    </row>
    <row r="146" spans="1:36">
      <c r="A146" s="3">
        <v>12904</v>
      </c>
      <c r="B146" s="3">
        <v>12905</v>
      </c>
      <c r="C146" s="3" t="s">
        <v>246</v>
      </c>
      <c r="D146" s="3" t="s">
        <v>247</v>
      </c>
      <c r="E146" s="5" t="s">
        <v>134</v>
      </c>
      <c r="F146" s="3" t="s">
        <v>248</v>
      </c>
      <c r="G146" s="3" t="s">
        <v>249</v>
      </c>
      <c r="H146" s="3" t="s">
        <v>137</v>
      </c>
      <c r="I146" s="3" t="s">
        <v>138</v>
      </c>
      <c r="J146" s="3" t="s">
        <v>30</v>
      </c>
      <c r="K146" s="3" t="s">
        <v>30</v>
      </c>
      <c r="L146" s="3" t="s">
        <v>139</v>
      </c>
      <c r="M146" s="3" t="s">
        <v>31</v>
      </c>
      <c r="N146" s="3" t="s">
        <v>186</v>
      </c>
      <c r="O146" s="3" t="s">
        <v>141</v>
      </c>
      <c r="P146" s="3" t="s">
        <v>230</v>
      </c>
      <c r="Q146" s="3" t="s">
        <v>143</v>
      </c>
      <c r="R146" s="3" t="s">
        <v>144</v>
      </c>
      <c r="S146" s="3" t="s">
        <v>34</v>
      </c>
      <c r="T146" s="153">
        <v>5.3049999999999997</v>
      </c>
      <c r="U146" s="3" t="s">
        <v>250</v>
      </c>
      <c r="V146" s="164">
        <v>3.6799999999999999E-2</v>
      </c>
      <c r="W146" s="164">
        <v>3.2320000000000002E-2</v>
      </c>
      <c r="X146" s="5" t="s">
        <v>146</v>
      </c>
      <c r="Y146" s="5" t="s">
        <v>141</v>
      </c>
      <c r="Z146" s="153">
        <v>109000</v>
      </c>
      <c r="AA146" s="162">
        <v>1</v>
      </c>
      <c r="AB146" s="172">
        <v>110.18</v>
      </c>
      <c r="AD146" s="153">
        <v>120.096</v>
      </c>
      <c r="AG146" s="3" t="s">
        <v>36</v>
      </c>
      <c r="AH146" s="164">
        <v>2.4600000000000002E-4</v>
      </c>
      <c r="AI146" s="164">
        <v>2.2997394375744998E-2</v>
      </c>
      <c r="AJ146" s="164">
        <v>2.49109149548476E-3</v>
      </c>
    </row>
    <row r="147" spans="1:36">
      <c r="A147" s="3">
        <v>12904</v>
      </c>
      <c r="B147" s="3">
        <v>12905</v>
      </c>
      <c r="C147" s="3" t="s">
        <v>254</v>
      </c>
      <c r="D147" s="3" t="s">
        <v>255</v>
      </c>
      <c r="E147" s="5" t="s">
        <v>134</v>
      </c>
      <c r="F147" s="3" t="s">
        <v>585</v>
      </c>
      <c r="G147" s="3" t="s">
        <v>586</v>
      </c>
      <c r="H147" s="3" t="s">
        <v>137</v>
      </c>
      <c r="I147" s="3" t="s">
        <v>156</v>
      </c>
      <c r="J147" s="3" t="s">
        <v>30</v>
      </c>
      <c r="K147" s="3" t="s">
        <v>30</v>
      </c>
      <c r="L147" s="3" t="s">
        <v>139</v>
      </c>
      <c r="M147" s="3" t="s">
        <v>31</v>
      </c>
      <c r="N147" s="3" t="s">
        <v>162</v>
      </c>
      <c r="O147" s="3" t="s">
        <v>141</v>
      </c>
      <c r="P147" s="3" t="s">
        <v>230</v>
      </c>
      <c r="Q147" s="3" t="s">
        <v>143</v>
      </c>
      <c r="R147" s="3" t="s">
        <v>144</v>
      </c>
      <c r="S147" s="3" t="s">
        <v>34</v>
      </c>
      <c r="T147" s="153">
        <v>1.6870000000000001</v>
      </c>
      <c r="U147" s="3" t="s">
        <v>587</v>
      </c>
      <c r="V147" s="164">
        <v>4.2999999999999997E-2</v>
      </c>
      <c r="W147" s="164">
        <v>5.1029999999999999E-2</v>
      </c>
      <c r="X147" s="5" t="s">
        <v>146</v>
      </c>
      <c r="Y147" s="5" t="s">
        <v>141</v>
      </c>
      <c r="Z147" s="153">
        <v>19515.400000000001</v>
      </c>
      <c r="AA147" s="162">
        <v>1</v>
      </c>
      <c r="AB147" s="172">
        <v>99.73</v>
      </c>
      <c r="AD147" s="153">
        <v>19.463000000000001</v>
      </c>
      <c r="AG147" s="3" t="s">
        <v>36</v>
      </c>
      <c r="AH147" s="164">
        <v>2.8E-5</v>
      </c>
      <c r="AI147" s="164">
        <v>3.7269420777249701E-3</v>
      </c>
      <c r="AJ147" s="164">
        <v>4.0370459202007701E-4</v>
      </c>
    </row>
    <row r="148" spans="1:36">
      <c r="A148" s="3">
        <v>12904</v>
      </c>
      <c r="B148" s="3">
        <v>12905</v>
      </c>
      <c r="C148" s="3" t="s">
        <v>254</v>
      </c>
      <c r="D148" s="3" t="s">
        <v>255</v>
      </c>
      <c r="E148" s="5" t="s">
        <v>134</v>
      </c>
      <c r="F148" s="3" t="s">
        <v>256</v>
      </c>
      <c r="G148" s="3" t="s">
        <v>257</v>
      </c>
      <c r="H148" s="3" t="s">
        <v>137</v>
      </c>
      <c r="I148" s="3" t="s">
        <v>138</v>
      </c>
      <c r="J148" s="3" t="s">
        <v>30</v>
      </c>
      <c r="K148" s="3" t="s">
        <v>30</v>
      </c>
      <c r="L148" s="3" t="s">
        <v>139</v>
      </c>
      <c r="M148" s="3" t="s">
        <v>31</v>
      </c>
      <c r="N148" s="3" t="s">
        <v>162</v>
      </c>
      <c r="O148" s="3" t="s">
        <v>141</v>
      </c>
      <c r="P148" s="3" t="s">
        <v>230</v>
      </c>
      <c r="Q148" s="3" t="s">
        <v>143</v>
      </c>
      <c r="R148" s="3" t="s">
        <v>144</v>
      </c>
      <c r="S148" s="3" t="s">
        <v>34</v>
      </c>
      <c r="T148" s="153">
        <v>4.6859999999999999</v>
      </c>
      <c r="U148" s="3" t="s">
        <v>258</v>
      </c>
      <c r="V148" s="164">
        <v>4.0800000000000003E-2</v>
      </c>
      <c r="W148" s="164">
        <v>3.4189999999999998E-2</v>
      </c>
      <c r="X148" s="5" t="s">
        <v>146</v>
      </c>
      <c r="Y148" s="5" t="s">
        <v>141</v>
      </c>
      <c r="Z148" s="153">
        <v>85000</v>
      </c>
      <c r="AA148" s="162">
        <v>1</v>
      </c>
      <c r="AB148" s="172">
        <v>111.71</v>
      </c>
      <c r="AD148" s="153">
        <v>94.953999999999994</v>
      </c>
      <c r="AG148" s="3" t="s">
        <v>36</v>
      </c>
      <c r="AH148" s="164">
        <v>9.7999999999999997E-5</v>
      </c>
      <c r="AI148" s="164">
        <v>1.8182782526485499E-2</v>
      </c>
      <c r="AJ148" s="164">
        <v>1.9695698641298501E-3</v>
      </c>
    </row>
    <row r="149" spans="1:36">
      <c r="A149" s="3">
        <v>12904</v>
      </c>
      <c r="B149" s="3">
        <v>12905</v>
      </c>
      <c r="C149" s="3" t="s">
        <v>259</v>
      </c>
      <c r="D149" s="3" t="s">
        <v>260</v>
      </c>
      <c r="E149" s="5" t="s">
        <v>134</v>
      </c>
      <c r="F149" s="3" t="s">
        <v>261</v>
      </c>
      <c r="G149" s="3" t="s">
        <v>262</v>
      </c>
      <c r="H149" s="3" t="s">
        <v>137</v>
      </c>
      <c r="I149" s="3" t="s">
        <v>156</v>
      </c>
      <c r="J149" s="3" t="s">
        <v>30</v>
      </c>
      <c r="K149" s="3" t="s">
        <v>30</v>
      </c>
      <c r="L149" s="3" t="s">
        <v>139</v>
      </c>
      <c r="M149" s="3" t="s">
        <v>31</v>
      </c>
      <c r="N149" s="3" t="s">
        <v>151</v>
      </c>
      <c r="O149" s="3" t="s">
        <v>141</v>
      </c>
      <c r="P149" s="3" t="s">
        <v>152</v>
      </c>
      <c r="Q149" s="3" t="s">
        <v>143</v>
      </c>
      <c r="R149" s="3" t="s">
        <v>144</v>
      </c>
      <c r="S149" s="3" t="s">
        <v>34</v>
      </c>
      <c r="T149" s="153">
        <v>5.7279999999999998</v>
      </c>
      <c r="U149" s="3" t="s">
        <v>263</v>
      </c>
      <c r="V149" s="164">
        <v>5.2499999999999998E-2</v>
      </c>
      <c r="W149" s="164">
        <v>5.339E-2</v>
      </c>
      <c r="X149" s="5" t="s">
        <v>146</v>
      </c>
      <c r="Y149" s="5" t="s">
        <v>141</v>
      </c>
      <c r="Z149" s="153">
        <v>75000</v>
      </c>
      <c r="AA149" s="162">
        <v>1</v>
      </c>
      <c r="AB149" s="172">
        <v>101.34</v>
      </c>
      <c r="AD149" s="153">
        <v>76.004999999999995</v>
      </c>
      <c r="AG149" s="3" t="s">
        <v>36</v>
      </c>
      <c r="AH149" s="164">
        <v>1.1400000000000001E-4</v>
      </c>
      <c r="AI149" s="164">
        <v>1.4554306959991201E-2</v>
      </c>
      <c r="AJ149" s="164">
        <v>1.5765312234218799E-3</v>
      </c>
    </row>
    <row r="150" spans="1:36">
      <c r="A150" s="3">
        <v>12904</v>
      </c>
      <c r="B150" s="3">
        <v>12905</v>
      </c>
      <c r="C150" s="3" t="s">
        <v>267</v>
      </c>
      <c r="D150" s="3" t="s">
        <v>268</v>
      </c>
      <c r="E150" s="5" t="s">
        <v>134</v>
      </c>
      <c r="F150" s="3" t="s">
        <v>275</v>
      </c>
      <c r="G150" s="3" t="s">
        <v>276</v>
      </c>
      <c r="H150" s="3" t="s">
        <v>137</v>
      </c>
      <c r="I150" s="3" t="s">
        <v>138</v>
      </c>
      <c r="J150" s="3" t="s">
        <v>30</v>
      </c>
      <c r="K150" s="3" t="s">
        <v>30</v>
      </c>
      <c r="L150" s="3" t="s">
        <v>139</v>
      </c>
      <c r="M150" s="3" t="s">
        <v>31</v>
      </c>
      <c r="N150" s="3" t="s">
        <v>186</v>
      </c>
      <c r="O150" s="3" t="s">
        <v>141</v>
      </c>
      <c r="P150" s="3" t="s">
        <v>142</v>
      </c>
      <c r="Q150" s="3" t="s">
        <v>143</v>
      </c>
      <c r="R150" s="3" t="s">
        <v>144</v>
      </c>
      <c r="S150" s="3" t="s">
        <v>34</v>
      </c>
      <c r="T150" s="153">
        <v>4.6689999999999996</v>
      </c>
      <c r="U150" s="3" t="s">
        <v>277</v>
      </c>
      <c r="V150" s="164">
        <v>1.8700000000000001E-2</v>
      </c>
      <c r="W150" s="164">
        <v>2.946E-2</v>
      </c>
      <c r="X150" s="5" t="s">
        <v>146</v>
      </c>
      <c r="Y150" s="5" t="s">
        <v>141</v>
      </c>
      <c r="Z150" s="153">
        <v>60327.27</v>
      </c>
      <c r="AA150" s="162">
        <v>1</v>
      </c>
      <c r="AB150" s="172">
        <v>109.28</v>
      </c>
      <c r="AD150" s="153">
        <v>65.926000000000002</v>
      </c>
      <c r="AG150" s="3" t="s">
        <v>36</v>
      </c>
      <c r="AH150" s="164">
        <v>6.2000000000000003E-5</v>
      </c>
      <c r="AI150" s="164">
        <v>1.26241959166042E-2</v>
      </c>
      <c r="AJ150" s="164">
        <v>1.36746044231662E-3</v>
      </c>
    </row>
    <row r="151" spans="1:36">
      <c r="A151" s="3">
        <v>12904</v>
      </c>
      <c r="B151" s="3">
        <v>12905</v>
      </c>
      <c r="C151" s="3" t="s">
        <v>267</v>
      </c>
      <c r="D151" s="3" t="s">
        <v>268</v>
      </c>
      <c r="E151" s="5" t="s">
        <v>134</v>
      </c>
      <c r="F151" s="3" t="s">
        <v>278</v>
      </c>
      <c r="G151" s="3" t="s">
        <v>279</v>
      </c>
      <c r="H151" s="3" t="s">
        <v>137</v>
      </c>
      <c r="I151" s="3" t="s">
        <v>138</v>
      </c>
      <c r="J151" s="3" t="s">
        <v>30</v>
      </c>
      <c r="K151" s="3" t="s">
        <v>30</v>
      </c>
      <c r="L151" s="3" t="s">
        <v>139</v>
      </c>
      <c r="M151" s="3" t="s">
        <v>31</v>
      </c>
      <c r="N151" s="3" t="s">
        <v>186</v>
      </c>
      <c r="O151" s="3" t="s">
        <v>141</v>
      </c>
      <c r="P151" s="3" t="s">
        <v>271</v>
      </c>
      <c r="Q151" s="3" t="s">
        <v>164</v>
      </c>
      <c r="R151" s="3" t="s">
        <v>144</v>
      </c>
      <c r="S151" s="3" t="s">
        <v>34</v>
      </c>
      <c r="T151" s="153">
        <v>6.9960000000000004</v>
      </c>
      <c r="U151" s="3" t="s">
        <v>280</v>
      </c>
      <c r="V151" s="164">
        <v>3.0599999999999999E-2</v>
      </c>
      <c r="W151" s="164">
        <v>3.1600000000000003E-2</v>
      </c>
      <c r="X151" s="5" t="s">
        <v>146</v>
      </c>
      <c r="Y151" s="5" t="s">
        <v>141</v>
      </c>
      <c r="Z151" s="153">
        <v>84000</v>
      </c>
      <c r="AA151" s="162">
        <v>1</v>
      </c>
      <c r="AB151" s="172">
        <v>101.01</v>
      </c>
      <c r="AD151" s="153">
        <v>84.847999999999999</v>
      </c>
      <c r="AG151" s="3" t="s">
        <v>36</v>
      </c>
      <c r="AH151" s="164">
        <v>7.7999999999999999E-5</v>
      </c>
      <c r="AI151" s="164">
        <v>1.6247742367793201E-2</v>
      </c>
      <c r="AJ151" s="164">
        <v>1.75996515831049E-3</v>
      </c>
    </row>
    <row r="152" spans="1:36">
      <c r="A152" s="3">
        <v>12904</v>
      </c>
      <c r="B152" s="3">
        <v>12905</v>
      </c>
      <c r="C152" s="3" t="s">
        <v>281</v>
      </c>
      <c r="D152" s="3" t="s">
        <v>282</v>
      </c>
      <c r="E152" s="5" t="s">
        <v>134</v>
      </c>
      <c r="F152" s="3" t="s">
        <v>283</v>
      </c>
      <c r="G152" s="3" t="s">
        <v>284</v>
      </c>
      <c r="H152" s="3" t="s">
        <v>137</v>
      </c>
      <c r="I152" s="3" t="s">
        <v>138</v>
      </c>
      <c r="J152" s="3" t="s">
        <v>30</v>
      </c>
      <c r="K152" s="3" t="s">
        <v>30</v>
      </c>
      <c r="L152" s="3" t="s">
        <v>139</v>
      </c>
      <c r="M152" s="3" t="s">
        <v>31</v>
      </c>
      <c r="N152" s="3" t="s">
        <v>285</v>
      </c>
      <c r="O152" s="3" t="s">
        <v>141</v>
      </c>
      <c r="P152" s="3" t="s">
        <v>286</v>
      </c>
      <c r="Q152" s="3" t="s">
        <v>143</v>
      </c>
      <c r="R152" s="3" t="s">
        <v>144</v>
      </c>
      <c r="S152" s="3" t="s">
        <v>34</v>
      </c>
      <c r="T152" s="153">
        <v>2.8420000000000001</v>
      </c>
      <c r="U152" s="3" t="s">
        <v>287</v>
      </c>
      <c r="V152" s="164">
        <v>2.52E-2</v>
      </c>
      <c r="W152" s="164">
        <v>2.5590000000000002E-2</v>
      </c>
      <c r="X152" s="5" t="s">
        <v>146</v>
      </c>
      <c r="Y152" s="5" t="s">
        <v>141</v>
      </c>
      <c r="Z152" s="153">
        <v>63035</v>
      </c>
      <c r="AA152" s="162">
        <v>1</v>
      </c>
      <c r="AB152" s="172">
        <v>100.78</v>
      </c>
      <c r="AD152" s="153">
        <v>63.527000000000001</v>
      </c>
      <c r="AG152" s="3" t="s">
        <v>36</v>
      </c>
      <c r="AH152" s="164">
        <v>3.6999999999999998E-5</v>
      </c>
      <c r="AI152" s="164">
        <v>1.21648141436614E-2</v>
      </c>
      <c r="AJ152" s="164">
        <v>1.3176999342755301E-3</v>
      </c>
    </row>
    <row r="153" spans="1:36">
      <c r="A153" s="3">
        <v>12904</v>
      </c>
      <c r="B153" s="3">
        <v>12905</v>
      </c>
      <c r="C153" s="3" t="s">
        <v>259</v>
      </c>
      <c r="D153" s="3" t="s">
        <v>260</v>
      </c>
      <c r="E153" s="5" t="s">
        <v>134</v>
      </c>
      <c r="F153" s="3" t="s">
        <v>288</v>
      </c>
      <c r="G153" s="3" t="s">
        <v>289</v>
      </c>
      <c r="H153" s="3" t="s">
        <v>137</v>
      </c>
      <c r="I153" s="3" t="s">
        <v>156</v>
      </c>
      <c r="J153" s="3" t="s">
        <v>30</v>
      </c>
      <c r="K153" s="3" t="s">
        <v>30</v>
      </c>
      <c r="L153" s="3" t="s">
        <v>139</v>
      </c>
      <c r="M153" s="3" t="s">
        <v>31</v>
      </c>
      <c r="N153" s="3" t="s">
        <v>151</v>
      </c>
      <c r="O153" s="3" t="s">
        <v>141</v>
      </c>
      <c r="P153" s="3" t="s">
        <v>152</v>
      </c>
      <c r="Q153" s="3" t="s">
        <v>143</v>
      </c>
      <c r="R153" s="3" t="s">
        <v>144</v>
      </c>
      <c r="S153" s="3" t="s">
        <v>34</v>
      </c>
      <c r="T153" s="153">
        <v>3.8719999999999999</v>
      </c>
      <c r="U153" s="3" t="s">
        <v>290</v>
      </c>
      <c r="V153" s="164">
        <v>5.7500000000000002E-2</v>
      </c>
      <c r="W153" s="164">
        <v>5.033E-2</v>
      </c>
      <c r="X153" s="5" t="s">
        <v>146</v>
      </c>
      <c r="Y153" s="5" t="s">
        <v>141</v>
      </c>
      <c r="Z153" s="153">
        <v>25526</v>
      </c>
      <c r="AA153" s="162">
        <v>1</v>
      </c>
      <c r="AB153" s="172">
        <v>103.14</v>
      </c>
      <c r="AD153" s="153">
        <v>26.327999999999999</v>
      </c>
      <c r="AG153" s="3" t="s">
        <v>36</v>
      </c>
      <c r="AH153" s="164">
        <v>4.8999999999999998E-5</v>
      </c>
      <c r="AI153" s="164">
        <v>5.04149404881E-3</v>
      </c>
      <c r="AJ153" s="164">
        <v>5.4609764673050004E-4</v>
      </c>
    </row>
    <row r="154" spans="1:36">
      <c r="A154" s="3">
        <v>12904</v>
      </c>
      <c r="B154" s="3">
        <v>12905</v>
      </c>
      <c r="C154" s="3" t="s">
        <v>291</v>
      </c>
      <c r="D154" s="3" t="s">
        <v>292</v>
      </c>
      <c r="E154" s="5" t="s">
        <v>134</v>
      </c>
      <c r="F154" s="3" t="s">
        <v>299</v>
      </c>
      <c r="G154" s="3" t="s">
        <v>300</v>
      </c>
      <c r="H154" s="3" t="s">
        <v>137</v>
      </c>
      <c r="I154" s="3" t="s">
        <v>138</v>
      </c>
      <c r="J154" s="3" t="s">
        <v>30</v>
      </c>
      <c r="K154" s="3" t="s">
        <v>30</v>
      </c>
      <c r="L154" s="3" t="s">
        <v>139</v>
      </c>
      <c r="M154" s="3" t="s">
        <v>31</v>
      </c>
      <c r="N154" s="3" t="s">
        <v>186</v>
      </c>
      <c r="O154" s="3" t="s">
        <v>141</v>
      </c>
      <c r="P154" s="3" t="s">
        <v>180</v>
      </c>
      <c r="Q154" s="3" t="s">
        <v>143</v>
      </c>
      <c r="R154" s="3" t="s">
        <v>144</v>
      </c>
      <c r="S154" s="3" t="s">
        <v>34</v>
      </c>
      <c r="T154" s="153">
        <v>4.1829999999999998</v>
      </c>
      <c r="U154" s="3" t="s">
        <v>301</v>
      </c>
      <c r="V154" s="164">
        <v>5.8999999999999999E-3</v>
      </c>
      <c r="W154" s="164">
        <v>2.921E-2</v>
      </c>
      <c r="X154" s="5" t="s">
        <v>146</v>
      </c>
      <c r="Y154" s="5" t="s">
        <v>141</v>
      </c>
      <c r="Z154" s="153">
        <v>51260</v>
      </c>
      <c r="AA154" s="162">
        <v>1</v>
      </c>
      <c r="AB154" s="172">
        <v>104.71</v>
      </c>
      <c r="AD154" s="153">
        <v>53.673999999999999</v>
      </c>
      <c r="AG154" s="3" t="s">
        <v>36</v>
      </c>
      <c r="AH154" s="164">
        <v>3.6999999999999998E-5</v>
      </c>
      <c r="AI154" s="164">
        <v>1.02781778509411E-2</v>
      </c>
      <c r="AJ154" s="164">
        <v>1.1133383641306401E-3</v>
      </c>
    </row>
    <row r="155" spans="1:36">
      <c r="A155" s="3">
        <v>12904</v>
      </c>
      <c r="B155" s="3">
        <v>12905</v>
      </c>
      <c r="C155" s="3" t="s">
        <v>291</v>
      </c>
      <c r="D155" s="3" t="s">
        <v>292</v>
      </c>
      <c r="E155" s="5" t="s">
        <v>134</v>
      </c>
      <c r="F155" s="3" t="s">
        <v>302</v>
      </c>
      <c r="G155" s="3" t="s">
        <v>303</v>
      </c>
      <c r="H155" s="3" t="s">
        <v>137</v>
      </c>
      <c r="I155" s="3" t="s">
        <v>138</v>
      </c>
      <c r="J155" s="3" t="s">
        <v>30</v>
      </c>
      <c r="K155" s="3" t="s">
        <v>30</v>
      </c>
      <c r="L155" s="3" t="s">
        <v>139</v>
      </c>
      <c r="M155" s="3" t="s">
        <v>31</v>
      </c>
      <c r="N155" s="3" t="s">
        <v>186</v>
      </c>
      <c r="O155" s="3" t="s">
        <v>141</v>
      </c>
      <c r="P155" s="3" t="s">
        <v>180</v>
      </c>
      <c r="Q155" s="3" t="s">
        <v>143</v>
      </c>
      <c r="R155" s="3" t="s">
        <v>144</v>
      </c>
      <c r="S155" s="3" t="s">
        <v>34</v>
      </c>
      <c r="T155" s="153">
        <v>2.8519999999999999</v>
      </c>
      <c r="U155" s="3" t="s">
        <v>79</v>
      </c>
      <c r="V155" s="164">
        <v>3.3399999999999999E-2</v>
      </c>
      <c r="W155" s="164">
        <v>2.8539999999999999E-2</v>
      </c>
      <c r="X155" s="5" t="s">
        <v>146</v>
      </c>
      <c r="Y155" s="5" t="s">
        <v>141</v>
      </c>
      <c r="Z155" s="153">
        <v>63891</v>
      </c>
      <c r="AA155" s="162">
        <v>1</v>
      </c>
      <c r="AB155" s="172">
        <v>106.04</v>
      </c>
      <c r="AD155" s="153">
        <v>67.75</v>
      </c>
      <c r="AG155" s="3" t="s">
        <v>36</v>
      </c>
      <c r="AH155" s="164">
        <v>5.8999999999999998E-5</v>
      </c>
      <c r="AI155" s="164">
        <v>1.2973548256430999E-2</v>
      </c>
      <c r="AJ155" s="164">
        <v>1.4053024964402899E-3</v>
      </c>
    </row>
    <row r="156" spans="1:36">
      <c r="A156" s="3">
        <v>12904</v>
      </c>
      <c r="B156" s="3">
        <v>12905</v>
      </c>
      <c r="C156" s="3" t="s">
        <v>291</v>
      </c>
      <c r="D156" s="3" t="s">
        <v>292</v>
      </c>
      <c r="E156" s="5" t="s">
        <v>134</v>
      </c>
      <c r="F156" s="3" t="s">
        <v>304</v>
      </c>
      <c r="G156" s="3" t="s">
        <v>305</v>
      </c>
      <c r="H156" s="3" t="s">
        <v>137</v>
      </c>
      <c r="I156" s="3" t="s">
        <v>138</v>
      </c>
      <c r="J156" s="3" t="s">
        <v>30</v>
      </c>
      <c r="K156" s="3" t="s">
        <v>30</v>
      </c>
      <c r="L156" s="3" t="s">
        <v>139</v>
      </c>
      <c r="M156" s="3" t="s">
        <v>31</v>
      </c>
      <c r="N156" s="3" t="s">
        <v>186</v>
      </c>
      <c r="O156" s="3" t="s">
        <v>141</v>
      </c>
      <c r="P156" s="3" t="s">
        <v>180</v>
      </c>
      <c r="Q156" s="3" t="s">
        <v>143</v>
      </c>
      <c r="R156" s="3" t="s">
        <v>144</v>
      </c>
      <c r="S156" s="3" t="s">
        <v>34</v>
      </c>
      <c r="T156" s="153">
        <v>0.48199999999999998</v>
      </c>
      <c r="U156" s="3" t="s">
        <v>306</v>
      </c>
      <c r="V156" s="164">
        <v>4.7500000000000001E-2</v>
      </c>
      <c r="W156" s="164">
        <v>5.2159999999999998E-2</v>
      </c>
      <c r="X156" s="5" t="s">
        <v>146</v>
      </c>
      <c r="Y156" s="5" t="s">
        <v>141</v>
      </c>
      <c r="Z156" s="153">
        <v>5121.76</v>
      </c>
      <c r="AA156" s="162">
        <v>1</v>
      </c>
      <c r="AB156" s="172">
        <v>143.80000000000001</v>
      </c>
      <c r="AD156" s="153">
        <v>7.3650000000000002</v>
      </c>
      <c r="AG156" s="3" t="s">
        <v>36</v>
      </c>
      <c r="AH156" s="164">
        <v>1.1E-5</v>
      </c>
      <c r="AI156" s="164">
        <v>1.4103518644267099E-3</v>
      </c>
      <c r="AJ156" s="164">
        <v>1.52770156379972E-4</v>
      </c>
    </row>
    <row r="157" spans="1:36">
      <c r="A157" s="3">
        <v>12904</v>
      </c>
      <c r="B157" s="3">
        <v>12905</v>
      </c>
      <c r="C157" s="3" t="s">
        <v>307</v>
      </c>
      <c r="D157" s="3" t="s">
        <v>308</v>
      </c>
      <c r="E157" s="5" t="s">
        <v>134</v>
      </c>
      <c r="F157" s="3" t="s">
        <v>309</v>
      </c>
      <c r="G157" s="3" t="s">
        <v>310</v>
      </c>
      <c r="H157" s="3" t="s">
        <v>137</v>
      </c>
      <c r="I157" s="3" t="s">
        <v>138</v>
      </c>
      <c r="J157" s="3" t="s">
        <v>30</v>
      </c>
      <c r="K157" s="3" t="s">
        <v>30</v>
      </c>
      <c r="L157" s="3" t="s">
        <v>139</v>
      </c>
      <c r="M157" s="3" t="s">
        <v>31</v>
      </c>
      <c r="N157" s="3" t="s">
        <v>285</v>
      </c>
      <c r="O157" s="3" t="s">
        <v>141</v>
      </c>
      <c r="P157" s="3" t="s">
        <v>286</v>
      </c>
      <c r="Q157" s="3" t="s">
        <v>143</v>
      </c>
      <c r="R157" s="3" t="s">
        <v>144</v>
      </c>
      <c r="S157" s="3" t="s">
        <v>34</v>
      </c>
      <c r="T157" s="153">
        <v>4.633</v>
      </c>
      <c r="U157" s="3" t="s">
        <v>311</v>
      </c>
      <c r="V157" s="164">
        <v>2.47E-2</v>
      </c>
      <c r="W157" s="164">
        <v>2.5909999999999999E-2</v>
      </c>
      <c r="X157" s="5" t="s">
        <v>146</v>
      </c>
      <c r="Y157" s="5" t="s">
        <v>141</v>
      </c>
      <c r="Z157" s="153">
        <v>42770</v>
      </c>
      <c r="AA157" s="162">
        <v>1</v>
      </c>
      <c r="AB157" s="172">
        <v>105.47</v>
      </c>
      <c r="AD157" s="153">
        <v>45.11</v>
      </c>
      <c r="AG157" s="3" t="s">
        <v>36</v>
      </c>
      <c r="AH157" s="164">
        <v>1.5999999999999999E-5</v>
      </c>
      <c r="AI157" s="164">
        <v>8.6380867882844201E-3</v>
      </c>
      <c r="AJ157" s="164">
        <v>9.3568272057157503E-4</v>
      </c>
    </row>
    <row r="158" spans="1:36">
      <c r="A158" s="3">
        <v>12904</v>
      </c>
      <c r="B158" s="3">
        <v>12905</v>
      </c>
      <c r="C158" s="3" t="s">
        <v>307</v>
      </c>
      <c r="D158" s="3" t="s">
        <v>308</v>
      </c>
      <c r="E158" s="5" t="s">
        <v>134</v>
      </c>
      <c r="F158" s="3" t="s">
        <v>588</v>
      </c>
      <c r="G158" s="3" t="s">
        <v>589</v>
      </c>
      <c r="H158" s="3" t="s">
        <v>137</v>
      </c>
      <c r="I158" s="3" t="s">
        <v>138</v>
      </c>
      <c r="J158" s="3" t="s">
        <v>30</v>
      </c>
      <c r="K158" s="3" t="s">
        <v>30</v>
      </c>
      <c r="L158" s="3" t="s">
        <v>139</v>
      </c>
      <c r="M158" s="3" t="s">
        <v>31</v>
      </c>
      <c r="N158" s="3" t="s">
        <v>285</v>
      </c>
      <c r="O158" s="3" t="s">
        <v>141</v>
      </c>
      <c r="P158" s="3" t="s">
        <v>286</v>
      </c>
      <c r="Q158" s="3" t="s">
        <v>143</v>
      </c>
      <c r="R158" s="3" t="s">
        <v>144</v>
      </c>
      <c r="S158" s="3" t="s">
        <v>34</v>
      </c>
      <c r="T158" s="153">
        <v>4.5570000000000004</v>
      </c>
      <c r="U158" s="3" t="s">
        <v>311</v>
      </c>
      <c r="V158" s="164">
        <v>2.4E-2</v>
      </c>
      <c r="W158" s="164">
        <v>2.545E-2</v>
      </c>
      <c r="X158" s="5" t="s">
        <v>146</v>
      </c>
      <c r="Y158" s="5" t="s">
        <v>141</v>
      </c>
      <c r="Z158" s="153">
        <v>60000</v>
      </c>
      <c r="AA158" s="162">
        <v>1</v>
      </c>
      <c r="AB158" s="172">
        <v>104.06</v>
      </c>
      <c r="AD158" s="153">
        <v>62.436</v>
      </c>
      <c r="AG158" s="3" t="s">
        <v>36</v>
      </c>
      <c r="AH158" s="164">
        <v>2.6999999999999999E-5</v>
      </c>
      <c r="AI158" s="164">
        <v>1.1955959599421299E-2</v>
      </c>
      <c r="AJ158" s="164">
        <v>1.29507668529134E-3</v>
      </c>
    </row>
    <row r="159" spans="1:36">
      <c r="A159" s="3">
        <v>12904</v>
      </c>
      <c r="B159" s="3">
        <v>12905</v>
      </c>
      <c r="C159" s="3" t="s">
        <v>307</v>
      </c>
      <c r="D159" s="3" t="s">
        <v>308</v>
      </c>
      <c r="E159" s="5" t="s">
        <v>134</v>
      </c>
      <c r="F159" s="3" t="s">
        <v>319</v>
      </c>
      <c r="G159" s="3" t="s">
        <v>320</v>
      </c>
      <c r="H159" s="3" t="s">
        <v>137</v>
      </c>
      <c r="I159" s="3" t="s">
        <v>138</v>
      </c>
      <c r="J159" s="3" t="s">
        <v>30</v>
      </c>
      <c r="K159" s="3" t="s">
        <v>30</v>
      </c>
      <c r="L159" s="3" t="s">
        <v>139</v>
      </c>
      <c r="M159" s="3" t="s">
        <v>31</v>
      </c>
      <c r="N159" s="3" t="s">
        <v>285</v>
      </c>
      <c r="O159" s="3" t="s">
        <v>141</v>
      </c>
      <c r="P159" s="3" t="s">
        <v>142</v>
      </c>
      <c r="Q159" s="3" t="s">
        <v>143</v>
      </c>
      <c r="R159" s="3" t="s">
        <v>144</v>
      </c>
      <c r="S159" s="3" t="s">
        <v>34</v>
      </c>
      <c r="T159" s="153">
        <v>2.9740000000000002</v>
      </c>
      <c r="U159" s="3" t="s">
        <v>321</v>
      </c>
      <c r="V159" s="164">
        <v>3.1699999999999999E-2</v>
      </c>
      <c r="W159" s="164">
        <v>2.8660000000000001E-2</v>
      </c>
      <c r="X159" s="5" t="s">
        <v>146</v>
      </c>
      <c r="Y159" s="5" t="s">
        <v>141</v>
      </c>
      <c r="Z159" s="153">
        <v>50000</v>
      </c>
      <c r="AA159" s="162">
        <v>1</v>
      </c>
      <c r="AB159" s="172">
        <v>114.09</v>
      </c>
      <c r="AD159" s="153">
        <v>57.045000000000002</v>
      </c>
      <c r="AG159" s="3" t="s">
        <v>36</v>
      </c>
      <c r="AH159" s="164">
        <v>5.8999999999999998E-5</v>
      </c>
      <c r="AI159" s="164">
        <v>1.09236292419275E-2</v>
      </c>
      <c r="AJ159" s="164">
        <v>1.1832540443405201E-3</v>
      </c>
    </row>
    <row r="160" spans="1:36">
      <c r="A160" s="3">
        <v>12904</v>
      </c>
      <c r="B160" s="3">
        <v>12905</v>
      </c>
      <c r="C160" s="3" t="s">
        <v>322</v>
      </c>
      <c r="D160" s="3" t="s">
        <v>323</v>
      </c>
      <c r="E160" s="5" t="s">
        <v>134</v>
      </c>
      <c r="F160" s="3" t="s">
        <v>324</v>
      </c>
      <c r="G160" s="3" t="s">
        <v>325</v>
      </c>
      <c r="H160" s="3" t="s">
        <v>137</v>
      </c>
      <c r="I160" s="3" t="s">
        <v>138</v>
      </c>
      <c r="J160" s="3" t="s">
        <v>30</v>
      </c>
      <c r="K160" s="3" t="s">
        <v>30</v>
      </c>
      <c r="L160" s="3" t="s">
        <v>139</v>
      </c>
      <c r="M160" s="3" t="s">
        <v>31</v>
      </c>
      <c r="N160" s="3" t="s">
        <v>151</v>
      </c>
      <c r="O160" s="3" t="s">
        <v>141</v>
      </c>
      <c r="P160" s="3" t="s">
        <v>209</v>
      </c>
      <c r="Q160" s="3" t="s">
        <v>164</v>
      </c>
      <c r="R160" s="3" t="s">
        <v>144</v>
      </c>
      <c r="S160" s="3" t="s">
        <v>34</v>
      </c>
      <c r="T160" s="153">
        <v>3.2109999999999999</v>
      </c>
      <c r="U160" s="3" t="s">
        <v>326</v>
      </c>
      <c r="V160" s="164">
        <v>1.7999999999999999E-2</v>
      </c>
      <c r="W160" s="164">
        <v>3.2000000000000001E-2</v>
      </c>
      <c r="X160" s="5" t="s">
        <v>146</v>
      </c>
      <c r="Y160" s="5" t="s">
        <v>141</v>
      </c>
      <c r="Z160" s="153">
        <v>51534.67</v>
      </c>
      <c r="AA160" s="162">
        <v>1</v>
      </c>
      <c r="AB160" s="172">
        <v>113.57</v>
      </c>
      <c r="AD160" s="153">
        <v>58.527999999999999</v>
      </c>
      <c r="AG160" s="3" t="s">
        <v>36</v>
      </c>
      <c r="AH160" s="164">
        <v>5.8E-5</v>
      </c>
      <c r="AI160" s="164">
        <v>1.1207596633005501E-2</v>
      </c>
      <c r="AJ160" s="164">
        <v>1.21401356176026E-3</v>
      </c>
    </row>
    <row r="161" spans="1:36">
      <c r="A161" s="3">
        <v>12904</v>
      </c>
      <c r="B161" s="3">
        <v>12905</v>
      </c>
      <c r="C161" s="3" t="s">
        <v>322</v>
      </c>
      <c r="D161" s="3" t="s">
        <v>323</v>
      </c>
      <c r="E161" s="5" t="s">
        <v>134</v>
      </c>
      <c r="F161" s="3" t="s">
        <v>327</v>
      </c>
      <c r="G161" s="3" t="s">
        <v>328</v>
      </c>
      <c r="H161" s="3" t="s">
        <v>137</v>
      </c>
      <c r="I161" s="3" t="s">
        <v>138</v>
      </c>
      <c r="J161" s="3" t="s">
        <v>30</v>
      </c>
      <c r="K161" s="3" t="s">
        <v>30</v>
      </c>
      <c r="L161" s="3" t="s">
        <v>139</v>
      </c>
      <c r="M161" s="3" t="s">
        <v>31</v>
      </c>
      <c r="N161" s="3" t="s">
        <v>151</v>
      </c>
      <c r="O161" s="3" t="s">
        <v>141</v>
      </c>
      <c r="P161" s="3" t="s">
        <v>329</v>
      </c>
      <c r="Q161" s="3" t="s">
        <v>143</v>
      </c>
      <c r="R161" s="3" t="s">
        <v>144</v>
      </c>
      <c r="S161" s="3" t="s">
        <v>34</v>
      </c>
      <c r="T161" s="153">
        <v>5.5270000000000001</v>
      </c>
      <c r="U161" s="3" t="s">
        <v>330</v>
      </c>
      <c r="V161" s="164">
        <v>3.3000000000000002E-2</v>
      </c>
      <c r="W161" s="164">
        <v>3.5090000000000003E-2</v>
      </c>
      <c r="X161" s="5" t="s">
        <v>146</v>
      </c>
      <c r="Y161" s="5" t="s">
        <v>141</v>
      </c>
      <c r="Z161" s="153">
        <v>44310.879999999997</v>
      </c>
      <c r="AA161" s="162">
        <v>1</v>
      </c>
      <c r="AB161" s="172">
        <v>108.72</v>
      </c>
      <c r="AD161" s="153">
        <v>48.174999999999997</v>
      </c>
      <c r="AG161" s="3" t="s">
        <v>36</v>
      </c>
      <c r="AH161" s="164">
        <v>3.6999999999999998E-5</v>
      </c>
      <c r="AI161" s="164">
        <v>9.2250597065518403E-3</v>
      </c>
      <c r="AJ161" s="164">
        <v>9.9926397768642489E-4</v>
      </c>
    </row>
    <row r="162" spans="1:36">
      <c r="A162" s="3">
        <v>12904</v>
      </c>
      <c r="B162" s="3">
        <v>12905</v>
      </c>
      <c r="C162" s="3" t="s">
        <v>331</v>
      </c>
      <c r="D162" s="3" t="s">
        <v>332</v>
      </c>
      <c r="E162" s="5" t="s">
        <v>134</v>
      </c>
      <c r="F162" s="3" t="s">
        <v>333</v>
      </c>
      <c r="G162" s="3" t="s">
        <v>334</v>
      </c>
      <c r="H162" s="3" t="s">
        <v>137</v>
      </c>
      <c r="I162" s="3" t="s">
        <v>138</v>
      </c>
      <c r="J162" s="3" t="s">
        <v>30</v>
      </c>
      <c r="K162" s="3" t="s">
        <v>30</v>
      </c>
      <c r="L162" s="3" t="s">
        <v>139</v>
      </c>
      <c r="M162" s="3" t="s">
        <v>31</v>
      </c>
      <c r="N162" s="3" t="s">
        <v>186</v>
      </c>
      <c r="O162" s="3" t="s">
        <v>141</v>
      </c>
      <c r="P162" s="3" t="s">
        <v>329</v>
      </c>
      <c r="Q162" s="3" t="s">
        <v>143</v>
      </c>
      <c r="R162" s="3" t="s">
        <v>144</v>
      </c>
      <c r="S162" s="3" t="s">
        <v>34</v>
      </c>
      <c r="T162" s="153">
        <v>1.6659999999999999</v>
      </c>
      <c r="U162" s="3" t="s">
        <v>165</v>
      </c>
      <c r="V162" s="164">
        <v>3.6499999999999998E-2</v>
      </c>
      <c r="W162" s="164">
        <v>3.1359999999999999E-2</v>
      </c>
      <c r="X162" s="5" t="s">
        <v>146</v>
      </c>
      <c r="Y162" s="5" t="s">
        <v>141</v>
      </c>
      <c r="Z162" s="153">
        <v>27200</v>
      </c>
      <c r="AA162" s="162">
        <v>1</v>
      </c>
      <c r="AB162" s="172">
        <v>112.18</v>
      </c>
      <c r="AD162" s="153">
        <v>30.513000000000002</v>
      </c>
      <c r="AG162" s="3" t="s">
        <v>36</v>
      </c>
      <c r="AH162" s="164">
        <v>1.0399999999999999E-4</v>
      </c>
      <c r="AI162" s="164">
        <v>5.8429706742705702E-3</v>
      </c>
      <c r="AJ162" s="164">
        <v>6.3291407353493697E-4</v>
      </c>
    </row>
    <row r="163" spans="1:36">
      <c r="A163" s="3">
        <v>12904</v>
      </c>
      <c r="B163" s="3">
        <v>12905</v>
      </c>
      <c r="C163" s="3" t="s">
        <v>331</v>
      </c>
      <c r="D163" s="3" t="s">
        <v>332</v>
      </c>
      <c r="E163" s="5" t="s">
        <v>134</v>
      </c>
      <c r="F163" s="3" t="s">
        <v>335</v>
      </c>
      <c r="G163" s="3" t="s">
        <v>336</v>
      </c>
      <c r="H163" s="3" t="s">
        <v>137</v>
      </c>
      <c r="I163" s="3" t="s">
        <v>138</v>
      </c>
      <c r="J163" s="3" t="s">
        <v>30</v>
      </c>
      <c r="K163" s="3" t="s">
        <v>30</v>
      </c>
      <c r="L163" s="3" t="s">
        <v>139</v>
      </c>
      <c r="M163" s="3" t="s">
        <v>31</v>
      </c>
      <c r="N163" s="3" t="s">
        <v>186</v>
      </c>
      <c r="O163" s="3" t="s">
        <v>141</v>
      </c>
      <c r="P163" s="3" t="s">
        <v>230</v>
      </c>
      <c r="Q163" s="3" t="s">
        <v>143</v>
      </c>
      <c r="R163" s="3" t="s">
        <v>144</v>
      </c>
      <c r="S163" s="3" t="s">
        <v>34</v>
      </c>
      <c r="T163" s="153">
        <v>1.996</v>
      </c>
      <c r="U163" s="3" t="s">
        <v>337</v>
      </c>
      <c r="V163" s="164">
        <v>1.7999999999999999E-2</v>
      </c>
      <c r="W163" s="164">
        <v>3.0210000000000001E-2</v>
      </c>
      <c r="X163" s="5" t="s">
        <v>146</v>
      </c>
      <c r="Y163" s="5" t="s">
        <v>141</v>
      </c>
      <c r="Z163" s="153">
        <v>16929.7</v>
      </c>
      <c r="AA163" s="162">
        <v>1</v>
      </c>
      <c r="AB163" s="172">
        <v>116.94</v>
      </c>
      <c r="AD163" s="153">
        <v>19.797999999999998</v>
      </c>
      <c r="AG163" s="3" t="s">
        <v>36</v>
      </c>
      <c r="AH163" s="164">
        <v>2.3E-5</v>
      </c>
      <c r="AI163" s="164">
        <v>3.7910692599452001E-3</v>
      </c>
      <c r="AJ163" s="164">
        <v>4.1065088670234402E-4</v>
      </c>
    </row>
    <row r="164" spans="1:36">
      <c r="A164" s="3">
        <v>12904</v>
      </c>
      <c r="B164" s="3">
        <v>12905</v>
      </c>
      <c r="C164" s="3" t="s">
        <v>338</v>
      </c>
      <c r="D164" s="3" t="s">
        <v>339</v>
      </c>
      <c r="E164" s="5" t="s">
        <v>134</v>
      </c>
      <c r="F164" s="3" t="s">
        <v>590</v>
      </c>
      <c r="G164" s="3" t="s">
        <v>591</v>
      </c>
      <c r="H164" s="3" t="s">
        <v>137</v>
      </c>
      <c r="I164" s="3" t="s">
        <v>156</v>
      </c>
      <c r="J164" s="3" t="s">
        <v>30</v>
      </c>
      <c r="K164" s="3" t="s">
        <v>30</v>
      </c>
      <c r="L164" s="3" t="s">
        <v>139</v>
      </c>
      <c r="M164" s="3" t="s">
        <v>31</v>
      </c>
      <c r="N164" s="3" t="s">
        <v>170</v>
      </c>
      <c r="O164" s="3" t="s">
        <v>141</v>
      </c>
      <c r="P164" s="3" t="s">
        <v>142</v>
      </c>
      <c r="Q164" s="3" t="s">
        <v>143</v>
      </c>
      <c r="R164" s="3" t="s">
        <v>144</v>
      </c>
      <c r="S164" s="3" t="s">
        <v>34</v>
      </c>
      <c r="T164" s="153">
        <v>5.6509999999999998</v>
      </c>
      <c r="U164" s="3" t="s">
        <v>592</v>
      </c>
      <c r="V164" s="164">
        <v>3.0499999999999999E-2</v>
      </c>
      <c r="W164" s="164">
        <v>4.6489999999999997E-2</v>
      </c>
      <c r="X164" s="5" t="s">
        <v>146</v>
      </c>
      <c r="Y164" s="5" t="s">
        <v>141</v>
      </c>
      <c r="Z164" s="153">
        <v>10445</v>
      </c>
      <c r="AA164" s="162">
        <v>1</v>
      </c>
      <c r="AB164" s="172">
        <v>92.49</v>
      </c>
      <c r="AD164" s="153">
        <v>9.6609999999999996</v>
      </c>
      <c r="AG164" s="3" t="s">
        <v>36</v>
      </c>
      <c r="AH164" s="164">
        <v>1.5E-5</v>
      </c>
      <c r="AI164" s="164">
        <v>1.84991847916197E-3</v>
      </c>
      <c r="AJ164" s="164">
        <v>2.0038427464812299E-4</v>
      </c>
    </row>
    <row r="165" spans="1:36">
      <c r="A165" s="3">
        <v>12904</v>
      </c>
      <c r="B165" s="3">
        <v>12905</v>
      </c>
      <c r="C165" s="3" t="s">
        <v>338</v>
      </c>
      <c r="D165" s="3" t="s">
        <v>339</v>
      </c>
      <c r="E165" s="5" t="s">
        <v>134</v>
      </c>
      <c r="F165" s="3" t="s">
        <v>593</v>
      </c>
      <c r="G165" s="3" t="s">
        <v>594</v>
      </c>
      <c r="H165" s="3" t="s">
        <v>137</v>
      </c>
      <c r="I165" s="3" t="s">
        <v>156</v>
      </c>
      <c r="J165" s="3" t="s">
        <v>30</v>
      </c>
      <c r="K165" s="3" t="s">
        <v>30</v>
      </c>
      <c r="L165" s="3" t="s">
        <v>139</v>
      </c>
      <c r="M165" s="3" t="s">
        <v>31</v>
      </c>
      <c r="N165" s="3" t="s">
        <v>170</v>
      </c>
      <c r="O165" s="3" t="s">
        <v>141</v>
      </c>
      <c r="P165" s="3" t="s">
        <v>142</v>
      </c>
      <c r="Q165" s="3" t="s">
        <v>143</v>
      </c>
      <c r="R165" s="3" t="s">
        <v>144</v>
      </c>
      <c r="S165" s="3" t="s">
        <v>34</v>
      </c>
      <c r="T165" s="153">
        <v>6.5369999999999999</v>
      </c>
      <c r="U165" s="3" t="s">
        <v>258</v>
      </c>
      <c r="V165" s="164">
        <v>2.63E-2</v>
      </c>
      <c r="W165" s="164">
        <v>4.7480000000000001E-2</v>
      </c>
      <c r="X165" s="5" t="s">
        <v>146</v>
      </c>
      <c r="Y165" s="5" t="s">
        <v>141</v>
      </c>
      <c r="Z165" s="153">
        <v>10035</v>
      </c>
      <c r="AA165" s="162">
        <v>1</v>
      </c>
      <c r="AB165" s="172">
        <v>88.14</v>
      </c>
      <c r="AD165" s="153">
        <v>8.8450000000000006</v>
      </c>
      <c r="AG165" s="3" t="s">
        <v>36</v>
      </c>
      <c r="AH165" s="164">
        <v>1.4E-5</v>
      </c>
      <c r="AI165" s="164">
        <v>1.6937128788997E-3</v>
      </c>
      <c r="AJ165" s="164">
        <v>1.8346399072366001E-4</v>
      </c>
    </row>
    <row r="166" spans="1:36">
      <c r="A166" s="3">
        <v>12904</v>
      </c>
      <c r="B166" s="3">
        <v>12905</v>
      </c>
      <c r="C166" s="3" t="s">
        <v>338</v>
      </c>
      <c r="D166" s="3" t="s">
        <v>339</v>
      </c>
      <c r="E166" s="5" t="s">
        <v>134</v>
      </c>
      <c r="F166" s="3" t="s">
        <v>340</v>
      </c>
      <c r="G166" s="3" t="s">
        <v>341</v>
      </c>
      <c r="H166" s="3" t="s">
        <v>137</v>
      </c>
      <c r="I166" s="3" t="s">
        <v>156</v>
      </c>
      <c r="J166" s="3" t="s">
        <v>30</v>
      </c>
      <c r="K166" s="3" t="s">
        <v>30</v>
      </c>
      <c r="L166" s="3" t="s">
        <v>139</v>
      </c>
      <c r="M166" s="3" t="s">
        <v>31</v>
      </c>
      <c r="N166" s="3" t="s">
        <v>170</v>
      </c>
      <c r="O166" s="3" t="s">
        <v>141</v>
      </c>
      <c r="P166" s="3" t="s">
        <v>152</v>
      </c>
      <c r="Q166" s="3" t="s">
        <v>143</v>
      </c>
      <c r="R166" s="3" t="s">
        <v>144</v>
      </c>
      <c r="S166" s="3" t="s">
        <v>34</v>
      </c>
      <c r="T166" s="153">
        <v>7.4459999999999997</v>
      </c>
      <c r="U166" s="3" t="s">
        <v>342</v>
      </c>
      <c r="V166" s="164">
        <v>5.8500000000000003E-2</v>
      </c>
      <c r="W166" s="164">
        <v>5.2249999999999998E-2</v>
      </c>
      <c r="X166" s="5" t="s">
        <v>146</v>
      </c>
      <c r="Y166" s="5" t="s">
        <v>141</v>
      </c>
      <c r="Z166" s="153">
        <v>50000</v>
      </c>
      <c r="AA166" s="162">
        <v>1</v>
      </c>
      <c r="AB166" s="172">
        <v>107.8</v>
      </c>
      <c r="AD166" s="153">
        <v>53.9</v>
      </c>
      <c r="AG166" s="3" t="s">
        <v>36</v>
      </c>
      <c r="AH166" s="164">
        <v>5.0000000000000002E-5</v>
      </c>
      <c r="AI166" s="164">
        <v>1.03213886605293E-2</v>
      </c>
      <c r="AJ166" s="164">
        <v>1.11801898483573E-3</v>
      </c>
    </row>
    <row r="167" spans="1:36">
      <c r="A167" s="3">
        <v>12904</v>
      </c>
      <c r="B167" s="3">
        <v>12905</v>
      </c>
      <c r="C167" s="3" t="s">
        <v>343</v>
      </c>
      <c r="D167" s="3" t="s">
        <v>344</v>
      </c>
      <c r="E167" s="5" t="s">
        <v>134</v>
      </c>
      <c r="F167" s="3" t="s">
        <v>345</v>
      </c>
      <c r="G167" s="3" t="s">
        <v>346</v>
      </c>
      <c r="H167" s="3" t="s">
        <v>137</v>
      </c>
      <c r="I167" s="3" t="s">
        <v>138</v>
      </c>
      <c r="J167" s="3" t="s">
        <v>30</v>
      </c>
      <c r="K167" s="3" t="s">
        <v>30</v>
      </c>
      <c r="L167" s="3" t="s">
        <v>139</v>
      </c>
      <c r="M167" s="3" t="s">
        <v>31</v>
      </c>
      <c r="N167" s="3" t="s">
        <v>186</v>
      </c>
      <c r="O167" s="3" t="s">
        <v>141</v>
      </c>
      <c r="P167" s="3" t="s">
        <v>171</v>
      </c>
      <c r="Q167" s="3" t="s">
        <v>164</v>
      </c>
      <c r="R167" s="3" t="s">
        <v>144</v>
      </c>
      <c r="S167" s="3" t="s">
        <v>34</v>
      </c>
      <c r="T167" s="153">
        <v>4.843</v>
      </c>
      <c r="U167" s="3" t="s">
        <v>347</v>
      </c>
      <c r="V167" s="164">
        <v>3.1800000000000002E-2</v>
      </c>
      <c r="W167" s="164">
        <v>3.2800000000000003E-2</v>
      </c>
      <c r="X167" s="5" t="s">
        <v>146</v>
      </c>
      <c r="Y167" s="5" t="s">
        <v>141</v>
      </c>
      <c r="Z167" s="153">
        <v>60000</v>
      </c>
      <c r="AA167" s="162">
        <v>1</v>
      </c>
      <c r="AB167" s="172">
        <v>103.74</v>
      </c>
      <c r="AD167" s="153">
        <v>62.244</v>
      </c>
      <c r="AG167" s="3" t="s">
        <v>36</v>
      </c>
      <c r="AH167" s="164">
        <v>2.6899999999999998E-4</v>
      </c>
      <c r="AI167" s="164">
        <v>1.1919193242782599E-2</v>
      </c>
      <c r="AJ167" s="164">
        <v>1.29109413157913E-3</v>
      </c>
    </row>
    <row r="168" spans="1:36">
      <c r="A168" s="3">
        <v>12904</v>
      </c>
      <c r="B168" s="3">
        <v>12905</v>
      </c>
      <c r="C168" s="3" t="s">
        <v>348</v>
      </c>
      <c r="D168" s="3" t="s">
        <v>349</v>
      </c>
      <c r="E168" s="5" t="s">
        <v>134</v>
      </c>
      <c r="F168" s="3" t="s">
        <v>353</v>
      </c>
      <c r="G168" s="3" t="s">
        <v>354</v>
      </c>
      <c r="H168" s="3" t="s">
        <v>137</v>
      </c>
      <c r="I168" s="3" t="s">
        <v>138</v>
      </c>
      <c r="J168" s="3" t="s">
        <v>30</v>
      </c>
      <c r="K168" s="3" t="s">
        <v>30</v>
      </c>
      <c r="L168" s="3" t="s">
        <v>139</v>
      </c>
      <c r="M168" s="3" t="s">
        <v>31</v>
      </c>
      <c r="N168" s="3" t="s">
        <v>151</v>
      </c>
      <c r="O168" s="3" t="s">
        <v>141</v>
      </c>
      <c r="P168" s="3" t="s">
        <v>286</v>
      </c>
      <c r="Q168" s="3" t="s">
        <v>143</v>
      </c>
      <c r="R168" s="3" t="s">
        <v>144</v>
      </c>
      <c r="S168" s="3" t="s">
        <v>34</v>
      </c>
      <c r="T168" s="153">
        <v>6.8730000000000002</v>
      </c>
      <c r="U168" s="3" t="s">
        <v>355</v>
      </c>
      <c r="V168" s="164">
        <v>0.03</v>
      </c>
      <c r="W168" s="164">
        <v>2.632E-2</v>
      </c>
      <c r="X168" s="5" t="s">
        <v>146</v>
      </c>
      <c r="Y168" s="5" t="s">
        <v>141</v>
      </c>
      <c r="Z168" s="153">
        <v>94000</v>
      </c>
      <c r="AA168" s="162">
        <v>1</v>
      </c>
      <c r="AB168" s="172">
        <v>111.48</v>
      </c>
      <c r="AD168" s="153">
        <v>104.791</v>
      </c>
      <c r="AG168" s="3" t="s">
        <v>36</v>
      </c>
      <c r="AH168" s="164">
        <v>2.3E-5</v>
      </c>
      <c r="AI168" s="164">
        <v>2.0066617873900901E-2</v>
      </c>
      <c r="AJ168" s="164">
        <v>2.1736280342062602E-3</v>
      </c>
    </row>
    <row r="169" spans="1:36">
      <c r="A169" s="3">
        <v>12904</v>
      </c>
      <c r="B169" s="3">
        <v>12905</v>
      </c>
      <c r="C169" s="3" t="s">
        <v>348</v>
      </c>
      <c r="D169" s="3" t="s">
        <v>349</v>
      </c>
      <c r="E169" s="5" t="s">
        <v>134</v>
      </c>
      <c r="F169" s="3" t="s">
        <v>578</v>
      </c>
      <c r="G169" s="3" t="s">
        <v>579</v>
      </c>
      <c r="H169" s="3" t="s">
        <v>137</v>
      </c>
      <c r="I169" s="3" t="s">
        <v>138</v>
      </c>
      <c r="J169" s="3" t="s">
        <v>30</v>
      </c>
      <c r="K169" s="3" t="s">
        <v>30</v>
      </c>
      <c r="L169" s="3" t="s">
        <v>139</v>
      </c>
      <c r="M169" s="3" t="s">
        <v>31</v>
      </c>
      <c r="N169" s="3" t="s">
        <v>151</v>
      </c>
      <c r="O169" s="3" t="s">
        <v>141</v>
      </c>
      <c r="P169" s="3" t="s">
        <v>286</v>
      </c>
      <c r="Q169" s="3" t="s">
        <v>143</v>
      </c>
      <c r="R169" s="3" t="s">
        <v>144</v>
      </c>
      <c r="S169" s="3" t="s">
        <v>34</v>
      </c>
      <c r="T169" s="153">
        <v>9.7940000000000005</v>
      </c>
      <c r="U169" s="3" t="s">
        <v>580</v>
      </c>
      <c r="V169" s="164">
        <v>3.2000000000000001E-2</v>
      </c>
      <c r="W169" s="164">
        <v>2.8170000000000001E-2</v>
      </c>
      <c r="X169" s="5" t="s">
        <v>146</v>
      </c>
      <c r="Y169" s="5" t="s">
        <v>141</v>
      </c>
      <c r="Z169" s="153">
        <v>94000</v>
      </c>
      <c r="AA169" s="162">
        <v>1</v>
      </c>
      <c r="AB169" s="172">
        <v>112.97</v>
      </c>
      <c r="AD169" s="153">
        <v>106.19199999999999</v>
      </c>
      <c r="AG169" s="3" t="s">
        <v>36</v>
      </c>
      <c r="AH169" s="164">
        <v>1.9000000000000001E-5</v>
      </c>
      <c r="AI169" s="164">
        <v>2.0334820785922001E-2</v>
      </c>
      <c r="AJ169" s="164">
        <v>2.2026799338381899E-3</v>
      </c>
    </row>
    <row r="170" spans="1:36">
      <c r="A170" s="3">
        <v>12904</v>
      </c>
      <c r="B170" s="3">
        <v>12905</v>
      </c>
      <c r="C170" s="3" t="s">
        <v>348</v>
      </c>
      <c r="D170" s="3" t="s">
        <v>349</v>
      </c>
      <c r="E170" s="5" t="s">
        <v>134</v>
      </c>
      <c r="F170" s="3" t="s">
        <v>356</v>
      </c>
      <c r="G170" s="3" t="s">
        <v>357</v>
      </c>
      <c r="H170" s="3" t="s">
        <v>137</v>
      </c>
      <c r="I170" s="3" t="s">
        <v>138</v>
      </c>
      <c r="J170" s="3" t="s">
        <v>30</v>
      </c>
      <c r="K170" s="3" t="s">
        <v>30</v>
      </c>
      <c r="L170" s="3" t="s">
        <v>139</v>
      </c>
      <c r="M170" s="3" t="s">
        <v>31</v>
      </c>
      <c r="N170" s="3" t="s">
        <v>151</v>
      </c>
      <c r="O170" s="3" t="s">
        <v>141</v>
      </c>
      <c r="P170" s="3" t="s">
        <v>286</v>
      </c>
      <c r="Q170" s="3" t="s">
        <v>143</v>
      </c>
      <c r="R170" s="3" t="s">
        <v>144</v>
      </c>
      <c r="S170" s="3" t="s">
        <v>34</v>
      </c>
      <c r="T170" s="153">
        <v>7.569</v>
      </c>
      <c r="U170" s="3" t="s">
        <v>358</v>
      </c>
      <c r="V170" s="164">
        <v>2.9899999999999999E-2</v>
      </c>
      <c r="W170" s="164">
        <v>2.7519999999999999E-2</v>
      </c>
      <c r="X170" s="5" t="s">
        <v>146</v>
      </c>
      <c r="Y170" s="5" t="s">
        <v>141</v>
      </c>
      <c r="Z170" s="153">
        <v>95303</v>
      </c>
      <c r="AA170" s="162">
        <v>1</v>
      </c>
      <c r="AB170" s="172">
        <v>105.38</v>
      </c>
      <c r="AD170" s="153">
        <v>100.43</v>
      </c>
      <c r="AG170" s="3" t="s">
        <v>36</v>
      </c>
      <c r="AH170" s="164">
        <v>2.4600000000000002E-4</v>
      </c>
      <c r="AI170" s="164">
        <v>1.9231543117690101E-2</v>
      </c>
      <c r="AJ170" s="164">
        <v>2.08317223781028E-3</v>
      </c>
    </row>
    <row r="171" spans="1:36">
      <c r="A171" s="3">
        <v>12904</v>
      </c>
      <c r="B171" s="3">
        <v>12905</v>
      </c>
      <c r="C171" s="3" t="s">
        <v>359</v>
      </c>
      <c r="D171" s="3" t="s">
        <v>360</v>
      </c>
      <c r="E171" s="5" t="s">
        <v>134</v>
      </c>
      <c r="F171" s="3" t="s">
        <v>361</v>
      </c>
      <c r="G171" s="3" t="s">
        <v>362</v>
      </c>
      <c r="H171" s="3" t="s">
        <v>137</v>
      </c>
      <c r="I171" s="3" t="s">
        <v>138</v>
      </c>
      <c r="J171" s="3" t="s">
        <v>30</v>
      </c>
      <c r="K171" s="3" t="s">
        <v>30</v>
      </c>
      <c r="L171" s="3" t="s">
        <v>139</v>
      </c>
      <c r="M171" s="3" t="s">
        <v>31</v>
      </c>
      <c r="N171" s="3" t="s">
        <v>285</v>
      </c>
      <c r="O171" s="3" t="s">
        <v>141</v>
      </c>
      <c r="P171" s="3" t="s">
        <v>142</v>
      </c>
      <c r="Q171" s="3" t="s">
        <v>143</v>
      </c>
      <c r="R171" s="3" t="s">
        <v>144</v>
      </c>
      <c r="S171" s="3" t="s">
        <v>34</v>
      </c>
      <c r="T171" s="153">
        <v>3.6120000000000001</v>
      </c>
      <c r="U171" s="3" t="s">
        <v>363</v>
      </c>
      <c r="V171" s="164">
        <v>2.5899999999999999E-2</v>
      </c>
      <c r="W171" s="164">
        <v>2.6800000000000001E-2</v>
      </c>
      <c r="X171" s="5" t="s">
        <v>146</v>
      </c>
      <c r="Y171" s="5" t="s">
        <v>141</v>
      </c>
      <c r="Z171" s="153">
        <v>39000</v>
      </c>
      <c r="AA171" s="162">
        <v>1</v>
      </c>
      <c r="AB171" s="172">
        <v>107.69</v>
      </c>
      <c r="AD171" s="153">
        <v>41.999000000000002</v>
      </c>
      <c r="AG171" s="3" t="s">
        <v>36</v>
      </c>
      <c r="AH171" s="164">
        <v>5.7000000000000003E-5</v>
      </c>
      <c r="AI171" s="164">
        <v>8.0424681724013992E-3</v>
      </c>
      <c r="AJ171" s="164">
        <v>8.7116495632679305E-4</v>
      </c>
    </row>
    <row r="172" spans="1:36">
      <c r="A172" s="3">
        <v>12904</v>
      </c>
      <c r="B172" s="3">
        <v>12905</v>
      </c>
      <c r="C172" s="3" t="s">
        <v>364</v>
      </c>
      <c r="D172" s="3" t="s">
        <v>365</v>
      </c>
      <c r="E172" s="5" t="s">
        <v>366</v>
      </c>
      <c r="F172" s="3" t="s">
        <v>367</v>
      </c>
      <c r="G172" s="3" t="s">
        <v>368</v>
      </c>
      <c r="H172" s="3" t="s">
        <v>137</v>
      </c>
      <c r="I172" s="3" t="s">
        <v>156</v>
      </c>
      <c r="J172" s="3" t="s">
        <v>30</v>
      </c>
      <c r="K172" s="3" t="s">
        <v>30</v>
      </c>
      <c r="L172" s="3" t="s">
        <v>139</v>
      </c>
      <c r="M172" s="3" t="s">
        <v>31</v>
      </c>
      <c r="N172" s="3" t="s">
        <v>369</v>
      </c>
      <c r="O172" s="3" t="s">
        <v>141</v>
      </c>
      <c r="P172" s="3" t="s">
        <v>180</v>
      </c>
      <c r="Q172" s="3" t="s">
        <v>143</v>
      </c>
      <c r="R172" s="3" t="s">
        <v>144</v>
      </c>
      <c r="S172" s="3" t="s">
        <v>34</v>
      </c>
      <c r="T172" s="153">
        <v>2.8519999999999999</v>
      </c>
      <c r="U172" s="3" t="s">
        <v>370</v>
      </c>
      <c r="V172" s="164">
        <v>2.24E-2</v>
      </c>
      <c r="W172" s="164">
        <v>4.6460000000000001E-2</v>
      </c>
      <c r="X172" s="5" t="s">
        <v>146</v>
      </c>
      <c r="Y172" s="5" t="s">
        <v>141</v>
      </c>
      <c r="Z172" s="153">
        <v>14115.16</v>
      </c>
      <c r="AA172" s="162">
        <v>1</v>
      </c>
      <c r="AB172" s="172">
        <v>94.99</v>
      </c>
      <c r="AD172" s="153">
        <v>13.407999999999999</v>
      </c>
      <c r="AG172" s="3" t="s">
        <v>36</v>
      </c>
      <c r="AH172" s="164">
        <v>2.5999999999999998E-5</v>
      </c>
      <c r="AI172" s="164">
        <v>2.5675154163644202E-3</v>
      </c>
      <c r="AJ172" s="164">
        <v>2.7811480351778799E-4</v>
      </c>
    </row>
    <row r="173" spans="1:36">
      <c r="A173" s="3">
        <v>12904</v>
      </c>
      <c r="B173" s="3">
        <v>12905</v>
      </c>
      <c r="C173" s="3" t="s">
        <v>595</v>
      </c>
      <c r="D173" s="3" t="s">
        <v>596</v>
      </c>
      <c r="E173" s="5" t="s">
        <v>134</v>
      </c>
      <c r="F173" s="3" t="s">
        <v>597</v>
      </c>
      <c r="G173" s="3" t="s">
        <v>598</v>
      </c>
      <c r="H173" s="3" t="s">
        <v>137</v>
      </c>
      <c r="I173" s="3" t="s">
        <v>156</v>
      </c>
      <c r="J173" s="3" t="s">
        <v>30</v>
      </c>
      <c r="K173" s="3" t="s">
        <v>30</v>
      </c>
      <c r="L173" s="3" t="s">
        <v>139</v>
      </c>
      <c r="M173" s="3" t="s">
        <v>31</v>
      </c>
      <c r="N173" s="3" t="s">
        <v>170</v>
      </c>
      <c r="O173" s="3" t="s">
        <v>141</v>
      </c>
      <c r="P173" s="3" t="s">
        <v>142</v>
      </c>
      <c r="Q173" s="3" t="s">
        <v>143</v>
      </c>
      <c r="R173" s="3" t="s">
        <v>144</v>
      </c>
      <c r="S173" s="3" t="s">
        <v>34</v>
      </c>
      <c r="T173" s="153">
        <v>4.431</v>
      </c>
      <c r="U173" s="3" t="s">
        <v>599</v>
      </c>
      <c r="V173" s="164">
        <v>5.2499999999999998E-2</v>
      </c>
      <c r="W173" s="164">
        <v>4.6510000000000003E-2</v>
      </c>
      <c r="X173" s="5" t="s">
        <v>146</v>
      </c>
      <c r="Y173" s="5" t="s">
        <v>141</v>
      </c>
      <c r="Z173" s="153">
        <v>25400</v>
      </c>
      <c r="AA173" s="162">
        <v>1</v>
      </c>
      <c r="AB173" s="172">
        <v>105.15</v>
      </c>
      <c r="AD173" s="153">
        <v>26.707999999999998</v>
      </c>
      <c r="AG173" s="3" t="s">
        <v>36</v>
      </c>
      <c r="AH173" s="164">
        <v>3.0000000000000001E-5</v>
      </c>
      <c r="AI173" s="164">
        <v>5.1143725507288001E-3</v>
      </c>
      <c r="AJ173" s="164">
        <v>5.5399188958981597E-4</v>
      </c>
    </row>
    <row r="174" spans="1:36">
      <c r="A174" s="3">
        <v>12904</v>
      </c>
      <c r="B174" s="3">
        <v>12905</v>
      </c>
      <c r="C174" s="3" t="s">
        <v>371</v>
      </c>
      <c r="D174" s="3" t="s">
        <v>372</v>
      </c>
      <c r="E174" s="5" t="s">
        <v>134</v>
      </c>
      <c r="F174" s="3" t="s">
        <v>373</v>
      </c>
      <c r="G174" s="3" t="s">
        <v>374</v>
      </c>
      <c r="H174" s="3" t="s">
        <v>137</v>
      </c>
      <c r="I174" s="3" t="s">
        <v>156</v>
      </c>
      <c r="J174" s="3" t="s">
        <v>30</v>
      </c>
      <c r="K174" s="3" t="s">
        <v>30</v>
      </c>
      <c r="L174" s="3" t="s">
        <v>139</v>
      </c>
      <c r="M174" s="3" t="s">
        <v>31</v>
      </c>
      <c r="N174" s="3" t="s">
        <v>170</v>
      </c>
      <c r="O174" s="3" t="s">
        <v>141</v>
      </c>
      <c r="P174" s="3" t="s">
        <v>142</v>
      </c>
      <c r="Q174" s="3" t="s">
        <v>143</v>
      </c>
      <c r="R174" s="3" t="s">
        <v>144</v>
      </c>
      <c r="S174" s="3" t="s">
        <v>34</v>
      </c>
      <c r="T174" s="153">
        <v>8.4480000000000004</v>
      </c>
      <c r="U174" s="3" t="s">
        <v>375</v>
      </c>
      <c r="V174" s="164">
        <v>5.5100000000000003E-2</v>
      </c>
      <c r="W174" s="164">
        <v>5.0360000000000002E-2</v>
      </c>
      <c r="X174" s="5" t="s">
        <v>146</v>
      </c>
      <c r="Y174" s="5" t="s">
        <v>141</v>
      </c>
      <c r="Z174" s="153">
        <v>50000</v>
      </c>
      <c r="AA174" s="162">
        <v>1</v>
      </c>
      <c r="AB174" s="172">
        <v>104.55</v>
      </c>
      <c r="AD174" s="153">
        <v>52.274999999999999</v>
      </c>
      <c r="AG174" s="3" t="s">
        <v>36</v>
      </c>
      <c r="AH174" s="164">
        <v>1E-4</v>
      </c>
      <c r="AI174" s="164">
        <v>1.00102150691868E-2</v>
      </c>
      <c r="AJ174" s="164">
        <v>1.08431247555265E-3</v>
      </c>
    </row>
    <row r="175" spans="1:36">
      <c r="A175" s="3">
        <v>12904</v>
      </c>
      <c r="B175" s="3">
        <v>12905</v>
      </c>
      <c r="C175" s="3" t="s">
        <v>371</v>
      </c>
      <c r="D175" s="3" t="s">
        <v>372</v>
      </c>
      <c r="E175" s="5" t="s">
        <v>134</v>
      </c>
      <c r="F175" s="3" t="s">
        <v>376</v>
      </c>
      <c r="G175" s="3" t="s">
        <v>377</v>
      </c>
      <c r="H175" s="3" t="s">
        <v>137</v>
      </c>
      <c r="I175" s="3" t="s">
        <v>156</v>
      </c>
      <c r="J175" s="3" t="s">
        <v>30</v>
      </c>
      <c r="K175" s="3" t="s">
        <v>30</v>
      </c>
      <c r="L175" s="3" t="s">
        <v>139</v>
      </c>
      <c r="M175" s="3" t="s">
        <v>31</v>
      </c>
      <c r="N175" s="3" t="s">
        <v>378</v>
      </c>
      <c r="O175" s="3" t="s">
        <v>141</v>
      </c>
      <c r="P175" s="3" t="s">
        <v>142</v>
      </c>
      <c r="Q175" s="3" t="s">
        <v>143</v>
      </c>
      <c r="R175" s="3" t="s">
        <v>144</v>
      </c>
      <c r="S175" s="3" t="s">
        <v>34</v>
      </c>
      <c r="T175" s="153">
        <v>7.1269999999999998</v>
      </c>
      <c r="U175" s="3" t="s">
        <v>379</v>
      </c>
      <c r="V175" s="164">
        <v>5.3100000000000001E-2</v>
      </c>
      <c r="W175" s="164">
        <v>4.8730000000000002E-2</v>
      </c>
      <c r="X175" s="5" t="s">
        <v>146</v>
      </c>
      <c r="Y175" s="5" t="s">
        <v>141</v>
      </c>
      <c r="Z175" s="153">
        <v>58279</v>
      </c>
      <c r="AA175" s="162">
        <v>1</v>
      </c>
      <c r="AB175" s="172">
        <v>104.46</v>
      </c>
      <c r="AD175" s="153">
        <v>60.878</v>
      </c>
      <c r="AG175" s="3" t="s">
        <v>36</v>
      </c>
      <c r="AH175" s="164">
        <v>4.6E-5</v>
      </c>
      <c r="AI175" s="164">
        <v>1.1657662543630799E-2</v>
      </c>
      <c r="AJ175" s="164">
        <v>1.2627649700306201E-3</v>
      </c>
    </row>
    <row r="176" spans="1:36">
      <c r="A176" s="3">
        <v>12904</v>
      </c>
      <c r="B176" s="3">
        <v>12905</v>
      </c>
      <c r="C176" s="3" t="s">
        <v>380</v>
      </c>
      <c r="D176" s="3" t="s">
        <v>381</v>
      </c>
      <c r="E176" s="5" t="s">
        <v>134</v>
      </c>
      <c r="F176" s="3" t="s">
        <v>382</v>
      </c>
      <c r="G176" s="3" t="s">
        <v>383</v>
      </c>
      <c r="H176" s="3" t="s">
        <v>137</v>
      </c>
      <c r="I176" s="3" t="s">
        <v>138</v>
      </c>
      <c r="J176" s="3" t="s">
        <v>30</v>
      </c>
      <c r="K176" s="3" t="s">
        <v>30</v>
      </c>
      <c r="L176" s="3" t="s">
        <v>139</v>
      </c>
      <c r="M176" s="3" t="s">
        <v>31</v>
      </c>
      <c r="N176" s="3" t="s">
        <v>285</v>
      </c>
      <c r="O176" s="3" t="s">
        <v>141</v>
      </c>
      <c r="P176" s="3" t="s">
        <v>286</v>
      </c>
      <c r="Q176" s="3" t="s">
        <v>143</v>
      </c>
      <c r="R176" s="3" t="s">
        <v>144</v>
      </c>
      <c r="S176" s="3" t="s">
        <v>34</v>
      </c>
      <c r="T176" s="153">
        <v>0.73199999999999998</v>
      </c>
      <c r="U176" s="3" t="s">
        <v>384</v>
      </c>
      <c r="V176" s="164">
        <v>8.3000000000000001E-3</v>
      </c>
      <c r="W176" s="164">
        <v>3.2770000000000001E-2</v>
      </c>
      <c r="X176" s="5" t="s">
        <v>146</v>
      </c>
      <c r="Y176" s="5" t="s">
        <v>141</v>
      </c>
      <c r="Z176" s="153">
        <v>5558</v>
      </c>
      <c r="AA176" s="162">
        <v>1</v>
      </c>
      <c r="AB176" s="172">
        <v>116.83</v>
      </c>
      <c r="AD176" s="153">
        <v>6.4930000000000003</v>
      </c>
      <c r="AG176" s="3" t="s">
        <v>36</v>
      </c>
      <c r="AH176" s="164">
        <v>3.9999999999999998E-6</v>
      </c>
      <c r="AI176" s="164">
        <v>1.24343270486292E-3</v>
      </c>
      <c r="AJ176" s="164">
        <v>1.34689373312592E-4</v>
      </c>
    </row>
    <row r="177" spans="1:36">
      <c r="A177" s="3">
        <v>12904</v>
      </c>
      <c r="B177" s="3">
        <v>12905</v>
      </c>
      <c r="C177" s="3" t="s">
        <v>380</v>
      </c>
      <c r="D177" s="3" t="s">
        <v>381</v>
      </c>
      <c r="E177" s="5" t="s">
        <v>134</v>
      </c>
      <c r="F177" s="3" t="s">
        <v>385</v>
      </c>
      <c r="G177" s="3" t="s">
        <v>386</v>
      </c>
      <c r="H177" s="3" t="s">
        <v>137</v>
      </c>
      <c r="I177" s="3" t="s">
        <v>138</v>
      </c>
      <c r="J177" s="3" t="s">
        <v>30</v>
      </c>
      <c r="K177" s="3" t="s">
        <v>30</v>
      </c>
      <c r="L177" s="3" t="s">
        <v>139</v>
      </c>
      <c r="M177" s="3" t="s">
        <v>31</v>
      </c>
      <c r="N177" s="3" t="s">
        <v>285</v>
      </c>
      <c r="O177" s="3" t="s">
        <v>141</v>
      </c>
      <c r="P177" s="3" t="s">
        <v>286</v>
      </c>
      <c r="Q177" s="3" t="s">
        <v>143</v>
      </c>
      <c r="R177" s="3" t="s">
        <v>144</v>
      </c>
      <c r="S177" s="3" t="s">
        <v>34</v>
      </c>
      <c r="T177" s="153">
        <v>4.13</v>
      </c>
      <c r="U177" s="3" t="s">
        <v>387</v>
      </c>
      <c r="V177" s="164">
        <v>2.0199999999999999E-2</v>
      </c>
      <c r="W177" s="164">
        <v>2.5430000000000001E-2</v>
      </c>
      <c r="X177" s="5" t="s">
        <v>146</v>
      </c>
      <c r="Y177" s="5" t="s">
        <v>141</v>
      </c>
      <c r="Z177" s="153">
        <v>63000</v>
      </c>
      <c r="AA177" s="162">
        <v>1</v>
      </c>
      <c r="AB177" s="172">
        <v>105.02</v>
      </c>
      <c r="AD177" s="153">
        <v>66.162999999999997</v>
      </c>
      <c r="AG177" s="3" t="s">
        <v>36</v>
      </c>
      <c r="AH177" s="164">
        <v>1.8E-5</v>
      </c>
      <c r="AI177" s="164">
        <v>1.2669571602804E-2</v>
      </c>
      <c r="AJ177" s="164">
        <v>1.3723755637493899E-3</v>
      </c>
    </row>
    <row r="178" spans="1:36">
      <c r="A178" s="3">
        <v>12904</v>
      </c>
      <c r="B178" s="3">
        <v>12905</v>
      </c>
      <c r="C178" s="3" t="s">
        <v>380</v>
      </c>
      <c r="D178" s="3" t="s">
        <v>381</v>
      </c>
      <c r="E178" s="5" t="s">
        <v>134</v>
      </c>
      <c r="F178" s="3" t="s">
        <v>388</v>
      </c>
      <c r="G178" s="3" t="s">
        <v>389</v>
      </c>
      <c r="H178" s="3" t="s">
        <v>137</v>
      </c>
      <c r="I178" s="3" t="s">
        <v>138</v>
      </c>
      <c r="J178" s="3" t="s">
        <v>30</v>
      </c>
      <c r="K178" s="3" t="s">
        <v>30</v>
      </c>
      <c r="L178" s="3" t="s">
        <v>139</v>
      </c>
      <c r="M178" s="3" t="s">
        <v>31</v>
      </c>
      <c r="N178" s="3" t="s">
        <v>285</v>
      </c>
      <c r="O178" s="3" t="s">
        <v>141</v>
      </c>
      <c r="P178" s="3" t="s">
        <v>286</v>
      </c>
      <c r="Q178" s="3" t="s">
        <v>143</v>
      </c>
      <c r="R178" s="3" t="s">
        <v>144</v>
      </c>
      <c r="S178" s="3" t="s">
        <v>34</v>
      </c>
      <c r="T178" s="153">
        <v>4.1289999999999996</v>
      </c>
      <c r="U178" s="3" t="s">
        <v>390</v>
      </c>
      <c r="V178" s="164">
        <v>1E-3</v>
      </c>
      <c r="W178" s="164">
        <v>2.5350000000000001E-2</v>
      </c>
      <c r="X178" s="5" t="s">
        <v>146</v>
      </c>
      <c r="Y178" s="5" t="s">
        <v>141</v>
      </c>
      <c r="Z178" s="153">
        <v>84000</v>
      </c>
      <c r="AA178" s="162">
        <v>1</v>
      </c>
      <c r="AB178" s="172">
        <v>104.89</v>
      </c>
      <c r="AD178" s="153">
        <v>88.108000000000004</v>
      </c>
      <c r="AG178" s="3" t="s">
        <v>36</v>
      </c>
      <c r="AH178" s="164">
        <v>2.0000000000000002E-5</v>
      </c>
      <c r="AI178" s="164">
        <v>1.6871851271733799E-2</v>
      </c>
      <c r="AJ178" s="164">
        <v>1.82756900757537E-3</v>
      </c>
    </row>
    <row r="179" spans="1:36">
      <c r="A179" s="3">
        <v>12904</v>
      </c>
      <c r="B179" s="3">
        <v>12905</v>
      </c>
      <c r="C179" s="3" t="s">
        <v>380</v>
      </c>
      <c r="D179" s="3" t="s">
        <v>381</v>
      </c>
      <c r="E179" s="5" t="s">
        <v>134</v>
      </c>
      <c r="F179" s="3" t="s">
        <v>391</v>
      </c>
      <c r="G179" s="3" t="s">
        <v>392</v>
      </c>
      <c r="H179" s="3" t="s">
        <v>137</v>
      </c>
      <c r="I179" s="3" t="s">
        <v>138</v>
      </c>
      <c r="J179" s="3" t="s">
        <v>30</v>
      </c>
      <c r="K179" s="3" t="s">
        <v>30</v>
      </c>
      <c r="L179" s="3" t="s">
        <v>139</v>
      </c>
      <c r="M179" s="3" t="s">
        <v>31</v>
      </c>
      <c r="N179" s="3" t="s">
        <v>285</v>
      </c>
      <c r="O179" s="3" t="s">
        <v>141</v>
      </c>
      <c r="P179" s="3" t="s">
        <v>393</v>
      </c>
      <c r="Q179" s="3" t="s">
        <v>164</v>
      </c>
      <c r="R179" s="3" t="s">
        <v>144</v>
      </c>
      <c r="S179" s="3" t="s">
        <v>34</v>
      </c>
      <c r="T179" s="153">
        <v>6.6959999999999997</v>
      </c>
      <c r="U179" s="3" t="s">
        <v>394</v>
      </c>
      <c r="V179" s="164">
        <v>2.5999999999999999E-2</v>
      </c>
      <c r="W179" s="164">
        <v>2.554E-2</v>
      </c>
      <c r="X179" s="5" t="s">
        <v>146</v>
      </c>
      <c r="Y179" s="5" t="s">
        <v>141</v>
      </c>
      <c r="Z179" s="153">
        <v>63000</v>
      </c>
      <c r="AA179" s="162">
        <v>1</v>
      </c>
      <c r="AB179" s="172">
        <v>101.17</v>
      </c>
      <c r="AD179" s="153">
        <v>63.737000000000002</v>
      </c>
      <c r="AG179" s="3" t="s">
        <v>36</v>
      </c>
      <c r="AH179" s="164">
        <v>3.4E-5</v>
      </c>
      <c r="AI179" s="164">
        <v>1.22051091130802E-2</v>
      </c>
      <c r="AJ179" s="164">
        <v>1.32206470943178E-3</v>
      </c>
    </row>
    <row r="180" spans="1:36">
      <c r="A180" s="3">
        <v>12904</v>
      </c>
      <c r="B180" s="3">
        <v>12905</v>
      </c>
      <c r="C180" s="3" t="s">
        <v>380</v>
      </c>
      <c r="D180" s="3" t="s">
        <v>381</v>
      </c>
      <c r="E180" s="5" t="s">
        <v>134</v>
      </c>
      <c r="F180" s="3" t="s">
        <v>395</v>
      </c>
      <c r="G180" s="3" t="s">
        <v>396</v>
      </c>
      <c r="H180" s="3" t="s">
        <v>137</v>
      </c>
      <c r="I180" s="3" t="s">
        <v>138</v>
      </c>
      <c r="J180" s="3" t="s">
        <v>30</v>
      </c>
      <c r="K180" s="3" t="s">
        <v>30</v>
      </c>
      <c r="L180" s="3" t="s">
        <v>139</v>
      </c>
      <c r="M180" s="3" t="s">
        <v>31</v>
      </c>
      <c r="N180" s="3" t="s">
        <v>285</v>
      </c>
      <c r="O180" s="3" t="s">
        <v>141</v>
      </c>
      <c r="P180" s="3" t="s">
        <v>142</v>
      </c>
      <c r="Q180" s="3" t="s">
        <v>143</v>
      </c>
      <c r="R180" s="3" t="s">
        <v>144</v>
      </c>
      <c r="S180" s="3" t="s">
        <v>34</v>
      </c>
      <c r="T180" s="153">
        <v>4.968</v>
      </c>
      <c r="U180" s="3" t="s">
        <v>397</v>
      </c>
      <c r="V180" s="164">
        <v>3.1E-2</v>
      </c>
      <c r="W180" s="164">
        <v>2.972E-2</v>
      </c>
      <c r="X180" s="5" t="s">
        <v>146</v>
      </c>
      <c r="Y180" s="5" t="s">
        <v>141</v>
      </c>
      <c r="Z180" s="153">
        <v>60000</v>
      </c>
      <c r="AA180" s="162">
        <v>1</v>
      </c>
      <c r="AB180" s="172">
        <v>105.8</v>
      </c>
      <c r="AD180" s="153">
        <v>63.48</v>
      </c>
      <c r="AG180" s="3" t="s">
        <v>36</v>
      </c>
      <c r="AH180" s="164">
        <v>3.8999999999999999E-5</v>
      </c>
      <c r="AI180" s="164">
        <v>1.2155876663643801E-2</v>
      </c>
      <c r="AJ180" s="164">
        <v>1.3167318211015199E-3</v>
      </c>
    </row>
    <row r="181" spans="1:36">
      <c r="A181" s="3">
        <v>12904</v>
      </c>
      <c r="B181" s="3">
        <v>12905</v>
      </c>
      <c r="C181" s="3" t="s">
        <v>398</v>
      </c>
      <c r="D181" s="3" t="s">
        <v>399</v>
      </c>
      <c r="E181" s="5" t="s">
        <v>134</v>
      </c>
      <c r="F181" s="3" t="s">
        <v>400</v>
      </c>
      <c r="G181" s="3" t="s">
        <v>401</v>
      </c>
      <c r="H181" s="3" t="s">
        <v>137</v>
      </c>
      <c r="I181" s="3" t="s">
        <v>138</v>
      </c>
      <c r="J181" s="3" t="s">
        <v>30</v>
      </c>
      <c r="K181" s="3" t="s">
        <v>30</v>
      </c>
      <c r="L181" s="3" t="s">
        <v>139</v>
      </c>
      <c r="M181" s="3" t="s">
        <v>31</v>
      </c>
      <c r="N181" s="3" t="s">
        <v>186</v>
      </c>
      <c r="O181" s="3" t="s">
        <v>141</v>
      </c>
      <c r="P181" s="3" t="s">
        <v>180</v>
      </c>
      <c r="Q181" s="3" t="s">
        <v>143</v>
      </c>
      <c r="R181" s="3" t="s">
        <v>144</v>
      </c>
      <c r="S181" s="3" t="s">
        <v>34</v>
      </c>
      <c r="T181" s="153">
        <v>5.1689999999999996</v>
      </c>
      <c r="U181" s="3" t="s">
        <v>402</v>
      </c>
      <c r="V181" s="164">
        <v>3.5000000000000001E-3</v>
      </c>
      <c r="W181" s="164">
        <v>2.9669999999999998E-2</v>
      </c>
      <c r="X181" s="5" t="s">
        <v>146</v>
      </c>
      <c r="Y181" s="5" t="s">
        <v>141</v>
      </c>
      <c r="Z181" s="153">
        <v>86779.89</v>
      </c>
      <c r="AA181" s="162">
        <v>1</v>
      </c>
      <c r="AB181" s="172">
        <v>101.29</v>
      </c>
      <c r="AD181" s="153">
        <v>87.899000000000001</v>
      </c>
      <c r="AG181" s="3" t="s">
        <v>36</v>
      </c>
      <c r="AH181" s="164">
        <v>2.5000000000000001E-5</v>
      </c>
      <c r="AI181" s="164">
        <v>1.6831973290438201E-2</v>
      </c>
      <c r="AJ181" s="164">
        <v>1.82324940082169E-3</v>
      </c>
    </row>
    <row r="182" spans="1:36">
      <c r="A182" s="3">
        <v>12904</v>
      </c>
      <c r="B182" s="3">
        <v>12905</v>
      </c>
      <c r="C182" s="3" t="s">
        <v>403</v>
      </c>
      <c r="D182" s="3" t="s">
        <v>404</v>
      </c>
      <c r="E182" s="5" t="s">
        <v>134</v>
      </c>
      <c r="F182" s="3" t="s">
        <v>405</v>
      </c>
      <c r="G182" s="3" t="s">
        <v>406</v>
      </c>
      <c r="H182" s="3" t="s">
        <v>137</v>
      </c>
      <c r="I182" s="3" t="s">
        <v>156</v>
      </c>
      <c r="J182" s="3" t="s">
        <v>30</v>
      </c>
      <c r="K182" s="3" t="s">
        <v>30</v>
      </c>
      <c r="L182" s="3" t="s">
        <v>139</v>
      </c>
      <c r="M182" s="3" t="s">
        <v>31</v>
      </c>
      <c r="N182" s="3" t="s">
        <v>170</v>
      </c>
      <c r="O182" s="3" t="s">
        <v>141</v>
      </c>
      <c r="P182" s="3" t="s">
        <v>163</v>
      </c>
      <c r="Q182" s="3" t="s">
        <v>164</v>
      </c>
      <c r="R182" s="3" t="s">
        <v>144</v>
      </c>
      <c r="S182" s="3" t="s">
        <v>34</v>
      </c>
      <c r="T182" s="153">
        <v>6.5819999999999999</v>
      </c>
      <c r="U182" s="3" t="s">
        <v>250</v>
      </c>
      <c r="V182" s="164">
        <v>6.0699999999999997E-2</v>
      </c>
      <c r="W182" s="164">
        <v>4.9540000000000001E-2</v>
      </c>
      <c r="X182" s="5" t="s">
        <v>146</v>
      </c>
      <c r="Y182" s="5" t="s">
        <v>141</v>
      </c>
      <c r="Z182" s="153">
        <v>31122</v>
      </c>
      <c r="AA182" s="162">
        <v>1</v>
      </c>
      <c r="AB182" s="172">
        <v>109.46</v>
      </c>
      <c r="AD182" s="153">
        <v>34.066000000000003</v>
      </c>
      <c r="AG182" s="3" t="s">
        <v>36</v>
      </c>
      <c r="AH182" s="164">
        <v>4.8999999999999998E-5</v>
      </c>
      <c r="AI182" s="164">
        <v>6.5233744617749397E-3</v>
      </c>
      <c r="AJ182" s="164">
        <v>7.06615818213256E-4</v>
      </c>
    </row>
    <row r="183" spans="1:36">
      <c r="A183" s="3">
        <v>12904</v>
      </c>
      <c r="B183" s="3">
        <v>12905</v>
      </c>
      <c r="C183" s="3" t="s">
        <v>403</v>
      </c>
      <c r="D183" s="3" t="s">
        <v>404</v>
      </c>
      <c r="E183" s="5" t="s">
        <v>134</v>
      </c>
      <c r="F183" s="3" t="s">
        <v>407</v>
      </c>
      <c r="G183" s="3" t="s">
        <v>408</v>
      </c>
      <c r="H183" s="3" t="s">
        <v>137</v>
      </c>
      <c r="I183" s="3" t="s">
        <v>156</v>
      </c>
      <c r="J183" s="3" t="s">
        <v>30</v>
      </c>
      <c r="K183" s="3" t="s">
        <v>30</v>
      </c>
      <c r="L183" s="3" t="s">
        <v>139</v>
      </c>
      <c r="M183" s="3" t="s">
        <v>31</v>
      </c>
      <c r="N183" s="3" t="s">
        <v>170</v>
      </c>
      <c r="O183" s="3" t="s">
        <v>141</v>
      </c>
      <c r="P183" s="3" t="s">
        <v>152</v>
      </c>
      <c r="Q183" s="3" t="s">
        <v>143</v>
      </c>
      <c r="R183" s="3" t="s">
        <v>144</v>
      </c>
      <c r="S183" s="3" t="s">
        <v>34</v>
      </c>
      <c r="T183" s="153">
        <v>5.931</v>
      </c>
      <c r="U183" s="3" t="s">
        <v>258</v>
      </c>
      <c r="V183" s="164">
        <v>6.0699999999999997E-2</v>
      </c>
      <c r="W183" s="164">
        <v>4.929E-2</v>
      </c>
      <c r="X183" s="5" t="s">
        <v>146</v>
      </c>
      <c r="Y183" s="5" t="s">
        <v>141</v>
      </c>
      <c r="Z183" s="153">
        <v>91649</v>
      </c>
      <c r="AA183" s="162">
        <v>1</v>
      </c>
      <c r="AB183" s="172">
        <v>108.82</v>
      </c>
      <c r="AD183" s="153">
        <v>99.731999999999999</v>
      </c>
      <c r="AG183" s="3" t="s">
        <v>36</v>
      </c>
      <c r="AH183" s="164">
        <v>1.46E-4</v>
      </c>
      <c r="AI183" s="164">
        <v>1.90979089773918E-2</v>
      </c>
      <c r="AJ183" s="164">
        <v>2.0686969079113898E-3</v>
      </c>
    </row>
    <row r="184" spans="1:36">
      <c r="A184" s="3">
        <v>12904</v>
      </c>
      <c r="B184" s="3">
        <v>12905</v>
      </c>
      <c r="C184" s="3" t="s">
        <v>409</v>
      </c>
      <c r="D184" s="3" t="s">
        <v>410</v>
      </c>
      <c r="E184" s="5" t="s">
        <v>134</v>
      </c>
      <c r="F184" s="3" t="s">
        <v>600</v>
      </c>
      <c r="G184" s="3" t="s">
        <v>601</v>
      </c>
      <c r="H184" s="3" t="s">
        <v>137</v>
      </c>
      <c r="I184" s="3" t="s">
        <v>156</v>
      </c>
      <c r="J184" s="3" t="s">
        <v>30</v>
      </c>
      <c r="K184" s="3" t="s">
        <v>30</v>
      </c>
      <c r="L184" s="3" t="s">
        <v>139</v>
      </c>
      <c r="M184" s="3" t="s">
        <v>31</v>
      </c>
      <c r="N184" s="3" t="s">
        <v>186</v>
      </c>
      <c r="O184" s="3" t="s">
        <v>141</v>
      </c>
      <c r="P184" s="3" t="s">
        <v>171</v>
      </c>
      <c r="Q184" s="3" t="s">
        <v>164</v>
      </c>
      <c r="R184" s="3" t="s">
        <v>144</v>
      </c>
      <c r="S184" s="3" t="s">
        <v>34</v>
      </c>
      <c r="T184" s="153">
        <v>4.6219999999999999</v>
      </c>
      <c r="U184" s="3" t="s">
        <v>347</v>
      </c>
      <c r="V184" s="164">
        <v>5.4800000000000001E-2</v>
      </c>
      <c r="W184" s="164">
        <v>4.7289999999999999E-2</v>
      </c>
      <c r="X184" s="5" t="s">
        <v>146</v>
      </c>
      <c r="Y184" s="5" t="s">
        <v>141</v>
      </c>
      <c r="Z184" s="153">
        <v>38000</v>
      </c>
      <c r="AA184" s="162">
        <v>1</v>
      </c>
      <c r="AB184" s="172">
        <v>105.18</v>
      </c>
      <c r="AD184" s="153">
        <v>39.968000000000004</v>
      </c>
      <c r="AG184" s="3" t="s">
        <v>36</v>
      </c>
      <c r="AH184" s="164">
        <v>1.27E-4</v>
      </c>
      <c r="AI184" s="164">
        <v>7.6536065035157502E-3</v>
      </c>
      <c r="AJ184" s="164">
        <v>8.2904322807992995E-4</v>
      </c>
    </row>
    <row r="185" spans="1:36">
      <c r="A185" s="3">
        <v>12904</v>
      </c>
      <c r="B185" s="3">
        <v>12905</v>
      </c>
      <c r="C185" s="3" t="s">
        <v>409</v>
      </c>
      <c r="D185" s="3" t="s">
        <v>410</v>
      </c>
      <c r="E185" s="5" t="s">
        <v>134</v>
      </c>
      <c r="F185" s="3" t="s">
        <v>411</v>
      </c>
      <c r="G185" s="3" t="s">
        <v>412</v>
      </c>
      <c r="H185" s="3" t="s">
        <v>137</v>
      </c>
      <c r="I185" s="3" t="s">
        <v>156</v>
      </c>
      <c r="J185" s="3" t="s">
        <v>30</v>
      </c>
      <c r="K185" s="3" t="s">
        <v>30</v>
      </c>
      <c r="L185" s="3" t="s">
        <v>139</v>
      </c>
      <c r="M185" s="3" t="s">
        <v>31</v>
      </c>
      <c r="N185" s="3" t="s">
        <v>186</v>
      </c>
      <c r="O185" s="3" t="s">
        <v>141</v>
      </c>
      <c r="P185" s="3" t="s">
        <v>171</v>
      </c>
      <c r="Q185" s="3" t="s">
        <v>164</v>
      </c>
      <c r="R185" s="3" t="s">
        <v>144</v>
      </c>
      <c r="S185" s="3" t="s">
        <v>34</v>
      </c>
      <c r="T185" s="153">
        <v>6.2949999999999999</v>
      </c>
      <c r="U185" s="3" t="s">
        <v>301</v>
      </c>
      <c r="V185" s="164">
        <v>5.2900000000000003E-2</v>
      </c>
      <c r="W185" s="164">
        <v>5.1069999999999997E-2</v>
      </c>
      <c r="X185" s="5" t="s">
        <v>146</v>
      </c>
      <c r="Y185" s="5" t="s">
        <v>141</v>
      </c>
      <c r="Z185" s="153">
        <v>60000</v>
      </c>
      <c r="AA185" s="162">
        <v>1</v>
      </c>
      <c r="AB185" s="172">
        <v>102.93</v>
      </c>
      <c r="AD185" s="153">
        <v>61.758000000000003</v>
      </c>
      <c r="AG185" s="3" t="s">
        <v>36</v>
      </c>
      <c r="AH185" s="164">
        <v>1.0900000000000001E-4</v>
      </c>
      <c r="AI185" s="164">
        <v>1.1826128402541099E-2</v>
      </c>
      <c r="AJ185" s="164">
        <v>1.2810132924950799E-3</v>
      </c>
    </row>
    <row r="186" spans="1:36">
      <c r="A186" s="3">
        <v>12904</v>
      </c>
      <c r="B186" s="3">
        <v>12905</v>
      </c>
      <c r="C186" s="3" t="s">
        <v>413</v>
      </c>
      <c r="D186" s="3" t="s">
        <v>414</v>
      </c>
      <c r="E186" s="5" t="s">
        <v>134</v>
      </c>
      <c r="F186" s="3" t="s">
        <v>415</v>
      </c>
      <c r="G186" s="3" t="s">
        <v>416</v>
      </c>
      <c r="H186" s="3" t="s">
        <v>137</v>
      </c>
      <c r="I186" s="3" t="s">
        <v>138</v>
      </c>
      <c r="J186" s="3" t="s">
        <v>30</v>
      </c>
      <c r="K186" s="3" t="s">
        <v>30</v>
      </c>
      <c r="L186" s="3" t="s">
        <v>139</v>
      </c>
      <c r="M186" s="3" t="s">
        <v>31</v>
      </c>
      <c r="N186" s="3" t="s">
        <v>186</v>
      </c>
      <c r="O186" s="3" t="s">
        <v>141</v>
      </c>
      <c r="P186" s="3" t="s">
        <v>152</v>
      </c>
      <c r="Q186" s="3" t="s">
        <v>143</v>
      </c>
      <c r="R186" s="3" t="s">
        <v>144</v>
      </c>
      <c r="S186" s="3" t="s">
        <v>34</v>
      </c>
      <c r="T186" s="153">
        <v>5.0469999999999997</v>
      </c>
      <c r="U186" s="3" t="s">
        <v>417</v>
      </c>
      <c r="V186" s="164">
        <v>9.7000000000000003E-3</v>
      </c>
      <c r="W186" s="164">
        <v>3.1480000000000001E-2</v>
      </c>
      <c r="X186" s="5" t="s">
        <v>146</v>
      </c>
      <c r="Y186" s="5" t="s">
        <v>141</v>
      </c>
      <c r="Z186" s="153">
        <v>79058.820000000007</v>
      </c>
      <c r="AA186" s="162">
        <v>1</v>
      </c>
      <c r="AB186" s="172">
        <v>104.98</v>
      </c>
      <c r="AD186" s="153">
        <v>82.995999999999995</v>
      </c>
      <c r="AG186" s="3" t="s">
        <v>36</v>
      </c>
      <c r="AH186" s="164">
        <v>1.3100000000000001E-4</v>
      </c>
      <c r="AI186" s="164">
        <v>1.5893013901935302E-2</v>
      </c>
      <c r="AJ186" s="164">
        <v>1.7215407590039E-3</v>
      </c>
    </row>
    <row r="187" spans="1:36">
      <c r="A187" s="3">
        <v>12904</v>
      </c>
      <c r="B187" s="3">
        <v>12905</v>
      </c>
      <c r="C187" s="3" t="s">
        <v>418</v>
      </c>
      <c r="D187" s="3" t="s">
        <v>419</v>
      </c>
      <c r="E187" s="5" t="s">
        <v>134</v>
      </c>
      <c r="F187" s="3" t="s">
        <v>602</v>
      </c>
      <c r="G187" s="3" t="s">
        <v>603</v>
      </c>
      <c r="H187" s="3" t="s">
        <v>137</v>
      </c>
      <c r="I187" s="3" t="s">
        <v>138</v>
      </c>
      <c r="J187" s="3" t="s">
        <v>30</v>
      </c>
      <c r="K187" s="3" t="s">
        <v>30</v>
      </c>
      <c r="L187" s="3" t="s">
        <v>139</v>
      </c>
      <c r="M187" s="3" t="s">
        <v>31</v>
      </c>
      <c r="N187" s="3" t="s">
        <v>285</v>
      </c>
      <c r="O187" s="3" t="s">
        <v>141</v>
      </c>
      <c r="P187" s="3" t="s">
        <v>286</v>
      </c>
      <c r="Q187" s="3" t="s">
        <v>143</v>
      </c>
      <c r="R187" s="3" t="s">
        <v>144</v>
      </c>
      <c r="S187" s="3" t="s">
        <v>34</v>
      </c>
      <c r="T187" s="153">
        <v>1.966</v>
      </c>
      <c r="U187" s="3" t="s">
        <v>604</v>
      </c>
      <c r="V187" s="164">
        <v>1.2200000000000001E-2</v>
      </c>
      <c r="W187" s="164">
        <v>2.6009999999999998E-2</v>
      </c>
      <c r="X187" s="5" t="s">
        <v>146</v>
      </c>
      <c r="Y187" s="5" t="s">
        <v>141</v>
      </c>
      <c r="Z187" s="153">
        <v>18046</v>
      </c>
      <c r="AA187" s="162">
        <v>1</v>
      </c>
      <c r="AB187" s="172">
        <v>116.7</v>
      </c>
      <c r="AD187" s="153">
        <v>21.06</v>
      </c>
      <c r="AG187" s="3" t="s">
        <v>36</v>
      </c>
      <c r="AH187" s="164">
        <v>6.0000000000000002E-6</v>
      </c>
      <c r="AI187" s="164">
        <v>4.0327488495204601E-3</v>
      </c>
      <c r="AJ187" s="164">
        <v>4.3682976420414101E-4</v>
      </c>
    </row>
    <row r="188" spans="1:36">
      <c r="A188" s="3">
        <v>12904</v>
      </c>
      <c r="B188" s="3">
        <v>12905</v>
      </c>
      <c r="C188" s="3" t="s">
        <v>418</v>
      </c>
      <c r="D188" s="3" t="s">
        <v>419</v>
      </c>
      <c r="E188" s="5" t="s">
        <v>134</v>
      </c>
      <c r="F188" s="3" t="s">
        <v>605</v>
      </c>
      <c r="G188" s="3" t="s">
        <v>606</v>
      </c>
      <c r="H188" s="3" t="s">
        <v>137</v>
      </c>
      <c r="I188" s="3" t="s">
        <v>138</v>
      </c>
      <c r="J188" s="3" t="s">
        <v>30</v>
      </c>
      <c r="K188" s="3" t="s">
        <v>30</v>
      </c>
      <c r="L188" s="3" t="s">
        <v>139</v>
      </c>
      <c r="M188" s="3" t="s">
        <v>31</v>
      </c>
      <c r="N188" s="3" t="s">
        <v>285</v>
      </c>
      <c r="O188" s="3" t="s">
        <v>141</v>
      </c>
      <c r="P188" s="3" t="s">
        <v>286</v>
      </c>
      <c r="Q188" s="3" t="s">
        <v>143</v>
      </c>
      <c r="R188" s="3" t="s">
        <v>144</v>
      </c>
      <c r="S188" s="3" t="s">
        <v>34</v>
      </c>
      <c r="T188" s="153">
        <v>4.7160000000000002</v>
      </c>
      <c r="U188" s="3" t="s">
        <v>607</v>
      </c>
      <c r="V188" s="164">
        <v>2E-3</v>
      </c>
      <c r="W188" s="164">
        <v>2.564E-2</v>
      </c>
      <c r="X188" s="5" t="s">
        <v>146</v>
      </c>
      <c r="Y188" s="5" t="s">
        <v>141</v>
      </c>
      <c r="Z188" s="153">
        <v>40000</v>
      </c>
      <c r="AA188" s="162">
        <v>1</v>
      </c>
      <c r="AB188" s="172">
        <v>106.44</v>
      </c>
      <c r="AD188" s="153">
        <v>42.576000000000001</v>
      </c>
      <c r="AG188" s="3" t="s">
        <v>36</v>
      </c>
      <c r="AH188" s="164">
        <v>1.2E-5</v>
      </c>
      <c r="AI188" s="164">
        <v>8.1529395846139992E-3</v>
      </c>
      <c r="AJ188" s="164">
        <v>8.8313128568396802E-4</v>
      </c>
    </row>
    <row r="189" spans="1:36">
      <c r="A189" s="3">
        <v>12904</v>
      </c>
      <c r="B189" s="3">
        <v>12905</v>
      </c>
      <c r="C189" s="3" t="s">
        <v>418</v>
      </c>
      <c r="D189" s="3" t="s">
        <v>419</v>
      </c>
      <c r="E189" s="5" t="s">
        <v>134</v>
      </c>
      <c r="F189" s="3" t="s">
        <v>420</v>
      </c>
      <c r="G189" s="3" t="s">
        <v>421</v>
      </c>
      <c r="H189" s="3" t="s">
        <v>137</v>
      </c>
      <c r="I189" s="3" t="s">
        <v>138</v>
      </c>
      <c r="J189" s="3" t="s">
        <v>30</v>
      </c>
      <c r="K189" s="3" t="s">
        <v>30</v>
      </c>
      <c r="L189" s="3" t="s">
        <v>139</v>
      </c>
      <c r="M189" s="3" t="s">
        <v>31</v>
      </c>
      <c r="N189" s="3" t="s">
        <v>285</v>
      </c>
      <c r="O189" s="3" t="s">
        <v>141</v>
      </c>
      <c r="P189" s="3" t="s">
        <v>142</v>
      </c>
      <c r="Q189" s="3" t="s">
        <v>143</v>
      </c>
      <c r="R189" s="3" t="s">
        <v>144</v>
      </c>
      <c r="S189" s="3" t="s">
        <v>34</v>
      </c>
      <c r="T189" s="153">
        <v>3.5310000000000001</v>
      </c>
      <c r="U189" s="3" t="s">
        <v>422</v>
      </c>
      <c r="V189" s="164">
        <v>3.3599999999999998E-2</v>
      </c>
      <c r="W189" s="164">
        <v>2.955E-2</v>
      </c>
      <c r="X189" s="5" t="s">
        <v>146</v>
      </c>
      <c r="Y189" s="5" t="s">
        <v>141</v>
      </c>
      <c r="Z189" s="153">
        <v>50000</v>
      </c>
      <c r="AA189" s="162">
        <v>1</v>
      </c>
      <c r="AB189" s="172">
        <v>108.97</v>
      </c>
      <c r="AD189" s="153">
        <v>54.484999999999999</v>
      </c>
      <c r="AG189" s="3" t="s">
        <v>36</v>
      </c>
      <c r="AH189" s="164">
        <v>4.3000000000000002E-5</v>
      </c>
      <c r="AI189" s="164">
        <v>1.04334111534126E-2</v>
      </c>
      <c r="AJ189" s="164">
        <v>1.1301533281776401E-3</v>
      </c>
    </row>
    <row r="190" spans="1:36">
      <c r="A190" s="3">
        <v>12904</v>
      </c>
      <c r="B190" s="3">
        <v>12905</v>
      </c>
      <c r="C190" s="3" t="s">
        <v>418</v>
      </c>
      <c r="D190" s="3" t="s">
        <v>419</v>
      </c>
      <c r="E190" s="5" t="s">
        <v>134</v>
      </c>
      <c r="F190" s="3" t="s">
        <v>423</v>
      </c>
      <c r="G190" s="3" t="s">
        <v>424</v>
      </c>
      <c r="H190" s="3" t="s">
        <v>137</v>
      </c>
      <c r="I190" s="3" t="s">
        <v>138</v>
      </c>
      <c r="J190" s="3" t="s">
        <v>30</v>
      </c>
      <c r="K190" s="3" t="s">
        <v>30</v>
      </c>
      <c r="L190" s="3" t="s">
        <v>139</v>
      </c>
      <c r="M190" s="3" t="s">
        <v>31</v>
      </c>
      <c r="N190" s="3" t="s">
        <v>285</v>
      </c>
      <c r="O190" s="3" t="s">
        <v>141</v>
      </c>
      <c r="P190" s="3" t="s">
        <v>142</v>
      </c>
      <c r="Q190" s="3" t="s">
        <v>143</v>
      </c>
      <c r="R190" s="3" t="s">
        <v>144</v>
      </c>
      <c r="S190" s="3" t="s">
        <v>34</v>
      </c>
      <c r="T190" s="153">
        <v>4.6829999999999998</v>
      </c>
      <c r="U190" s="3" t="s">
        <v>425</v>
      </c>
      <c r="V190" s="164">
        <v>3.3500000000000002E-2</v>
      </c>
      <c r="W190" s="164">
        <v>3.0839999999999999E-2</v>
      </c>
      <c r="X190" s="5" t="s">
        <v>146</v>
      </c>
      <c r="Y190" s="5" t="s">
        <v>141</v>
      </c>
      <c r="Z190" s="153">
        <v>51000</v>
      </c>
      <c r="AA190" s="162">
        <v>1</v>
      </c>
      <c r="AB190" s="172">
        <v>106.95</v>
      </c>
      <c r="AD190" s="153">
        <v>54.543999999999997</v>
      </c>
      <c r="AG190" s="3" t="s">
        <v>36</v>
      </c>
      <c r="AH190" s="164">
        <v>3.4E-5</v>
      </c>
      <c r="AI190" s="164">
        <v>1.04448048941417E-2</v>
      </c>
      <c r="AJ190" s="164">
        <v>1.13138750497908E-3</v>
      </c>
    </row>
    <row r="191" spans="1:36">
      <c r="A191" s="3">
        <v>12904</v>
      </c>
      <c r="B191" s="3">
        <v>12905</v>
      </c>
      <c r="C191" s="3" t="s">
        <v>418</v>
      </c>
      <c r="D191" s="3" t="s">
        <v>419</v>
      </c>
      <c r="E191" s="5" t="s">
        <v>134</v>
      </c>
      <c r="F191" s="3" t="s">
        <v>426</v>
      </c>
      <c r="G191" s="3" t="s">
        <v>427</v>
      </c>
      <c r="H191" s="3" t="s">
        <v>137</v>
      </c>
      <c r="I191" s="3" t="s">
        <v>138</v>
      </c>
      <c r="J191" s="3" t="s">
        <v>30</v>
      </c>
      <c r="K191" s="3" t="s">
        <v>30</v>
      </c>
      <c r="L191" s="3" t="s">
        <v>139</v>
      </c>
      <c r="M191" s="3" t="s">
        <v>31</v>
      </c>
      <c r="N191" s="3" t="s">
        <v>285</v>
      </c>
      <c r="O191" s="3" t="s">
        <v>141</v>
      </c>
      <c r="P191" s="3" t="s">
        <v>286</v>
      </c>
      <c r="Q191" s="3" t="s">
        <v>143</v>
      </c>
      <c r="R191" s="3" t="s">
        <v>144</v>
      </c>
      <c r="S191" s="3" t="s">
        <v>34</v>
      </c>
      <c r="T191" s="153">
        <v>4.3650000000000002</v>
      </c>
      <c r="U191" s="3" t="s">
        <v>428</v>
      </c>
      <c r="V191" s="164">
        <v>2.2013000000000001E-2</v>
      </c>
      <c r="W191" s="164">
        <v>2.4549999999999999E-2</v>
      </c>
      <c r="X191" s="5" t="s">
        <v>146</v>
      </c>
      <c r="Y191" s="5" t="s">
        <v>141</v>
      </c>
      <c r="Z191" s="153">
        <v>6987</v>
      </c>
      <c r="AA191" s="162">
        <v>1</v>
      </c>
      <c r="AB191" s="172">
        <v>125.71</v>
      </c>
      <c r="AD191" s="153">
        <v>8.7829999999999995</v>
      </c>
      <c r="AG191" s="3" t="s">
        <v>36</v>
      </c>
      <c r="AH191" s="164">
        <v>1.0000000000000001E-5</v>
      </c>
      <c r="AI191" s="164">
        <v>1.68193782126443E-3</v>
      </c>
      <c r="AJ191" s="164">
        <v>1.8218850944718101E-4</v>
      </c>
    </row>
    <row r="192" spans="1:36">
      <c r="A192" s="3">
        <v>12904</v>
      </c>
      <c r="B192" s="3">
        <v>12905</v>
      </c>
      <c r="C192" s="3" t="s">
        <v>429</v>
      </c>
      <c r="D192" s="3" t="s">
        <v>430</v>
      </c>
      <c r="E192" s="5" t="s">
        <v>134</v>
      </c>
      <c r="F192" s="3" t="s">
        <v>431</v>
      </c>
      <c r="G192" s="3" t="s">
        <v>432</v>
      </c>
      <c r="H192" s="3" t="s">
        <v>137</v>
      </c>
      <c r="I192" s="3" t="s">
        <v>138</v>
      </c>
      <c r="J192" s="3" t="s">
        <v>30</v>
      </c>
      <c r="K192" s="3" t="s">
        <v>30</v>
      </c>
      <c r="L192" s="3" t="s">
        <v>139</v>
      </c>
      <c r="M192" s="3" t="s">
        <v>31</v>
      </c>
      <c r="N192" s="3" t="s">
        <v>186</v>
      </c>
      <c r="O192" s="3" t="s">
        <v>141</v>
      </c>
      <c r="P192" s="3" t="s">
        <v>180</v>
      </c>
      <c r="Q192" s="3" t="s">
        <v>143</v>
      </c>
      <c r="R192" s="3" t="s">
        <v>144</v>
      </c>
      <c r="S192" s="3" t="s">
        <v>34</v>
      </c>
      <c r="T192" s="153">
        <v>3.4809999999999999</v>
      </c>
      <c r="U192" s="3" t="s">
        <v>433</v>
      </c>
      <c r="V192" s="164">
        <v>1.43E-2</v>
      </c>
      <c r="W192" s="164">
        <v>2.8119999999999999E-2</v>
      </c>
      <c r="X192" s="5" t="s">
        <v>146</v>
      </c>
      <c r="Y192" s="5" t="s">
        <v>141</v>
      </c>
      <c r="Z192" s="153">
        <v>79120.88</v>
      </c>
      <c r="AA192" s="162">
        <v>1</v>
      </c>
      <c r="AB192" s="172">
        <v>113.61</v>
      </c>
      <c r="AD192" s="153">
        <v>89.888999999999996</v>
      </c>
      <c r="AG192" s="3" t="s">
        <v>36</v>
      </c>
      <c r="AH192" s="164">
        <v>4.1E-5</v>
      </c>
      <c r="AI192" s="164">
        <v>1.7213018506009699E-2</v>
      </c>
      <c r="AJ192" s="164">
        <v>1.86452444617667E-3</v>
      </c>
    </row>
    <row r="193" spans="1:36">
      <c r="A193" s="3">
        <v>12904</v>
      </c>
      <c r="B193" s="3">
        <v>12905</v>
      </c>
      <c r="C193" s="3" t="s">
        <v>429</v>
      </c>
      <c r="D193" s="3" t="s">
        <v>430</v>
      </c>
      <c r="E193" s="5" t="s">
        <v>134</v>
      </c>
      <c r="F193" s="3" t="s">
        <v>434</v>
      </c>
      <c r="G193" s="3" t="s">
        <v>435</v>
      </c>
      <c r="H193" s="3" t="s">
        <v>137</v>
      </c>
      <c r="I193" s="3" t="s">
        <v>138</v>
      </c>
      <c r="J193" s="3" t="s">
        <v>30</v>
      </c>
      <c r="K193" s="3" t="s">
        <v>30</v>
      </c>
      <c r="L193" s="3" t="s">
        <v>139</v>
      </c>
      <c r="M193" s="3" t="s">
        <v>31</v>
      </c>
      <c r="N193" s="3" t="s">
        <v>186</v>
      </c>
      <c r="O193" s="3" t="s">
        <v>141</v>
      </c>
      <c r="P193" s="3" t="s">
        <v>180</v>
      </c>
      <c r="Q193" s="3" t="s">
        <v>143</v>
      </c>
      <c r="R193" s="3" t="s">
        <v>144</v>
      </c>
      <c r="S193" s="3" t="s">
        <v>34</v>
      </c>
      <c r="T193" s="153">
        <v>5.3339999999999996</v>
      </c>
      <c r="U193" s="3" t="s">
        <v>436</v>
      </c>
      <c r="V193" s="164">
        <v>3.61E-2</v>
      </c>
      <c r="W193" s="164">
        <v>2.9340000000000001E-2</v>
      </c>
      <c r="X193" s="5" t="s">
        <v>146</v>
      </c>
      <c r="Y193" s="5" t="s">
        <v>141</v>
      </c>
      <c r="Z193" s="153">
        <v>89239.33</v>
      </c>
      <c r="AA193" s="162">
        <v>1</v>
      </c>
      <c r="AB193" s="172">
        <v>113.95</v>
      </c>
      <c r="AD193" s="153">
        <v>101.688</v>
      </c>
      <c r="AG193" s="3" t="s">
        <v>36</v>
      </c>
      <c r="AH193" s="164">
        <v>4.1E-5</v>
      </c>
      <c r="AI193" s="164">
        <v>1.9472423099328302E-2</v>
      </c>
      <c r="AJ193" s="164">
        <v>2.1092645013027099E-3</v>
      </c>
    </row>
    <row r="194" spans="1:36">
      <c r="A194" s="3">
        <v>12904</v>
      </c>
      <c r="B194" s="3">
        <v>12905</v>
      </c>
      <c r="C194" s="3" t="s">
        <v>429</v>
      </c>
      <c r="D194" s="3" t="s">
        <v>430</v>
      </c>
      <c r="E194" s="5" t="s">
        <v>134</v>
      </c>
      <c r="F194" s="3" t="s">
        <v>437</v>
      </c>
      <c r="G194" s="3" t="s">
        <v>438</v>
      </c>
      <c r="H194" s="3" t="s">
        <v>137</v>
      </c>
      <c r="I194" s="3" t="s">
        <v>138</v>
      </c>
      <c r="J194" s="3" t="s">
        <v>30</v>
      </c>
      <c r="K194" s="3" t="s">
        <v>30</v>
      </c>
      <c r="L194" s="3" t="s">
        <v>139</v>
      </c>
      <c r="M194" s="3" t="s">
        <v>31</v>
      </c>
      <c r="N194" s="3" t="s">
        <v>186</v>
      </c>
      <c r="O194" s="3" t="s">
        <v>141</v>
      </c>
      <c r="P194" s="3" t="s">
        <v>180</v>
      </c>
      <c r="Q194" s="3" t="s">
        <v>143</v>
      </c>
      <c r="R194" s="3" t="s">
        <v>144</v>
      </c>
      <c r="S194" s="3" t="s">
        <v>34</v>
      </c>
      <c r="T194" s="153">
        <v>0.54500000000000004</v>
      </c>
      <c r="U194" s="3" t="s">
        <v>439</v>
      </c>
      <c r="V194" s="164">
        <v>2.1499999999999998E-2</v>
      </c>
      <c r="W194" s="164">
        <v>5.0410000000000003E-2</v>
      </c>
      <c r="X194" s="5" t="s">
        <v>146</v>
      </c>
      <c r="Y194" s="5" t="s">
        <v>141</v>
      </c>
      <c r="Z194" s="153">
        <v>25019.47</v>
      </c>
      <c r="AA194" s="162">
        <v>1</v>
      </c>
      <c r="AB194" s="172">
        <v>120.11</v>
      </c>
      <c r="AD194" s="153">
        <v>30.050999999999998</v>
      </c>
      <c r="AG194" s="3" t="s">
        <v>36</v>
      </c>
      <c r="AH194" s="164">
        <v>4.3000000000000002E-5</v>
      </c>
      <c r="AI194" s="164">
        <v>5.7544873466027604E-3</v>
      </c>
      <c r="AJ194" s="164">
        <v>6.2332950662948201E-4</v>
      </c>
    </row>
    <row r="195" spans="1:36">
      <c r="A195" s="3">
        <v>12904</v>
      </c>
      <c r="B195" s="3">
        <v>12905</v>
      </c>
      <c r="C195" s="3" t="s">
        <v>429</v>
      </c>
      <c r="D195" s="3" t="s">
        <v>430</v>
      </c>
      <c r="E195" s="5" t="s">
        <v>134</v>
      </c>
      <c r="F195" s="3" t="s">
        <v>440</v>
      </c>
      <c r="G195" s="3" t="s">
        <v>441</v>
      </c>
      <c r="H195" s="3" t="s">
        <v>137</v>
      </c>
      <c r="I195" s="3" t="s">
        <v>138</v>
      </c>
      <c r="J195" s="3" t="s">
        <v>30</v>
      </c>
      <c r="K195" s="3" t="s">
        <v>30</v>
      </c>
      <c r="L195" s="3" t="s">
        <v>139</v>
      </c>
      <c r="M195" s="3" t="s">
        <v>31</v>
      </c>
      <c r="N195" s="3" t="s">
        <v>186</v>
      </c>
      <c r="O195" s="3" t="s">
        <v>141</v>
      </c>
      <c r="P195" s="3" t="s">
        <v>180</v>
      </c>
      <c r="Q195" s="3" t="s">
        <v>143</v>
      </c>
      <c r="R195" s="3" t="s">
        <v>144</v>
      </c>
      <c r="S195" s="3" t="s">
        <v>34</v>
      </c>
      <c r="T195" s="153">
        <v>3.0649999999999999</v>
      </c>
      <c r="U195" s="3" t="s">
        <v>442</v>
      </c>
      <c r="V195" s="164">
        <v>2.2499999999999999E-2</v>
      </c>
      <c r="W195" s="164">
        <v>2.9350000000000001E-2</v>
      </c>
      <c r="X195" s="5" t="s">
        <v>146</v>
      </c>
      <c r="Y195" s="5" t="s">
        <v>141</v>
      </c>
      <c r="Z195" s="153">
        <v>59622.46</v>
      </c>
      <c r="AA195" s="162">
        <v>1</v>
      </c>
      <c r="AB195" s="172">
        <v>118.47</v>
      </c>
      <c r="AD195" s="153">
        <v>70.635000000000005</v>
      </c>
      <c r="AG195" s="3" t="s">
        <v>36</v>
      </c>
      <c r="AH195" s="164">
        <v>3.4E-5</v>
      </c>
      <c r="AI195" s="164">
        <v>1.3525945906402799E-2</v>
      </c>
      <c r="AJ195" s="164">
        <v>1.4651385398410099E-3</v>
      </c>
    </row>
    <row r="196" spans="1:36">
      <c r="A196" s="3">
        <v>12904</v>
      </c>
      <c r="B196" s="3">
        <v>12905</v>
      </c>
      <c r="C196" s="3" t="s">
        <v>443</v>
      </c>
      <c r="D196" s="3" t="s">
        <v>444</v>
      </c>
      <c r="E196" s="5" t="s">
        <v>134</v>
      </c>
      <c r="F196" s="3" t="s">
        <v>445</v>
      </c>
      <c r="G196" s="3" t="s">
        <v>446</v>
      </c>
      <c r="H196" s="3" t="s">
        <v>137</v>
      </c>
      <c r="I196" s="3" t="s">
        <v>156</v>
      </c>
      <c r="J196" s="3" t="s">
        <v>30</v>
      </c>
      <c r="K196" s="3" t="s">
        <v>30</v>
      </c>
      <c r="L196" s="3" t="s">
        <v>139</v>
      </c>
      <c r="M196" s="3" t="s">
        <v>31</v>
      </c>
      <c r="N196" s="3" t="s">
        <v>447</v>
      </c>
      <c r="O196" s="3" t="s">
        <v>141</v>
      </c>
      <c r="P196" s="3" t="s">
        <v>209</v>
      </c>
      <c r="Q196" s="3" t="s">
        <v>164</v>
      </c>
      <c r="R196" s="3" t="s">
        <v>144</v>
      </c>
      <c r="S196" s="3" t="s">
        <v>34</v>
      </c>
      <c r="T196" s="153">
        <v>0.96699999999999997</v>
      </c>
      <c r="U196" s="3" t="s">
        <v>448</v>
      </c>
      <c r="V196" s="164">
        <v>0.114</v>
      </c>
      <c r="W196" s="164">
        <v>1E-4</v>
      </c>
      <c r="X196" s="5" t="s">
        <v>146</v>
      </c>
      <c r="Y196" s="5" t="s">
        <v>141</v>
      </c>
      <c r="Z196" s="153">
        <v>22075.52</v>
      </c>
      <c r="AA196" s="162">
        <v>1</v>
      </c>
      <c r="AB196" s="172">
        <v>100.46</v>
      </c>
      <c r="AD196" s="153">
        <v>22.177</v>
      </c>
      <c r="AG196" s="3" t="s">
        <v>36</v>
      </c>
      <c r="AH196" s="164">
        <v>9.1000000000000003E-5</v>
      </c>
      <c r="AI196" s="164">
        <v>4.24671858819263E-3</v>
      </c>
      <c r="AJ196" s="164">
        <v>4.6000709410458899E-4</v>
      </c>
    </row>
    <row r="197" spans="1:36">
      <c r="A197" s="3">
        <v>12904</v>
      </c>
      <c r="B197" s="3">
        <v>12905</v>
      </c>
      <c r="C197" s="3" t="s">
        <v>443</v>
      </c>
      <c r="D197" s="3" t="s">
        <v>444</v>
      </c>
      <c r="E197" s="5" t="s">
        <v>134</v>
      </c>
      <c r="F197" s="3" t="s">
        <v>449</v>
      </c>
      <c r="G197" s="3" t="s">
        <v>450</v>
      </c>
      <c r="H197" s="3" t="s">
        <v>137</v>
      </c>
      <c r="I197" s="3" t="s">
        <v>156</v>
      </c>
      <c r="J197" s="3" t="s">
        <v>30</v>
      </c>
      <c r="K197" s="3" t="s">
        <v>30</v>
      </c>
      <c r="L197" s="3" t="s">
        <v>139</v>
      </c>
      <c r="M197" s="3" t="s">
        <v>31</v>
      </c>
      <c r="N197" s="3" t="s">
        <v>447</v>
      </c>
      <c r="O197" s="3" t="s">
        <v>141</v>
      </c>
      <c r="P197" s="3" t="s">
        <v>209</v>
      </c>
      <c r="Q197" s="3" t="s">
        <v>164</v>
      </c>
      <c r="R197" s="3" t="s">
        <v>144</v>
      </c>
      <c r="S197" s="3" t="s">
        <v>34</v>
      </c>
      <c r="T197" s="153">
        <v>1.714</v>
      </c>
      <c r="U197" s="3" t="s">
        <v>451</v>
      </c>
      <c r="V197" s="164">
        <v>7.22E-2</v>
      </c>
      <c r="W197" s="164">
        <v>5.8099999999999999E-2</v>
      </c>
      <c r="X197" s="5" t="s">
        <v>146</v>
      </c>
      <c r="Y197" s="5" t="s">
        <v>141</v>
      </c>
      <c r="Z197" s="153">
        <v>29000</v>
      </c>
      <c r="AA197" s="162">
        <v>1</v>
      </c>
      <c r="AB197" s="172">
        <v>103.83</v>
      </c>
      <c r="AD197" s="153">
        <v>30.111000000000001</v>
      </c>
      <c r="AG197" s="3" t="s">
        <v>36</v>
      </c>
      <c r="AH197" s="164">
        <v>8.2999999999999998E-5</v>
      </c>
      <c r="AI197" s="164">
        <v>5.7659413272838399E-3</v>
      </c>
      <c r="AJ197" s="164">
        <v>6.2457020865849897E-4</v>
      </c>
    </row>
    <row r="198" spans="1:36">
      <c r="A198" s="3">
        <v>12904</v>
      </c>
      <c r="B198" s="3">
        <v>12905</v>
      </c>
      <c r="C198" s="3" t="s">
        <v>443</v>
      </c>
      <c r="D198" s="3" t="s">
        <v>444</v>
      </c>
      <c r="E198" s="5" t="s">
        <v>134</v>
      </c>
      <c r="F198" s="3" t="s">
        <v>452</v>
      </c>
      <c r="G198" s="3" t="s">
        <v>453</v>
      </c>
      <c r="H198" s="3" t="s">
        <v>137</v>
      </c>
      <c r="I198" s="3" t="s">
        <v>156</v>
      </c>
      <c r="J198" s="3" t="s">
        <v>30</v>
      </c>
      <c r="K198" s="3" t="s">
        <v>30</v>
      </c>
      <c r="L198" s="3" t="s">
        <v>139</v>
      </c>
      <c r="M198" s="3" t="s">
        <v>31</v>
      </c>
      <c r="N198" s="3" t="s">
        <v>447</v>
      </c>
      <c r="O198" s="3" t="s">
        <v>141</v>
      </c>
      <c r="P198" s="3" t="s">
        <v>209</v>
      </c>
      <c r="Q198" s="3" t="s">
        <v>164</v>
      </c>
      <c r="R198" s="3" t="s">
        <v>144</v>
      </c>
      <c r="S198" s="3" t="s">
        <v>34</v>
      </c>
      <c r="T198" s="153">
        <v>2.8410000000000002</v>
      </c>
      <c r="U198" s="3" t="s">
        <v>454</v>
      </c>
      <c r="V198" s="164">
        <v>6.4000000000000001E-2</v>
      </c>
      <c r="W198" s="164">
        <v>5.8369999999999998E-2</v>
      </c>
      <c r="X198" s="5" t="s">
        <v>146</v>
      </c>
      <c r="Y198" s="5" t="s">
        <v>141</v>
      </c>
      <c r="Z198" s="153">
        <v>39000</v>
      </c>
      <c r="AA198" s="162">
        <v>1</v>
      </c>
      <c r="AB198" s="172">
        <v>104.05</v>
      </c>
      <c r="AD198" s="153">
        <v>40.58</v>
      </c>
      <c r="AG198" s="3" t="s">
        <v>36</v>
      </c>
      <c r="AH198" s="164">
        <v>1.13E-4</v>
      </c>
      <c r="AI198" s="164">
        <v>7.7706269230045999E-3</v>
      </c>
      <c r="AJ198" s="164">
        <v>8.4171894981709399E-4</v>
      </c>
    </row>
    <row r="199" spans="1:36">
      <c r="A199" s="3">
        <v>12904</v>
      </c>
      <c r="B199" s="3">
        <v>12905</v>
      </c>
      <c r="C199" s="3" t="s">
        <v>455</v>
      </c>
      <c r="D199" s="3" t="s">
        <v>456</v>
      </c>
      <c r="E199" s="5" t="s">
        <v>134</v>
      </c>
      <c r="F199" s="3" t="s">
        <v>457</v>
      </c>
      <c r="G199" s="3" t="s">
        <v>458</v>
      </c>
      <c r="H199" s="3" t="s">
        <v>137</v>
      </c>
      <c r="I199" s="3" t="s">
        <v>138</v>
      </c>
      <c r="J199" s="3" t="s">
        <v>30</v>
      </c>
      <c r="K199" s="3" t="s">
        <v>30</v>
      </c>
      <c r="L199" s="3" t="s">
        <v>139</v>
      </c>
      <c r="M199" s="3" t="s">
        <v>31</v>
      </c>
      <c r="N199" s="3" t="s">
        <v>162</v>
      </c>
      <c r="O199" s="3" t="s">
        <v>141</v>
      </c>
      <c r="P199" s="3" t="s">
        <v>459</v>
      </c>
      <c r="Q199" s="3" t="s">
        <v>164</v>
      </c>
      <c r="R199" s="3" t="s">
        <v>144</v>
      </c>
      <c r="S199" s="3" t="s">
        <v>34</v>
      </c>
      <c r="T199" s="153">
        <v>3.2679999999999998</v>
      </c>
      <c r="U199" s="3" t="s">
        <v>460</v>
      </c>
      <c r="V199" s="164">
        <v>2.07E-2</v>
      </c>
      <c r="W199" s="164">
        <v>4.1239999999999999E-2</v>
      </c>
      <c r="X199" s="5" t="s">
        <v>146</v>
      </c>
      <c r="Y199" s="5" t="s">
        <v>141</v>
      </c>
      <c r="Z199" s="153">
        <v>18432.3</v>
      </c>
      <c r="AA199" s="162">
        <v>1</v>
      </c>
      <c r="AB199" s="172">
        <v>109.03</v>
      </c>
      <c r="AD199" s="153">
        <v>20.097000000000001</v>
      </c>
      <c r="AG199" s="3" t="s">
        <v>36</v>
      </c>
      <c r="AH199" s="164">
        <v>4.3999999999999999E-5</v>
      </c>
      <c r="AI199" s="164">
        <v>3.8483530646717802E-3</v>
      </c>
      <c r="AJ199" s="164">
        <v>4.1685590264684002E-4</v>
      </c>
    </row>
    <row r="200" spans="1:36">
      <c r="A200" s="3">
        <v>12904</v>
      </c>
      <c r="B200" s="3">
        <v>12905</v>
      </c>
      <c r="C200" s="3" t="s">
        <v>461</v>
      </c>
      <c r="D200" s="3" t="s">
        <v>462</v>
      </c>
      <c r="E200" s="5" t="s">
        <v>134</v>
      </c>
      <c r="F200" s="3" t="s">
        <v>463</v>
      </c>
      <c r="G200" s="3" t="s">
        <v>464</v>
      </c>
      <c r="H200" s="3" t="s">
        <v>137</v>
      </c>
      <c r="I200" s="3" t="s">
        <v>138</v>
      </c>
      <c r="J200" s="3" t="s">
        <v>30</v>
      </c>
      <c r="K200" s="3" t="s">
        <v>30</v>
      </c>
      <c r="L200" s="3" t="s">
        <v>139</v>
      </c>
      <c r="M200" s="3" t="s">
        <v>31</v>
      </c>
      <c r="N200" s="3" t="s">
        <v>465</v>
      </c>
      <c r="O200" s="3" t="s">
        <v>141</v>
      </c>
      <c r="P200" s="3" t="s">
        <v>286</v>
      </c>
      <c r="Q200" s="3" t="s">
        <v>143</v>
      </c>
      <c r="R200" s="3" t="s">
        <v>144</v>
      </c>
      <c r="S200" s="3" t="s">
        <v>34</v>
      </c>
      <c r="T200" s="153">
        <v>11.507999999999999</v>
      </c>
      <c r="U200" s="3" t="s">
        <v>466</v>
      </c>
      <c r="V200" s="164">
        <v>2.07E-2</v>
      </c>
      <c r="W200" s="164">
        <v>2.7050000000000001E-2</v>
      </c>
      <c r="X200" s="5" t="s">
        <v>146</v>
      </c>
      <c r="Y200" s="5" t="s">
        <v>141</v>
      </c>
      <c r="Z200" s="153">
        <v>35887.949999999997</v>
      </c>
      <c r="AA200" s="162">
        <v>1</v>
      </c>
      <c r="AB200" s="172">
        <v>109.4</v>
      </c>
      <c r="AD200" s="153">
        <v>39.261000000000003</v>
      </c>
      <c r="AG200" s="3" t="s">
        <v>36</v>
      </c>
      <c r="AH200" s="164">
        <v>6.9999999999999999E-6</v>
      </c>
      <c r="AI200" s="164">
        <v>7.5182253676535802E-3</v>
      </c>
      <c r="AJ200" s="164">
        <v>8.14378662578067E-4</v>
      </c>
    </row>
    <row r="201" spans="1:36">
      <c r="A201" s="3">
        <v>12904</v>
      </c>
      <c r="B201" s="3">
        <v>12905</v>
      </c>
      <c r="C201" s="3" t="s">
        <v>467</v>
      </c>
      <c r="D201" s="3" t="s">
        <v>468</v>
      </c>
      <c r="E201" s="5" t="s">
        <v>366</v>
      </c>
      <c r="F201" s="3" t="s">
        <v>469</v>
      </c>
      <c r="G201" s="3" t="s">
        <v>470</v>
      </c>
      <c r="H201" s="3" t="s">
        <v>137</v>
      </c>
      <c r="I201" s="3" t="s">
        <v>156</v>
      </c>
      <c r="J201" s="3" t="s">
        <v>30</v>
      </c>
      <c r="K201" s="3" t="s">
        <v>30</v>
      </c>
      <c r="L201" s="3" t="s">
        <v>139</v>
      </c>
      <c r="M201" s="3" t="s">
        <v>31</v>
      </c>
      <c r="N201" s="3" t="s">
        <v>369</v>
      </c>
      <c r="O201" s="3" t="s">
        <v>141</v>
      </c>
      <c r="P201" s="3" t="s">
        <v>471</v>
      </c>
      <c r="Q201" s="3" t="s">
        <v>143</v>
      </c>
      <c r="R201" s="3" t="s">
        <v>144</v>
      </c>
      <c r="S201" s="3" t="s">
        <v>34</v>
      </c>
      <c r="T201" s="153">
        <v>3.746</v>
      </c>
      <c r="U201" s="3" t="s">
        <v>472</v>
      </c>
      <c r="V201" s="164">
        <v>0.06</v>
      </c>
      <c r="W201" s="164">
        <v>5.5539999999999999E-2</v>
      </c>
      <c r="X201" s="5" t="s">
        <v>146</v>
      </c>
      <c r="Y201" s="5" t="s">
        <v>141</v>
      </c>
      <c r="Z201" s="153">
        <v>67000</v>
      </c>
      <c r="AA201" s="162">
        <v>1</v>
      </c>
      <c r="AB201" s="172">
        <v>103.52</v>
      </c>
      <c r="AD201" s="153">
        <v>69.358000000000004</v>
      </c>
      <c r="AG201" s="3" t="s">
        <v>36</v>
      </c>
      <c r="AH201" s="164">
        <v>6.7000000000000002E-5</v>
      </c>
      <c r="AI201" s="164">
        <v>1.3281539949396201E-2</v>
      </c>
      <c r="AJ201" s="164">
        <v>1.43866434059054E-3</v>
      </c>
    </row>
    <row r="202" spans="1:36">
      <c r="A202" s="3">
        <v>12904</v>
      </c>
      <c r="B202" s="3">
        <v>12905</v>
      </c>
      <c r="C202" s="3" t="s">
        <v>467</v>
      </c>
      <c r="D202" s="3" t="s">
        <v>468</v>
      </c>
      <c r="E202" s="5" t="s">
        <v>366</v>
      </c>
      <c r="F202" s="3" t="s">
        <v>473</v>
      </c>
      <c r="G202" s="3" t="s">
        <v>474</v>
      </c>
      <c r="H202" s="3" t="s">
        <v>137</v>
      </c>
      <c r="I202" s="3" t="s">
        <v>156</v>
      </c>
      <c r="J202" s="3" t="s">
        <v>30</v>
      </c>
      <c r="K202" s="3" t="s">
        <v>30</v>
      </c>
      <c r="L202" s="3" t="s">
        <v>139</v>
      </c>
      <c r="M202" s="3" t="s">
        <v>31</v>
      </c>
      <c r="N202" s="3" t="s">
        <v>369</v>
      </c>
      <c r="O202" s="3" t="s">
        <v>141</v>
      </c>
      <c r="P202" s="3" t="s">
        <v>329</v>
      </c>
      <c r="Q202" s="3" t="s">
        <v>143</v>
      </c>
      <c r="R202" s="3" t="s">
        <v>144</v>
      </c>
      <c r="S202" s="3" t="s">
        <v>34</v>
      </c>
      <c r="T202" s="153">
        <v>2.9580000000000002</v>
      </c>
      <c r="U202" s="3" t="s">
        <v>475</v>
      </c>
      <c r="V202" s="164">
        <v>6.7000000000000004E-2</v>
      </c>
      <c r="W202" s="164">
        <v>5.1299999999999998E-2</v>
      </c>
      <c r="X202" s="5" t="s">
        <v>146</v>
      </c>
      <c r="Y202" s="5" t="s">
        <v>141</v>
      </c>
      <c r="Z202" s="153">
        <v>26000</v>
      </c>
      <c r="AA202" s="162">
        <v>1</v>
      </c>
      <c r="AB202" s="172">
        <v>104.89</v>
      </c>
      <c r="AD202" s="153">
        <v>27.271000000000001</v>
      </c>
      <c r="AG202" s="3" t="s">
        <v>36</v>
      </c>
      <c r="AH202" s="164">
        <v>2.9E-5</v>
      </c>
      <c r="AI202" s="164">
        <v>5.2222396793461601E-3</v>
      </c>
      <c r="AJ202" s="164">
        <v>5.6567612139237498E-4</v>
      </c>
    </row>
    <row r="203" spans="1:36">
      <c r="A203" s="3">
        <v>12904</v>
      </c>
      <c r="B203" s="3">
        <v>12905</v>
      </c>
      <c r="C203" s="3" t="s">
        <v>476</v>
      </c>
      <c r="D203" s="3" t="s">
        <v>477</v>
      </c>
      <c r="E203" s="5" t="s">
        <v>134</v>
      </c>
      <c r="F203" s="3" t="s">
        <v>478</v>
      </c>
      <c r="G203" s="3" t="s">
        <v>479</v>
      </c>
      <c r="H203" s="3" t="s">
        <v>137</v>
      </c>
      <c r="I203" s="3" t="s">
        <v>156</v>
      </c>
      <c r="J203" s="3" t="s">
        <v>30</v>
      </c>
      <c r="K203" s="3" t="s">
        <v>30</v>
      </c>
      <c r="L203" s="3" t="s">
        <v>139</v>
      </c>
      <c r="M203" s="3" t="s">
        <v>31</v>
      </c>
      <c r="N203" s="3" t="s">
        <v>480</v>
      </c>
      <c r="O203" s="3" t="s">
        <v>141</v>
      </c>
      <c r="P203" s="3" t="s">
        <v>481</v>
      </c>
      <c r="Q203" s="3" t="s">
        <v>481</v>
      </c>
      <c r="R203" s="3" t="s">
        <v>481</v>
      </c>
      <c r="S203" s="3" t="s">
        <v>34</v>
      </c>
      <c r="T203" s="153">
        <v>3.6760000000000002</v>
      </c>
      <c r="U203" s="3" t="s">
        <v>482</v>
      </c>
      <c r="V203" s="164">
        <v>5.8999999999999997E-2</v>
      </c>
      <c r="W203" s="164">
        <v>5.3530000000000001E-2</v>
      </c>
      <c r="X203" s="5" t="s">
        <v>146</v>
      </c>
      <c r="Y203" s="5" t="s">
        <v>141</v>
      </c>
      <c r="Z203" s="153">
        <v>59000</v>
      </c>
      <c r="AA203" s="162">
        <v>1</v>
      </c>
      <c r="AB203" s="172">
        <v>102.31</v>
      </c>
      <c r="AD203" s="153">
        <v>60.363</v>
      </c>
      <c r="AG203" s="3" t="s">
        <v>36</v>
      </c>
      <c r="AH203" s="164">
        <v>1.21E-4</v>
      </c>
      <c r="AI203" s="164">
        <v>1.15589786934446E-2</v>
      </c>
      <c r="AJ203" s="164">
        <v>1.25207547643303E-3</v>
      </c>
    </row>
    <row r="204" spans="1:36">
      <c r="A204" s="3">
        <v>12904</v>
      </c>
      <c r="B204" s="3">
        <v>12905</v>
      </c>
      <c r="C204" s="3" t="s">
        <v>483</v>
      </c>
      <c r="D204" s="3" t="s">
        <v>484</v>
      </c>
      <c r="E204" s="5" t="s">
        <v>134</v>
      </c>
      <c r="F204" s="3" t="s">
        <v>485</v>
      </c>
      <c r="G204" s="3" t="s">
        <v>486</v>
      </c>
      <c r="H204" s="3" t="s">
        <v>137</v>
      </c>
      <c r="I204" s="3" t="s">
        <v>156</v>
      </c>
      <c r="J204" s="3" t="s">
        <v>30</v>
      </c>
      <c r="K204" s="3" t="s">
        <v>30</v>
      </c>
      <c r="L204" s="3" t="s">
        <v>139</v>
      </c>
      <c r="M204" s="3" t="s">
        <v>31</v>
      </c>
      <c r="N204" s="3" t="s">
        <v>220</v>
      </c>
      <c r="O204" s="3" t="s">
        <v>141</v>
      </c>
      <c r="P204" s="3" t="s">
        <v>209</v>
      </c>
      <c r="Q204" s="3" t="s">
        <v>164</v>
      </c>
      <c r="R204" s="3" t="s">
        <v>144</v>
      </c>
      <c r="S204" s="3" t="s">
        <v>34</v>
      </c>
      <c r="T204" s="153">
        <v>2.992</v>
      </c>
      <c r="U204" s="3" t="s">
        <v>472</v>
      </c>
      <c r="V204" s="164">
        <v>6.9500000000000006E-2</v>
      </c>
      <c r="W204" s="164">
        <v>5.3469999999999997E-2</v>
      </c>
      <c r="X204" s="5" t="s">
        <v>146</v>
      </c>
      <c r="Y204" s="5" t="s">
        <v>141</v>
      </c>
      <c r="Z204" s="153">
        <v>36100</v>
      </c>
      <c r="AA204" s="162">
        <v>1</v>
      </c>
      <c r="AB204" s="172">
        <v>106.87</v>
      </c>
      <c r="AD204" s="153">
        <v>38.58</v>
      </c>
      <c r="AG204" s="3" t="s">
        <v>36</v>
      </c>
      <c r="AH204" s="164">
        <v>4.5000000000000003E-5</v>
      </c>
      <c r="AI204" s="164">
        <v>7.3877531914735804E-3</v>
      </c>
      <c r="AJ204" s="164">
        <v>8.0024583852117404E-4</v>
      </c>
    </row>
    <row r="205" spans="1:36">
      <c r="A205" s="3">
        <v>12904</v>
      </c>
      <c r="B205" s="3">
        <v>12905</v>
      </c>
      <c r="C205" s="3" t="s">
        <v>483</v>
      </c>
      <c r="D205" s="3" t="s">
        <v>484</v>
      </c>
      <c r="E205" s="5" t="s">
        <v>134</v>
      </c>
      <c r="F205" s="3" t="s">
        <v>487</v>
      </c>
      <c r="G205" s="3" t="s">
        <v>488</v>
      </c>
      <c r="H205" s="3" t="s">
        <v>137</v>
      </c>
      <c r="I205" s="3" t="s">
        <v>156</v>
      </c>
      <c r="J205" s="3" t="s">
        <v>30</v>
      </c>
      <c r="K205" s="3" t="s">
        <v>30</v>
      </c>
      <c r="L205" s="3" t="s">
        <v>139</v>
      </c>
      <c r="M205" s="3" t="s">
        <v>31</v>
      </c>
      <c r="N205" s="3" t="s">
        <v>220</v>
      </c>
      <c r="O205" s="3" t="s">
        <v>141</v>
      </c>
      <c r="P205" s="3" t="s">
        <v>209</v>
      </c>
      <c r="Q205" s="3" t="s">
        <v>164</v>
      </c>
      <c r="R205" s="3" t="s">
        <v>144</v>
      </c>
      <c r="S205" s="3" t="s">
        <v>34</v>
      </c>
      <c r="T205" s="153">
        <v>5.5030000000000001</v>
      </c>
      <c r="U205" s="3" t="s">
        <v>489</v>
      </c>
      <c r="V205" s="164">
        <v>6.6900000000000001E-2</v>
      </c>
      <c r="W205" s="164">
        <v>5.6550000000000003E-2</v>
      </c>
      <c r="X205" s="5" t="s">
        <v>146</v>
      </c>
      <c r="Y205" s="5" t="s">
        <v>141</v>
      </c>
      <c r="Z205" s="153">
        <v>17537.04</v>
      </c>
      <c r="AA205" s="162">
        <v>1</v>
      </c>
      <c r="AB205" s="172">
        <v>107.94</v>
      </c>
      <c r="AD205" s="153">
        <v>18.928999999999998</v>
      </c>
      <c r="AG205" s="3" t="s">
        <v>36</v>
      </c>
      <c r="AH205" s="164">
        <v>2.3E-5</v>
      </c>
      <c r="AI205" s="164">
        <v>3.6248335861853698E-3</v>
      </c>
      <c r="AJ205" s="164">
        <v>3.9264413922550498E-4</v>
      </c>
    </row>
    <row r="206" spans="1:36">
      <c r="A206" s="3">
        <v>12904</v>
      </c>
      <c r="B206" s="3">
        <v>12905</v>
      </c>
      <c r="C206" s="3" t="s">
        <v>490</v>
      </c>
      <c r="D206" s="3" t="s">
        <v>491</v>
      </c>
      <c r="E206" s="5" t="s">
        <v>492</v>
      </c>
      <c r="F206" s="3" t="s">
        <v>493</v>
      </c>
      <c r="G206" s="3" t="s">
        <v>494</v>
      </c>
      <c r="H206" s="3" t="s">
        <v>137</v>
      </c>
      <c r="I206" s="3" t="s">
        <v>156</v>
      </c>
      <c r="J206" s="3" t="s">
        <v>30</v>
      </c>
      <c r="K206" s="3" t="s">
        <v>30</v>
      </c>
      <c r="L206" s="3" t="s">
        <v>139</v>
      </c>
      <c r="M206" s="3" t="s">
        <v>31</v>
      </c>
      <c r="N206" s="3" t="s">
        <v>208</v>
      </c>
      <c r="O206" s="3" t="s">
        <v>141</v>
      </c>
      <c r="P206" s="3" t="s">
        <v>180</v>
      </c>
      <c r="Q206" s="3" t="s">
        <v>143</v>
      </c>
      <c r="R206" s="3" t="s">
        <v>144</v>
      </c>
      <c r="S206" s="3" t="s">
        <v>34</v>
      </c>
      <c r="T206" s="153">
        <v>3.2290000000000001</v>
      </c>
      <c r="U206" s="3" t="s">
        <v>495</v>
      </c>
      <c r="V206" s="164">
        <v>6.25E-2</v>
      </c>
      <c r="W206" s="164">
        <v>5.2150000000000002E-2</v>
      </c>
      <c r="X206" s="5" t="s">
        <v>146</v>
      </c>
      <c r="Y206" s="5" t="s">
        <v>141</v>
      </c>
      <c r="Z206" s="153">
        <v>45066</v>
      </c>
      <c r="AA206" s="162">
        <v>1</v>
      </c>
      <c r="AB206" s="172">
        <v>106.47</v>
      </c>
      <c r="AD206" s="153">
        <v>47.981999999999999</v>
      </c>
      <c r="AG206" s="3" t="s">
        <v>36</v>
      </c>
      <c r="AH206" s="164">
        <v>8.2000000000000001E-5</v>
      </c>
      <c r="AI206" s="164">
        <v>9.1880983089870499E-3</v>
      </c>
      <c r="AJ206" s="164">
        <v>9.9526029702458395E-4</v>
      </c>
    </row>
    <row r="207" spans="1:36">
      <c r="A207" s="3">
        <v>12904</v>
      </c>
      <c r="B207" s="3">
        <v>12905</v>
      </c>
      <c r="C207" s="3" t="s">
        <v>490</v>
      </c>
      <c r="D207" s="3" t="s">
        <v>491</v>
      </c>
      <c r="E207" s="5" t="s">
        <v>492</v>
      </c>
      <c r="F207" s="3" t="s">
        <v>496</v>
      </c>
      <c r="G207" s="3" t="s">
        <v>497</v>
      </c>
      <c r="H207" s="3" t="s">
        <v>137</v>
      </c>
      <c r="I207" s="3" t="s">
        <v>156</v>
      </c>
      <c r="J207" s="3" t="s">
        <v>30</v>
      </c>
      <c r="K207" s="3" t="s">
        <v>30</v>
      </c>
      <c r="L207" s="3" t="s">
        <v>139</v>
      </c>
      <c r="M207" s="3" t="s">
        <v>498</v>
      </c>
      <c r="N207" s="3" t="s">
        <v>208</v>
      </c>
      <c r="O207" s="3" t="s">
        <v>141</v>
      </c>
      <c r="P207" s="3" t="s">
        <v>142</v>
      </c>
      <c r="Q207" s="3" t="s">
        <v>143</v>
      </c>
      <c r="R207" s="3" t="s">
        <v>144</v>
      </c>
      <c r="S207" s="3" t="s">
        <v>34</v>
      </c>
      <c r="T207" s="153">
        <v>4.1349999999999998</v>
      </c>
      <c r="U207" s="3" t="s">
        <v>472</v>
      </c>
      <c r="V207" s="164">
        <v>2.9000000000000001E-2</v>
      </c>
      <c r="W207" s="164">
        <v>5.738E-2</v>
      </c>
      <c r="X207" s="5" t="s">
        <v>146</v>
      </c>
      <c r="Y207" s="5" t="s">
        <v>141</v>
      </c>
      <c r="Z207" s="153">
        <v>60000</v>
      </c>
      <c r="AA207" s="162">
        <v>1</v>
      </c>
      <c r="AB207" s="172">
        <v>102.45</v>
      </c>
      <c r="AD207" s="153">
        <v>61.47</v>
      </c>
      <c r="AG207" s="3" t="s">
        <v>36</v>
      </c>
      <c r="AH207" s="164">
        <v>1.7100000000000001E-4</v>
      </c>
      <c r="AI207" s="164">
        <v>1.1770978867583199E-2</v>
      </c>
      <c r="AJ207" s="164">
        <v>1.27503946192676E-3</v>
      </c>
    </row>
    <row r="208" spans="1:36">
      <c r="A208" s="3">
        <v>12904</v>
      </c>
      <c r="B208" s="3">
        <v>12905</v>
      </c>
      <c r="C208" s="3" t="s">
        <v>499</v>
      </c>
      <c r="D208" s="3" t="s">
        <v>500</v>
      </c>
      <c r="E208" s="5" t="s">
        <v>492</v>
      </c>
      <c r="F208" s="3" t="s">
        <v>501</v>
      </c>
      <c r="G208" s="3" t="s">
        <v>502</v>
      </c>
      <c r="H208" s="3" t="s">
        <v>137</v>
      </c>
      <c r="I208" s="3" t="s">
        <v>156</v>
      </c>
      <c r="J208" s="3" t="s">
        <v>30</v>
      </c>
      <c r="K208" s="3" t="s">
        <v>224</v>
      </c>
      <c r="L208" s="3" t="s">
        <v>139</v>
      </c>
      <c r="M208" s="3" t="s">
        <v>31</v>
      </c>
      <c r="N208" s="3" t="s">
        <v>208</v>
      </c>
      <c r="O208" s="3" t="s">
        <v>141</v>
      </c>
      <c r="P208" s="3" t="s">
        <v>180</v>
      </c>
      <c r="Q208" s="3" t="s">
        <v>143</v>
      </c>
      <c r="R208" s="3" t="s">
        <v>144</v>
      </c>
      <c r="S208" s="3" t="s">
        <v>34</v>
      </c>
      <c r="T208" s="153">
        <v>1.1879999999999999</v>
      </c>
      <c r="U208" s="3" t="s">
        <v>337</v>
      </c>
      <c r="V208" s="164">
        <v>3.49E-2</v>
      </c>
      <c r="W208" s="164">
        <v>5.4760000000000003E-2</v>
      </c>
      <c r="X208" s="5" t="s">
        <v>146</v>
      </c>
      <c r="Y208" s="5" t="s">
        <v>141</v>
      </c>
      <c r="Z208" s="153">
        <v>118320</v>
      </c>
      <c r="AA208" s="162">
        <v>1</v>
      </c>
      <c r="AB208" s="172">
        <v>98.69</v>
      </c>
      <c r="AD208" s="153">
        <v>116.77</v>
      </c>
      <c r="AG208" s="3" t="s">
        <v>36</v>
      </c>
      <c r="AH208" s="164">
        <v>1.25E-4</v>
      </c>
      <c r="AI208" s="164">
        <v>2.23604570772006E-2</v>
      </c>
      <c r="AJ208" s="164">
        <v>2.4220980668538E-3</v>
      </c>
    </row>
    <row r="209" spans="1:36">
      <c r="A209" s="3">
        <v>12904</v>
      </c>
      <c r="B209" s="3">
        <v>12905</v>
      </c>
      <c r="C209" s="3" t="s">
        <v>499</v>
      </c>
      <c r="D209" s="3" t="s">
        <v>500</v>
      </c>
      <c r="E209" s="5" t="s">
        <v>492</v>
      </c>
      <c r="F209" s="3" t="s">
        <v>503</v>
      </c>
      <c r="G209" s="3" t="s">
        <v>504</v>
      </c>
      <c r="H209" s="3" t="s">
        <v>137</v>
      </c>
      <c r="I209" s="3" t="s">
        <v>156</v>
      </c>
      <c r="J209" s="3" t="s">
        <v>30</v>
      </c>
      <c r="K209" s="3" t="s">
        <v>224</v>
      </c>
      <c r="L209" s="3" t="s">
        <v>139</v>
      </c>
      <c r="M209" s="3" t="s">
        <v>31</v>
      </c>
      <c r="N209" s="3" t="s">
        <v>208</v>
      </c>
      <c r="O209" s="3" t="s">
        <v>141</v>
      </c>
      <c r="P209" s="3" t="s">
        <v>180</v>
      </c>
      <c r="Q209" s="3" t="s">
        <v>143</v>
      </c>
      <c r="R209" s="3" t="s">
        <v>144</v>
      </c>
      <c r="S209" s="3" t="s">
        <v>34</v>
      </c>
      <c r="T209" s="153">
        <v>3.6960000000000002</v>
      </c>
      <c r="U209" s="3" t="s">
        <v>505</v>
      </c>
      <c r="V209" s="164">
        <v>6.7400000000000002E-2</v>
      </c>
      <c r="W209" s="164">
        <v>5.6890000000000003E-2</v>
      </c>
      <c r="X209" s="5" t="s">
        <v>146</v>
      </c>
      <c r="Y209" s="5" t="s">
        <v>141</v>
      </c>
      <c r="Z209" s="153">
        <v>31000</v>
      </c>
      <c r="AA209" s="162">
        <v>1</v>
      </c>
      <c r="AB209" s="172">
        <v>105.95</v>
      </c>
      <c r="AD209" s="153">
        <v>32.844000000000001</v>
      </c>
      <c r="AG209" s="3" t="s">
        <v>36</v>
      </c>
      <c r="AH209" s="164">
        <v>1.0900000000000001E-4</v>
      </c>
      <c r="AI209" s="164">
        <v>6.2894406282143602E-3</v>
      </c>
      <c r="AJ209" s="164">
        <v>6.8127596562962895E-4</v>
      </c>
    </row>
    <row r="210" spans="1:36">
      <c r="A210" s="3">
        <v>12904</v>
      </c>
      <c r="B210" s="3">
        <v>12905</v>
      </c>
      <c r="C210" s="3" t="s">
        <v>608</v>
      </c>
      <c r="D210" s="3" t="s">
        <v>609</v>
      </c>
      <c r="E210" s="5" t="s">
        <v>134</v>
      </c>
      <c r="F210" s="3" t="s">
        <v>610</v>
      </c>
      <c r="G210" s="3" t="s">
        <v>611</v>
      </c>
      <c r="H210" s="3" t="s">
        <v>137</v>
      </c>
      <c r="I210" s="3" t="s">
        <v>156</v>
      </c>
      <c r="J210" s="3" t="s">
        <v>30</v>
      </c>
      <c r="K210" s="3" t="s">
        <v>30</v>
      </c>
      <c r="L210" s="3" t="s">
        <v>139</v>
      </c>
      <c r="M210" s="3" t="s">
        <v>31</v>
      </c>
      <c r="N210" s="3" t="s">
        <v>612</v>
      </c>
      <c r="O210" s="3" t="s">
        <v>141</v>
      </c>
      <c r="P210" s="3" t="s">
        <v>142</v>
      </c>
      <c r="Q210" s="3" t="s">
        <v>143</v>
      </c>
      <c r="R210" s="3" t="s">
        <v>144</v>
      </c>
      <c r="S210" s="3" t="s">
        <v>34</v>
      </c>
      <c r="T210" s="153">
        <v>2.5470000000000002</v>
      </c>
      <c r="U210" s="3" t="s">
        <v>613</v>
      </c>
      <c r="V210" s="164">
        <v>4.7300000000000002E-2</v>
      </c>
      <c r="W210" s="164">
        <v>4.7289999999999999E-2</v>
      </c>
      <c r="X210" s="5" t="s">
        <v>146</v>
      </c>
      <c r="Y210" s="5" t="s">
        <v>141</v>
      </c>
      <c r="Z210" s="153">
        <v>14250</v>
      </c>
      <c r="AA210" s="162">
        <v>1</v>
      </c>
      <c r="AB210" s="172">
        <v>101.31</v>
      </c>
      <c r="AD210" s="153">
        <v>14.436999999999999</v>
      </c>
      <c r="AG210" s="3" t="s">
        <v>36</v>
      </c>
      <c r="AH210" s="164">
        <v>3.0000000000000001E-5</v>
      </c>
      <c r="AI210" s="164">
        <v>2.7644996964888099E-3</v>
      </c>
      <c r="AJ210" s="164">
        <v>2.9945225840265899E-4</v>
      </c>
    </row>
    <row r="211" spans="1:36">
      <c r="A211" s="3">
        <v>12904</v>
      </c>
      <c r="B211" s="3">
        <v>12905</v>
      </c>
      <c r="C211" s="3" t="s">
        <v>506</v>
      </c>
      <c r="D211" s="3" t="s">
        <v>507</v>
      </c>
      <c r="E211" s="5" t="s">
        <v>134</v>
      </c>
      <c r="F211" s="3" t="s">
        <v>508</v>
      </c>
      <c r="G211" s="3" t="s">
        <v>509</v>
      </c>
      <c r="H211" s="3" t="s">
        <v>137</v>
      </c>
      <c r="I211" s="3" t="s">
        <v>138</v>
      </c>
      <c r="J211" s="3" t="s">
        <v>30</v>
      </c>
      <c r="K211" s="3" t="s">
        <v>30</v>
      </c>
      <c r="L211" s="3" t="s">
        <v>139</v>
      </c>
      <c r="M211" s="3" t="s">
        <v>31</v>
      </c>
      <c r="N211" s="3" t="s">
        <v>186</v>
      </c>
      <c r="O211" s="3" t="s">
        <v>141</v>
      </c>
      <c r="P211" s="3" t="s">
        <v>510</v>
      </c>
      <c r="Q211" s="3" t="s">
        <v>164</v>
      </c>
      <c r="R211" s="3" t="s">
        <v>144</v>
      </c>
      <c r="S211" s="3" t="s">
        <v>34</v>
      </c>
      <c r="T211" s="153">
        <v>1.6930000000000001</v>
      </c>
      <c r="U211" s="3" t="s">
        <v>511</v>
      </c>
      <c r="V211" s="164">
        <v>1.77E-2</v>
      </c>
      <c r="W211" s="164">
        <v>2.93E-2</v>
      </c>
      <c r="X211" s="5" t="s">
        <v>146</v>
      </c>
      <c r="Y211" s="5" t="s">
        <v>141</v>
      </c>
      <c r="Z211" s="153">
        <v>20672.439999999999</v>
      </c>
      <c r="AA211" s="162">
        <v>1</v>
      </c>
      <c r="AB211" s="172">
        <v>116.94</v>
      </c>
      <c r="AD211" s="153">
        <v>24.173999999999999</v>
      </c>
      <c r="AG211" s="3" t="s">
        <v>36</v>
      </c>
      <c r="AH211" s="164">
        <v>7.9999999999999996E-6</v>
      </c>
      <c r="AI211" s="164">
        <v>4.6291813683681099E-3</v>
      </c>
      <c r="AJ211" s="164">
        <v>5.0143569090420998E-4</v>
      </c>
    </row>
    <row r="212" spans="1:36">
      <c r="A212" s="3">
        <v>12904</v>
      </c>
      <c r="B212" s="3">
        <v>12905</v>
      </c>
      <c r="C212" s="3" t="s">
        <v>506</v>
      </c>
      <c r="D212" s="3" t="s">
        <v>507</v>
      </c>
      <c r="E212" s="5" t="s">
        <v>134</v>
      </c>
      <c r="F212" s="3" t="s">
        <v>512</v>
      </c>
      <c r="G212" s="3" t="s">
        <v>513</v>
      </c>
      <c r="H212" s="3" t="s">
        <v>137</v>
      </c>
      <c r="I212" s="3" t="s">
        <v>138</v>
      </c>
      <c r="J212" s="3" t="s">
        <v>30</v>
      </c>
      <c r="K212" s="3" t="s">
        <v>30</v>
      </c>
      <c r="L212" s="3" t="s">
        <v>139</v>
      </c>
      <c r="M212" s="3" t="s">
        <v>31</v>
      </c>
      <c r="N212" s="3" t="s">
        <v>186</v>
      </c>
      <c r="O212" s="3" t="s">
        <v>141</v>
      </c>
      <c r="P212" s="3" t="s">
        <v>514</v>
      </c>
      <c r="Q212" s="3" t="s">
        <v>143</v>
      </c>
      <c r="R212" s="3" t="s">
        <v>144</v>
      </c>
      <c r="S212" s="3" t="s">
        <v>34</v>
      </c>
      <c r="T212" s="153">
        <v>6.157</v>
      </c>
      <c r="U212" s="3" t="s">
        <v>515</v>
      </c>
      <c r="V212" s="164">
        <v>8.9999999999999993E-3</v>
      </c>
      <c r="W212" s="164">
        <v>2.7810000000000001E-2</v>
      </c>
      <c r="X212" s="5" t="s">
        <v>146</v>
      </c>
      <c r="Y212" s="5" t="s">
        <v>141</v>
      </c>
      <c r="Z212" s="153">
        <v>91102.04</v>
      </c>
      <c r="AA212" s="162">
        <v>1</v>
      </c>
      <c r="AB212" s="172">
        <v>104.46</v>
      </c>
      <c r="AD212" s="153">
        <v>95.165000000000006</v>
      </c>
      <c r="AG212" s="3" t="s">
        <v>36</v>
      </c>
      <c r="AH212" s="164">
        <v>3.4E-5</v>
      </c>
      <c r="AI212" s="164">
        <v>1.8223319538021501E-2</v>
      </c>
      <c r="AJ212" s="164">
        <v>1.9739608574328299E-3</v>
      </c>
    </row>
    <row r="213" spans="1:36">
      <c r="A213" s="3">
        <v>12904</v>
      </c>
      <c r="B213" s="3">
        <v>12905</v>
      </c>
      <c r="C213" s="3" t="s">
        <v>506</v>
      </c>
      <c r="D213" s="3" t="s">
        <v>507</v>
      </c>
      <c r="E213" s="5" t="s">
        <v>134</v>
      </c>
      <c r="F213" s="3" t="s">
        <v>516</v>
      </c>
      <c r="G213" s="3" t="s">
        <v>517</v>
      </c>
      <c r="H213" s="3" t="s">
        <v>137</v>
      </c>
      <c r="I213" s="3" t="s">
        <v>138</v>
      </c>
      <c r="J213" s="3" t="s">
        <v>30</v>
      </c>
      <c r="K213" s="3" t="s">
        <v>30</v>
      </c>
      <c r="L213" s="3" t="s">
        <v>139</v>
      </c>
      <c r="M213" s="3" t="s">
        <v>31</v>
      </c>
      <c r="N213" s="3" t="s">
        <v>186</v>
      </c>
      <c r="O213" s="3" t="s">
        <v>141</v>
      </c>
      <c r="P213" s="3" t="s">
        <v>514</v>
      </c>
      <c r="Q213" s="3" t="s">
        <v>143</v>
      </c>
      <c r="R213" s="3" t="s">
        <v>144</v>
      </c>
      <c r="S213" s="3" t="s">
        <v>34</v>
      </c>
      <c r="T213" s="153">
        <v>9.6180000000000003</v>
      </c>
      <c r="U213" s="3" t="s">
        <v>518</v>
      </c>
      <c r="V213" s="164">
        <v>1.6899999999999998E-2</v>
      </c>
      <c r="W213" s="164">
        <v>2.9430000000000001E-2</v>
      </c>
      <c r="X213" s="5" t="s">
        <v>146</v>
      </c>
      <c r="Y213" s="5" t="s">
        <v>141</v>
      </c>
      <c r="Z213" s="153">
        <v>45215</v>
      </c>
      <c r="AA213" s="162">
        <v>1</v>
      </c>
      <c r="AB213" s="172">
        <v>104.3</v>
      </c>
      <c r="AD213" s="153">
        <v>47.158999999999999</v>
      </c>
      <c r="AG213" s="3" t="s">
        <v>36</v>
      </c>
      <c r="AH213" s="164">
        <v>1.0000000000000001E-5</v>
      </c>
      <c r="AI213" s="164">
        <v>9.0305917733232398E-3</v>
      </c>
      <c r="AJ213" s="164">
        <v>9.7819909500035797E-4</v>
      </c>
    </row>
    <row r="214" spans="1:36">
      <c r="A214" s="3">
        <v>12904</v>
      </c>
      <c r="B214" s="3">
        <v>12905</v>
      </c>
      <c r="C214" s="3" t="s">
        <v>506</v>
      </c>
      <c r="D214" s="3" t="s">
        <v>507</v>
      </c>
      <c r="E214" s="5" t="s">
        <v>134</v>
      </c>
      <c r="F214" s="3" t="s">
        <v>519</v>
      </c>
      <c r="G214" s="3" t="s">
        <v>520</v>
      </c>
      <c r="H214" s="3" t="s">
        <v>137</v>
      </c>
      <c r="I214" s="3" t="s">
        <v>138</v>
      </c>
      <c r="J214" s="3" t="s">
        <v>30</v>
      </c>
      <c r="K214" s="3" t="s">
        <v>30</v>
      </c>
      <c r="L214" s="3" t="s">
        <v>139</v>
      </c>
      <c r="M214" s="3" t="s">
        <v>31</v>
      </c>
      <c r="N214" s="3" t="s">
        <v>186</v>
      </c>
      <c r="O214" s="3" t="s">
        <v>141</v>
      </c>
      <c r="P214" s="3" t="s">
        <v>510</v>
      </c>
      <c r="Q214" s="3" t="s">
        <v>164</v>
      </c>
      <c r="R214" s="3" t="s">
        <v>144</v>
      </c>
      <c r="S214" s="3" t="s">
        <v>34</v>
      </c>
      <c r="T214" s="153">
        <v>11.696</v>
      </c>
      <c r="U214" s="3" t="s">
        <v>521</v>
      </c>
      <c r="V214" s="164">
        <v>3.6700000000000003E-2</v>
      </c>
      <c r="W214" s="164">
        <v>3.0839999999999999E-2</v>
      </c>
      <c r="X214" s="5" t="s">
        <v>146</v>
      </c>
      <c r="Y214" s="5" t="s">
        <v>141</v>
      </c>
      <c r="Z214" s="153">
        <v>57000</v>
      </c>
      <c r="AA214" s="162">
        <v>1</v>
      </c>
      <c r="AB214" s="172">
        <v>112.94</v>
      </c>
      <c r="AD214" s="153">
        <v>64.376000000000005</v>
      </c>
      <c r="AG214" s="3" t="s">
        <v>36</v>
      </c>
      <c r="AH214" s="164">
        <v>1.1E-5</v>
      </c>
      <c r="AI214" s="164">
        <v>1.23274146963358E-2</v>
      </c>
      <c r="AJ214" s="164">
        <v>1.33531292326508E-3</v>
      </c>
    </row>
    <row r="215" spans="1:36">
      <c r="A215" s="3">
        <v>12904</v>
      </c>
      <c r="B215" s="3">
        <v>12905</v>
      </c>
      <c r="C215" s="3" t="s">
        <v>522</v>
      </c>
      <c r="D215" s="3" t="s">
        <v>523</v>
      </c>
      <c r="E215" s="5" t="s">
        <v>134</v>
      </c>
      <c r="F215" s="3" t="s">
        <v>524</v>
      </c>
      <c r="G215" s="3" t="s">
        <v>525</v>
      </c>
      <c r="H215" s="3" t="s">
        <v>137</v>
      </c>
      <c r="I215" s="3" t="s">
        <v>138</v>
      </c>
      <c r="J215" s="3" t="s">
        <v>30</v>
      </c>
      <c r="K215" s="3" t="s">
        <v>30</v>
      </c>
      <c r="L215" s="3" t="s">
        <v>139</v>
      </c>
      <c r="M215" s="3" t="s">
        <v>31</v>
      </c>
      <c r="N215" s="3" t="s">
        <v>285</v>
      </c>
      <c r="O215" s="3" t="s">
        <v>141</v>
      </c>
      <c r="P215" s="3" t="s">
        <v>142</v>
      </c>
      <c r="Q215" s="3" t="s">
        <v>143</v>
      </c>
      <c r="R215" s="3" t="s">
        <v>144</v>
      </c>
      <c r="S215" s="3" t="s">
        <v>34</v>
      </c>
      <c r="T215" s="153">
        <v>10.029</v>
      </c>
      <c r="U215" s="3" t="s">
        <v>526</v>
      </c>
      <c r="V215" s="164">
        <v>3.1899999999999998E-2</v>
      </c>
      <c r="W215" s="164">
        <v>3.2599999999999997E-2</v>
      </c>
      <c r="X215" s="5" t="s">
        <v>146</v>
      </c>
      <c r="Y215" s="5" t="s">
        <v>141</v>
      </c>
      <c r="Z215" s="153">
        <v>63000</v>
      </c>
      <c r="AA215" s="162">
        <v>1</v>
      </c>
      <c r="AB215" s="172">
        <v>100.37</v>
      </c>
      <c r="AD215" s="153">
        <v>63.232999999999997</v>
      </c>
      <c r="AG215" s="3" t="s">
        <v>36</v>
      </c>
      <c r="AH215" s="164">
        <v>6.6000000000000005E-5</v>
      </c>
      <c r="AI215" s="164">
        <v>1.2108597426903799E-2</v>
      </c>
      <c r="AJ215" s="164">
        <v>1.31161050593722E-3</v>
      </c>
    </row>
    <row r="216" spans="1:36">
      <c r="A216" s="3">
        <v>12904</v>
      </c>
      <c r="B216" s="3">
        <v>12905</v>
      </c>
      <c r="C216" s="3" t="s">
        <v>522</v>
      </c>
      <c r="D216" s="3" t="s">
        <v>523</v>
      </c>
      <c r="E216" s="5" t="s">
        <v>134</v>
      </c>
      <c r="F216" s="3" t="s">
        <v>527</v>
      </c>
      <c r="G216" s="3" t="s">
        <v>528</v>
      </c>
      <c r="H216" s="3" t="s">
        <v>137</v>
      </c>
      <c r="I216" s="3" t="s">
        <v>138</v>
      </c>
      <c r="J216" s="3" t="s">
        <v>30</v>
      </c>
      <c r="K216" s="3" t="s">
        <v>30</v>
      </c>
      <c r="L216" s="3" t="s">
        <v>139</v>
      </c>
      <c r="M216" s="3" t="s">
        <v>31</v>
      </c>
      <c r="N216" s="3" t="s">
        <v>285</v>
      </c>
      <c r="O216" s="3" t="s">
        <v>141</v>
      </c>
      <c r="P216" s="3" t="s">
        <v>142</v>
      </c>
      <c r="Q216" s="3" t="s">
        <v>143</v>
      </c>
      <c r="R216" s="3" t="s">
        <v>144</v>
      </c>
      <c r="S216" s="3" t="s">
        <v>34</v>
      </c>
      <c r="T216" s="153">
        <v>3.8340000000000001</v>
      </c>
      <c r="U216" s="3" t="s">
        <v>529</v>
      </c>
      <c r="V216" s="164">
        <v>3.7100000000000001E-2</v>
      </c>
      <c r="W216" s="164">
        <v>2.98E-2</v>
      </c>
      <c r="X216" s="5" t="s">
        <v>146</v>
      </c>
      <c r="Y216" s="5" t="s">
        <v>141</v>
      </c>
      <c r="Z216" s="153">
        <v>50000</v>
      </c>
      <c r="AA216" s="162">
        <v>1</v>
      </c>
      <c r="AB216" s="172">
        <v>112.43</v>
      </c>
      <c r="AD216" s="153">
        <v>56.215000000000003</v>
      </c>
      <c r="AG216" s="3" t="s">
        <v>36</v>
      </c>
      <c r="AH216" s="164">
        <v>1.2999999999999999E-4</v>
      </c>
      <c r="AI216" s="164">
        <v>1.0764691346041799E-2</v>
      </c>
      <c r="AJ216" s="164">
        <v>1.16603779652208E-3</v>
      </c>
    </row>
    <row r="217" spans="1:36">
      <c r="A217" s="3">
        <v>12904</v>
      </c>
      <c r="B217" s="3">
        <v>12905</v>
      </c>
      <c r="C217" s="3" t="s">
        <v>522</v>
      </c>
      <c r="D217" s="3" t="s">
        <v>523</v>
      </c>
      <c r="E217" s="5" t="s">
        <v>134</v>
      </c>
      <c r="F217" s="3" t="s">
        <v>530</v>
      </c>
      <c r="G217" s="3" t="s">
        <v>531</v>
      </c>
      <c r="H217" s="3" t="s">
        <v>137</v>
      </c>
      <c r="I217" s="3" t="s">
        <v>138</v>
      </c>
      <c r="J217" s="3" t="s">
        <v>30</v>
      </c>
      <c r="K217" s="3" t="s">
        <v>30</v>
      </c>
      <c r="L217" s="3" t="s">
        <v>139</v>
      </c>
      <c r="M217" s="3" t="s">
        <v>31</v>
      </c>
      <c r="N217" s="3" t="s">
        <v>285</v>
      </c>
      <c r="O217" s="3" t="s">
        <v>141</v>
      </c>
      <c r="P217" s="3" t="s">
        <v>142</v>
      </c>
      <c r="Q217" s="3" t="s">
        <v>143</v>
      </c>
      <c r="R217" s="3" t="s">
        <v>144</v>
      </c>
      <c r="S217" s="3" t="s">
        <v>34</v>
      </c>
      <c r="T217" s="153">
        <v>6.2939999999999996</v>
      </c>
      <c r="U217" s="3" t="s">
        <v>532</v>
      </c>
      <c r="V217" s="164">
        <v>3.4500000000000003E-2</v>
      </c>
      <c r="W217" s="164">
        <v>2.9739999999999999E-2</v>
      </c>
      <c r="X217" s="5" t="s">
        <v>146</v>
      </c>
      <c r="Y217" s="5" t="s">
        <v>141</v>
      </c>
      <c r="Z217" s="153">
        <v>63000</v>
      </c>
      <c r="AA217" s="162">
        <v>1</v>
      </c>
      <c r="AB217" s="172">
        <v>108.65</v>
      </c>
      <c r="AD217" s="153">
        <v>68.45</v>
      </c>
      <c r="AG217" s="3" t="s">
        <v>36</v>
      </c>
      <c r="AH217" s="164">
        <v>4.3000000000000002E-5</v>
      </c>
      <c r="AI217" s="164">
        <v>1.3107493378829301E-2</v>
      </c>
      <c r="AJ217" s="164">
        <v>1.41981151210599E-3</v>
      </c>
    </row>
    <row r="218" spans="1:36">
      <c r="A218" s="3">
        <v>12904</v>
      </c>
      <c r="B218" s="3">
        <v>12905</v>
      </c>
      <c r="C218" s="3" t="s">
        <v>533</v>
      </c>
      <c r="D218" s="3" t="s">
        <v>534</v>
      </c>
      <c r="E218" s="5" t="s">
        <v>134</v>
      </c>
      <c r="F218" s="3" t="s">
        <v>535</v>
      </c>
      <c r="G218" s="3" t="s">
        <v>536</v>
      </c>
      <c r="H218" s="3" t="s">
        <v>137</v>
      </c>
      <c r="I218" s="3" t="s">
        <v>156</v>
      </c>
      <c r="J218" s="3" t="s">
        <v>30</v>
      </c>
      <c r="K218" s="3" t="s">
        <v>30</v>
      </c>
      <c r="L218" s="3" t="s">
        <v>139</v>
      </c>
      <c r="M218" s="3" t="s">
        <v>31</v>
      </c>
      <c r="N218" s="3" t="s">
        <v>208</v>
      </c>
      <c r="O218" s="3" t="s">
        <v>141</v>
      </c>
      <c r="P218" s="3" t="s">
        <v>171</v>
      </c>
      <c r="Q218" s="3" t="s">
        <v>164</v>
      </c>
      <c r="R218" s="3" t="s">
        <v>144</v>
      </c>
      <c r="S218" s="3" t="s">
        <v>34</v>
      </c>
      <c r="T218" s="153">
        <v>5.5339999999999998</v>
      </c>
      <c r="U218" s="3" t="s">
        <v>330</v>
      </c>
      <c r="V218" s="164">
        <v>5.5899999999999998E-2</v>
      </c>
      <c r="W218" s="164">
        <v>5.425E-2</v>
      </c>
      <c r="X218" s="5" t="s">
        <v>146</v>
      </c>
      <c r="Y218" s="5" t="s">
        <v>141</v>
      </c>
      <c r="Z218" s="153">
        <v>73000</v>
      </c>
      <c r="AA218" s="162">
        <v>1</v>
      </c>
      <c r="AB218" s="172">
        <v>101.35</v>
      </c>
      <c r="AD218" s="153">
        <v>73.986000000000004</v>
      </c>
      <c r="AG218" s="3" t="s">
        <v>36</v>
      </c>
      <c r="AH218" s="164">
        <v>3.2600000000000001E-4</v>
      </c>
      <c r="AI218" s="164">
        <v>1.4167589995242799E-2</v>
      </c>
      <c r="AJ218" s="164">
        <v>1.53464181080823E-3</v>
      </c>
    </row>
    <row r="219" spans="1:36">
      <c r="A219" s="3">
        <v>12904</v>
      </c>
      <c r="B219" s="3">
        <v>12905</v>
      </c>
      <c r="C219" s="3" t="s">
        <v>533</v>
      </c>
      <c r="D219" s="3" t="s">
        <v>534</v>
      </c>
      <c r="E219" s="5" t="s">
        <v>134</v>
      </c>
      <c r="F219" s="3" t="s">
        <v>537</v>
      </c>
      <c r="G219" s="3" t="s">
        <v>538</v>
      </c>
      <c r="H219" s="3" t="s">
        <v>137</v>
      </c>
      <c r="I219" s="3" t="s">
        <v>156</v>
      </c>
      <c r="J219" s="3" t="s">
        <v>30</v>
      </c>
      <c r="K219" s="3" t="s">
        <v>30</v>
      </c>
      <c r="L219" s="3" t="s">
        <v>139</v>
      </c>
      <c r="M219" s="3" t="s">
        <v>31</v>
      </c>
      <c r="N219" s="3" t="s">
        <v>208</v>
      </c>
      <c r="O219" s="3" t="s">
        <v>141</v>
      </c>
      <c r="P219" s="3" t="s">
        <v>171</v>
      </c>
      <c r="Q219" s="3" t="s">
        <v>164</v>
      </c>
      <c r="R219" s="3" t="s">
        <v>144</v>
      </c>
      <c r="S219" s="3" t="s">
        <v>34</v>
      </c>
      <c r="T219" s="153">
        <v>1.37</v>
      </c>
      <c r="U219" s="3" t="s">
        <v>539</v>
      </c>
      <c r="V219" s="164">
        <v>2.6499999999999999E-2</v>
      </c>
      <c r="W219" s="164">
        <v>4.9149999999999999E-2</v>
      </c>
      <c r="X219" s="5" t="s">
        <v>146</v>
      </c>
      <c r="Y219" s="5" t="s">
        <v>141</v>
      </c>
      <c r="Z219" s="153">
        <v>22857.14</v>
      </c>
      <c r="AA219" s="162">
        <v>1</v>
      </c>
      <c r="AB219" s="172">
        <v>97.33</v>
      </c>
      <c r="AD219" s="153">
        <v>22.247</v>
      </c>
      <c r="AG219" s="3" t="s">
        <v>36</v>
      </c>
      <c r="AH219" s="164">
        <v>5.5999999999999999E-5</v>
      </c>
      <c r="AI219" s="164">
        <v>4.2600821956288197E-3</v>
      </c>
      <c r="AJ219" s="164">
        <v>4.6145464804436901E-4</v>
      </c>
    </row>
    <row r="220" spans="1:36">
      <c r="A220" s="3">
        <v>12904</v>
      </c>
      <c r="B220" s="3">
        <v>12905</v>
      </c>
      <c r="C220" s="3" t="s">
        <v>540</v>
      </c>
      <c r="D220" s="3" t="s">
        <v>541</v>
      </c>
      <c r="E220" s="5" t="s">
        <v>134</v>
      </c>
      <c r="F220" s="3" t="s">
        <v>542</v>
      </c>
      <c r="G220" s="3" t="s">
        <v>543</v>
      </c>
      <c r="H220" s="3" t="s">
        <v>137</v>
      </c>
      <c r="I220" s="3" t="s">
        <v>156</v>
      </c>
      <c r="J220" s="3" t="s">
        <v>30</v>
      </c>
      <c r="K220" s="3" t="s">
        <v>30</v>
      </c>
      <c r="L220" s="3" t="s">
        <v>139</v>
      </c>
      <c r="M220" s="3" t="s">
        <v>31</v>
      </c>
      <c r="N220" s="3" t="s">
        <v>544</v>
      </c>
      <c r="O220" s="3" t="s">
        <v>141</v>
      </c>
      <c r="P220" s="3" t="s">
        <v>171</v>
      </c>
      <c r="Q220" s="3" t="s">
        <v>164</v>
      </c>
      <c r="R220" s="3" t="s">
        <v>144</v>
      </c>
      <c r="S220" s="3" t="s">
        <v>34</v>
      </c>
      <c r="T220" s="153">
        <v>3.734</v>
      </c>
      <c r="U220" s="3" t="s">
        <v>545</v>
      </c>
      <c r="V220" s="164">
        <v>6.3299999999999995E-2</v>
      </c>
      <c r="W220" s="164">
        <v>5.2850000000000001E-2</v>
      </c>
      <c r="X220" s="5" t="s">
        <v>146</v>
      </c>
      <c r="Y220" s="5" t="s">
        <v>141</v>
      </c>
      <c r="Z220" s="153">
        <v>63000</v>
      </c>
      <c r="AA220" s="162">
        <v>1</v>
      </c>
      <c r="AB220" s="172">
        <v>104.74</v>
      </c>
      <c r="AD220" s="153">
        <v>65.986000000000004</v>
      </c>
      <c r="AG220" s="3" t="s">
        <v>36</v>
      </c>
      <c r="AH220" s="164">
        <v>9.6000000000000002E-5</v>
      </c>
      <c r="AI220" s="164">
        <v>1.26357925126423E-2</v>
      </c>
      <c r="AJ220" s="164">
        <v>1.36871659252629E-3</v>
      </c>
    </row>
    <row r="221" spans="1:36">
      <c r="A221" s="3">
        <v>12904</v>
      </c>
      <c r="B221" s="3">
        <v>12905</v>
      </c>
      <c r="C221" s="3" t="s">
        <v>546</v>
      </c>
      <c r="D221" s="3" t="s">
        <v>547</v>
      </c>
      <c r="E221" s="5" t="s">
        <v>134</v>
      </c>
      <c r="F221" s="3" t="s">
        <v>548</v>
      </c>
      <c r="G221" s="3" t="s">
        <v>549</v>
      </c>
      <c r="H221" s="3" t="s">
        <v>137</v>
      </c>
      <c r="I221" s="3" t="s">
        <v>138</v>
      </c>
      <c r="J221" s="3" t="s">
        <v>30</v>
      </c>
      <c r="K221" s="3" t="s">
        <v>30</v>
      </c>
      <c r="L221" s="3" t="s">
        <v>139</v>
      </c>
      <c r="M221" s="3" t="s">
        <v>31</v>
      </c>
      <c r="N221" s="3" t="s">
        <v>199</v>
      </c>
      <c r="O221" s="3" t="s">
        <v>141</v>
      </c>
      <c r="P221" s="3" t="s">
        <v>481</v>
      </c>
      <c r="Q221" s="3" t="s">
        <v>481</v>
      </c>
      <c r="R221" s="3" t="s">
        <v>481</v>
      </c>
      <c r="S221" s="3" t="s">
        <v>34</v>
      </c>
      <c r="T221" s="153">
        <v>6.4660000000000002</v>
      </c>
      <c r="U221" s="3" t="s">
        <v>550</v>
      </c>
      <c r="V221" s="164">
        <v>4.1000000000000002E-2</v>
      </c>
      <c r="W221" s="164">
        <v>3.7850000000000002E-2</v>
      </c>
      <c r="X221" s="5" t="s">
        <v>146</v>
      </c>
      <c r="Y221" s="5" t="s">
        <v>141</v>
      </c>
      <c r="Z221" s="153">
        <v>84000</v>
      </c>
      <c r="AA221" s="162">
        <v>1</v>
      </c>
      <c r="AB221" s="172">
        <v>104.73</v>
      </c>
      <c r="AD221" s="153">
        <v>87.972999999999999</v>
      </c>
      <c r="AG221" s="3" t="s">
        <v>36</v>
      </c>
      <c r="AH221" s="164">
        <v>2.9999999999999997E-4</v>
      </c>
      <c r="AI221" s="164">
        <v>1.68461148220867E-2</v>
      </c>
      <c r="AJ221" s="164">
        <v>1.8247812199768099E-3</v>
      </c>
    </row>
    <row r="222" spans="1:36">
      <c r="A222" s="3">
        <v>12904</v>
      </c>
      <c r="B222" s="3">
        <v>12905</v>
      </c>
      <c r="C222" s="3" t="s">
        <v>551</v>
      </c>
      <c r="D222" s="3" t="s">
        <v>552</v>
      </c>
      <c r="E222" s="5" t="s">
        <v>134</v>
      </c>
      <c r="F222" s="3" t="s">
        <v>553</v>
      </c>
      <c r="G222" s="3" t="s">
        <v>554</v>
      </c>
      <c r="H222" s="3" t="s">
        <v>137</v>
      </c>
      <c r="I222" s="3" t="s">
        <v>156</v>
      </c>
      <c r="J222" s="3" t="s">
        <v>30</v>
      </c>
      <c r="K222" s="3" t="s">
        <v>30</v>
      </c>
      <c r="L222" s="3" t="s">
        <v>139</v>
      </c>
      <c r="M222" s="3" t="s">
        <v>31</v>
      </c>
      <c r="N222" s="3" t="s">
        <v>555</v>
      </c>
      <c r="O222" s="3" t="s">
        <v>141</v>
      </c>
      <c r="P222" s="3" t="s">
        <v>142</v>
      </c>
      <c r="Q222" s="3" t="s">
        <v>143</v>
      </c>
      <c r="R222" s="3" t="s">
        <v>144</v>
      </c>
      <c r="S222" s="3" t="s">
        <v>34</v>
      </c>
      <c r="T222" s="153">
        <v>3.399</v>
      </c>
      <c r="U222" s="3" t="s">
        <v>556</v>
      </c>
      <c r="V222" s="164">
        <v>5.04E-2</v>
      </c>
      <c r="W222" s="164">
        <v>4.922E-2</v>
      </c>
      <c r="X222" s="5" t="s">
        <v>146</v>
      </c>
      <c r="Y222" s="5" t="s">
        <v>141</v>
      </c>
      <c r="Z222" s="153">
        <v>83000</v>
      </c>
      <c r="AA222" s="162">
        <v>1</v>
      </c>
      <c r="AB222" s="172">
        <v>101.51</v>
      </c>
      <c r="AD222" s="153">
        <v>84.253</v>
      </c>
      <c r="AG222" s="3" t="s">
        <v>36</v>
      </c>
      <c r="AH222" s="164">
        <v>1.6799999999999999E-4</v>
      </c>
      <c r="AI222" s="164">
        <v>1.61337858113575E-2</v>
      </c>
      <c r="AJ222" s="164">
        <v>1.7476213160493501E-3</v>
      </c>
    </row>
    <row r="223" spans="1:36">
      <c r="A223" s="3">
        <v>12904</v>
      </c>
      <c r="B223" s="3">
        <v>12905</v>
      </c>
      <c r="C223" s="3" t="s">
        <v>614</v>
      </c>
      <c r="D223" s="3" t="s">
        <v>615</v>
      </c>
      <c r="E223" s="5" t="s">
        <v>134</v>
      </c>
      <c r="F223" s="3" t="s">
        <v>616</v>
      </c>
      <c r="G223" s="3" t="s">
        <v>617</v>
      </c>
      <c r="H223" s="3" t="s">
        <v>137</v>
      </c>
      <c r="I223" s="3" t="s">
        <v>138</v>
      </c>
      <c r="J223" s="3" t="s">
        <v>30</v>
      </c>
      <c r="K223" s="3" t="s">
        <v>30</v>
      </c>
      <c r="L223" s="3" t="s">
        <v>139</v>
      </c>
      <c r="M223" s="3" t="s">
        <v>31</v>
      </c>
      <c r="N223" s="3" t="s">
        <v>186</v>
      </c>
      <c r="O223" s="3" t="s">
        <v>141</v>
      </c>
      <c r="P223" s="3" t="s">
        <v>180</v>
      </c>
      <c r="Q223" s="3" t="s">
        <v>143</v>
      </c>
      <c r="R223" s="3" t="s">
        <v>144</v>
      </c>
      <c r="S223" s="3" t="s">
        <v>34</v>
      </c>
      <c r="T223" s="153">
        <v>5.8140000000000001</v>
      </c>
      <c r="U223" s="3" t="s">
        <v>618</v>
      </c>
      <c r="V223" s="164">
        <v>2.5000000000000001E-2</v>
      </c>
      <c r="W223" s="164">
        <v>2.9170000000000001E-2</v>
      </c>
      <c r="X223" s="5" t="s">
        <v>146</v>
      </c>
      <c r="Y223" s="5" t="s">
        <v>141</v>
      </c>
      <c r="Z223" s="153">
        <v>30000</v>
      </c>
      <c r="AA223" s="162">
        <v>1</v>
      </c>
      <c r="AB223" s="172">
        <v>116.08</v>
      </c>
      <c r="AD223" s="153">
        <v>34.823999999999998</v>
      </c>
      <c r="AG223" s="3" t="s">
        <v>36</v>
      </c>
      <c r="AH223" s="164">
        <v>2.1999999999999999E-5</v>
      </c>
      <c r="AI223" s="164">
        <v>6.6684979353297197E-3</v>
      </c>
      <c r="AJ223" s="164">
        <v>7.2233567955323405E-4</v>
      </c>
    </row>
    <row r="224" spans="1:36">
      <c r="A224" s="3">
        <v>12904</v>
      </c>
      <c r="B224" s="3">
        <v>12905</v>
      </c>
      <c r="C224" s="3" t="s">
        <v>561</v>
      </c>
      <c r="D224" s="3" t="s">
        <v>562</v>
      </c>
      <c r="E224" s="5" t="s">
        <v>492</v>
      </c>
      <c r="F224" s="3" t="s">
        <v>563</v>
      </c>
      <c r="G224" s="3" t="s">
        <v>564</v>
      </c>
      <c r="H224" s="3" t="s">
        <v>137</v>
      </c>
      <c r="I224" s="3" t="s">
        <v>565</v>
      </c>
      <c r="J224" s="3" t="s">
        <v>30</v>
      </c>
      <c r="K224" s="3" t="s">
        <v>566</v>
      </c>
      <c r="L224" s="3" t="s">
        <v>139</v>
      </c>
      <c r="M224" s="3" t="s">
        <v>31</v>
      </c>
      <c r="N224" s="3" t="s">
        <v>208</v>
      </c>
      <c r="O224" s="3" t="s">
        <v>141</v>
      </c>
      <c r="P224" s="3" t="s">
        <v>271</v>
      </c>
      <c r="Q224" s="3" t="s">
        <v>164</v>
      </c>
      <c r="R224" s="3" t="s">
        <v>144</v>
      </c>
      <c r="S224" s="3" t="s">
        <v>34</v>
      </c>
      <c r="T224" s="153">
        <v>2.3410000000000002</v>
      </c>
      <c r="U224" s="3" t="s">
        <v>567</v>
      </c>
      <c r="V224" s="164">
        <v>4.2999999999999997E-2</v>
      </c>
      <c r="W224" s="164">
        <v>7.3359999999999995E-2</v>
      </c>
      <c r="X224" s="5" t="s">
        <v>146</v>
      </c>
      <c r="Y224" s="5" t="s">
        <v>141</v>
      </c>
      <c r="Z224" s="153">
        <v>0.44</v>
      </c>
      <c r="AA224" s="162">
        <v>1</v>
      </c>
      <c r="AB224" s="172">
        <v>88.55</v>
      </c>
      <c r="AD224" s="153">
        <v>0</v>
      </c>
      <c r="AG224" s="3" t="s">
        <v>36</v>
      </c>
      <c r="AH224" s="164">
        <v>0</v>
      </c>
      <c r="AI224" s="164">
        <v>7.4608895174683095E-8</v>
      </c>
      <c r="AJ224" s="164">
        <v>8.0816800903839606E-9</v>
      </c>
    </row>
    <row r="225" spans="1:36">
      <c r="A225" s="3">
        <v>12904</v>
      </c>
      <c r="B225" s="3">
        <v>12905</v>
      </c>
      <c r="C225" s="3" t="s">
        <v>619</v>
      </c>
      <c r="D225" s="3" t="s">
        <v>620</v>
      </c>
      <c r="E225" s="5" t="s">
        <v>134</v>
      </c>
      <c r="F225" s="3" t="s">
        <v>621</v>
      </c>
      <c r="G225" s="3" t="s">
        <v>622</v>
      </c>
      <c r="H225" s="3" t="s">
        <v>137</v>
      </c>
      <c r="I225" s="3" t="s">
        <v>156</v>
      </c>
      <c r="J225" s="3" t="s">
        <v>30</v>
      </c>
      <c r="K225" s="3" t="s">
        <v>30</v>
      </c>
      <c r="L225" s="3" t="s">
        <v>139</v>
      </c>
      <c r="M225" s="3" t="s">
        <v>31</v>
      </c>
      <c r="N225" s="3" t="s">
        <v>555</v>
      </c>
      <c r="O225" s="3" t="s">
        <v>141</v>
      </c>
      <c r="P225" s="3" t="s">
        <v>163</v>
      </c>
      <c r="Q225" s="3" t="s">
        <v>164</v>
      </c>
      <c r="R225" s="3" t="s">
        <v>144</v>
      </c>
      <c r="S225" s="3" t="s">
        <v>34</v>
      </c>
      <c r="T225" s="153">
        <v>4.532</v>
      </c>
      <c r="U225" s="3" t="s">
        <v>295</v>
      </c>
      <c r="V225" s="164">
        <v>5.8500000000000003E-2</v>
      </c>
      <c r="W225" s="164">
        <v>4.8800000000000003E-2</v>
      </c>
      <c r="X225" s="5" t="s">
        <v>146</v>
      </c>
      <c r="Y225" s="5" t="s">
        <v>141</v>
      </c>
      <c r="Z225" s="153">
        <v>26000</v>
      </c>
      <c r="AA225" s="162">
        <v>1</v>
      </c>
      <c r="AB225" s="172">
        <v>105.82</v>
      </c>
      <c r="AD225" s="153">
        <v>27.513000000000002</v>
      </c>
      <c r="AG225" s="3" t="s">
        <v>36</v>
      </c>
      <c r="AH225" s="164">
        <v>1.6799999999999999E-4</v>
      </c>
      <c r="AI225" s="164">
        <v>5.2685423097379299E-3</v>
      </c>
      <c r="AJ225" s="164">
        <v>5.7069164997369803E-4</v>
      </c>
    </row>
    <row r="226" spans="1:36">
      <c r="A226" s="3">
        <v>12904</v>
      </c>
      <c r="B226" s="3">
        <v>13680</v>
      </c>
      <c r="C226" s="3" t="s">
        <v>166</v>
      </c>
      <c r="D226" s="3" t="s">
        <v>167</v>
      </c>
      <c r="E226" s="5" t="s">
        <v>134</v>
      </c>
      <c r="F226" s="3" t="s">
        <v>168</v>
      </c>
      <c r="G226" s="3" t="s">
        <v>169</v>
      </c>
      <c r="H226" s="3" t="s">
        <v>137</v>
      </c>
      <c r="I226" s="3" t="s">
        <v>156</v>
      </c>
      <c r="J226" s="3" t="s">
        <v>30</v>
      </c>
      <c r="K226" s="3" t="s">
        <v>30</v>
      </c>
      <c r="L226" s="3" t="s">
        <v>139</v>
      </c>
      <c r="M226" s="3" t="s">
        <v>31</v>
      </c>
      <c r="N226" s="3" t="s">
        <v>170</v>
      </c>
      <c r="O226" s="3" t="s">
        <v>141</v>
      </c>
      <c r="P226" s="3" t="s">
        <v>171</v>
      </c>
      <c r="Q226" s="3" t="s">
        <v>164</v>
      </c>
      <c r="R226" s="3" t="s">
        <v>144</v>
      </c>
      <c r="S226" s="3" t="s">
        <v>34</v>
      </c>
      <c r="T226" s="153">
        <v>5.9370000000000003</v>
      </c>
      <c r="U226" s="3" t="s">
        <v>172</v>
      </c>
      <c r="V226" s="164">
        <v>5.1299999999999998E-2</v>
      </c>
      <c r="W226" s="164">
        <v>5.1470000000000002E-2</v>
      </c>
      <c r="X226" s="5" t="s">
        <v>146</v>
      </c>
      <c r="Y226" s="5" t="s">
        <v>141</v>
      </c>
      <c r="Z226" s="153">
        <v>25000</v>
      </c>
      <c r="AA226" s="162">
        <v>1</v>
      </c>
      <c r="AB226" s="172">
        <v>100.43</v>
      </c>
      <c r="AD226" s="153">
        <v>25.108000000000001</v>
      </c>
      <c r="AG226" s="3" t="s">
        <v>36</v>
      </c>
      <c r="AH226" s="164">
        <v>7.2999999999999999E-5</v>
      </c>
      <c r="AI226" s="164">
        <v>2.5993024422197902E-2</v>
      </c>
      <c r="AJ226" s="164">
        <v>4.6872318277689002E-4</v>
      </c>
    </row>
    <row r="227" spans="1:36">
      <c r="A227" s="3">
        <v>12904</v>
      </c>
      <c r="B227" s="3">
        <v>13680</v>
      </c>
      <c r="C227" s="3" t="s">
        <v>195</v>
      </c>
      <c r="D227" s="3" t="s">
        <v>196</v>
      </c>
      <c r="E227" s="5" t="s">
        <v>134</v>
      </c>
      <c r="F227" s="3" t="s">
        <v>201</v>
      </c>
      <c r="G227" s="3" t="s">
        <v>202</v>
      </c>
      <c r="H227" s="3" t="s">
        <v>137</v>
      </c>
      <c r="I227" s="3" t="s">
        <v>156</v>
      </c>
      <c r="J227" s="3" t="s">
        <v>30</v>
      </c>
      <c r="K227" s="3" t="s">
        <v>30</v>
      </c>
      <c r="L227" s="3" t="s">
        <v>139</v>
      </c>
      <c r="M227" s="3" t="s">
        <v>31</v>
      </c>
      <c r="N227" s="3" t="s">
        <v>199</v>
      </c>
      <c r="O227" s="3" t="s">
        <v>141</v>
      </c>
      <c r="P227" s="3" t="s">
        <v>152</v>
      </c>
      <c r="Q227" s="3" t="s">
        <v>143</v>
      </c>
      <c r="R227" s="3" t="s">
        <v>144</v>
      </c>
      <c r="S227" s="3" t="s">
        <v>34</v>
      </c>
      <c r="T227" s="153">
        <v>4.508</v>
      </c>
      <c r="U227" s="3" t="s">
        <v>203</v>
      </c>
      <c r="V227" s="164">
        <v>2.07E-2</v>
      </c>
      <c r="W227" s="164">
        <v>4.9689999999999998E-2</v>
      </c>
      <c r="X227" s="5" t="s">
        <v>146</v>
      </c>
      <c r="Y227" s="5" t="s">
        <v>141</v>
      </c>
      <c r="Z227" s="153">
        <v>50044.15</v>
      </c>
      <c r="AA227" s="162">
        <v>1</v>
      </c>
      <c r="AB227" s="172">
        <v>88.43</v>
      </c>
      <c r="AD227" s="153">
        <v>44.253999999999998</v>
      </c>
      <c r="AG227" s="3" t="s">
        <v>36</v>
      </c>
      <c r="AH227" s="164">
        <v>6.8999999999999997E-5</v>
      </c>
      <c r="AI227" s="164">
        <v>4.5814851755772198E-2</v>
      </c>
      <c r="AJ227" s="164">
        <v>8.2616331153360901E-4</v>
      </c>
    </row>
    <row r="228" spans="1:36">
      <c r="A228" s="3">
        <v>12904</v>
      </c>
      <c r="B228" s="3">
        <v>13680</v>
      </c>
      <c r="C228" s="3" t="s">
        <v>204</v>
      </c>
      <c r="D228" s="3" t="s">
        <v>205</v>
      </c>
      <c r="E228" s="5" t="s">
        <v>134</v>
      </c>
      <c r="F228" s="3" t="s">
        <v>206</v>
      </c>
      <c r="G228" s="3" t="s">
        <v>207</v>
      </c>
      <c r="H228" s="3" t="s">
        <v>137</v>
      </c>
      <c r="I228" s="3" t="s">
        <v>156</v>
      </c>
      <c r="J228" s="3" t="s">
        <v>30</v>
      </c>
      <c r="K228" s="3" t="s">
        <v>30</v>
      </c>
      <c r="L228" s="3" t="s">
        <v>139</v>
      </c>
      <c r="M228" s="3" t="s">
        <v>31</v>
      </c>
      <c r="N228" s="3" t="s">
        <v>208</v>
      </c>
      <c r="O228" s="3" t="s">
        <v>141</v>
      </c>
      <c r="P228" s="3" t="s">
        <v>209</v>
      </c>
      <c r="Q228" s="3" t="s">
        <v>164</v>
      </c>
      <c r="R228" s="3" t="s">
        <v>144</v>
      </c>
      <c r="S228" s="3" t="s">
        <v>34</v>
      </c>
      <c r="T228" s="153">
        <v>3.7789999999999999</v>
      </c>
      <c r="U228" s="3" t="s">
        <v>210</v>
      </c>
      <c r="V228" s="164">
        <v>6.0699999999999997E-2</v>
      </c>
      <c r="W228" s="164">
        <v>5.4559999999999997E-2</v>
      </c>
      <c r="X228" s="5" t="s">
        <v>146</v>
      </c>
      <c r="Y228" s="5" t="s">
        <v>141</v>
      </c>
      <c r="Z228" s="153">
        <v>37736</v>
      </c>
      <c r="AA228" s="162">
        <v>1</v>
      </c>
      <c r="AB228" s="172">
        <v>104.65</v>
      </c>
      <c r="AD228" s="153">
        <v>39.491</v>
      </c>
      <c r="AG228" s="3" t="s">
        <v>36</v>
      </c>
      <c r="AH228" s="164">
        <v>9.0000000000000006E-5</v>
      </c>
      <c r="AI228" s="164">
        <v>4.0883534935070201E-2</v>
      </c>
      <c r="AJ228" s="164">
        <v>7.3723858781016499E-4</v>
      </c>
    </row>
    <row r="229" spans="1:36">
      <c r="A229" s="3">
        <v>12904</v>
      </c>
      <c r="B229" s="3">
        <v>13680</v>
      </c>
      <c r="C229" s="3" t="s">
        <v>216</v>
      </c>
      <c r="D229" s="3" t="s">
        <v>217</v>
      </c>
      <c r="E229" s="5" t="s">
        <v>134</v>
      </c>
      <c r="F229" s="3" t="s">
        <v>222</v>
      </c>
      <c r="G229" s="3" t="s">
        <v>223</v>
      </c>
      <c r="H229" s="3" t="s">
        <v>137</v>
      </c>
      <c r="I229" s="3" t="s">
        <v>156</v>
      </c>
      <c r="J229" s="3" t="s">
        <v>30</v>
      </c>
      <c r="K229" s="3" t="s">
        <v>224</v>
      </c>
      <c r="L229" s="3" t="s">
        <v>139</v>
      </c>
      <c r="M229" s="3" t="s">
        <v>31</v>
      </c>
      <c r="N229" s="3" t="s">
        <v>220</v>
      </c>
      <c r="O229" s="3" t="s">
        <v>141</v>
      </c>
      <c r="P229" s="3" t="s">
        <v>171</v>
      </c>
      <c r="Q229" s="3" t="s">
        <v>164</v>
      </c>
      <c r="R229" s="3" t="s">
        <v>144</v>
      </c>
      <c r="S229" s="3" t="s">
        <v>34</v>
      </c>
      <c r="T229" s="153">
        <v>2.8079999999999998</v>
      </c>
      <c r="U229" s="3" t="s">
        <v>225</v>
      </c>
      <c r="V229" s="164">
        <v>1.4999999999999999E-2</v>
      </c>
      <c r="W229" s="164">
        <v>5.0139999999999997E-2</v>
      </c>
      <c r="X229" s="5" t="s">
        <v>146</v>
      </c>
      <c r="Y229" s="5" t="s">
        <v>141</v>
      </c>
      <c r="Z229" s="153">
        <v>63566</v>
      </c>
      <c r="AA229" s="162">
        <v>1</v>
      </c>
      <c r="AB229" s="172">
        <v>90.97</v>
      </c>
      <c r="AD229" s="153">
        <v>57.826000000000001</v>
      </c>
      <c r="AG229" s="3" t="s">
        <v>36</v>
      </c>
      <c r="AH229" s="164">
        <v>5.3999999999999998E-5</v>
      </c>
      <c r="AI229" s="164">
        <v>5.9865473484272597E-2</v>
      </c>
      <c r="AJ229" s="164">
        <v>1.0795332937874799E-3</v>
      </c>
    </row>
    <row r="230" spans="1:36">
      <c r="A230" s="3">
        <v>12904</v>
      </c>
      <c r="B230" s="3">
        <v>13680</v>
      </c>
      <c r="C230" s="3" t="s">
        <v>226</v>
      </c>
      <c r="D230" s="3" t="s">
        <v>227</v>
      </c>
      <c r="E230" s="5" t="s">
        <v>134</v>
      </c>
      <c r="F230" s="3" t="s">
        <v>228</v>
      </c>
      <c r="G230" s="3" t="s">
        <v>229</v>
      </c>
      <c r="H230" s="3" t="s">
        <v>137</v>
      </c>
      <c r="I230" s="3" t="s">
        <v>156</v>
      </c>
      <c r="J230" s="3" t="s">
        <v>30</v>
      </c>
      <c r="K230" s="3" t="s">
        <v>30</v>
      </c>
      <c r="L230" s="3" t="s">
        <v>139</v>
      </c>
      <c r="M230" s="3" t="s">
        <v>31</v>
      </c>
      <c r="N230" s="3" t="s">
        <v>220</v>
      </c>
      <c r="O230" s="3" t="s">
        <v>141</v>
      </c>
      <c r="P230" s="3" t="s">
        <v>230</v>
      </c>
      <c r="Q230" s="3" t="s">
        <v>143</v>
      </c>
      <c r="R230" s="3" t="s">
        <v>144</v>
      </c>
      <c r="S230" s="3" t="s">
        <v>34</v>
      </c>
      <c r="T230" s="153">
        <v>2.4319999999999999</v>
      </c>
      <c r="U230" s="3" t="s">
        <v>231</v>
      </c>
      <c r="V230" s="164">
        <v>2.0500000000000001E-2</v>
      </c>
      <c r="W230" s="164">
        <v>5.0529999999999999E-2</v>
      </c>
      <c r="X230" s="5" t="s">
        <v>146</v>
      </c>
      <c r="Y230" s="5" t="s">
        <v>141</v>
      </c>
      <c r="Z230" s="153">
        <v>40909.1</v>
      </c>
      <c r="AA230" s="162">
        <v>1</v>
      </c>
      <c r="AB230" s="172">
        <v>93.47</v>
      </c>
      <c r="AD230" s="153">
        <v>38.238</v>
      </c>
      <c r="AG230" s="3" t="s">
        <v>36</v>
      </c>
      <c r="AH230" s="164">
        <v>4.6999999999999997E-5</v>
      </c>
      <c r="AI230" s="164">
        <v>3.9586354663712402E-2</v>
      </c>
      <c r="AJ230" s="164">
        <v>7.1384698645011004E-4</v>
      </c>
    </row>
    <row r="231" spans="1:36">
      <c r="A231" s="3">
        <v>12904</v>
      </c>
      <c r="B231" s="3">
        <v>13680</v>
      </c>
      <c r="C231" s="3" t="s">
        <v>232</v>
      </c>
      <c r="D231" s="3" t="s">
        <v>233</v>
      </c>
      <c r="E231" s="5" t="s">
        <v>134</v>
      </c>
      <c r="F231" s="3" t="s">
        <v>240</v>
      </c>
      <c r="G231" s="3" t="s">
        <v>241</v>
      </c>
      <c r="H231" s="3" t="s">
        <v>137</v>
      </c>
      <c r="I231" s="3" t="s">
        <v>138</v>
      </c>
      <c r="J231" s="3" t="s">
        <v>30</v>
      </c>
      <c r="K231" s="3" t="s">
        <v>30</v>
      </c>
      <c r="L231" s="3" t="s">
        <v>139</v>
      </c>
      <c r="M231" s="3" t="s">
        <v>31</v>
      </c>
      <c r="N231" s="3" t="s">
        <v>208</v>
      </c>
      <c r="O231" s="3" t="s">
        <v>141</v>
      </c>
      <c r="P231" s="3" t="s">
        <v>152</v>
      </c>
      <c r="Q231" s="3" t="s">
        <v>143</v>
      </c>
      <c r="R231" s="3" t="s">
        <v>144</v>
      </c>
      <c r="S231" s="3" t="s">
        <v>34</v>
      </c>
      <c r="T231" s="153">
        <v>6.452</v>
      </c>
      <c r="U231" s="3" t="s">
        <v>242</v>
      </c>
      <c r="V231" s="164">
        <v>4.02E-2</v>
      </c>
      <c r="W231" s="164">
        <v>3.3029999999999997E-2</v>
      </c>
      <c r="X231" s="5" t="s">
        <v>146</v>
      </c>
      <c r="Y231" s="5" t="s">
        <v>141</v>
      </c>
      <c r="Z231" s="153">
        <v>30000</v>
      </c>
      <c r="AA231" s="162">
        <v>1</v>
      </c>
      <c r="AB231" s="172">
        <v>108.86</v>
      </c>
      <c r="AD231" s="153">
        <v>32.658000000000001</v>
      </c>
      <c r="AG231" s="3" t="s">
        <v>36</v>
      </c>
      <c r="AH231" s="164">
        <v>3.6999999999999998E-5</v>
      </c>
      <c r="AI231" s="164">
        <v>3.3809825413925597E-2</v>
      </c>
      <c r="AJ231" s="164">
        <v>6.0968084051091003E-4</v>
      </c>
    </row>
    <row r="232" spans="1:36">
      <c r="A232" s="3">
        <v>12904</v>
      </c>
      <c r="B232" s="3">
        <v>13680</v>
      </c>
      <c r="C232" s="3" t="s">
        <v>246</v>
      </c>
      <c r="D232" s="3" t="s">
        <v>247</v>
      </c>
      <c r="E232" s="5" t="s">
        <v>134</v>
      </c>
      <c r="F232" s="3" t="s">
        <v>248</v>
      </c>
      <c r="G232" s="3" t="s">
        <v>249</v>
      </c>
      <c r="H232" s="3" t="s">
        <v>137</v>
      </c>
      <c r="I232" s="3" t="s">
        <v>138</v>
      </c>
      <c r="J232" s="3" t="s">
        <v>30</v>
      </c>
      <c r="K232" s="3" t="s">
        <v>30</v>
      </c>
      <c r="L232" s="3" t="s">
        <v>139</v>
      </c>
      <c r="M232" s="3" t="s">
        <v>31</v>
      </c>
      <c r="N232" s="3" t="s">
        <v>186</v>
      </c>
      <c r="O232" s="3" t="s">
        <v>141</v>
      </c>
      <c r="P232" s="3" t="s">
        <v>230</v>
      </c>
      <c r="Q232" s="3" t="s">
        <v>143</v>
      </c>
      <c r="R232" s="3" t="s">
        <v>144</v>
      </c>
      <c r="S232" s="3" t="s">
        <v>34</v>
      </c>
      <c r="T232" s="153">
        <v>5.3049999999999997</v>
      </c>
      <c r="U232" s="3" t="s">
        <v>250</v>
      </c>
      <c r="V232" s="164">
        <v>3.6799999999999999E-2</v>
      </c>
      <c r="W232" s="164">
        <v>3.2320000000000002E-2</v>
      </c>
      <c r="X232" s="5" t="s">
        <v>146</v>
      </c>
      <c r="Y232" s="5" t="s">
        <v>141</v>
      </c>
      <c r="Z232" s="153">
        <v>38000</v>
      </c>
      <c r="AA232" s="162">
        <v>1</v>
      </c>
      <c r="AB232" s="172">
        <v>110.18</v>
      </c>
      <c r="AD232" s="153">
        <v>41.868000000000002</v>
      </c>
      <c r="AG232" s="3" t="s">
        <v>36</v>
      </c>
      <c r="AH232" s="164">
        <v>8.6000000000000003E-5</v>
      </c>
      <c r="AI232" s="164">
        <v>4.3345069947957698E-2</v>
      </c>
      <c r="AJ232" s="164">
        <v>7.8162659387736504E-4</v>
      </c>
    </row>
    <row r="233" spans="1:36">
      <c r="A233" s="3">
        <v>12904</v>
      </c>
      <c r="B233" s="3">
        <v>13680</v>
      </c>
      <c r="C233" s="3" t="s">
        <v>267</v>
      </c>
      <c r="D233" s="3" t="s">
        <v>268</v>
      </c>
      <c r="E233" s="5" t="s">
        <v>134</v>
      </c>
      <c r="F233" s="3" t="s">
        <v>275</v>
      </c>
      <c r="G233" s="3" t="s">
        <v>276</v>
      </c>
      <c r="H233" s="3" t="s">
        <v>137</v>
      </c>
      <c r="I233" s="3" t="s">
        <v>138</v>
      </c>
      <c r="J233" s="3" t="s">
        <v>30</v>
      </c>
      <c r="K233" s="3" t="s">
        <v>30</v>
      </c>
      <c r="L233" s="3" t="s">
        <v>139</v>
      </c>
      <c r="M233" s="3" t="s">
        <v>31</v>
      </c>
      <c r="N233" s="3" t="s">
        <v>186</v>
      </c>
      <c r="O233" s="3" t="s">
        <v>141</v>
      </c>
      <c r="P233" s="3" t="s">
        <v>142</v>
      </c>
      <c r="Q233" s="3" t="s">
        <v>143</v>
      </c>
      <c r="R233" s="3" t="s">
        <v>144</v>
      </c>
      <c r="S233" s="3" t="s">
        <v>34</v>
      </c>
      <c r="T233" s="153">
        <v>4.6689999999999996</v>
      </c>
      <c r="U233" s="3" t="s">
        <v>277</v>
      </c>
      <c r="V233" s="164">
        <v>1.8700000000000001E-2</v>
      </c>
      <c r="W233" s="164">
        <v>2.946E-2</v>
      </c>
      <c r="X233" s="5" t="s">
        <v>146</v>
      </c>
      <c r="Y233" s="5" t="s">
        <v>141</v>
      </c>
      <c r="Z233" s="153">
        <v>47727.27</v>
      </c>
      <c r="AA233" s="162">
        <v>1</v>
      </c>
      <c r="AB233" s="172">
        <v>109.28</v>
      </c>
      <c r="AD233" s="153">
        <v>52.155999999999999</v>
      </c>
      <c r="AG233" s="3" t="s">
        <v>36</v>
      </c>
      <c r="AH233" s="164">
        <v>4.8999999999999998E-5</v>
      </c>
      <c r="AI233" s="164">
        <v>5.3995879968310997E-2</v>
      </c>
      <c r="AJ233" s="164">
        <v>9.7368895225489105E-4</v>
      </c>
    </row>
    <row r="234" spans="1:36">
      <c r="A234" s="3">
        <v>12904</v>
      </c>
      <c r="B234" s="3">
        <v>13680</v>
      </c>
      <c r="C234" s="3" t="s">
        <v>267</v>
      </c>
      <c r="D234" s="3" t="s">
        <v>268</v>
      </c>
      <c r="E234" s="5" t="s">
        <v>134</v>
      </c>
      <c r="F234" s="3" t="s">
        <v>278</v>
      </c>
      <c r="G234" s="3" t="s">
        <v>279</v>
      </c>
      <c r="H234" s="3" t="s">
        <v>137</v>
      </c>
      <c r="I234" s="3" t="s">
        <v>138</v>
      </c>
      <c r="J234" s="3" t="s">
        <v>30</v>
      </c>
      <c r="K234" s="3" t="s">
        <v>30</v>
      </c>
      <c r="L234" s="3" t="s">
        <v>139</v>
      </c>
      <c r="M234" s="3" t="s">
        <v>31</v>
      </c>
      <c r="N234" s="3" t="s">
        <v>186</v>
      </c>
      <c r="O234" s="3" t="s">
        <v>141</v>
      </c>
      <c r="P234" s="3" t="s">
        <v>271</v>
      </c>
      <c r="Q234" s="3" t="s">
        <v>164</v>
      </c>
      <c r="R234" s="3" t="s">
        <v>144</v>
      </c>
      <c r="S234" s="3" t="s">
        <v>34</v>
      </c>
      <c r="T234" s="153">
        <v>6.9960000000000004</v>
      </c>
      <c r="U234" s="3" t="s">
        <v>280</v>
      </c>
      <c r="V234" s="164">
        <v>3.0599999999999999E-2</v>
      </c>
      <c r="W234" s="164">
        <v>3.1600000000000003E-2</v>
      </c>
      <c r="X234" s="5" t="s">
        <v>146</v>
      </c>
      <c r="Y234" s="5" t="s">
        <v>141</v>
      </c>
      <c r="Z234" s="153">
        <v>76000</v>
      </c>
      <c r="AA234" s="162">
        <v>1</v>
      </c>
      <c r="AB234" s="172">
        <v>101.01</v>
      </c>
      <c r="AD234" s="153">
        <v>76.768000000000001</v>
      </c>
      <c r="AG234" s="3" t="s">
        <v>36</v>
      </c>
      <c r="AH234" s="164">
        <v>6.9999999999999994E-5</v>
      </c>
      <c r="AI234" s="164">
        <v>7.9475140959215998E-2</v>
      </c>
      <c r="AJ234" s="164">
        <v>1.4331476174905199E-3</v>
      </c>
    </row>
    <row r="235" spans="1:36">
      <c r="A235" s="3">
        <v>12904</v>
      </c>
      <c r="B235" s="3">
        <v>13680</v>
      </c>
      <c r="C235" s="3" t="s">
        <v>348</v>
      </c>
      <c r="D235" s="3" t="s">
        <v>349</v>
      </c>
      <c r="E235" s="5" t="s">
        <v>134</v>
      </c>
      <c r="F235" s="3" t="s">
        <v>353</v>
      </c>
      <c r="G235" s="3" t="s">
        <v>354</v>
      </c>
      <c r="H235" s="3" t="s">
        <v>137</v>
      </c>
      <c r="I235" s="3" t="s">
        <v>138</v>
      </c>
      <c r="J235" s="3" t="s">
        <v>30</v>
      </c>
      <c r="K235" s="3" t="s">
        <v>30</v>
      </c>
      <c r="L235" s="3" t="s">
        <v>139</v>
      </c>
      <c r="M235" s="3" t="s">
        <v>31</v>
      </c>
      <c r="N235" s="3" t="s">
        <v>151</v>
      </c>
      <c r="O235" s="3" t="s">
        <v>141</v>
      </c>
      <c r="P235" s="3" t="s">
        <v>286</v>
      </c>
      <c r="Q235" s="3" t="s">
        <v>143</v>
      </c>
      <c r="R235" s="3" t="s">
        <v>144</v>
      </c>
      <c r="S235" s="3" t="s">
        <v>34</v>
      </c>
      <c r="T235" s="153">
        <v>6.8730000000000002</v>
      </c>
      <c r="U235" s="3" t="s">
        <v>355</v>
      </c>
      <c r="V235" s="164">
        <v>0.03</v>
      </c>
      <c r="W235" s="164">
        <v>2.632E-2</v>
      </c>
      <c r="X235" s="5" t="s">
        <v>146</v>
      </c>
      <c r="Y235" s="5" t="s">
        <v>141</v>
      </c>
      <c r="Z235" s="153">
        <v>48000</v>
      </c>
      <c r="AA235" s="162">
        <v>1</v>
      </c>
      <c r="AB235" s="172">
        <v>111.48</v>
      </c>
      <c r="AD235" s="153">
        <v>53.51</v>
      </c>
      <c r="AG235" s="3" t="s">
        <v>36</v>
      </c>
      <c r="AH235" s="164">
        <v>1.2E-5</v>
      </c>
      <c r="AI235" s="164">
        <v>5.5397675357625298E-2</v>
      </c>
      <c r="AJ235" s="164">
        <v>9.9896704170723892E-4</v>
      </c>
    </row>
    <row r="236" spans="1:36">
      <c r="A236" s="3">
        <v>12904</v>
      </c>
      <c r="B236" s="3">
        <v>13680</v>
      </c>
      <c r="C236" s="3" t="s">
        <v>348</v>
      </c>
      <c r="D236" s="3" t="s">
        <v>349</v>
      </c>
      <c r="E236" s="5" t="s">
        <v>134</v>
      </c>
      <c r="F236" s="3" t="s">
        <v>578</v>
      </c>
      <c r="G236" s="3" t="s">
        <v>579</v>
      </c>
      <c r="H236" s="3" t="s">
        <v>137</v>
      </c>
      <c r="I236" s="3" t="s">
        <v>138</v>
      </c>
      <c r="J236" s="3" t="s">
        <v>30</v>
      </c>
      <c r="K236" s="3" t="s">
        <v>30</v>
      </c>
      <c r="L236" s="3" t="s">
        <v>139</v>
      </c>
      <c r="M236" s="3" t="s">
        <v>31</v>
      </c>
      <c r="N236" s="3" t="s">
        <v>151</v>
      </c>
      <c r="O236" s="3" t="s">
        <v>141</v>
      </c>
      <c r="P236" s="3" t="s">
        <v>286</v>
      </c>
      <c r="Q236" s="3" t="s">
        <v>143</v>
      </c>
      <c r="R236" s="3" t="s">
        <v>144</v>
      </c>
      <c r="S236" s="3" t="s">
        <v>34</v>
      </c>
      <c r="T236" s="153">
        <v>9.7940000000000005</v>
      </c>
      <c r="U236" s="3" t="s">
        <v>580</v>
      </c>
      <c r="V236" s="164">
        <v>3.2000000000000001E-2</v>
      </c>
      <c r="W236" s="164">
        <v>2.8170000000000001E-2</v>
      </c>
      <c r="X236" s="5" t="s">
        <v>146</v>
      </c>
      <c r="Y236" s="5" t="s">
        <v>141</v>
      </c>
      <c r="Z236" s="153">
        <v>48000</v>
      </c>
      <c r="AA236" s="162">
        <v>1</v>
      </c>
      <c r="AB236" s="172">
        <v>112.97</v>
      </c>
      <c r="AD236" s="153">
        <v>54.225999999999999</v>
      </c>
      <c r="AG236" s="3" t="s">
        <v>36</v>
      </c>
      <c r="AH236" s="164">
        <v>1.0000000000000001E-5</v>
      </c>
      <c r="AI236" s="164">
        <v>5.6138099974443197E-2</v>
      </c>
      <c r="AJ236" s="164">
        <v>1.0123188616941801E-3</v>
      </c>
    </row>
    <row r="237" spans="1:36">
      <c r="A237" s="3">
        <v>12904</v>
      </c>
      <c r="B237" s="3">
        <v>13680</v>
      </c>
      <c r="C237" s="3" t="s">
        <v>429</v>
      </c>
      <c r="D237" s="3" t="s">
        <v>430</v>
      </c>
      <c r="E237" s="5" t="s">
        <v>134</v>
      </c>
      <c r="F237" s="3" t="s">
        <v>434</v>
      </c>
      <c r="G237" s="3" t="s">
        <v>435</v>
      </c>
      <c r="H237" s="3" t="s">
        <v>137</v>
      </c>
      <c r="I237" s="3" t="s">
        <v>138</v>
      </c>
      <c r="J237" s="3" t="s">
        <v>30</v>
      </c>
      <c r="K237" s="3" t="s">
        <v>30</v>
      </c>
      <c r="L237" s="3" t="s">
        <v>139</v>
      </c>
      <c r="M237" s="3" t="s">
        <v>31</v>
      </c>
      <c r="N237" s="3" t="s">
        <v>186</v>
      </c>
      <c r="O237" s="3" t="s">
        <v>141</v>
      </c>
      <c r="P237" s="3" t="s">
        <v>180</v>
      </c>
      <c r="Q237" s="3" t="s">
        <v>143</v>
      </c>
      <c r="R237" s="3" t="s">
        <v>144</v>
      </c>
      <c r="S237" s="3" t="s">
        <v>34</v>
      </c>
      <c r="T237" s="153">
        <v>5.3339999999999996</v>
      </c>
      <c r="U237" s="3" t="s">
        <v>436</v>
      </c>
      <c r="V237" s="164">
        <v>3.61E-2</v>
      </c>
      <c r="W237" s="164">
        <v>2.9340000000000001E-2</v>
      </c>
      <c r="X237" s="5" t="s">
        <v>146</v>
      </c>
      <c r="Y237" s="5" t="s">
        <v>141</v>
      </c>
      <c r="Z237" s="153">
        <v>39795.919999999998</v>
      </c>
      <c r="AA237" s="162">
        <v>1</v>
      </c>
      <c r="AB237" s="172">
        <v>113.95</v>
      </c>
      <c r="AD237" s="153">
        <v>45.347000000000001</v>
      </c>
      <c r="AG237" s="3" t="s">
        <v>36</v>
      </c>
      <c r="AH237" s="164">
        <v>1.8E-5</v>
      </c>
      <c r="AI237" s="164">
        <v>4.6946824541214197E-2</v>
      </c>
      <c r="AJ237" s="164">
        <v>8.4657578367194496E-4</v>
      </c>
    </row>
    <row r="238" spans="1:36">
      <c r="A238" s="3">
        <v>12904</v>
      </c>
      <c r="B238" s="3">
        <v>13680</v>
      </c>
      <c r="C238" s="3" t="s">
        <v>467</v>
      </c>
      <c r="D238" s="3" t="s">
        <v>468</v>
      </c>
      <c r="E238" s="5" t="s">
        <v>366</v>
      </c>
      <c r="F238" s="3" t="s">
        <v>469</v>
      </c>
      <c r="G238" s="3" t="s">
        <v>470</v>
      </c>
      <c r="H238" s="3" t="s">
        <v>137</v>
      </c>
      <c r="I238" s="3" t="s">
        <v>156</v>
      </c>
      <c r="J238" s="3" t="s">
        <v>30</v>
      </c>
      <c r="K238" s="3" t="s">
        <v>30</v>
      </c>
      <c r="L238" s="3" t="s">
        <v>139</v>
      </c>
      <c r="M238" s="3" t="s">
        <v>31</v>
      </c>
      <c r="N238" s="3" t="s">
        <v>369</v>
      </c>
      <c r="O238" s="3" t="s">
        <v>141</v>
      </c>
      <c r="P238" s="3" t="s">
        <v>471</v>
      </c>
      <c r="Q238" s="3" t="s">
        <v>143</v>
      </c>
      <c r="R238" s="3" t="s">
        <v>144</v>
      </c>
      <c r="S238" s="3" t="s">
        <v>34</v>
      </c>
      <c r="T238" s="153">
        <v>3.746</v>
      </c>
      <c r="U238" s="3" t="s">
        <v>472</v>
      </c>
      <c r="V238" s="164">
        <v>0.06</v>
      </c>
      <c r="W238" s="164">
        <v>5.5539999999999999E-2</v>
      </c>
      <c r="X238" s="5" t="s">
        <v>146</v>
      </c>
      <c r="Y238" s="5" t="s">
        <v>141</v>
      </c>
      <c r="Z238" s="153">
        <v>55000</v>
      </c>
      <c r="AA238" s="162">
        <v>1</v>
      </c>
      <c r="AB238" s="172">
        <v>103.52</v>
      </c>
      <c r="AD238" s="153">
        <v>56.936</v>
      </c>
      <c r="AG238" s="3" t="s">
        <v>36</v>
      </c>
      <c r="AH238" s="164">
        <v>5.5000000000000002E-5</v>
      </c>
      <c r="AI238" s="164">
        <v>5.8944093936164801E-2</v>
      </c>
      <c r="AJ238" s="164">
        <v>1.06291837636503E-3</v>
      </c>
    </row>
    <row r="239" spans="1:36">
      <c r="A239" s="3">
        <v>12904</v>
      </c>
      <c r="B239" s="3">
        <v>13680</v>
      </c>
      <c r="C239" s="3" t="s">
        <v>467</v>
      </c>
      <c r="D239" s="3" t="s">
        <v>468</v>
      </c>
      <c r="E239" s="5" t="s">
        <v>366</v>
      </c>
      <c r="F239" s="3" t="s">
        <v>473</v>
      </c>
      <c r="G239" s="3" t="s">
        <v>474</v>
      </c>
      <c r="H239" s="3" t="s">
        <v>137</v>
      </c>
      <c r="I239" s="3" t="s">
        <v>156</v>
      </c>
      <c r="J239" s="3" t="s">
        <v>30</v>
      </c>
      <c r="K239" s="3" t="s">
        <v>30</v>
      </c>
      <c r="L239" s="3" t="s">
        <v>139</v>
      </c>
      <c r="M239" s="3" t="s">
        <v>31</v>
      </c>
      <c r="N239" s="3" t="s">
        <v>369</v>
      </c>
      <c r="O239" s="3" t="s">
        <v>141</v>
      </c>
      <c r="P239" s="3" t="s">
        <v>329</v>
      </c>
      <c r="Q239" s="3" t="s">
        <v>143</v>
      </c>
      <c r="R239" s="3" t="s">
        <v>144</v>
      </c>
      <c r="S239" s="3" t="s">
        <v>34</v>
      </c>
      <c r="T239" s="153">
        <v>2.9580000000000002</v>
      </c>
      <c r="U239" s="3" t="s">
        <v>475</v>
      </c>
      <c r="V239" s="164">
        <v>6.7000000000000004E-2</v>
      </c>
      <c r="W239" s="164">
        <v>5.1299999999999998E-2</v>
      </c>
      <c r="X239" s="5" t="s">
        <v>146</v>
      </c>
      <c r="Y239" s="5" t="s">
        <v>141</v>
      </c>
      <c r="Z239" s="153">
        <v>25000</v>
      </c>
      <c r="AA239" s="162">
        <v>1</v>
      </c>
      <c r="AB239" s="172">
        <v>104.89</v>
      </c>
      <c r="AD239" s="153">
        <v>26.222999999999999</v>
      </c>
      <c r="AG239" s="3" t="s">
        <v>36</v>
      </c>
      <c r="AH239" s="164">
        <v>2.6999999999999999E-5</v>
      </c>
      <c r="AI239" s="164">
        <v>2.7147349712678799E-2</v>
      </c>
      <c r="AJ239" s="164">
        <v>4.8953872987621196E-4</v>
      </c>
    </row>
    <row r="240" spans="1:36">
      <c r="A240" s="3">
        <v>12904</v>
      </c>
      <c r="B240" s="3">
        <v>13680</v>
      </c>
      <c r="C240" s="3" t="s">
        <v>490</v>
      </c>
      <c r="D240" s="3" t="s">
        <v>491</v>
      </c>
      <c r="E240" s="5" t="s">
        <v>492</v>
      </c>
      <c r="F240" s="3" t="s">
        <v>493</v>
      </c>
      <c r="G240" s="3" t="s">
        <v>494</v>
      </c>
      <c r="H240" s="3" t="s">
        <v>137</v>
      </c>
      <c r="I240" s="3" t="s">
        <v>156</v>
      </c>
      <c r="J240" s="3" t="s">
        <v>30</v>
      </c>
      <c r="K240" s="3" t="s">
        <v>30</v>
      </c>
      <c r="L240" s="3" t="s">
        <v>139</v>
      </c>
      <c r="M240" s="3" t="s">
        <v>31</v>
      </c>
      <c r="N240" s="3" t="s">
        <v>208</v>
      </c>
      <c r="O240" s="3" t="s">
        <v>141</v>
      </c>
      <c r="P240" s="3" t="s">
        <v>180</v>
      </c>
      <c r="Q240" s="3" t="s">
        <v>143</v>
      </c>
      <c r="R240" s="3" t="s">
        <v>144</v>
      </c>
      <c r="S240" s="3" t="s">
        <v>34</v>
      </c>
      <c r="T240" s="153">
        <v>3.2290000000000001</v>
      </c>
      <c r="U240" s="3" t="s">
        <v>495</v>
      </c>
      <c r="V240" s="164">
        <v>6.25E-2</v>
      </c>
      <c r="W240" s="164">
        <v>5.2150000000000002E-2</v>
      </c>
      <c r="X240" s="5" t="s">
        <v>146</v>
      </c>
      <c r="Y240" s="5" t="s">
        <v>141</v>
      </c>
      <c r="Z240" s="153">
        <v>45528</v>
      </c>
      <c r="AA240" s="162">
        <v>1</v>
      </c>
      <c r="AB240" s="172">
        <v>106.47</v>
      </c>
      <c r="AD240" s="153">
        <v>48.473999999999997</v>
      </c>
      <c r="AG240" s="3" t="s">
        <v>36</v>
      </c>
      <c r="AH240" s="164">
        <v>8.2999999999999998E-5</v>
      </c>
      <c r="AI240" s="164">
        <v>5.01832946251978E-2</v>
      </c>
      <c r="AJ240" s="164">
        <v>9.0493792476359304E-4</v>
      </c>
    </row>
    <row r="241" spans="1:36">
      <c r="A241" s="3">
        <v>12904</v>
      </c>
      <c r="B241" s="3">
        <v>13680</v>
      </c>
      <c r="C241" s="3" t="s">
        <v>499</v>
      </c>
      <c r="D241" s="3" t="s">
        <v>500</v>
      </c>
      <c r="E241" s="5" t="s">
        <v>492</v>
      </c>
      <c r="F241" s="3" t="s">
        <v>501</v>
      </c>
      <c r="G241" s="3" t="s">
        <v>502</v>
      </c>
      <c r="H241" s="3" t="s">
        <v>137</v>
      </c>
      <c r="I241" s="3" t="s">
        <v>156</v>
      </c>
      <c r="J241" s="3" t="s">
        <v>30</v>
      </c>
      <c r="K241" s="3" t="s">
        <v>224</v>
      </c>
      <c r="L241" s="3" t="s">
        <v>139</v>
      </c>
      <c r="M241" s="3" t="s">
        <v>31</v>
      </c>
      <c r="N241" s="3" t="s">
        <v>208</v>
      </c>
      <c r="O241" s="3" t="s">
        <v>141</v>
      </c>
      <c r="P241" s="3" t="s">
        <v>180</v>
      </c>
      <c r="Q241" s="3" t="s">
        <v>143</v>
      </c>
      <c r="R241" s="3" t="s">
        <v>144</v>
      </c>
      <c r="S241" s="3" t="s">
        <v>34</v>
      </c>
      <c r="T241" s="153">
        <v>1.1879999999999999</v>
      </c>
      <c r="U241" s="3" t="s">
        <v>337</v>
      </c>
      <c r="V241" s="164">
        <v>3.49E-2</v>
      </c>
      <c r="W241" s="164">
        <v>5.4760000000000003E-2</v>
      </c>
      <c r="X241" s="5" t="s">
        <v>146</v>
      </c>
      <c r="Y241" s="5" t="s">
        <v>141</v>
      </c>
      <c r="Z241" s="153">
        <v>64198</v>
      </c>
      <c r="AA241" s="162">
        <v>1</v>
      </c>
      <c r="AB241" s="172">
        <v>98.69</v>
      </c>
      <c r="AD241" s="153">
        <v>63.356999999999999</v>
      </c>
      <c r="AG241" s="3" t="s">
        <v>36</v>
      </c>
      <c r="AH241" s="164">
        <v>6.7999999999999999E-5</v>
      </c>
      <c r="AI241" s="164">
        <v>6.55915646509585E-2</v>
      </c>
      <c r="AJ241" s="164">
        <v>1.1827899072898199E-3</v>
      </c>
    </row>
    <row r="242" spans="1:36">
      <c r="A242" s="3">
        <v>12904</v>
      </c>
      <c r="B242" s="3">
        <v>13680</v>
      </c>
      <c r="C242" s="3" t="s">
        <v>499</v>
      </c>
      <c r="D242" s="3" t="s">
        <v>500</v>
      </c>
      <c r="E242" s="5" t="s">
        <v>492</v>
      </c>
      <c r="F242" s="3" t="s">
        <v>503</v>
      </c>
      <c r="G242" s="3" t="s">
        <v>504</v>
      </c>
      <c r="H242" s="3" t="s">
        <v>137</v>
      </c>
      <c r="I242" s="3" t="s">
        <v>156</v>
      </c>
      <c r="J242" s="3" t="s">
        <v>30</v>
      </c>
      <c r="K242" s="3" t="s">
        <v>224</v>
      </c>
      <c r="L242" s="3" t="s">
        <v>139</v>
      </c>
      <c r="M242" s="3" t="s">
        <v>31</v>
      </c>
      <c r="N242" s="3" t="s">
        <v>208</v>
      </c>
      <c r="O242" s="3" t="s">
        <v>141</v>
      </c>
      <c r="P242" s="3" t="s">
        <v>180</v>
      </c>
      <c r="Q242" s="3" t="s">
        <v>143</v>
      </c>
      <c r="R242" s="3" t="s">
        <v>144</v>
      </c>
      <c r="S242" s="3" t="s">
        <v>34</v>
      </c>
      <c r="T242" s="153">
        <v>3.6960000000000002</v>
      </c>
      <c r="U242" s="3" t="s">
        <v>505</v>
      </c>
      <c r="V242" s="164">
        <v>6.7400000000000002E-2</v>
      </c>
      <c r="W242" s="164">
        <v>5.6890000000000003E-2</v>
      </c>
      <c r="X242" s="5" t="s">
        <v>146</v>
      </c>
      <c r="Y242" s="5" t="s">
        <v>141</v>
      </c>
      <c r="Z242" s="153">
        <v>33000</v>
      </c>
      <c r="AA242" s="162">
        <v>1</v>
      </c>
      <c r="AB242" s="172">
        <v>105.95</v>
      </c>
      <c r="AD242" s="153">
        <v>34.963999999999999</v>
      </c>
      <c r="AG242" s="3" t="s">
        <v>36</v>
      </c>
      <c r="AH242" s="164">
        <v>1.16E-4</v>
      </c>
      <c r="AI242" s="164">
        <v>3.6196638828458201E-2</v>
      </c>
      <c r="AJ242" s="164">
        <v>6.5272141794363401E-4</v>
      </c>
    </row>
    <row r="243" spans="1:36">
      <c r="A243" s="3">
        <v>12904</v>
      </c>
      <c r="B243" s="3">
        <v>13680</v>
      </c>
      <c r="C243" s="3" t="s">
        <v>506</v>
      </c>
      <c r="D243" s="3" t="s">
        <v>507</v>
      </c>
      <c r="E243" s="5" t="s">
        <v>134</v>
      </c>
      <c r="F243" s="3" t="s">
        <v>512</v>
      </c>
      <c r="G243" s="3" t="s">
        <v>513</v>
      </c>
      <c r="H243" s="3" t="s">
        <v>137</v>
      </c>
      <c r="I243" s="3" t="s">
        <v>138</v>
      </c>
      <c r="J243" s="3" t="s">
        <v>30</v>
      </c>
      <c r="K243" s="3" t="s">
        <v>30</v>
      </c>
      <c r="L243" s="3" t="s">
        <v>139</v>
      </c>
      <c r="M243" s="3" t="s">
        <v>31</v>
      </c>
      <c r="N243" s="3" t="s">
        <v>186</v>
      </c>
      <c r="O243" s="3" t="s">
        <v>141</v>
      </c>
      <c r="P243" s="3" t="s">
        <v>514</v>
      </c>
      <c r="Q243" s="3" t="s">
        <v>143</v>
      </c>
      <c r="R243" s="3" t="s">
        <v>144</v>
      </c>
      <c r="S243" s="3" t="s">
        <v>34</v>
      </c>
      <c r="T243" s="153">
        <v>6.157</v>
      </c>
      <c r="U243" s="3" t="s">
        <v>515</v>
      </c>
      <c r="V243" s="164">
        <v>8.9999999999999993E-3</v>
      </c>
      <c r="W243" s="164">
        <v>2.7810000000000001E-2</v>
      </c>
      <c r="X243" s="5" t="s">
        <v>146</v>
      </c>
      <c r="Y243" s="5" t="s">
        <v>141</v>
      </c>
      <c r="Z243" s="153">
        <v>60734.69</v>
      </c>
      <c r="AA243" s="162">
        <v>1</v>
      </c>
      <c r="AB243" s="172">
        <v>104.46</v>
      </c>
      <c r="AD243" s="153">
        <v>63.442999999999998</v>
      </c>
      <c r="AG243" s="3" t="s">
        <v>36</v>
      </c>
      <c r="AH243" s="164">
        <v>2.3E-5</v>
      </c>
      <c r="AI243" s="164">
        <v>6.56810646919226E-2</v>
      </c>
      <c r="AJ243" s="164">
        <v>1.18440383044774E-3</v>
      </c>
    </row>
    <row r="244" spans="1:36">
      <c r="A244" s="3">
        <v>12904</v>
      </c>
      <c r="B244" s="3">
        <v>13680</v>
      </c>
      <c r="C244" s="3" t="s">
        <v>506</v>
      </c>
      <c r="D244" s="3" t="s">
        <v>507</v>
      </c>
      <c r="E244" s="5" t="s">
        <v>134</v>
      </c>
      <c r="F244" s="3" t="s">
        <v>519</v>
      </c>
      <c r="G244" s="3" t="s">
        <v>520</v>
      </c>
      <c r="H244" s="3" t="s">
        <v>137</v>
      </c>
      <c r="I244" s="3" t="s">
        <v>138</v>
      </c>
      <c r="J244" s="3" t="s">
        <v>30</v>
      </c>
      <c r="K244" s="3" t="s">
        <v>30</v>
      </c>
      <c r="L244" s="3" t="s">
        <v>139</v>
      </c>
      <c r="M244" s="3" t="s">
        <v>31</v>
      </c>
      <c r="N244" s="3" t="s">
        <v>186</v>
      </c>
      <c r="O244" s="3" t="s">
        <v>141</v>
      </c>
      <c r="P244" s="3" t="s">
        <v>510</v>
      </c>
      <c r="Q244" s="3" t="s">
        <v>164</v>
      </c>
      <c r="R244" s="3" t="s">
        <v>144</v>
      </c>
      <c r="S244" s="3" t="s">
        <v>34</v>
      </c>
      <c r="T244" s="153">
        <v>11.696</v>
      </c>
      <c r="U244" s="3" t="s">
        <v>521</v>
      </c>
      <c r="V244" s="164">
        <v>3.6700000000000003E-2</v>
      </c>
      <c r="W244" s="164">
        <v>3.0839999999999999E-2</v>
      </c>
      <c r="X244" s="5" t="s">
        <v>146</v>
      </c>
      <c r="Y244" s="5" t="s">
        <v>141</v>
      </c>
      <c r="Z244" s="153">
        <v>39000</v>
      </c>
      <c r="AA244" s="162">
        <v>1</v>
      </c>
      <c r="AB244" s="172">
        <v>112.94</v>
      </c>
      <c r="AD244" s="153">
        <v>44.046999999999997</v>
      </c>
      <c r="AG244" s="3" t="s">
        <v>36</v>
      </c>
      <c r="AH244" s="164">
        <v>7.9999999999999996E-6</v>
      </c>
      <c r="AI244" s="164">
        <v>4.5600093578204902E-2</v>
      </c>
      <c r="AJ244" s="164">
        <v>8.2229065189686596E-4</v>
      </c>
    </row>
    <row r="245" spans="1:36">
      <c r="A245" s="3">
        <v>12904</v>
      </c>
      <c r="B245" s="3">
        <v>13680</v>
      </c>
      <c r="C245" s="3" t="s">
        <v>533</v>
      </c>
      <c r="D245" s="3" t="s">
        <v>534</v>
      </c>
      <c r="E245" s="5" t="s">
        <v>134</v>
      </c>
      <c r="F245" s="3" t="s">
        <v>535</v>
      </c>
      <c r="G245" s="3" t="s">
        <v>536</v>
      </c>
      <c r="H245" s="3" t="s">
        <v>137</v>
      </c>
      <c r="I245" s="3" t="s">
        <v>156</v>
      </c>
      <c r="J245" s="3" t="s">
        <v>30</v>
      </c>
      <c r="K245" s="3" t="s">
        <v>30</v>
      </c>
      <c r="L245" s="3" t="s">
        <v>139</v>
      </c>
      <c r="M245" s="3" t="s">
        <v>31</v>
      </c>
      <c r="N245" s="3" t="s">
        <v>208</v>
      </c>
      <c r="O245" s="3" t="s">
        <v>141</v>
      </c>
      <c r="P245" s="3" t="s">
        <v>171</v>
      </c>
      <c r="Q245" s="3" t="s">
        <v>164</v>
      </c>
      <c r="R245" s="3" t="s">
        <v>144</v>
      </c>
      <c r="S245" s="3" t="s">
        <v>34</v>
      </c>
      <c r="T245" s="153">
        <v>5.5339999999999998</v>
      </c>
      <c r="U245" s="3" t="s">
        <v>330</v>
      </c>
      <c r="V245" s="164">
        <v>5.5899999999999998E-2</v>
      </c>
      <c r="W245" s="164">
        <v>5.425E-2</v>
      </c>
      <c r="X245" s="5" t="s">
        <v>146</v>
      </c>
      <c r="Y245" s="5" t="s">
        <v>141</v>
      </c>
      <c r="Z245" s="153">
        <v>39000</v>
      </c>
      <c r="AA245" s="162">
        <v>1</v>
      </c>
      <c r="AB245" s="172">
        <v>101.35</v>
      </c>
      <c r="AD245" s="153">
        <v>39.526000000000003</v>
      </c>
      <c r="AG245" s="3" t="s">
        <v>36</v>
      </c>
      <c r="AH245" s="164">
        <v>1.74E-4</v>
      </c>
      <c r="AI245" s="164">
        <v>4.0920572730220199E-2</v>
      </c>
      <c r="AJ245" s="164">
        <v>7.3790647750794603E-4</v>
      </c>
    </row>
    <row r="246" spans="1:36">
      <c r="A246" s="3">
        <v>12904</v>
      </c>
      <c r="B246" s="3">
        <v>13680</v>
      </c>
      <c r="C246" s="3" t="s">
        <v>619</v>
      </c>
      <c r="D246" s="3" t="s">
        <v>620</v>
      </c>
      <c r="E246" s="5" t="s">
        <v>134</v>
      </c>
      <c r="F246" s="3" t="s">
        <v>621</v>
      </c>
      <c r="G246" s="3" t="s">
        <v>622</v>
      </c>
      <c r="H246" s="3" t="s">
        <v>137</v>
      </c>
      <c r="I246" s="3" t="s">
        <v>156</v>
      </c>
      <c r="J246" s="3" t="s">
        <v>30</v>
      </c>
      <c r="K246" s="3" t="s">
        <v>30</v>
      </c>
      <c r="L246" s="3" t="s">
        <v>139</v>
      </c>
      <c r="M246" s="3" t="s">
        <v>31</v>
      </c>
      <c r="N246" s="3" t="s">
        <v>555</v>
      </c>
      <c r="O246" s="3" t="s">
        <v>141</v>
      </c>
      <c r="P246" s="3" t="s">
        <v>163</v>
      </c>
      <c r="Q246" s="3" t="s">
        <v>164</v>
      </c>
      <c r="R246" s="3" t="s">
        <v>144</v>
      </c>
      <c r="S246" s="3" t="s">
        <v>34</v>
      </c>
      <c r="T246" s="153">
        <v>4.532</v>
      </c>
      <c r="U246" s="3" t="s">
        <v>295</v>
      </c>
      <c r="V246" s="164">
        <v>5.8500000000000003E-2</v>
      </c>
      <c r="W246" s="164">
        <v>4.8800000000000003E-2</v>
      </c>
      <c r="X246" s="5" t="s">
        <v>146</v>
      </c>
      <c r="Y246" s="5" t="s">
        <v>141</v>
      </c>
      <c r="Z246" s="153">
        <v>26000</v>
      </c>
      <c r="AA246" s="162">
        <v>1</v>
      </c>
      <c r="AB246" s="172">
        <v>105.82</v>
      </c>
      <c r="AD246" s="153">
        <v>27.513000000000002</v>
      </c>
      <c r="AG246" s="3" t="s">
        <v>36</v>
      </c>
      <c r="AH246" s="164">
        <v>1.6799999999999999E-4</v>
      </c>
      <c r="AI246" s="164">
        <v>2.8483571822475899E-2</v>
      </c>
      <c r="AJ246" s="164">
        <v>5.1363435915073705E-4</v>
      </c>
    </row>
    <row r="247" spans="1:36">
      <c r="A247" s="3">
        <v>424</v>
      </c>
      <c r="B247" s="3">
        <v>7228</v>
      </c>
      <c r="C247" s="3" t="s">
        <v>132</v>
      </c>
      <c r="D247" s="3" t="s">
        <v>133</v>
      </c>
      <c r="E247" s="5" t="s">
        <v>134</v>
      </c>
      <c r="F247" s="3" t="s">
        <v>135</v>
      </c>
      <c r="G247" s="3" t="s">
        <v>136</v>
      </c>
      <c r="H247" s="3" t="s">
        <v>137</v>
      </c>
      <c r="I247" s="3" t="s">
        <v>138</v>
      </c>
      <c r="J247" s="3" t="s">
        <v>30</v>
      </c>
      <c r="K247" s="3" t="s">
        <v>30</v>
      </c>
      <c r="L247" s="3" t="s">
        <v>139</v>
      </c>
      <c r="M247" s="3" t="s">
        <v>31</v>
      </c>
      <c r="N247" s="3" t="s">
        <v>140</v>
      </c>
      <c r="O247" s="3" t="s">
        <v>141</v>
      </c>
      <c r="P247" s="3" t="s">
        <v>142</v>
      </c>
      <c r="Q247" s="3" t="s">
        <v>143</v>
      </c>
      <c r="R247" s="3" t="s">
        <v>144</v>
      </c>
      <c r="S247" s="3" t="s">
        <v>34</v>
      </c>
      <c r="T247" s="153">
        <v>4.7809999999999997</v>
      </c>
      <c r="U247" s="3" t="s">
        <v>145</v>
      </c>
      <c r="V247" s="164">
        <v>5.1499999999999997E-2</v>
      </c>
      <c r="W247" s="164">
        <v>4.1050000000000003E-2</v>
      </c>
      <c r="X247" s="5" t="s">
        <v>146</v>
      </c>
      <c r="Y247" s="5" t="s">
        <v>141</v>
      </c>
      <c r="Z247" s="153">
        <v>0.11</v>
      </c>
      <c r="AA247" s="162">
        <v>1</v>
      </c>
      <c r="AB247" s="172">
        <v>153.07</v>
      </c>
      <c r="AD247" s="153">
        <v>0</v>
      </c>
      <c r="AG247" s="3" t="s">
        <v>36</v>
      </c>
      <c r="AH247" s="164">
        <v>0</v>
      </c>
      <c r="AI247" s="164">
        <v>6.3856964179103198E-10</v>
      </c>
      <c r="AJ247" s="164">
        <v>6.5889025294374791E-11</v>
      </c>
    </row>
    <row r="248" spans="1:36">
      <c r="A248" s="3">
        <v>424</v>
      </c>
      <c r="B248" s="3">
        <v>7228</v>
      </c>
      <c r="C248" s="3" t="s">
        <v>147</v>
      </c>
      <c r="D248" s="3" t="s">
        <v>148</v>
      </c>
      <c r="E248" s="5" t="s">
        <v>134</v>
      </c>
      <c r="F248" s="3" t="s">
        <v>149</v>
      </c>
      <c r="G248" s="3" t="s">
        <v>150</v>
      </c>
      <c r="H248" s="3" t="s">
        <v>137</v>
      </c>
      <c r="I248" s="3" t="s">
        <v>138</v>
      </c>
      <c r="J248" s="3" t="s">
        <v>30</v>
      </c>
      <c r="K248" s="3" t="s">
        <v>30</v>
      </c>
      <c r="L248" s="3" t="s">
        <v>139</v>
      </c>
      <c r="M248" s="3" t="s">
        <v>31</v>
      </c>
      <c r="N248" s="3" t="s">
        <v>151</v>
      </c>
      <c r="O248" s="3" t="s">
        <v>141</v>
      </c>
      <c r="P248" s="3" t="s">
        <v>152</v>
      </c>
      <c r="Q248" s="3" t="s">
        <v>143</v>
      </c>
      <c r="R248" s="3" t="s">
        <v>144</v>
      </c>
      <c r="S248" s="3" t="s">
        <v>34</v>
      </c>
      <c r="T248" s="153">
        <v>2.3959999999999999</v>
      </c>
      <c r="U248" s="3" t="s">
        <v>153</v>
      </c>
      <c r="V248" s="164">
        <v>2.75E-2</v>
      </c>
      <c r="W248" s="164">
        <v>3.0259999999999999E-2</v>
      </c>
      <c r="X248" s="5" t="s">
        <v>146</v>
      </c>
      <c r="Y248" s="5" t="s">
        <v>141</v>
      </c>
      <c r="Z248" s="153">
        <v>374213.58</v>
      </c>
      <c r="AA248" s="162">
        <v>1</v>
      </c>
      <c r="AB248" s="172">
        <v>117.38</v>
      </c>
      <c r="AD248" s="153">
        <v>439.25200000000001</v>
      </c>
      <c r="AG248" s="3" t="s">
        <v>36</v>
      </c>
      <c r="AH248" s="164">
        <v>5.0199999999999995E-4</v>
      </c>
      <c r="AI248" s="164">
        <v>1.66586249053789E-3</v>
      </c>
      <c r="AJ248" s="164">
        <v>1.7188736919616999E-4</v>
      </c>
    </row>
    <row r="249" spans="1:36">
      <c r="A249" s="3">
        <v>424</v>
      </c>
      <c r="B249" s="3">
        <v>7228</v>
      </c>
      <c r="C249" s="3" t="s">
        <v>147</v>
      </c>
      <c r="D249" s="3" t="s">
        <v>148</v>
      </c>
      <c r="E249" s="5" t="s">
        <v>134</v>
      </c>
      <c r="F249" s="3" t="s">
        <v>154</v>
      </c>
      <c r="G249" s="3" t="s">
        <v>155</v>
      </c>
      <c r="H249" s="3" t="s">
        <v>137</v>
      </c>
      <c r="I249" s="3" t="s">
        <v>156</v>
      </c>
      <c r="J249" s="3" t="s">
        <v>30</v>
      </c>
      <c r="K249" s="3" t="s">
        <v>30</v>
      </c>
      <c r="L249" s="3" t="s">
        <v>139</v>
      </c>
      <c r="M249" s="3" t="s">
        <v>31</v>
      </c>
      <c r="N249" s="3" t="s">
        <v>151</v>
      </c>
      <c r="O249" s="3" t="s">
        <v>141</v>
      </c>
      <c r="P249" s="3" t="s">
        <v>152</v>
      </c>
      <c r="Q249" s="3" t="s">
        <v>143</v>
      </c>
      <c r="R249" s="3" t="s">
        <v>144</v>
      </c>
      <c r="S249" s="3" t="s">
        <v>34</v>
      </c>
      <c r="T249" s="153">
        <v>2.7879999999999998</v>
      </c>
      <c r="U249" s="3" t="s">
        <v>157</v>
      </c>
      <c r="V249" s="164">
        <v>2.5000000000000001E-2</v>
      </c>
      <c r="W249" s="164">
        <v>4.9959999999999997E-2</v>
      </c>
      <c r="X249" s="5" t="s">
        <v>146</v>
      </c>
      <c r="Y249" s="5" t="s">
        <v>141</v>
      </c>
      <c r="Z249" s="153">
        <v>2299440</v>
      </c>
      <c r="AA249" s="162">
        <v>1</v>
      </c>
      <c r="AB249" s="172">
        <v>93.71</v>
      </c>
      <c r="AD249" s="153">
        <v>2154.8049999999998</v>
      </c>
      <c r="AG249" s="3" t="s">
        <v>36</v>
      </c>
      <c r="AH249" s="164">
        <v>3.4650000000000002E-3</v>
      </c>
      <c r="AI249" s="164">
        <v>8.1720971392715506E-3</v>
      </c>
      <c r="AJ249" s="164">
        <v>8.4321502288666004E-4</v>
      </c>
    </row>
    <row r="250" spans="1:36">
      <c r="A250" s="3">
        <v>424</v>
      </c>
      <c r="B250" s="3">
        <v>7228</v>
      </c>
      <c r="C250" s="3" t="s">
        <v>158</v>
      </c>
      <c r="D250" s="3" t="s">
        <v>159</v>
      </c>
      <c r="E250" s="5" t="s">
        <v>134</v>
      </c>
      <c r="F250" s="3" t="s">
        <v>160</v>
      </c>
      <c r="G250" s="3" t="s">
        <v>161</v>
      </c>
      <c r="H250" s="3" t="s">
        <v>137</v>
      </c>
      <c r="I250" s="3" t="s">
        <v>156</v>
      </c>
      <c r="J250" s="3" t="s">
        <v>30</v>
      </c>
      <c r="K250" s="3" t="s">
        <v>30</v>
      </c>
      <c r="L250" s="3" t="s">
        <v>139</v>
      </c>
      <c r="M250" s="3" t="s">
        <v>31</v>
      </c>
      <c r="N250" s="3" t="s">
        <v>162</v>
      </c>
      <c r="O250" s="3" t="s">
        <v>141</v>
      </c>
      <c r="P250" s="3" t="s">
        <v>163</v>
      </c>
      <c r="Q250" s="3" t="s">
        <v>164</v>
      </c>
      <c r="R250" s="3" t="s">
        <v>144</v>
      </c>
      <c r="S250" s="3" t="s">
        <v>34</v>
      </c>
      <c r="T250" s="153">
        <v>1.6819999999999999</v>
      </c>
      <c r="U250" s="3" t="s">
        <v>165</v>
      </c>
      <c r="V250" s="164">
        <v>2.5499999999999998E-2</v>
      </c>
      <c r="W250" s="164">
        <v>5.1679999999999997E-2</v>
      </c>
      <c r="X250" s="5" t="s">
        <v>146</v>
      </c>
      <c r="Y250" s="5" t="s">
        <v>141</v>
      </c>
      <c r="Z250" s="153">
        <v>1998093.3</v>
      </c>
      <c r="AA250" s="162">
        <v>1</v>
      </c>
      <c r="AB250" s="172">
        <v>96.49</v>
      </c>
      <c r="AD250" s="153">
        <v>1927.96</v>
      </c>
      <c r="AG250" s="3" t="s">
        <v>36</v>
      </c>
      <c r="AH250" s="164">
        <v>3.058E-3</v>
      </c>
      <c r="AI250" s="164">
        <v>7.3117876573057204E-3</v>
      </c>
      <c r="AJ250" s="164">
        <v>7.5444639138822303E-4</v>
      </c>
    </row>
    <row r="251" spans="1:36">
      <c r="A251" s="3">
        <v>424</v>
      </c>
      <c r="B251" s="3">
        <v>7228</v>
      </c>
      <c r="C251" s="3" t="s">
        <v>166</v>
      </c>
      <c r="D251" s="3" t="s">
        <v>167</v>
      </c>
      <c r="E251" s="5" t="s">
        <v>134</v>
      </c>
      <c r="F251" s="3" t="s">
        <v>168</v>
      </c>
      <c r="G251" s="3" t="s">
        <v>169</v>
      </c>
      <c r="H251" s="3" t="s">
        <v>137</v>
      </c>
      <c r="I251" s="3" t="s">
        <v>156</v>
      </c>
      <c r="J251" s="3" t="s">
        <v>30</v>
      </c>
      <c r="K251" s="3" t="s">
        <v>30</v>
      </c>
      <c r="L251" s="3" t="s">
        <v>139</v>
      </c>
      <c r="M251" s="3" t="s">
        <v>31</v>
      </c>
      <c r="N251" s="3" t="s">
        <v>170</v>
      </c>
      <c r="O251" s="3" t="s">
        <v>141</v>
      </c>
      <c r="P251" s="3" t="s">
        <v>171</v>
      </c>
      <c r="Q251" s="3" t="s">
        <v>164</v>
      </c>
      <c r="R251" s="3" t="s">
        <v>144</v>
      </c>
      <c r="S251" s="3" t="s">
        <v>34</v>
      </c>
      <c r="T251" s="153">
        <v>5.9370000000000003</v>
      </c>
      <c r="U251" s="3" t="s">
        <v>172</v>
      </c>
      <c r="V251" s="164">
        <v>5.1299999999999998E-2</v>
      </c>
      <c r="W251" s="164">
        <v>5.1470000000000002E-2</v>
      </c>
      <c r="X251" s="5" t="s">
        <v>146</v>
      </c>
      <c r="Y251" s="5" t="s">
        <v>141</v>
      </c>
      <c r="Z251" s="153">
        <v>3600000</v>
      </c>
      <c r="AA251" s="162">
        <v>1</v>
      </c>
      <c r="AB251" s="172">
        <v>100.43</v>
      </c>
      <c r="AD251" s="153">
        <v>3615.48</v>
      </c>
      <c r="AG251" s="3" t="s">
        <v>36</v>
      </c>
      <c r="AH251" s="164">
        <v>1.0569E-2</v>
      </c>
      <c r="AI251" s="164">
        <v>1.37117050933479E-2</v>
      </c>
      <c r="AJ251" s="164">
        <v>1.41480400037598E-3</v>
      </c>
    </row>
    <row r="252" spans="1:36">
      <c r="A252" s="3">
        <v>424</v>
      </c>
      <c r="B252" s="3">
        <v>7228</v>
      </c>
      <c r="C252" s="3" t="s">
        <v>166</v>
      </c>
      <c r="D252" s="3" t="s">
        <v>167</v>
      </c>
      <c r="E252" s="5" t="s">
        <v>134</v>
      </c>
      <c r="F252" s="3" t="s">
        <v>173</v>
      </c>
      <c r="G252" s="3" t="s">
        <v>174</v>
      </c>
      <c r="H252" s="3" t="s">
        <v>137</v>
      </c>
      <c r="I252" s="3" t="s">
        <v>156</v>
      </c>
      <c r="J252" s="3" t="s">
        <v>30</v>
      </c>
      <c r="K252" s="3" t="s">
        <v>30</v>
      </c>
      <c r="L252" s="3" t="s">
        <v>139</v>
      </c>
      <c r="M252" s="3" t="s">
        <v>31</v>
      </c>
      <c r="N252" s="3" t="s">
        <v>170</v>
      </c>
      <c r="O252" s="3" t="s">
        <v>141</v>
      </c>
      <c r="P252" s="3" t="s">
        <v>171</v>
      </c>
      <c r="Q252" s="3" t="s">
        <v>164</v>
      </c>
      <c r="R252" s="3" t="s">
        <v>144</v>
      </c>
      <c r="S252" s="3" t="s">
        <v>34</v>
      </c>
      <c r="T252" s="153">
        <v>3.0779999999999998</v>
      </c>
      <c r="U252" s="3" t="s">
        <v>175</v>
      </c>
      <c r="V252" s="164">
        <v>2.18E-2</v>
      </c>
      <c r="W252" s="164">
        <v>4.58E-2</v>
      </c>
      <c r="X252" s="5" t="s">
        <v>146</v>
      </c>
      <c r="Y252" s="5" t="s">
        <v>141</v>
      </c>
      <c r="Z252" s="153">
        <v>5190607</v>
      </c>
      <c r="AA252" s="162">
        <v>1</v>
      </c>
      <c r="AB252" s="172">
        <v>93.75</v>
      </c>
      <c r="AD252" s="153">
        <v>4866.1940000000004</v>
      </c>
      <c r="AG252" s="3" t="s">
        <v>36</v>
      </c>
      <c r="AH252" s="164">
        <v>3.1572999999999997E-2</v>
      </c>
      <c r="AI252" s="164">
        <v>1.84550372044654E-2</v>
      </c>
      <c r="AJ252" s="164">
        <v>1.90423147859505E-3</v>
      </c>
    </row>
    <row r="253" spans="1:36">
      <c r="A253" s="3">
        <v>424</v>
      </c>
      <c r="B253" s="3">
        <v>7228</v>
      </c>
      <c r="C253" s="3" t="s">
        <v>176</v>
      </c>
      <c r="D253" s="3" t="s">
        <v>177</v>
      </c>
      <c r="E253" s="5" t="s">
        <v>134</v>
      </c>
      <c r="F253" s="3" t="s">
        <v>178</v>
      </c>
      <c r="G253" s="3" t="s">
        <v>179</v>
      </c>
      <c r="H253" s="3" t="s">
        <v>137</v>
      </c>
      <c r="I253" s="3" t="s">
        <v>156</v>
      </c>
      <c r="J253" s="3" t="s">
        <v>30</v>
      </c>
      <c r="K253" s="3" t="s">
        <v>30</v>
      </c>
      <c r="L253" s="3" t="s">
        <v>139</v>
      </c>
      <c r="M253" s="3" t="s">
        <v>31</v>
      </c>
      <c r="N253" s="3" t="s">
        <v>140</v>
      </c>
      <c r="O253" s="3" t="s">
        <v>141</v>
      </c>
      <c r="P253" s="3" t="s">
        <v>180</v>
      </c>
      <c r="Q253" s="3" t="s">
        <v>143</v>
      </c>
      <c r="R253" s="3" t="s">
        <v>144</v>
      </c>
      <c r="S253" s="3" t="s">
        <v>34</v>
      </c>
      <c r="T253" s="153">
        <v>7.07</v>
      </c>
      <c r="U253" s="3" t="s">
        <v>181</v>
      </c>
      <c r="V253" s="164">
        <v>2.4E-2</v>
      </c>
      <c r="W253" s="164">
        <v>4.6629999999999998E-2</v>
      </c>
      <c r="X253" s="5" t="s">
        <v>146</v>
      </c>
      <c r="Y253" s="5" t="s">
        <v>141</v>
      </c>
      <c r="Z253" s="153">
        <v>3641895.92</v>
      </c>
      <c r="AA253" s="162">
        <v>1</v>
      </c>
      <c r="AB253" s="172">
        <v>86.13</v>
      </c>
      <c r="AD253" s="153">
        <v>3136.7649999999999</v>
      </c>
      <c r="AG253" s="3" t="s">
        <v>36</v>
      </c>
      <c r="AH253" s="164">
        <v>2.3189999999999999E-3</v>
      </c>
      <c r="AI253" s="164">
        <v>1.1896178660203999E-2</v>
      </c>
      <c r="AJ253" s="164">
        <v>1.22747397519578E-3</v>
      </c>
    </row>
    <row r="254" spans="1:36">
      <c r="A254" s="3">
        <v>424</v>
      </c>
      <c r="B254" s="3">
        <v>7228</v>
      </c>
      <c r="C254" s="3" t="s">
        <v>182</v>
      </c>
      <c r="D254" s="3" t="s">
        <v>183</v>
      </c>
      <c r="E254" s="5" t="s">
        <v>134</v>
      </c>
      <c r="F254" s="3" t="s">
        <v>184</v>
      </c>
      <c r="G254" s="3" t="s">
        <v>185</v>
      </c>
      <c r="H254" s="3" t="s">
        <v>137</v>
      </c>
      <c r="I254" s="3" t="s">
        <v>138</v>
      </c>
      <c r="J254" s="3" t="s">
        <v>30</v>
      </c>
      <c r="K254" s="3" t="s">
        <v>30</v>
      </c>
      <c r="L254" s="3" t="s">
        <v>139</v>
      </c>
      <c r="M254" s="3" t="s">
        <v>31</v>
      </c>
      <c r="N254" s="3" t="s">
        <v>186</v>
      </c>
      <c r="O254" s="3" t="s">
        <v>141</v>
      </c>
      <c r="P254" s="3" t="s">
        <v>180</v>
      </c>
      <c r="Q254" s="3" t="s">
        <v>143</v>
      </c>
      <c r="R254" s="3" t="s">
        <v>144</v>
      </c>
      <c r="S254" s="3" t="s">
        <v>34</v>
      </c>
      <c r="T254" s="153">
        <v>1.7490000000000001</v>
      </c>
      <c r="U254" s="3" t="s">
        <v>117</v>
      </c>
      <c r="V254" s="164">
        <v>2.3400000000000001E-2</v>
      </c>
      <c r="W254" s="164">
        <v>2.9860000000000001E-2</v>
      </c>
      <c r="X254" s="5" t="s">
        <v>146</v>
      </c>
      <c r="Y254" s="5" t="s">
        <v>141</v>
      </c>
      <c r="Z254" s="153">
        <v>408000.09</v>
      </c>
      <c r="AA254" s="162">
        <v>1</v>
      </c>
      <c r="AB254" s="172">
        <v>118.73</v>
      </c>
      <c r="AD254" s="153">
        <v>484.41899999999998</v>
      </c>
      <c r="AG254" s="3" t="s">
        <v>36</v>
      </c>
      <c r="AH254" s="164">
        <v>2.5000000000000001E-4</v>
      </c>
      <c r="AI254" s="164">
        <v>1.8371568112071201E-3</v>
      </c>
      <c r="AJ254" s="164">
        <v>1.8956189533822401E-4</v>
      </c>
    </row>
    <row r="255" spans="1:36">
      <c r="A255" s="3">
        <v>424</v>
      </c>
      <c r="B255" s="3">
        <v>7228</v>
      </c>
      <c r="C255" s="3" t="s">
        <v>187</v>
      </c>
      <c r="D255" s="3" t="s">
        <v>188</v>
      </c>
      <c r="E255" s="5" t="s">
        <v>134</v>
      </c>
      <c r="F255" s="3" t="s">
        <v>623</v>
      </c>
      <c r="G255" s="3" t="s">
        <v>624</v>
      </c>
      <c r="H255" s="3" t="s">
        <v>137</v>
      </c>
      <c r="I255" s="3" t="s">
        <v>156</v>
      </c>
      <c r="J255" s="3" t="s">
        <v>30</v>
      </c>
      <c r="K255" s="3" t="s">
        <v>30</v>
      </c>
      <c r="L255" s="3" t="s">
        <v>139</v>
      </c>
      <c r="M255" s="3" t="s">
        <v>31</v>
      </c>
      <c r="N255" s="3" t="s">
        <v>186</v>
      </c>
      <c r="O255" s="3" t="s">
        <v>141</v>
      </c>
      <c r="P255" s="3" t="s">
        <v>142</v>
      </c>
      <c r="Q255" s="3" t="s">
        <v>143</v>
      </c>
      <c r="R255" s="3" t="s">
        <v>144</v>
      </c>
      <c r="S255" s="3" t="s">
        <v>34</v>
      </c>
      <c r="T255" s="153">
        <v>0.877</v>
      </c>
      <c r="U255" s="3" t="s">
        <v>625</v>
      </c>
      <c r="V255" s="164">
        <v>3.85E-2</v>
      </c>
      <c r="W255" s="164">
        <v>5.1330000000000001E-2</v>
      </c>
      <c r="X255" s="5" t="s">
        <v>146</v>
      </c>
      <c r="Y255" s="5" t="s">
        <v>141</v>
      </c>
      <c r="Z255" s="153">
        <v>0.08</v>
      </c>
      <c r="AA255" s="162">
        <v>1</v>
      </c>
      <c r="AB255" s="172">
        <v>101.2</v>
      </c>
      <c r="AD255" s="153">
        <v>0</v>
      </c>
      <c r="AG255" s="3" t="s">
        <v>36</v>
      </c>
      <c r="AH255" s="164">
        <v>0</v>
      </c>
      <c r="AI255" s="164">
        <v>3.0704073715176103E-10</v>
      </c>
      <c r="AJ255" s="164">
        <v>3.1681141057463798E-11</v>
      </c>
    </row>
    <row r="256" spans="1:36">
      <c r="A256" s="3">
        <v>424</v>
      </c>
      <c r="B256" s="3">
        <v>7228</v>
      </c>
      <c r="C256" s="3" t="s">
        <v>187</v>
      </c>
      <c r="D256" s="3" t="s">
        <v>188</v>
      </c>
      <c r="E256" s="5" t="s">
        <v>134</v>
      </c>
      <c r="F256" s="3" t="s">
        <v>189</v>
      </c>
      <c r="G256" s="3" t="s">
        <v>190</v>
      </c>
      <c r="H256" s="3" t="s">
        <v>137</v>
      </c>
      <c r="I256" s="3" t="s">
        <v>156</v>
      </c>
      <c r="J256" s="3" t="s">
        <v>30</v>
      </c>
      <c r="K256" s="3" t="s">
        <v>30</v>
      </c>
      <c r="L256" s="3" t="s">
        <v>139</v>
      </c>
      <c r="M256" s="3" t="s">
        <v>31</v>
      </c>
      <c r="N256" s="3" t="s">
        <v>186</v>
      </c>
      <c r="O256" s="3" t="s">
        <v>141</v>
      </c>
      <c r="P256" s="3" t="s">
        <v>142</v>
      </c>
      <c r="Q256" s="3" t="s">
        <v>143</v>
      </c>
      <c r="R256" s="3" t="s">
        <v>144</v>
      </c>
      <c r="S256" s="3" t="s">
        <v>34</v>
      </c>
      <c r="T256" s="153">
        <v>3.4430000000000001</v>
      </c>
      <c r="U256" s="3" t="s">
        <v>191</v>
      </c>
      <c r="V256" s="164">
        <v>2.41E-2</v>
      </c>
      <c r="W256" s="164">
        <v>4.8230000000000002E-2</v>
      </c>
      <c r="X256" s="5" t="s">
        <v>146</v>
      </c>
      <c r="Y256" s="5" t="s">
        <v>141</v>
      </c>
      <c r="Z256" s="153">
        <v>1733333.33</v>
      </c>
      <c r="AA256" s="162">
        <v>1</v>
      </c>
      <c r="AB256" s="172">
        <v>93.59</v>
      </c>
      <c r="AD256" s="153">
        <v>1622.2270000000001</v>
      </c>
      <c r="AG256" s="3" t="s">
        <v>36</v>
      </c>
      <c r="AH256" s="164">
        <v>8.43E-4</v>
      </c>
      <c r="AI256" s="164">
        <v>6.1522933621876502E-3</v>
      </c>
      <c r="AJ256" s="164">
        <v>6.34807210412691E-4</v>
      </c>
    </row>
    <row r="257" spans="1:36">
      <c r="A257" s="3">
        <v>424</v>
      </c>
      <c r="B257" s="3">
        <v>7228</v>
      </c>
      <c r="C257" s="3" t="s">
        <v>187</v>
      </c>
      <c r="D257" s="3" t="s">
        <v>188</v>
      </c>
      <c r="E257" s="5" t="s">
        <v>134</v>
      </c>
      <c r="F257" s="3" t="s">
        <v>192</v>
      </c>
      <c r="G257" s="3" t="s">
        <v>193</v>
      </c>
      <c r="H257" s="3" t="s">
        <v>137</v>
      </c>
      <c r="I257" s="3" t="s">
        <v>156</v>
      </c>
      <c r="J257" s="3" t="s">
        <v>30</v>
      </c>
      <c r="K257" s="3" t="s">
        <v>30</v>
      </c>
      <c r="L257" s="3" t="s">
        <v>139</v>
      </c>
      <c r="M257" s="3" t="s">
        <v>31</v>
      </c>
      <c r="N257" s="3" t="s">
        <v>186</v>
      </c>
      <c r="O257" s="3" t="s">
        <v>141</v>
      </c>
      <c r="P257" s="3" t="s">
        <v>142</v>
      </c>
      <c r="Q257" s="3" t="s">
        <v>143</v>
      </c>
      <c r="R257" s="3" t="s">
        <v>144</v>
      </c>
      <c r="S257" s="3" t="s">
        <v>34</v>
      </c>
      <c r="T257" s="153">
        <v>5.6870000000000003</v>
      </c>
      <c r="U257" s="3" t="s">
        <v>194</v>
      </c>
      <c r="V257" s="164">
        <v>4.9399999999999999E-2</v>
      </c>
      <c r="W257" s="164">
        <v>5.142E-2</v>
      </c>
      <c r="X257" s="5" t="s">
        <v>146</v>
      </c>
      <c r="Y257" s="5" t="s">
        <v>141</v>
      </c>
      <c r="Z257" s="153">
        <v>4288061</v>
      </c>
      <c r="AA257" s="162">
        <v>1</v>
      </c>
      <c r="AB257" s="172">
        <v>101.81</v>
      </c>
      <c r="AD257" s="153">
        <v>4365.6750000000002</v>
      </c>
      <c r="AG257" s="3" t="s">
        <v>36</v>
      </c>
      <c r="AH257" s="164">
        <v>2.3040000000000001E-3</v>
      </c>
      <c r="AI257" s="164">
        <v>1.6556818684780199E-2</v>
      </c>
      <c r="AJ257" s="164">
        <v>1.7083691013812E-3</v>
      </c>
    </row>
    <row r="258" spans="1:36">
      <c r="A258" s="3">
        <v>424</v>
      </c>
      <c r="B258" s="3">
        <v>7228</v>
      </c>
      <c r="C258" s="3" t="s">
        <v>195</v>
      </c>
      <c r="D258" s="3" t="s">
        <v>196</v>
      </c>
      <c r="E258" s="5" t="s">
        <v>134</v>
      </c>
      <c r="F258" s="3" t="s">
        <v>197</v>
      </c>
      <c r="G258" s="3" t="s">
        <v>198</v>
      </c>
      <c r="H258" s="3" t="s">
        <v>137</v>
      </c>
      <c r="I258" s="3" t="s">
        <v>156</v>
      </c>
      <c r="J258" s="3" t="s">
        <v>30</v>
      </c>
      <c r="K258" s="3" t="s">
        <v>30</v>
      </c>
      <c r="L258" s="3" t="s">
        <v>139</v>
      </c>
      <c r="M258" s="3" t="s">
        <v>31</v>
      </c>
      <c r="N258" s="3" t="s">
        <v>199</v>
      </c>
      <c r="O258" s="3" t="s">
        <v>141</v>
      </c>
      <c r="P258" s="3" t="s">
        <v>152</v>
      </c>
      <c r="Q258" s="3" t="s">
        <v>143</v>
      </c>
      <c r="R258" s="3" t="s">
        <v>144</v>
      </c>
      <c r="S258" s="3" t="s">
        <v>34</v>
      </c>
      <c r="T258" s="153">
        <v>2.5489999999999999</v>
      </c>
      <c r="U258" s="3" t="s">
        <v>200</v>
      </c>
      <c r="V258" s="164">
        <v>0.04</v>
      </c>
      <c r="W258" s="164">
        <v>4.802E-2</v>
      </c>
      <c r="X258" s="5" t="s">
        <v>146</v>
      </c>
      <c r="Y258" s="5" t="s">
        <v>141</v>
      </c>
      <c r="Z258" s="153">
        <v>1575000.59</v>
      </c>
      <c r="AA258" s="162">
        <v>1</v>
      </c>
      <c r="AB258" s="172">
        <v>99.07</v>
      </c>
      <c r="AD258" s="153">
        <v>1560.3530000000001</v>
      </c>
      <c r="AG258" s="3" t="s">
        <v>36</v>
      </c>
      <c r="AH258" s="164">
        <v>2.712E-3</v>
      </c>
      <c r="AI258" s="164">
        <v>5.9176378617328898E-3</v>
      </c>
      <c r="AJ258" s="164">
        <v>6.1059493786938198E-4</v>
      </c>
    </row>
    <row r="259" spans="1:36">
      <c r="A259" s="3">
        <v>424</v>
      </c>
      <c r="B259" s="3">
        <v>7228</v>
      </c>
      <c r="C259" s="3" t="s">
        <v>195</v>
      </c>
      <c r="D259" s="3" t="s">
        <v>196</v>
      </c>
      <c r="E259" s="5" t="s">
        <v>134</v>
      </c>
      <c r="F259" s="3" t="s">
        <v>201</v>
      </c>
      <c r="G259" s="3" t="s">
        <v>202</v>
      </c>
      <c r="H259" s="3" t="s">
        <v>137</v>
      </c>
      <c r="I259" s="3" t="s">
        <v>156</v>
      </c>
      <c r="J259" s="3" t="s">
        <v>30</v>
      </c>
      <c r="K259" s="3" t="s">
        <v>30</v>
      </c>
      <c r="L259" s="3" t="s">
        <v>139</v>
      </c>
      <c r="M259" s="3" t="s">
        <v>31</v>
      </c>
      <c r="N259" s="3" t="s">
        <v>199</v>
      </c>
      <c r="O259" s="3" t="s">
        <v>141</v>
      </c>
      <c r="P259" s="3" t="s">
        <v>152</v>
      </c>
      <c r="Q259" s="3" t="s">
        <v>143</v>
      </c>
      <c r="R259" s="3" t="s">
        <v>144</v>
      </c>
      <c r="S259" s="3" t="s">
        <v>34</v>
      </c>
      <c r="T259" s="153">
        <v>4.508</v>
      </c>
      <c r="U259" s="3" t="s">
        <v>203</v>
      </c>
      <c r="V259" s="164">
        <v>2.07E-2</v>
      </c>
      <c r="W259" s="164">
        <v>4.9689999999999998E-2</v>
      </c>
      <c r="X259" s="5" t="s">
        <v>146</v>
      </c>
      <c r="Y259" s="5" t="s">
        <v>141</v>
      </c>
      <c r="Z259" s="153">
        <v>5384451.1500000004</v>
      </c>
      <c r="AA259" s="162">
        <v>1</v>
      </c>
      <c r="AB259" s="172">
        <v>88.43</v>
      </c>
      <c r="AD259" s="153">
        <v>4761.47</v>
      </c>
      <c r="AG259" s="3" t="s">
        <v>36</v>
      </c>
      <c r="AH259" s="164">
        <v>7.4149999999999997E-3</v>
      </c>
      <c r="AI259" s="164">
        <v>1.8057871854981498E-2</v>
      </c>
      <c r="AJ259" s="164">
        <v>1.8632510810853899E-3</v>
      </c>
    </row>
    <row r="260" spans="1:36">
      <c r="A260" s="3">
        <v>424</v>
      </c>
      <c r="B260" s="3">
        <v>7228</v>
      </c>
      <c r="C260" s="3" t="s">
        <v>204</v>
      </c>
      <c r="D260" s="3" t="s">
        <v>205</v>
      </c>
      <c r="E260" s="5" t="s">
        <v>134</v>
      </c>
      <c r="F260" s="3" t="s">
        <v>206</v>
      </c>
      <c r="G260" s="3" t="s">
        <v>207</v>
      </c>
      <c r="H260" s="3" t="s">
        <v>137</v>
      </c>
      <c r="I260" s="3" t="s">
        <v>156</v>
      </c>
      <c r="J260" s="3" t="s">
        <v>30</v>
      </c>
      <c r="K260" s="3" t="s">
        <v>30</v>
      </c>
      <c r="L260" s="3" t="s">
        <v>139</v>
      </c>
      <c r="M260" s="3" t="s">
        <v>31</v>
      </c>
      <c r="N260" s="3" t="s">
        <v>208</v>
      </c>
      <c r="O260" s="3" t="s">
        <v>141</v>
      </c>
      <c r="P260" s="3" t="s">
        <v>209</v>
      </c>
      <c r="Q260" s="3" t="s">
        <v>164</v>
      </c>
      <c r="R260" s="3" t="s">
        <v>144</v>
      </c>
      <c r="S260" s="3" t="s">
        <v>34</v>
      </c>
      <c r="T260" s="153">
        <v>3.7789999999999999</v>
      </c>
      <c r="U260" s="3" t="s">
        <v>210</v>
      </c>
      <c r="V260" s="164">
        <v>6.0699999999999997E-2</v>
      </c>
      <c r="W260" s="164">
        <v>5.4559999999999997E-2</v>
      </c>
      <c r="X260" s="5" t="s">
        <v>146</v>
      </c>
      <c r="Y260" s="5" t="s">
        <v>141</v>
      </c>
      <c r="Z260" s="153">
        <v>2383316</v>
      </c>
      <c r="AA260" s="162">
        <v>1</v>
      </c>
      <c r="AB260" s="172">
        <v>104.65</v>
      </c>
      <c r="AD260" s="153">
        <v>2494.14</v>
      </c>
      <c r="AG260" s="3" t="s">
        <v>36</v>
      </c>
      <c r="AH260" s="164">
        <v>5.7140000000000003E-3</v>
      </c>
      <c r="AI260" s="164">
        <v>9.4590247495750408E-3</v>
      </c>
      <c r="AJ260" s="164">
        <v>9.7600305463444001E-4</v>
      </c>
    </row>
    <row r="261" spans="1:36">
      <c r="A261" s="3">
        <v>424</v>
      </c>
      <c r="B261" s="3">
        <v>7228</v>
      </c>
      <c r="C261" s="3" t="s">
        <v>216</v>
      </c>
      <c r="D261" s="3" t="s">
        <v>217</v>
      </c>
      <c r="E261" s="5" t="s">
        <v>134</v>
      </c>
      <c r="F261" s="3" t="s">
        <v>218</v>
      </c>
      <c r="G261" s="3" t="s">
        <v>219</v>
      </c>
      <c r="H261" s="3" t="s">
        <v>137</v>
      </c>
      <c r="I261" s="3" t="s">
        <v>156</v>
      </c>
      <c r="J261" s="3" t="s">
        <v>30</v>
      </c>
      <c r="K261" s="3" t="s">
        <v>30</v>
      </c>
      <c r="L261" s="3" t="s">
        <v>139</v>
      </c>
      <c r="M261" s="3" t="s">
        <v>31</v>
      </c>
      <c r="N261" s="3" t="s">
        <v>220</v>
      </c>
      <c r="O261" s="3" t="s">
        <v>141</v>
      </c>
      <c r="P261" s="3" t="s">
        <v>171</v>
      </c>
      <c r="Q261" s="3" t="s">
        <v>164</v>
      </c>
      <c r="R261" s="3" t="s">
        <v>144</v>
      </c>
      <c r="S261" s="3" t="s">
        <v>34</v>
      </c>
      <c r="T261" s="153">
        <v>5.5110000000000001</v>
      </c>
      <c r="U261" s="3" t="s">
        <v>221</v>
      </c>
      <c r="V261" s="164">
        <v>0.05</v>
      </c>
      <c r="W261" s="164">
        <v>5.1290000000000002E-2</v>
      </c>
      <c r="X261" s="5" t="s">
        <v>146</v>
      </c>
      <c r="Y261" s="5" t="s">
        <v>141</v>
      </c>
      <c r="Z261" s="153">
        <v>2400000</v>
      </c>
      <c r="AA261" s="162">
        <v>1</v>
      </c>
      <c r="AB261" s="172">
        <v>100.11</v>
      </c>
      <c r="AD261" s="153">
        <v>2402.64</v>
      </c>
      <c r="AG261" s="3" t="s">
        <v>36</v>
      </c>
      <c r="AH261" s="164">
        <v>5.1200000000000004E-3</v>
      </c>
      <c r="AI261" s="164">
        <v>9.1120103348605007E-3</v>
      </c>
      <c r="AJ261" s="164">
        <v>9.4019734128340999E-4</v>
      </c>
    </row>
    <row r="262" spans="1:36">
      <c r="A262" s="3">
        <v>424</v>
      </c>
      <c r="B262" s="3">
        <v>7228</v>
      </c>
      <c r="C262" s="3" t="s">
        <v>216</v>
      </c>
      <c r="D262" s="3" t="s">
        <v>217</v>
      </c>
      <c r="E262" s="5" t="s">
        <v>134</v>
      </c>
      <c r="F262" s="3" t="s">
        <v>222</v>
      </c>
      <c r="G262" s="3" t="s">
        <v>223</v>
      </c>
      <c r="H262" s="3" t="s">
        <v>137</v>
      </c>
      <c r="I262" s="3" t="s">
        <v>156</v>
      </c>
      <c r="J262" s="3" t="s">
        <v>30</v>
      </c>
      <c r="K262" s="3" t="s">
        <v>224</v>
      </c>
      <c r="L262" s="3" t="s">
        <v>139</v>
      </c>
      <c r="M262" s="3" t="s">
        <v>31</v>
      </c>
      <c r="N262" s="3" t="s">
        <v>220</v>
      </c>
      <c r="O262" s="3" t="s">
        <v>141</v>
      </c>
      <c r="P262" s="3" t="s">
        <v>171</v>
      </c>
      <c r="Q262" s="3" t="s">
        <v>164</v>
      </c>
      <c r="R262" s="3" t="s">
        <v>144</v>
      </c>
      <c r="S262" s="3" t="s">
        <v>34</v>
      </c>
      <c r="T262" s="153">
        <v>2.8079999999999998</v>
      </c>
      <c r="U262" s="3" t="s">
        <v>225</v>
      </c>
      <c r="V262" s="164">
        <v>1.4999999999999999E-2</v>
      </c>
      <c r="W262" s="164">
        <v>5.0139999999999997E-2</v>
      </c>
      <c r="X262" s="5" t="s">
        <v>146</v>
      </c>
      <c r="Y262" s="5" t="s">
        <v>141</v>
      </c>
      <c r="Z262" s="153">
        <v>2810088</v>
      </c>
      <c r="AA262" s="162">
        <v>1</v>
      </c>
      <c r="AB262" s="172">
        <v>90.97</v>
      </c>
      <c r="AD262" s="153">
        <v>2556.337</v>
      </c>
      <c r="AG262" s="3" t="s">
        <v>36</v>
      </c>
      <c r="AH262" s="164">
        <v>2.3879999999999999E-3</v>
      </c>
      <c r="AI262" s="164">
        <v>9.6949062913253906E-3</v>
      </c>
      <c r="AJ262" s="164">
        <v>1.0003418328251401E-3</v>
      </c>
    </row>
    <row r="263" spans="1:36">
      <c r="A263" s="3">
        <v>424</v>
      </c>
      <c r="B263" s="3">
        <v>7228</v>
      </c>
      <c r="C263" s="3" t="s">
        <v>226</v>
      </c>
      <c r="D263" s="3" t="s">
        <v>227</v>
      </c>
      <c r="E263" s="5" t="s">
        <v>134</v>
      </c>
      <c r="F263" s="3" t="s">
        <v>228</v>
      </c>
      <c r="G263" s="3" t="s">
        <v>229</v>
      </c>
      <c r="H263" s="3" t="s">
        <v>137</v>
      </c>
      <c r="I263" s="3" t="s">
        <v>156</v>
      </c>
      <c r="J263" s="3" t="s">
        <v>30</v>
      </c>
      <c r="K263" s="3" t="s">
        <v>30</v>
      </c>
      <c r="L263" s="3" t="s">
        <v>139</v>
      </c>
      <c r="M263" s="3" t="s">
        <v>31</v>
      </c>
      <c r="N263" s="3" t="s">
        <v>220</v>
      </c>
      <c r="O263" s="3" t="s">
        <v>141</v>
      </c>
      <c r="P263" s="3" t="s">
        <v>230</v>
      </c>
      <c r="Q263" s="3" t="s">
        <v>143</v>
      </c>
      <c r="R263" s="3" t="s">
        <v>144</v>
      </c>
      <c r="S263" s="3" t="s">
        <v>34</v>
      </c>
      <c r="T263" s="153">
        <v>2.4319999999999999</v>
      </c>
      <c r="U263" s="3" t="s">
        <v>231</v>
      </c>
      <c r="V263" s="164">
        <v>2.0500000000000001E-2</v>
      </c>
      <c r="W263" s="164">
        <v>5.0529999999999999E-2</v>
      </c>
      <c r="X263" s="5" t="s">
        <v>146</v>
      </c>
      <c r="Y263" s="5" t="s">
        <v>141</v>
      </c>
      <c r="Z263" s="153">
        <v>2200000.36</v>
      </c>
      <c r="AA263" s="162">
        <v>1</v>
      </c>
      <c r="AB263" s="172">
        <v>93.47</v>
      </c>
      <c r="AD263" s="153">
        <v>2056.34</v>
      </c>
      <c r="AG263" s="3" t="s">
        <v>36</v>
      </c>
      <c r="AH263" s="164">
        <v>2.5240000000000002E-3</v>
      </c>
      <c r="AI263" s="164">
        <v>7.7986691298345201E-3</v>
      </c>
      <c r="AJ263" s="164">
        <v>8.04683896523662E-4</v>
      </c>
    </row>
    <row r="264" spans="1:36">
      <c r="A264" s="3">
        <v>424</v>
      </c>
      <c r="B264" s="3">
        <v>7228</v>
      </c>
      <c r="C264" s="3" t="s">
        <v>232</v>
      </c>
      <c r="D264" s="3" t="s">
        <v>233</v>
      </c>
      <c r="E264" s="5" t="s">
        <v>134</v>
      </c>
      <c r="F264" s="3" t="s">
        <v>626</v>
      </c>
      <c r="G264" s="3" t="s">
        <v>627</v>
      </c>
      <c r="H264" s="3" t="s">
        <v>137</v>
      </c>
      <c r="I264" s="3" t="s">
        <v>156</v>
      </c>
      <c r="J264" s="3" t="s">
        <v>30</v>
      </c>
      <c r="K264" s="3" t="s">
        <v>30</v>
      </c>
      <c r="L264" s="3" t="s">
        <v>139</v>
      </c>
      <c r="M264" s="3" t="s">
        <v>31</v>
      </c>
      <c r="N264" s="3" t="s">
        <v>208</v>
      </c>
      <c r="O264" s="3" t="s">
        <v>141</v>
      </c>
      <c r="P264" s="3" t="s">
        <v>152</v>
      </c>
      <c r="Q264" s="3" t="s">
        <v>143</v>
      </c>
      <c r="R264" s="3" t="s">
        <v>144</v>
      </c>
      <c r="S264" s="3" t="s">
        <v>34</v>
      </c>
      <c r="T264" s="153">
        <v>2.5110000000000001</v>
      </c>
      <c r="U264" s="3" t="s">
        <v>628</v>
      </c>
      <c r="V264" s="164">
        <v>3.2500000000000001E-2</v>
      </c>
      <c r="W264" s="164">
        <v>5.1240000000000001E-2</v>
      </c>
      <c r="X264" s="5" t="s">
        <v>146</v>
      </c>
      <c r="Y264" s="5" t="s">
        <v>141</v>
      </c>
      <c r="Z264" s="153">
        <v>671673.1</v>
      </c>
      <c r="AA264" s="162">
        <v>1</v>
      </c>
      <c r="AB264" s="172">
        <v>95.69</v>
      </c>
      <c r="AD264" s="153">
        <v>642.72400000000005</v>
      </c>
      <c r="AG264" s="3" t="s">
        <v>36</v>
      </c>
      <c r="AH264" s="164">
        <v>2.7950000000000002E-3</v>
      </c>
      <c r="AI264" s="164">
        <v>2.43753023082295E-3</v>
      </c>
      <c r="AJ264" s="164">
        <v>2.5150975010968999E-4</v>
      </c>
    </row>
    <row r="265" spans="1:36">
      <c r="A265" s="3">
        <v>424</v>
      </c>
      <c r="B265" s="3">
        <v>7228</v>
      </c>
      <c r="C265" s="3" t="s">
        <v>232</v>
      </c>
      <c r="D265" s="3" t="s">
        <v>233</v>
      </c>
      <c r="E265" s="5" t="s">
        <v>134</v>
      </c>
      <c r="F265" s="3" t="s">
        <v>237</v>
      </c>
      <c r="G265" s="3" t="s">
        <v>238</v>
      </c>
      <c r="H265" s="3" t="s">
        <v>137</v>
      </c>
      <c r="I265" s="3" t="s">
        <v>138</v>
      </c>
      <c r="J265" s="3" t="s">
        <v>30</v>
      </c>
      <c r="K265" s="3" t="s">
        <v>30</v>
      </c>
      <c r="L265" s="3" t="s">
        <v>139</v>
      </c>
      <c r="M265" s="3" t="s">
        <v>31</v>
      </c>
      <c r="N265" s="3" t="s">
        <v>208</v>
      </c>
      <c r="O265" s="3" t="s">
        <v>141</v>
      </c>
      <c r="P265" s="3" t="s">
        <v>152</v>
      </c>
      <c r="Q265" s="3" t="s">
        <v>143</v>
      </c>
      <c r="R265" s="3" t="s">
        <v>144</v>
      </c>
      <c r="S265" s="3" t="s">
        <v>34</v>
      </c>
      <c r="T265" s="153">
        <v>4.226</v>
      </c>
      <c r="U265" s="3" t="s">
        <v>239</v>
      </c>
      <c r="V265" s="164">
        <v>1.54E-2</v>
      </c>
      <c r="W265" s="164">
        <v>3.075E-2</v>
      </c>
      <c r="X265" s="5" t="s">
        <v>146</v>
      </c>
      <c r="Y265" s="5" t="s">
        <v>141</v>
      </c>
      <c r="Z265" s="153">
        <v>2876000</v>
      </c>
      <c r="AA265" s="162">
        <v>1</v>
      </c>
      <c r="AB265" s="172">
        <v>108.24</v>
      </c>
      <c r="AD265" s="153">
        <v>3112.982</v>
      </c>
      <c r="AG265" s="3" t="s">
        <v>36</v>
      </c>
      <c r="AH265" s="164">
        <v>4.8219999999999999E-3</v>
      </c>
      <c r="AI265" s="164">
        <v>1.18059833354305E-2</v>
      </c>
      <c r="AJ265" s="164">
        <v>1.2181674224778E-3</v>
      </c>
    </row>
    <row r="266" spans="1:36">
      <c r="A266" s="3">
        <v>424</v>
      </c>
      <c r="B266" s="3">
        <v>7228</v>
      </c>
      <c r="C266" s="3" t="s">
        <v>232</v>
      </c>
      <c r="D266" s="3" t="s">
        <v>233</v>
      </c>
      <c r="E266" s="5" t="s">
        <v>134</v>
      </c>
      <c r="F266" s="3" t="s">
        <v>240</v>
      </c>
      <c r="G266" s="3" t="s">
        <v>241</v>
      </c>
      <c r="H266" s="3" t="s">
        <v>137</v>
      </c>
      <c r="I266" s="3" t="s">
        <v>138</v>
      </c>
      <c r="J266" s="3" t="s">
        <v>30</v>
      </c>
      <c r="K266" s="3" t="s">
        <v>30</v>
      </c>
      <c r="L266" s="3" t="s">
        <v>139</v>
      </c>
      <c r="M266" s="3" t="s">
        <v>31</v>
      </c>
      <c r="N266" s="3" t="s">
        <v>208</v>
      </c>
      <c r="O266" s="3" t="s">
        <v>141</v>
      </c>
      <c r="P266" s="3" t="s">
        <v>152</v>
      </c>
      <c r="Q266" s="3" t="s">
        <v>143</v>
      </c>
      <c r="R266" s="3" t="s">
        <v>144</v>
      </c>
      <c r="S266" s="3" t="s">
        <v>34</v>
      </c>
      <c r="T266" s="153">
        <v>6.452</v>
      </c>
      <c r="U266" s="3" t="s">
        <v>242</v>
      </c>
      <c r="V266" s="164">
        <v>4.02E-2</v>
      </c>
      <c r="W266" s="164">
        <v>3.3029999999999997E-2</v>
      </c>
      <c r="X266" s="5" t="s">
        <v>146</v>
      </c>
      <c r="Y266" s="5" t="s">
        <v>141</v>
      </c>
      <c r="Z266" s="153">
        <v>2339000</v>
      </c>
      <c r="AA266" s="162">
        <v>1</v>
      </c>
      <c r="AB266" s="172">
        <v>108.86</v>
      </c>
      <c r="AD266" s="153">
        <v>2546.2350000000001</v>
      </c>
      <c r="AG266" s="3" t="s">
        <v>36</v>
      </c>
      <c r="AH266" s="164">
        <v>2.8999999999999998E-3</v>
      </c>
      <c r="AI266" s="164">
        <v>9.6565957778891806E-3</v>
      </c>
      <c r="AJ266" s="164">
        <v>9.9638886947761704E-4</v>
      </c>
    </row>
    <row r="267" spans="1:36">
      <c r="A267" s="3">
        <v>424</v>
      </c>
      <c r="B267" s="3">
        <v>7228</v>
      </c>
      <c r="C267" s="3" t="s">
        <v>581</v>
      </c>
      <c r="D267" s="3" t="s">
        <v>582</v>
      </c>
      <c r="E267" s="5" t="s">
        <v>134</v>
      </c>
      <c r="F267" s="3" t="s">
        <v>583</v>
      </c>
      <c r="G267" s="3" t="s">
        <v>584</v>
      </c>
      <c r="H267" s="3" t="s">
        <v>137</v>
      </c>
      <c r="I267" s="3" t="s">
        <v>156</v>
      </c>
      <c r="J267" s="3" t="s">
        <v>30</v>
      </c>
      <c r="K267" s="3" t="s">
        <v>30</v>
      </c>
      <c r="L267" s="3" t="s">
        <v>139</v>
      </c>
      <c r="M267" s="3" t="s">
        <v>31</v>
      </c>
      <c r="N267" s="3" t="s">
        <v>162</v>
      </c>
      <c r="O267" s="3" t="s">
        <v>141</v>
      </c>
      <c r="P267" s="3" t="s">
        <v>209</v>
      </c>
      <c r="Q267" s="3" t="s">
        <v>164</v>
      </c>
      <c r="R267" s="3" t="s">
        <v>144</v>
      </c>
      <c r="S267" s="3" t="s">
        <v>34</v>
      </c>
      <c r="T267" s="153">
        <v>4.8499999999999996</v>
      </c>
      <c r="U267" s="3" t="s">
        <v>258</v>
      </c>
      <c r="V267" s="164">
        <v>5.3800000000000001E-2</v>
      </c>
      <c r="W267" s="164">
        <v>5.5210000000000002E-2</v>
      </c>
      <c r="X267" s="5" t="s">
        <v>146</v>
      </c>
      <c r="Y267" s="5" t="s">
        <v>141</v>
      </c>
      <c r="Z267" s="153">
        <v>2910061</v>
      </c>
      <c r="AA267" s="162">
        <v>1</v>
      </c>
      <c r="AB267" s="172">
        <v>100.68</v>
      </c>
      <c r="AD267" s="153">
        <v>2929.8490000000002</v>
      </c>
      <c r="AG267" s="3" t="s">
        <v>36</v>
      </c>
      <c r="AH267" s="164">
        <v>1.1639999999999999E-2</v>
      </c>
      <c r="AI267" s="164">
        <v>1.11114516312234E-2</v>
      </c>
      <c r="AJ267" s="164">
        <v>1.14650410804603E-3</v>
      </c>
    </row>
    <row r="268" spans="1:36">
      <c r="A268" s="3">
        <v>424</v>
      </c>
      <c r="B268" s="3">
        <v>7228</v>
      </c>
      <c r="C268" s="3" t="s">
        <v>629</v>
      </c>
      <c r="D268" s="3" t="s">
        <v>630</v>
      </c>
      <c r="E268" s="5" t="s">
        <v>134</v>
      </c>
      <c r="F268" s="3" t="s">
        <v>631</v>
      </c>
      <c r="G268" s="3" t="s">
        <v>632</v>
      </c>
      <c r="H268" s="3" t="s">
        <v>137</v>
      </c>
      <c r="I268" s="3" t="s">
        <v>138</v>
      </c>
      <c r="J268" s="3" t="s">
        <v>30</v>
      </c>
      <c r="K268" s="3" t="s">
        <v>30</v>
      </c>
      <c r="L268" s="3" t="s">
        <v>139</v>
      </c>
      <c r="M268" s="3" t="s">
        <v>31</v>
      </c>
      <c r="N268" s="3" t="s">
        <v>208</v>
      </c>
      <c r="O268" s="3" t="s">
        <v>141</v>
      </c>
      <c r="P268" s="3" t="s">
        <v>633</v>
      </c>
      <c r="Q268" s="3" t="s">
        <v>143</v>
      </c>
      <c r="R268" s="3" t="s">
        <v>144</v>
      </c>
      <c r="S268" s="3" t="s">
        <v>34</v>
      </c>
      <c r="T268" s="153">
        <v>1.415</v>
      </c>
      <c r="U268" s="3" t="s">
        <v>634</v>
      </c>
      <c r="V268" s="164">
        <v>4.6002000000000001E-2</v>
      </c>
      <c r="W268" s="164">
        <v>0.24506</v>
      </c>
      <c r="X268" s="5" t="s">
        <v>146</v>
      </c>
      <c r="Y268" s="5" t="s">
        <v>141</v>
      </c>
      <c r="Z268" s="153">
        <v>106852.46</v>
      </c>
      <c r="AA268" s="162">
        <v>1</v>
      </c>
      <c r="AB268" s="172">
        <v>205.11</v>
      </c>
      <c r="AD268" s="153">
        <v>219.16499999999999</v>
      </c>
      <c r="AG268" s="3" t="s">
        <v>36</v>
      </c>
      <c r="AH268" s="164">
        <v>6.7869999999999996E-3</v>
      </c>
      <c r="AI268" s="164">
        <v>8.3118339844238302E-4</v>
      </c>
      <c r="AJ268" s="164">
        <v>8.5763337904115996E-5</v>
      </c>
    </row>
    <row r="269" spans="1:36">
      <c r="A269" s="3">
        <v>424</v>
      </c>
      <c r="B269" s="3">
        <v>7228</v>
      </c>
      <c r="C269" s="3" t="s">
        <v>182</v>
      </c>
      <c r="D269" s="3" t="s">
        <v>183</v>
      </c>
      <c r="E269" s="5" t="s">
        <v>134</v>
      </c>
      <c r="F269" s="3" t="s">
        <v>243</v>
      </c>
      <c r="G269" s="3" t="s">
        <v>244</v>
      </c>
      <c r="H269" s="3" t="s">
        <v>137</v>
      </c>
      <c r="I269" s="3" t="s">
        <v>138</v>
      </c>
      <c r="J269" s="3" t="s">
        <v>30</v>
      </c>
      <c r="K269" s="3" t="s">
        <v>30</v>
      </c>
      <c r="L269" s="3" t="s">
        <v>139</v>
      </c>
      <c r="M269" s="3" t="s">
        <v>31</v>
      </c>
      <c r="N269" s="3" t="s">
        <v>186</v>
      </c>
      <c r="O269" s="3" t="s">
        <v>141</v>
      </c>
      <c r="P269" s="3" t="s">
        <v>180</v>
      </c>
      <c r="Q269" s="3" t="s">
        <v>143</v>
      </c>
      <c r="R269" s="3" t="s">
        <v>144</v>
      </c>
      <c r="S269" s="3" t="s">
        <v>34</v>
      </c>
      <c r="T269" s="153">
        <v>6.952</v>
      </c>
      <c r="U269" s="3" t="s">
        <v>245</v>
      </c>
      <c r="V269" s="164">
        <v>3.5999999999999997E-2</v>
      </c>
      <c r="W269" s="164">
        <v>2.989E-2</v>
      </c>
      <c r="X269" s="5" t="s">
        <v>146</v>
      </c>
      <c r="Y269" s="5" t="s">
        <v>141</v>
      </c>
      <c r="Z269" s="153">
        <v>2400000</v>
      </c>
      <c r="AA269" s="162">
        <v>1</v>
      </c>
      <c r="AB269" s="172">
        <v>109.05</v>
      </c>
      <c r="AD269" s="153">
        <v>2617.1999999999998</v>
      </c>
      <c r="AG269" s="3" t="s">
        <v>36</v>
      </c>
      <c r="AH269" s="164">
        <v>2.7430000000000002E-3</v>
      </c>
      <c r="AI269" s="164">
        <v>9.9257289683002403E-3</v>
      </c>
      <c r="AJ269" s="164">
        <v>1.0241586261807601E-3</v>
      </c>
    </row>
    <row r="270" spans="1:36">
      <c r="A270" s="3">
        <v>424</v>
      </c>
      <c r="B270" s="3">
        <v>7228</v>
      </c>
      <c r="C270" s="3" t="s">
        <v>246</v>
      </c>
      <c r="D270" s="3" t="s">
        <v>247</v>
      </c>
      <c r="E270" s="5" t="s">
        <v>134</v>
      </c>
      <c r="F270" s="3" t="s">
        <v>248</v>
      </c>
      <c r="G270" s="3" t="s">
        <v>249</v>
      </c>
      <c r="H270" s="3" t="s">
        <v>137</v>
      </c>
      <c r="I270" s="3" t="s">
        <v>138</v>
      </c>
      <c r="J270" s="3" t="s">
        <v>30</v>
      </c>
      <c r="K270" s="3" t="s">
        <v>30</v>
      </c>
      <c r="L270" s="3" t="s">
        <v>139</v>
      </c>
      <c r="M270" s="3" t="s">
        <v>31</v>
      </c>
      <c r="N270" s="3" t="s">
        <v>186</v>
      </c>
      <c r="O270" s="3" t="s">
        <v>141</v>
      </c>
      <c r="P270" s="3" t="s">
        <v>230</v>
      </c>
      <c r="Q270" s="3" t="s">
        <v>143</v>
      </c>
      <c r="R270" s="3" t="s">
        <v>144</v>
      </c>
      <c r="S270" s="3" t="s">
        <v>34</v>
      </c>
      <c r="T270" s="153">
        <v>5.3049999999999997</v>
      </c>
      <c r="U270" s="3" t="s">
        <v>250</v>
      </c>
      <c r="V270" s="164">
        <v>3.6799999999999999E-2</v>
      </c>
      <c r="W270" s="164">
        <v>3.2320000000000002E-2</v>
      </c>
      <c r="X270" s="5" t="s">
        <v>146</v>
      </c>
      <c r="Y270" s="5" t="s">
        <v>141</v>
      </c>
      <c r="Z270" s="153">
        <v>2928000</v>
      </c>
      <c r="AA270" s="162">
        <v>1</v>
      </c>
      <c r="AB270" s="172">
        <v>110.18</v>
      </c>
      <c r="AD270" s="153">
        <v>3226.07</v>
      </c>
      <c r="AG270" s="3" t="s">
        <v>36</v>
      </c>
      <c r="AH270" s="164">
        <v>6.6E-3</v>
      </c>
      <c r="AI270" s="164">
        <v>1.22348694876417E-2</v>
      </c>
      <c r="AJ270" s="164">
        <v>1.2624208424371101E-3</v>
      </c>
    </row>
    <row r="271" spans="1:36">
      <c r="A271" s="3">
        <v>424</v>
      </c>
      <c r="B271" s="3">
        <v>7228</v>
      </c>
      <c r="C271" s="3" t="s">
        <v>246</v>
      </c>
      <c r="D271" s="3" t="s">
        <v>247</v>
      </c>
      <c r="E271" s="5" t="s">
        <v>134</v>
      </c>
      <c r="F271" s="3" t="s">
        <v>251</v>
      </c>
      <c r="G271" s="3" t="s">
        <v>252</v>
      </c>
      <c r="H271" s="3" t="s">
        <v>137</v>
      </c>
      <c r="I271" s="3" t="s">
        <v>138</v>
      </c>
      <c r="J271" s="3" t="s">
        <v>30</v>
      </c>
      <c r="K271" s="3" t="s">
        <v>30</v>
      </c>
      <c r="L271" s="3" t="s">
        <v>139</v>
      </c>
      <c r="M271" s="3" t="s">
        <v>31</v>
      </c>
      <c r="N271" s="3" t="s">
        <v>186</v>
      </c>
      <c r="O271" s="3" t="s">
        <v>141</v>
      </c>
      <c r="P271" s="3" t="s">
        <v>230</v>
      </c>
      <c r="Q271" s="3" t="s">
        <v>143</v>
      </c>
      <c r="R271" s="3" t="s">
        <v>144</v>
      </c>
      <c r="S271" s="3" t="s">
        <v>34</v>
      </c>
      <c r="T271" s="153">
        <v>0.96499999999999997</v>
      </c>
      <c r="U271" s="3" t="s">
        <v>253</v>
      </c>
      <c r="V271" s="164">
        <v>3.4599999999999999E-2</v>
      </c>
      <c r="W271" s="164">
        <v>3.4209999999999997E-2</v>
      </c>
      <c r="X271" s="5" t="s">
        <v>146</v>
      </c>
      <c r="Y271" s="5" t="s">
        <v>141</v>
      </c>
      <c r="Z271" s="153">
        <v>0.91</v>
      </c>
      <c r="AA271" s="162">
        <v>1</v>
      </c>
      <c r="AB271" s="172">
        <v>120.85</v>
      </c>
      <c r="AD271" s="153">
        <v>1E-3</v>
      </c>
      <c r="AG271" s="3" t="s">
        <v>36</v>
      </c>
      <c r="AH271" s="164">
        <v>0</v>
      </c>
      <c r="AI271" s="164">
        <v>4.1707441337894207E-9</v>
      </c>
      <c r="AJ271" s="164">
        <v>4.3034658671973802E-10</v>
      </c>
    </row>
    <row r="272" spans="1:36">
      <c r="A272" s="3">
        <v>424</v>
      </c>
      <c r="B272" s="3">
        <v>7228</v>
      </c>
      <c r="C272" s="3" t="s">
        <v>254</v>
      </c>
      <c r="D272" s="3" t="s">
        <v>255</v>
      </c>
      <c r="E272" s="5" t="s">
        <v>134</v>
      </c>
      <c r="F272" s="3" t="s">
        <v>256</v>
      </c>
      <c r="G272" s="3" t="s">
        <v>257</v>
      </c>
      <c r="H272" s="3" t="s">
        <v>137</v>
      </c>
      <c r="I272" s="3" t="s">
        <v>138</v>
      </c>
      <c r="J272" s="3" t="s">
        <v>30</v>
      </c>
      <c r="K272" s="3" t="s">
        <v>30</v>
      </c>
      <c r="L272" s="3" t="s">
        <v>139</v>
      </c>
      <c r="M272" s="3" t="s">
        <v>31</v>
      </c>
      <c r="N272" s="3" t="s">
        <v>162</v>
      </c>
      <c r="O272" s="3" t="s">
        <v>141</v>
      </c>
      <c r="P272" s="3" t="s">
        <v>230</v>
      </c>
      <c r="Q272" s="3" t="s">
        <v>143</v>
      </c>
      <c r="R272" s="3" t="s">
        <v>144</v>
      </c>
      <c r="S272" s="3" t="s">
        <v>34</v>
      </c>
      <c r="T272" s="153">
        <v>4.6859999999999999</v>
      </c>
      <c r="U272" s="3" t="s">
        <v>258</v>
      </c>
      <c r="V272" s="164">
        <v>4.0800000000000003E-2</v>
      </c>
      <c r="W272" s="164">
        <v>3.4189999999999998E-2</v>
      </c>
      <c r="X272" s="5" t="s">
        <v>146</v>
      </c>
      <c r="Y272" s="5" t="s">
        <v>141</v>
      </c>
      <c r="Z272" s="153">
        <v>2450000</v>
      </c>
      <c r="AA272" s="162">
        <v>1</v>
      </c>
      <c r="AB272" s="172">
        <v>111.71</v>
      </c>
      <c r="AD272" s="153">
        <v>2736.895</v>
      </c>
      <c r="AG272" s="3" t="s">
        <v>36</v>
      </c>
      <c r="AH272" s="164">
        <v>2.8210000000000002E-3</v>
      </c>
      <c r="AI272" s="164">
        <v>1.03796721628825E-2</v>
      </c>
      <c r="AJ272" s="164">
        <v>1.07099748708581E-3</v>
      </c>
    </row>
    <row r="273" spans="1:36">
      <c r="A273" s="3">
        <v>424</v>
      </c>
      <c r="B273" s="3">
        <v>7228</v>
      </c>
      <c r="C273" s="3" t="s">
        <v>259</v>
      </c>
      <c r="D273" s="3" t="s">
        <v>260</v>
      </c>
      <c r="E273" s="5" t="s">
        <v>134</v>
      </c>
      <c r="F273" s="3" t="s">
        <v>261</v>
      </c>
      <c r="G273" s="3" t="s">
        <v>262</v>
      </c>
      <c r="H273" s="3" t="s">
        <v>137</v>
      </c>
      <c r="I273" s="3" t="s">
        <v>156</v>
      </c>
      <c r="J273" s="3" t="s">
        <v>30</v>
      </c>
      <c r="K273" s="3" t="s">
        <v>30</v>
      </c>
      <c r="L273" s="3" t="s">
        <v>139</v>
      </c>
      <c r="M273" s="3" t="s">
        <v>31</v>
      </c>
      <c r="N273" s="3" t="s">
        <v>151</v>
      </c>
      <c r="O273" s="3" t="s">
        <v>141</v>
      </c>
      <c r="P273" s="3" t="s">
        <v>152</v>
      </c>
      <c r="Q273" s="3" t="s">
        <v>143</v>
      </c>
      <c r="R273" s="3" t="s">
        <v>144</v>
      </c>
      <c r="S273" s="3" t="s">
        <v>34</v>
      </c>
      <c r="T273" s="153">
        <v>5.7279999999999998</v>
      </c>
      <c r="U273" s="3" t="s">
        <v>263</v>
      </c>
      <c r="V273" s="164">
        <v>5.2499999999999998E-2</v>
      </c>
      <c r="W273" s="164">
        <v>5.339E-2</v>
      </c>
      <c r="X273" s="5" t="s">
        <v>146</v>
      </c>
      <c r="Y273" s="5" t="s">
        <v>141</v>
      </c>
      <c r="Z273" s="153">
        <v>2200000</v>
      </c>
      <c r="AA273" s="162">
        <v>1</v>
      </c>
      <c r="AB273" s="172">
        <v>101.34</v>
      </c>
      <c r="AD273" s="153">
        <v>2229.48</v>
      </c>
      <c r="AG273" s="3" t="s">
        <v>36</v>
      </c>
      <c r="AH273" s="164">
        <v>3.3470000000000001E-3</v>
      </c>
      <c r="AI273" s="164">
        <v>8.4553011692824493E-3</v>
      </c>
      <c r="AJ273" s="164">
        <v>8.7243663988135502E-4</v>
      </c>
    </row>
    <row r="274" spans="1:36">
      <c r="A274" s="3">
        <v>424</v>
      </c>
      <c r="B274" s="3">
        <v>7228</v>
      </c>
      <c r="C274" s="3" t="s">
        <v>259</v>
      </c>
      <c r="D274" s="3" t="s">
        <v>260</v>
      </c>
      <c r="E274" s="5" t="s">
        <v>134</v>
      </c>
      <c r="F274" s="3" t="s">
        <v>264</v>
      </c>
      <c r="G274" s="3" t="s">
        <v>265</v>
      </c>
      <c r="H274" s="3" t="s">
        <v>137</v>
      </c>
      <c r="I274" s="3" t="s">
        <v>156</v>
      </c>
      <c r="J274" s="3" t="s">
        <v>30</v>
      </c>
      <c r="K274" s="3" t="s">
        <v>30</v>
      </c>
      <c r="L274" s="3" t="s">
        <v>139</v>
      </c>
      <c r="M274" s="3" t="s">
        <v>31</v>
      </c>
      <c r="N274" s="3" t="s">
        <v>151</v>
      </c>
      <c r="O274" s="3" t="s">
        <v>141</v>
      </c>
      <c r="P274" s="3" t="s">
        <v>152</v>
      </c>
      <c r="Q274" s="3" t="s">
        <v>143</v>
      </c>
      <c r="R274" s="3" t="s">
        <v>144</v>
      </c>
      <c r="S274" s="3" t="s">
        <v>34</v>
      </c>
      <c r="T274" s="153">
        <v>2.21</v>
      </c>
      <c r="U274" s="3" t="s">
        <v>266</v>
      </c>
      <c r="V274" s="164">
        <v>2.7E-2</v>
      </c>
      <c r="W274" s="164">
        <v>5.0229999999999997E-2</v>
      </c>
      <c r="X274" s="5" t="s">
        <v>146</v>
      </c>
      <c r="Y274" s="5" t="s">
        <v>141</v>
      </c>
      <c r="Z274" s="153">
        <v>1785000</v>
      </c>
      <c r="AA274" s="162">
        <v>1</v>
      </c>
      <c r="AB274" s="172">
        <v>95.21</v>
      </c>
      <c r="AD274" s="153">
        <v>1699.498</v>
      </c>
      <c r="AG274" s="3" t="s">
        <v>36</v>
      </c>
      <c r="AH274" s="164">
        <v>3.1220000000000002E-3</v>
      </c>
      <c r="AI274" s="164">
        <v>6.44534674195049E-3</v>
      </c>
      <c r="AJ274" s="164">
        <v>6.6504510505741401E-4</v>
      </c>
    </row>
    <row r="275" spans="1:36">
      <c r="A275" s="3">
        <v>424</v>
      </c>
      <c r="B275" s="3">
        <v>7228</v>
      </c>
      <c r="C275" s="3" t="s">
        <v>267</v>
      </c>
      <c r="D275" s="3" t="s">
        <v>268</v>
      </c>
      <c r="E275" s="5" t="s">
        <v>134</v>
      </c>
      <c r="F275" s="3" t="s">
        <v>269</v>
      </c>
      <c r="G275" s="3" t="s">
        <v>270</v>
      </c>
      <c r="H275" s="3" t="s">
        <v>137</v>
      </c>
      <c r="I275" s="3" t="s">
        <v>138</v>
      </c>
      <c r="J275" s="3" t="s">
        <v>30</v>
      </c>
      <c r="K275" s="3" t="s">
        <v>30</v>
      </c>
      <c r="L275" s="3" t="s">
        <v>139</v>
      </c>
      <c r="M275" s="3" t="s">
        <v>31</v>
      </c>
      <c r="N275" s="3" t="s">
        <v>186</v>
      </c>
      <c r="O275" s="3" t="s">
        <v>141</v>
      </c>
      <c r="P275" s="3" t="s">
        <v>271</v>
      </c>
      <c r="Q275" s="3" t="s">
        <v>164</v>
      </c>
      <c r="R275" s="3" t="s">
        <v>144</v>
      </c>
      <c r="S275" s="3" t="s">
        <v>34</v>
      </c>
      <c r="T275" s="153">
        <v>3.51</v>
      </c>
      <c r="U275" s="3" t="s">
        <v>272</v>
      </c>
      <c r="V275" s="164">
        <v>1.17E-2</v>
      </c>
      <c r="W275" s="164">
        <v>2.8479999999999998E-2</v>
      </c>
      <c r="X275" s="5" t="s">
        <v>146</v>
      </c>
      <c r="Y275" s="5" t="s">
        <v>141</v>
      </c>
      <c r="Z275" s="153">
        <v>2397394.14</v>
      </c>
      <c r="AA275" s="162">
        <v>1</v>
      </c>
      <c r="AB275" s="172">
        <v>111.54</v>
      </c>
      <c r="AD275" s="153">
        <v>2674.0529999999999</v>
      </c>
      <c r="AG275" s="3" t="s">
        <v>36</v>
      </c>
      <c r="AH275" s="164">
        <v>3.4819999999999999E-3</v>
      </c>
      <c r="AI275" s="164">
        <v>1.0141345533760299E-2</v>
      </c>
      <c r="AJ275" s="164">
        <v>1.04640641938251E-3</v>
      </c>
    </row>
    <row r="276" spans="1:36">
      <c r="A276" s="3">
        <v>424</v>
      </c>
      <c r="B276" s="3">
        <v>7228</v>
      </c>
      <c r="C276" s="3" t="s">
        <v>267</v>
      </c>
      <c r="D276" s="3" t="s">
        <v>268</v>
      </c>
      <c r="E276" s="5" t="s">
        <v>134</v>
      </c>
      <c r="F276" s="3" t="s">
        <v>273</v>
      </c>
      <c r="G276" s="3" t="s">
        <v>274</v>
      </c>
      <c r="H276" s="3" t="s">
        <v>137</v>
      </c>
      <c r="I276" s="3" t="s">
        <v>138</v>
      </c>
      <c r="J276" s="3" t="s">
        <v>30</v>
      </c>
      <c r="K276" s="3" t="s">
        <v>30</v>
      </c>
      <c r="L276" s="3" t="s">
        <v>139</v>
      </c>
      <c r="M276" s="3" t="s">
        <v>31</v>
      </c>
      <c r="N276" s="3" t="s">
        <v>186</v>
      </c>
      <c r="O276" s="3" t="s">
        <v>141</v>
      </c>
      <c r="P276" s="3" t="s">
        <v>271</v>
      </c>
      <c r="Q276" s="3" t="s">
        <v>164</v>
      </c>
      <c r="R276" s="3" t="s">
        <v>144</v>
      </c>
      <c r="S276" s="3" t="s">
        <v>34</v>
      </c>
      <c r="T276" s="153">
        <v>3.524</v>
      </c>
      <c r="U276" s="3" t="s">
        <v>239</v>
      </c>
      <c r="V276" s="164">
        <v>1.3299999999999999E-2</v>
      </c>
      <c r="W276" s="164">
        <v>2.887E-2</v>
      </c>
      <c r="X276" s="5" t="s">
        <v>146</v>
      </c>
      <c r="Y276" s="5" t="s">
        <v>141</v>
      </c>
      <c r="Z276" s="153">
        <v>1530000</v>
      </c>
      <c r="AA276" s="162">
        <v>1</v>
      </c>
      <c r="AB276" s="172">
        <v>112.31</v>
      </c>
      <c r="AD276" s="153">
        <v>1718.3430000000001</v>
      </c>
      <c r="AG276" s="3" t="s">
        <v>36</v>
      </c>
      <c r="AH276" s="164">
        <v>1.3600000000000001E-3</v>
      </c>
      <c r="AI276" s="164">
        <v>6.51681449357174E-3</v>
      </c>
      <c r="AJ276" s="164">
        <v>6.7241930543608696E-4</v>
      </c>
    </row>
    <row r="277" spans="1:36">
      <c r="A277" s="3">
        <v>424</v>
      </c>
      <c r="B277" s="3">
        <v>7228</v>
      </c>
      <c r="C277" s="3" t="s">
        <v>267</v>
      </c>
      <c r="D277" s="3" t="s">
        <v>268</v>
      </c>
      <c r="E277" s="5" t="s">
        <v>134</v>
      </c>
      <c r="F277" s="3" t="s">
        <v>275</v>
      </c>
      <c r="G277" s="3" t="s">
        <v>276</v>
      </c>
      <c r="H277" s="3" t="s">
        <v>137</v>
      </c>
      <c r="I277" s="3" t="s">
        <v>138</v>
      </c>
      <c r="J277" s="3" t="s">
        <v>30</v>
      </c>
      <c r="K277" s="3" t="s">
        <v>30</v>
      </c>
      <c r="L277" s="3" t="s">
        <v>139</v>
      </c>
      <c r="M277" s="3" t="s">
        <v>31</v>
      </c>
      <c r="N277" s="3" t="s">
        <v>186</v>
      </c>
      <c r="O277" s="3" t="s">
        <v>141</v>
      </c>
      <c r="P277" s="3" t="s">
        <v>142</v>
      </c>
      <c r="Q277" s="3" t="s">
        <v>143</v>
      </c>
      <c r="R277" s="3" t="s">
        <v>144</v>
      </c>
      <c r="S277" s="3" t="s">
        <v>34</v>
      </c>
      <c r="T277" s="153">
        <v>4.6689999999999996</v>
      </c>
      <c r="U277" s="3" t="s">
        <v>277</v>
      </c>
      <c r="V277" s="164">
        <v>1.8700000000000001E-2</v>
      </c>
      <c r="W277" s="164">
        <v>2.946E-2</v>
      </c>
      <c r="X277" s="5" t="s">
        <v>146</v>
      </c>
      <c r="Y277" s="5" t="s">
        <v>141</v>
      </c>
      <c r="Z277" s="153">
        <v>3235909.09</v>
      </c>
      <c r="AA277" s="162">
        <v>1</v>
      </c>
      <c r="AB277" s="172">
        <v>109.28</v>
      </c>
      <c r="AD277" s="153">
        <v>3536.201</v>
      </c>
      <c r="AG277" s="3" t="s">
        <v>36</v>
      </c>
      <c r="AH277" s="164">
        <v>3.3119999999999998E-3</v>
      </c>
      <c r="AI277" s="164">
        <v>1.34110412674868E-2</v>
      </c>
      <c r="AJ277" s="164">
        <v>1.38378084310264E-3</v>
      </c>
    </row>
    <row r="278" spans="1:36">
      <c r="A278" s="3">
        <v>424</v>
      </c>
      <c r="B278" s="3">
        <v>7228</v>
      </c>
      <c r="C278" s="3" t="s">
        <v>267</v>
      </c>
      <c r="D278" s="3" t="s">
        <v>268</v>
      </c>
      <c r="E278" s="5" t="s">
        <v>134</v>
      </c>
      <c r="F278" s="3" t="s">
        <v>278</v>
      </c>
      <c r="G278" s="3" t="s">
        <v>279</v>
      </c>
      <c r="H278" s="3" t="s">
        <v>137</v>
      </c>
      <c r="I278" s="3" t="s">
        <v>138</v>
      </c>
      <c r="J278" s="3" t="s">
        <v>30</v>
      </c>
      <c r="K278" s="3" t="s">
        <v>30</v>
      </c>
      <c r="L278" s="3" t="s">
        <v>139</v>
      </c>
      <c r="M278" s="3" t="s">
        <v>31</v>
      </c>
      <c r="N278" s="3" t="s">
        <v>186</v>
      </c>
      <c r="O278" s="3" t="s">
        <v>141</v>
      </c>
      <c r="P278" s="3" t="s">
        <v>271</v>
      </c>
      <c r="Q278" s="3" t="s">
        <v>164</v>
      </c>
      <c r="R278" s="3" t="s">
        <v>144</v>
      </c>
      <c r="S278" s="3" t="s">
        <v>34</v>
      </c>
      <c r="T278" s="153">
        <v>6.9960000000000004</v>
      </c>
      <c r="U278" s="3" t="s">
        <v>280</v>
      </c>
      <c r="V278" s="164">
        <v>3.0599999999999999E-2</v>
      </c>
      <c r="W278" s="164">
        <v>3.1600000000000003E-2</v>
      </c>
      <c r="X278" s="5" t="s">
        <v>146</v>
      </c>
      <c r="Y278" s="5" t="s">
        <v>141</v>
      </c>
      <c r="Z278" s="153">
        <v>2400000</v>
      </c>
      <c r="AA278" s="162">
        <v>1</v>
      </c>
      <c r="AB278" s="172">
        <v>101.01</v>
      </c>
      <c r="AD278" s="153">
        <v>2424.2399999999998</v>
      </c>
      <c r="AG278" s="3" t="s">
        <v>36</v>
      </c>
      <c r="AH278" s="164">
        <v>2.2190000000000001E-3</v>
      </c>
      <c r="AI278" s="164">
        <v>9.1939283180926899E-3</v>
      </c>
      <c r="AJ278" s="164">
        <v>9.4864981962878095E-4</v>
      </c>
    </row>
    <row r="279" spans="1:36">
      <c r="A279" s="3">
        <v>424</v>
      </c>
      <c r="B279" s="3">
        <v>7228</v>
      </c>
      <c r="C279" s="3" t="s">
        <v>281</v>
      </c>
      <c r="D279" s="3" t="s">
        <v>282</v>
      </c>
      <c r="E279" s="5" t="s">
        <v>134</v>
      </c>
      <c r="F279" s="3" t="s">
        <v>283</v>
      </c>
      <c r="G279" s="3" t="s">
        <v>284</v>
      </c>
      <c r="H279" s="3" t="s">
        <v>137</v>
      </c>
      <c r="I279" s="3" t="s">
        <v>138</v>
      </c>
      <c r="J279" s="3" t="s">
        <v>30</v>
      </c>
      <c r="K279" s="3" t="s">
        <v>30</v>
      </c>
      <c r="L279" s="3" t="s">
        <v>139</v>
      </c>
      <c r="M279" s="3" t="s">
        <v>31</v>
      </c>
      <c r="N279" s="3" t="s">
        <v>285</v>
      </c>
      <c r="O279" s="3" t="s">
        <v>141</v>
      </c>
      <c r="P279" s="3" t="s">
        <v>286</v>
      </c>
      <c r="Q279" s="3" t="s">
        <v>143</v>
      </c>
      <c r="R279" s="3" t="s">
        <v>144</v>
      </c>
      <c r="S279" s="3" t="s">
        <v>34</v>
      </c>
      <c r="T279" s="153">
        <v>2.8420000000000001</v>
      </c>
      <c r="U279" s="3" t="s">
        <v>287</v>
      </c>
      <c r="V279" s="164">
        <v>2.52E-2</v>
      </c>
      <c r="W279" s="164">
        <v>2.5590000000000002E-2</v>
      </c>
      <c r="X279" s="5" t="s">
        <v>146</v>
      </c>
      <c r="Y279" s="5" t="s">
        <v>141</v>
      </c>
      <c r="Z279" s="153">
        <v>2421334</v>
      </c>
      <c r="AA279" s="162">
        <v>1</v>
      </c>
      <c r="AB279" s="172">
        <v>100.78</v>
      </c>
      <c r="AD279" s="153">
        <v>2440.2199999999998</v>
      </c>
      <c r="AG279" s="3" t="s">
        <v>36</v>
      </c>
      <c r="AH279" s="164">
        <v>1.4239999999999999E-3</v>
      </c>
      <c r="AI279" s="164">
        <v>9.2545339924083002E-3</v>
      </c>
      <c r="AJ279" s="164">
        <v>9.5490324689281999E-4</v>
      </c>
    </row>
    <row r="280" spans="1:36">
      <c r="A280" s="3">
        <v>424</v>
      </c>
      <c r="B280" s="3">
        <v>7228</v>
      </c>
      <c r="C280" s="3" t="s">
        <v>259</v>
      </c>
      <c r="D280" s="3" t="s">
        <v>260</v>
      </c>
      <c r="E280" s="5" t="s">
        <v>134</v>
      </c>
      <c r="F280" s="3" t="s">
        <v>288</v>
      </c>
      <c r="G280" s="3" t="s">
        <v>289</v>
      </c>
      <c r="H280" s="3" t="s">
        <v>137</v>
      </c>
      <c r="I280" s="3" t="s">
        <v>156</v>
      </c>
      <c r="J280" s="3" t="s">
        <v>30</v>
      </c>
      <c r="K280" s="3" t="s">
        <v>30</v>
      </c>
      <c r="L280" s="3" t="s">
        <v>139</v>
      </c>
      <c r="M280" s="3" t="s">
        <v>31</v>
      </c>
      <c r="N280" s="3" t="s">
        <v>151</v>
      </c>
      <c r="O280" s="3" t="s">
        <v>141</v>
      </c>
      <c r="P280" s="3" t="s">
        <v>152</v>
      </c>
      <c r="Q280" s="3" t="s">
        <v>143</v>
      </c>
      <c r="R280" s="3" t="s">
        <v>144</v>
      </c>
      <c r="S280" s="3" t="s">
        <v>34</v>
      </c>
      <c r="T280" s="153">
        <v>3.8719999999999999</v>
      </c>
      <c r="U280" s="3" t="s">
        <v>290</v>
      </c>
      <c r="V280" s="164">
        <v>5.7500000000000002E-2</v>
      </c>
      <c r="W280" s="164">
        <v>5.033E-2</v>
      </c>
      <c r="X280" s="5" t="s">
        <v>146</v>
      </c>
      <c r="Y280" s="5" t="s">
        <v>141</v>
      </c>
      <c r="Z280" s="153">
        <v>2229683</v>
      </c>
      <c r="AA280" s="162">
        <v>1</v>
      </c>
      <c r="AB280" s="172">
        <v>103.14</v>
      </c>
      <c r="AD280" s="153">
        <v>2299.6950000000002</v>
      </c>
      <c r="AG280" s="3" t="s">
        <v>36</v>
      </c>
      <c r="AH280" s="164">
        <v>4.2469999999999999E-3</v>
      </c>
      <c r="AI280" s="164">
        <v>8.7215916774888904E-3</v>
      </c>
      <c r="AJ280" s="164">
        <v>8.9991308235935102E-4</v>
      </c>
    </row>
    <row r="281" spans="1:36">
      <c r="A281" s="3">
        <v>424</v>
      </c>
      <c r="B281" s="3">
        <v>7228</v>
      </c>
      <c r="C281" s="3" t="s">
        <v>291</v>
      </c>
      <c r="D281" s="3" t="s">
        <v>292</v>
      </c>
      <c r="E281" s="5" t="s">
        <v>134</v>
      </c>
      <c r="F281" s="3" t="s">
        <v>299</v>
      </c>
      <c r="G281" s="3" t="s">
        <v>300</v>
      </c>
      <c r="H281" s="3" t="s">
        <v>137</v>
      </c>
      <c r="I281" s="3" t="s">
        <v>138</v>
      </c>
      <c r="J281" s="3" t="s">
        <v>30</v>
      </c>
      <c r="K281" s="3" t="s">
        <v>30</v>
      </c>
      <c r="L281" s="3" t="s">
        <v>139</v>
      </c>
      <c r="M281" s="3" t="s">
        <v>31</v>
      </c>
      <c r="N281" s="3" t="s">
        <v>186</v>
      </c>
      <c r="O281" s="3" t="s">
        <v>141</v>
      </c>
      <c r="P281" s="3" t="s">
        <v>180</v>
      </c>
      <c r="Q281" s="3" t="s">
        <v>143</v>
      </c>
      <c r="R281" s="3" t="s">
        <v>144</v>
      </c>
      <c r="S281" s="3" t="s">
        <v>34</v>
      </c>
      <c r="T281" s="153">
        <v>4.1829999999999998</v>
      </c>
      <c r="U281" s="3" t="s">
        <v>301</v>
      </c>
      <c r="V281" s="164">
        <v>5.8999999999999999E-3</v>
      </c>
      <c r="W281" s="164">
        <v>2.921E-2</v>
      </c>
      <c r="X281" s="5" t="s">
        <v>146</v>
      </c>
      <c r="Y281" s="5" t="s">
        <v>141</v>
      </c>
      <c r="Z281" s="153">
        <v>2348171</v>
      </c>
      <c r="AA281" s="162">
        <v>1</v>
      </c>
      <c r="AB281" s="172">
        <v>104.71</v>
      </c>
      <c r="AD281" s="153">
        <v>2458.77</v>
      </c>
      <c r="AG281" s="3" t="s">
        <v>36</v>
      </c>
      <c r="AH281" s="164">
        <v>1.6770000000000001E-3</v>
      </c>
      <c r="AI281" s="164">
        <v>9.3248827629618392E-3</v>
      </c>
      <c r="AJ281" s="164">
        <v>9.6216198833475595E-4</v>
      </c>
    </row>
    <row r="282" spans="1:36">
      <c r="A282" s="3">
        <v>424</v>
      </c>
      <c r="B282" s="3">
        <v>7228</v>
      </c>
      <c r="C282" s="3" t="s">
        <v>291</v>
      </c>
      <c r="D282" s="3" t="s">
        <v>292</v>
      </c>
      <c r="E282" s="5" t="s">
        <v>134</v>
      </c>
      <c r="F282" s="3" t="s">
        <v>302</v>
      </c>
      <c r="G282" s="3" t="s">
        <v>303</v>
      </c>
      <c r="H282" s="3" t="s">
        <v>137</v>
      </c>
      <c r="I282" s="3" t="s">
        <v>138</v>
      </c>
      <c r="J282" s="3" t="s">
        <v>30</v>
      </c>
      <c r="K282" s="3" t="s">
        <v>30</v>
      </c>
      <c r="L282" s="3" t="s">
        <v>139</v>
      </c>
      <c r="M282" s="3" t="s">
        <v>31</v>
      </c>
      <c r="N282" s="3" t="s">
        <v>186</v>
      </c>
      <c r="O282" s="3" t="s">
        <v>141</v>
      </c>
      <c r="P282" s="3" t="s">
        <v>180</v>
      </c>
      <c r="Q282" s="3" t="s">
        <v>143</v>
      </c>
      <c r="R282" s="3" t="s">
        <v>144</v>
      </c>
      <c r="S282" s="3" t="s">
        <v>34</v>
      </c>
      <c r="T282" s="153">
        <v>2.8519999999999999</v>
      </c>
      <c r="U282" s="3" t="s">
        <v>79</v>
      </c>
      <c r="V282" s="164">
        <v>3.3399999999999999E-2</v>
      </c>
      <c r="W282" s="164">
        <v>2.8539999999999999E-2</v>
      </c>
      <c r="X282" s="5" t="s">
        <v>146</v>
      </c>
      <c r="Y282" s="5" t="s">
        <v>141</v>
      </c>
      <c r="Z282" s="153">
        <v>3817783</v>
      </c>
      <c r="AA282" s="162">
        <v>1</v>
      </c>
      <c r="AB282" s="172">
        <v>106.04</v>
      </c>
      <c r="AD282" s="153">
        <v>4048.377</v>
      </c>
      <c r="AG282" s="3" t="s">
        <v>36</v>
      </c>
      <c r="AH282" s="164">
        <v>3.5479999999999999E-3</v>
      </c>
      <c r="AI282" s="164">
        <v>1.5353466983256301E-2</v>
      </c>
      <c r="AJ282" s="164">
        <v>1.5842046163966699E-3</v>
      </c>
    </row>
    <row r="283" spans="1:36">
      <c r="A283" s="3">
        <v>424</v>
      </c>
      <c r="B283" s="3">
        <v>7228</v>
      </c>
      <c r="C283" s="3" t="s">
        <v>291</v>
      </c>
      <c r="D283" s="3" t="s">
        <v>292</v>
      </c>
      <c r="E283" s="5" t="s">
        <v>134</v>
      </c>
      <c r="F283" s="3" t="s">
        <v>304</v>
      </c>
      <c r="G283" s="3" t="s">
        <v>305</v>
      </c>
      <c r="H283" s="3" t="s">
        <v>137</v>
      </c>
      <c r="I283" s="3" t="s">
        <v>138</v>
      </c>
      <c r="J283" s="3" t="s">
        <v>30</v>
      </c>
      <c r="K283" s="3" t="s">
        <v>30</v>
      </c>
      <c r="L283" s="3" t="s">
        <v>139</v>
      </c>
      <c r="M283" s="3" t="s">
        <v>31</v>
      </c>
      <c r="N283" s="3" t="s">
        <v>186</v>
      </c>
      <c r="O283" s="3" t="s">
        <v>141</v>
      </c>
      <c r="P283" s="3" t="s">
        <v>180</v>
      </c>
      <c r="Q283" s="3" t="s">
        <v>143</v>
      </c>
      <c r="R283" s="3" t="s">
        <v>144</v>
      </c>
      <c r="S283" s="3" t="s">
        <v>34</v>
      </c>
      <c r="T283" s="153">
        <v>0.48199999999999998</v>
      </c>
      <c r="U283" s="3" t="s">
        <v>306</v>
      </c>
      <c r="V283" s="164">
        <v>4.7500000000000001E-2</v>
      </c>
      <c r="W283" s="164">
        <v>5.2159999999999998E-2</v>
      </c>
      <c r="X283" s="5" t="s">
        <v>146</v>
      </c>
      <c r="Y283" s="5" t="s">
        <v>141</v>
      </c>
      <c r="Z283" s="153">
        <v>535672.98</v>
      </c>
      <c r="AA283" s="162">
        <v>1</v>
      </c>
      <c r="AB283" s="172">
        <v>143.80000000000001</v>
      </c>
      <c r="AD283" s="153">
        <v>770.298</v>
      </c>
      <c r="AG283" s="3" t="s">
        <v>36</v>
      </c>
      <c r="AH283" s="164">
        <v>1.121E-3</v>
      </c>
      <c r="AI283" s="164">
        <v>2.9213536008501598E-3</v>
      </c>
      <c r="AJ283" s="164">
        <v>3.0143171347819602E-4</v>
      </c>
    </row>
    <row r="284" spans="1:36">
      <c r="A284" s="3">
        <v>424</v>
      </c>
      <c r="B284" s="3">
        <v>7228</v>
      </c>
      <c r="C284" s="3" t="s">
        <v>635</v>
      </c>
      <c r="D284" s="3" t="s">
        <v>636</v>
      </c>
      <c r="E284" s="5" t="s">
        <v>134</v>
      </c>
      <c r="F284" s="3" t="s">
        <v>637</v>
      </c>
      <c r="G284" s="3" t="s">
        <v>638</v>
      </c>
      <c r="H284" s="3" t="s">
        <v>137</v>
      </c>
      <c r="I284" s="3" t="s">
        <v>138</v>
      </c>
      <c r="J284" s="3" t="s">
        <v>30</v>
      </c>
      <c r="K284" s="3" t="s">
        <v>30</v>
      </c>
      <c r="L284" s="3" t="s">
        <v>139</v>
      </c>
      <c r="M284" s="3" t="s">
        <v>31</v>
      </c>
      <c r="N284" s="3" t="s">
        <v>199</v>
      </c>
      <c r="O284" s="3" t="s">
        <v>141</v>
      </c>
      <c r="P284" s="3" t="s">
        <v>152</v>
      </c>
      <c r="Q284" s="3" t="s">
        <v>143</v>
      </c>
      <c r="R284" s="3" t="s">
        <v>144</v>
      </c>
      <c r="S284" s="3" t="s">
        <v>34</v>
      </c>
      <c r="T284" s="153">
        <v>4.28</v>
      </c>
      <c r="U284" s="3" t="s">
        <v>402</v>
      </c>
      <c r="V284" s="164">
        <v>7.4999999999999997E-3</v>
      </c>
      <c r="W284" s="164">
        <v>3.0939999999999999E-2</v>
      </c>
      <c r="X284" s="5" t="s">
        <v>146</v>
      </c>
      <c r="Y284" s="5" t="s">
        <v>141</v>
      </c>
      <c r="Z284" s="153">
        <v>0.8</v>
      </c>
      <c r="AA284" s="162">
        <v>1</v>
      </c>
      <c r="AB284" s="172">
        <v>104.35</v>
      </c>
      <c r="AD284" s="153">
        <v>1E-3</v>
      </c>
      <c r="AG284" s="3" t="s">
        <v>36</v>
      </c>
      <c r="AH284" s="164">
        <v>0</v>
      </c>
      <c r="AI284" s="164">
        <v>3.1659783519551602E-9</v>
      </c>
      <c r="AJ284" s="164">
        <v>3.2667263531090402E-10</v>
      </c>
    </row>
    <row r="285" spans="1:36">
      <c r="A285" s="3">
        <v>424</v>
      </c>
      <c r="B285" s="3">
        <v>7228</v>
      </c>
      <c r="C285" s="3" t="s">
        <v>307</v>
      </c>
      <c r="D285" s="3" t="s">
        <v>308</v>
      </c>
      <c r="E285" s="5" t="s">
        <v>134</v>
      </c>
      <c r="F285" s="3" t="s">
        <v>309</v>
      </c>
      <c r="G285" s="3" t="s">
        <v>310</v>
      </c>
      <c r="H285" s="3" t="s">
        <v>137</v>
      </c>
      <c r="I285" s="3" t="s">
        <v>138</v>
      </c>
      <c r="J285" s="3" t="s">
        <v>30</v>
      </c>
      <c r="K285" s="3" t="s">
        <v>30</v>
      </c>
      <c r="L285" s="3" t="s">
        <v>139</v>
      </c>
      <c r="M285" s="3" t="s">
        <v>31</v>
      </c>
      <c r="N285" s="3" t="s">
        <v>285</v>
      </c>
      <c r="O285" s="3" t="s">
        <v>141</v>
      </c>
      <c r="P285" s="3" t="s">
        <v>286</v>
      </c>
      <c r="Q285" s="3" t="s">
        <v>143</v>
      </c>
      <c r="R285" s="3" t="s">
        <v>144</v>
      </c>
      <c r="S285" s="3" t="s">
        <v>34</v>
      </c>
      <c r="T285" s="153">
        <v>4.633</v>
      </c>
      <c r="U285" s="3" t="s">
        <v>311</v>
      </c>
      <c r="V285" s="164">
        <v>2.47E-2</v>
      </c>
      <c r="W285" s="164">
        <v>2.5909999999999999E-2</v>
      </c>
      <c r="X285" s="5" t="s">
        <v>146</v>
      </c>
      <c r="Y285" s="5" t="s">
        <v>141</v>
      </c>
      <c r="Z285" s="153">
        <v>5159894.74</v>
      </c>
      <c r="AA285" s="162">
        <v>1</v>
      </c>
      <c r="AB285" s="172">
        <v>105.47</v>
      </c>
      <c r="AD285" s="153">
        <v>5442.1409999999996</v>
      </c>
      <c r="AG285" s="3" t="s">
        <v>36</v>
      </c>
      <c r="AH285" s="164">
        <v>1.983E-3</v>
      </c>
      <c r="AI285" s="164">
        <v>2.06393154506231E-2</v>
      </c>
      <c r="AJ285" s="164">
        <v>2.1296101298685002E-3</v>
      </c>
    </row>
    <row r="286" spans="1:36">
      <c r="A286" s="3">
        <v>424</v>
      </c>
      <c r="B286" s="3">
        <v>7228</v>
      </c>
      <c r="C286" s="3" t="s">
        <v>307</v>
      </c>
      <c r="D286" s="3" t="s">
        <v>308</v>
      </c>
      <c r="E286" s="5" t="s">
        <v>134</v>
      </c>
      <c r="F286" s="3" t="s">
        <v>588</v>
      </c>
      <c r="G286" s="3" t="s">
        <v>589</v>
      </c>
      <c r="H286" s="3" t="s">
        <v>137</v>
      </c>
      <c r="I286" s="3" t="s">
        <v>138</v>
      </c>
      <c r="J286" s="3" t="s">
        <v>30</v>
      </c>
      <c r="K286" s="3" t="s">
        <v>30</v>
      </c>
      <c r="L286" s="3" t="s">
        <v>139</v>
      </c>
      <c r="M286" s="3" t="s">
        <v>31</v>
      </c>
      <c r="N286" s="3" t="s">
        <v>285</v>
      </c>
      <c r="O286" s="3" t="s">
        <v>141</v>
      </c>
      <c r="P286" s="3" t="s">
        <v>286</v>
      </c>
      <c r="Q286" s="3" t="s">
        <v>143</v>
      </c>
      <c r="R286" s="3" t="s">
        <v>144</v>
      </c>
      <c r="S286" s="3" t="s">
        <v>34</v>
      </c>
      <c r="T286" s="153">
        <v>4.5570000000000004</v>
      </c>
      <c r="U286" s="3" t="s">
        <v>311</v>
      </c>
      <c r="V286" s="164">
        <v>2.4E-2</v>
      </c>
      <c r="W286" s="164">
        <v>2.545E-2</v>
      </c>
      <c r="X286" s="5" t="s">
        <v>146</v>
      </c>
      <c r="Y286" s="5" t="s">
        <v>141</v>
      </c>
      <c r="Z286" s="153">
        <v>2500000</v>
      </c>
      <c r="AA286" s="162">
        <v>1</v>
      </c>
      <c r="AB286" s="172">
        <v>104.06</v>
      </c>
      <c r="AD286" s="153">
        <v>2601.5</v>
      </c>
      <c r="AG286" s="3" t="s">
        <v>36</v>
      </c>
      <c r="AH286" s="164">
        <v>1.1349999999999999E-3</v>
      </c>
      <c r="AI286" s="164">
        <v>9.8661867304879608E-3</v>
      </c>
      <c r="AJ286" s="164">
        <v>1.0180149266426899E-3</v>
      </c>
    </row>
    <row r="287" spans="1:36">
      <c r="A287" s="3">
        <v>424</v>
      </c>
      <c r="B287" s="3">
        <v>7228</v>
      </c>
      <c r="C287" s="3" t="s">
        <v>312</v>
      </c>
      <c r="D287" s="3" t="s">
        <v>313</v>
      </c>
      <c r="E287" s="5" t="s">
        <v>134</v>
      </c>
      <c r="F287" s="3" t="s">
        <v>314</v>
      </c>
      <c r="G287" s="3" t="s">
        <v>315</v>
      </c>
      <c r="H287" s="3" t="s">
        <v>137</v>
      </c>
      <c r="I287" s="3" t="s">
        <v>138</v>
      </c>
      <c r="J287" s="3" t="s">
        <v>30</v>
      </c>
      <c r="K287" s="3" t="s">
        <v>30</v>
      </c>
      <c r="L287" s="3" t="s">
        <v>139</v>
      </c>
      <c r="M287" s="3" t="s">
        <v>31</v>
      </c>
      <c r="N287" s="3" t="s">
        <v>199</v>
      </c>
      <c r="O287" s="3" t="s">
        <v>141</v>
      </c>
      <c r="P287" s="3" t="s">
        <v>316</v>
      </c>
      <c r="Q287" s="3" t="s">
        <v>143</v>
      </c>
      <c r="R287" s="3" t="s">
        <v>144</v>
      </c>
      <c r="S287" s="3" t="s">
        <v>34</v>
      </c>
      <c r="T287" s="153">
        <v>0.23599999999999999</v>
      </c>
      <c r="U287" s="3" t="s">
        <v>317</v>
      </c>
      <c r="V287" s="164">
        <v>4.9500000000000002E-2</v>
      </c>
      <c r="W287" s="164">
        <v>6.7369999999999999E-2</v>
      </c>
      <c r="X287" s="5" t="s">
        <v>146</v>
      </c>
      <c r="Y287" s="5" t="s">
        <v>318</v>
      </c>
      <c r="Z287" s="153">
        <v>0.4</v>
      </c>
      <c r="AA287" s="162">
        <v>1</v>
      </c>
      <c r="AB287" s="172">
        <v>148.12</v>
      </c>
      <c r="AD287" s="153">
        <v>1E-3</v>
      </c>
      <c r="AG287" s="3" t="s">
        <v>36</v>
      </c>
      <c r="AH287" s="164">
        <v>0</v>
      </c>
      <c r="AI287" s="164">
        <v>2.2469799400651601E-9</v>
      </c>
      <c r="AJ287" s="164">
        <v>2.3184835046598501E-10</v>
      </c>
    </row>
    <row r="288" spans="1:36">
      <c r="A288" s="3">
        <v>424</v>
      </c>
      <c r="B288" s="3">
        <v>7228</v>
      </c>
      <c r="C288" s="3" t="s">
        <v>307</v>
      </c>
      <c r="D288" s="3" t="s">
        <v>308</v>
      </c>
      <c r="E288" s="5" t="s">
        <v>134</v>
      </c>
      <c r="F288" s="3" t="s">
        <v>319</v>
      </c>
      <c r="G288" s="3" t="s">
        <v>320</v>
      </c>
      <c r="H288" s="3" t="s">
        <v>137</v>
      </c>
      <c r="I288" s="3" t="s">
        <v>138</v>
      </c>
      <c r="J288" s="3" t="s">
        <v>30</v>
      </c>
      <c r="K288" s="3" t="s">
        <v>30</v>
      </c>
      <c r="L288" s="3" t="s">
        <v>139</v>
      </c>
      <c r="M288" s="3" t="s">
        <v>31</v>
      </c>
      <c r="N288" s="3" t="s">
        <v>285</v>
      </c>
      <c r="O288" s="3" t="s">
        <v>141</v>
      </c>
      <c r="P288" s="3" t="s">
        <v>142</v>
      </c>
      <c r="Q288" s="3" t="s">
        <v>143</v>
      </c>
      <c r="R288" s="3" t="s">
        <v>144</v>
      </c>
      <c r="S288" s="3" t="s">
        <v>34</v>
      </c>
      <c r="T288" s="153">
        <v>2.9740000000000002</v>
      </c>
      <c r="U288" s="3" t="s">
        <v>321</v>
      </c>
      <c r="V288" s="164">
        <v>3.1699999999999999E-2</v>
      </c>
      <c r="W288" s="164">
        <v>2.8660000000000001E-2</v>
      </c>
      <c r="X288" s="5" t="s">
        <v>146</v>
      </c>
      <c r="Y288" s="5" t="s">
        <v>141</v>
      </c>
      <c r="Z288" s="153">
        <v>3000000</v>
      </c>
      <c r="AA288" s="162">
        <v>1</v>
      </c>
      <c r="AB288" s="172">
        <v>114.09</v>
      </c>
      <c r="AD288" s="153">
        <v>3422.7</v>
      </c>
      <c r="AG288" s="3" t="s">
        <v>36</v>
      </c>
      <c r="AH288" s="164">
        <v>3.552E-3</v>
      </c>
      <c r="AI288" s="164">
        <v>1.29805870930006E-2</v>
      </c>
      <c r="AJ288" s="164">
        <v>1.3393656311435501E-3</v>
      </c>
    </row>
    <row r="289" spans="1:36">
      <c r="A289" s="3">
        <v>424</v>
      </c>
      <c r="B289" s="3">
        <v>7228</v>
      </c>
      <c r="C289" s="3" t="s">
        <v>322</v>
      </c>
      <c r="D289" s="3" t="s">
        <v>323</v>
      </c>
      <c r="E289" s="5" t="s">
        <v>134</v>
      </c>
      <c r="F289" s="3" t="s">
        <v>327</v>
      </c>
      <c r="G289" s="3" t="s">
        <v>328</v>
      </c>
      <c r="H289" s="3" t="s">
        <v>137</v>
      </c>
      <c r="I289" s="3" t="s">
        <v>138</v>
      </c>
      <c r="J289" s="3" t="s">
        <v>30</v>
      </c>
      <c r="K289" s="3" t="s">
        <v>30</v>
      </c>
      <c r="L289" s="3" t="s">
        <v>139</v>
      </c>
      <c r="M289" s="3" t="s">
        <v>31</v>
      </c>
      <c r="N289" s="3" t="s">
        <v>151</v>
      </c>
      <c r="O289" s="3" t="s">
        <v>141</v>
      </c>
      <c r="P289" s="3" t="s">
        <v>329</v>
      </c>
      <c r="Q289" s="3" t="s">
        <v>143</v>
      </c>
      <c r="R289" s="3" t="s">
        <v>144</v>
      </c>
      <c r="S289" s="3" t="s">
        <v>34</v>
      </c>
      <c r="T289" s="153">
        <v>5.5270000000000001</v>
      </c>
      <c r="U289" s="3" t="s">
        <v>330</v>
      </c>
      <c r="V289" s="164">
        <v>3.3000000000000002E-2</v>
      </c>
      <c r="W289" s="164">
        <v>3.5090000000000003E-2</v>
      </c>
      <c r="X289" s="5" t="s">
        <v>146</v>
      </c>
      <c r="Y289" s="5" t="s">
        <v>141</v>
      </c>
      <c r="Z289" s="153">
        <v>3624496.8</v>
      </c>
      <c r="AA289" s="162">
        <v>1</v>
      </c>
      <c r="AB289" s="172">
        <v>108.72</v>
      </c>
      <c r="AD289" s="153">
        <v>3940.5529999999999</v>
      </c>
      <c r="AG289" s="3" t="s">
        <v>36</v>
      </c>
      <c r="AH289" s="164">
        <v>3.0560000000000001E-3</v>
      </c>
      <c r="AI289" s="164">
        <v>1.49445438937387E-2</v>
      </c>
      <c r="AJ289" s="164">
        <v>1.5420110293149099E-3</v>
      </c>
    </row>
    <row r="290" spans="1:36">
      <c r="A290" s="3">
        <v>424</v>
      </c>
      <c r="B290" s="3">
        <v>7228</v>
      </c>
      <c r="C290" s="3" t="s">
        <v>331</v>
      </c>
      <c r="D290" s="3" t="s">
        <v>332</v>
      </c>
      <c r="E290" s="5" t="s">
        <v>134</v>
      </c>
      <c r="F290" s="3" t="s">
        <v>333</v>
      </c>
      <c r="G290" s="3" t="s">
        <v>334</v>
      </c>
      <c r="H290" s="3" t="s">
        <v>137</v>
      </c>
      <c r="I290" s="3" t="s">
        <v>138</v>
      </c>
      <c r="J290" s="3" t="s">
        <v>30</v>
      </c>
      <c r="K290" s="3" t="s">
        <v>30</v>
      </c>
      <c r="L290" s="3" t="s">
        <v>139</v>
      </c>
      <c r="M290" s="3" t="s">
        <v>31</v>
      </c>
      <c r="N290" s="3" t="s">
        <v>186</v>
      </c>
      <c r="O290" s="3" t="s">
        <v>141</v>
      </c>
      <c r="P290" s="3" t="s">
        <v>329</v>
      </c>
      <c r="Q290" s="3" t="s">
        <v>143</v>
      </c>
      <c r="R290" s="3" t="s">
        <v>144</v>
      </c>
      <c r="S290" s="3" t="s">
        <v>34</v>
      </c>
      <c r="T290" s="153">
        <v>1.6659999999999999</v>
      </c>
      <c r="U290" s="3" t="s">
        <v>165</v>
      </c>
      <c r="V290" s="164">
        <v>3.6499999999999998E-2</v>
      </c>
      <c r="W290" s="164">
        <v>3.1359999999999999E-2</v>
      </c>
      <c r="X290" s="5" t="s">
        <v>146</v>
      </c>
      <c r="Y290" s="5" t="s">
        <v>141</v>
      </c>
      <c r="Z290" s="153">
        <v>1376000</v>
      </c>
      <c r="AA290" s="162">
        <v>1</v>
      </c>
      <c r="AB290" s="172">
        <v>112.18</v>
      </c>
      <c r="AD290" s="153">
        <v>1543.597</v>
      </c>
      <c r="AG290" s="3" t="s">
        <v>36</v>
      </c>
      <c r="AH290" s="164">
        <v>5.2750000000000002E-3</v>
      </c>
      <c r="AI290" s="164">
        <v>5.8540896657250296E-3</v>
      </c>
      <c r="AJ290" s="164">
        <v>6.0403789472146497E-4</v>
      </c>
    </row>
    <row r="291" spans="1:36">
      <c r="A291" s="3">
        <v>424</v>
      </c>
      <c r="B291" s="3">
        <v>7228</v>
      </c>
      <c r="C291" s="3" t="s">
        <v>331</v>
      </c>
      <c r="D291" s="3" t="s">
        <v>332</v>
      </c>
      <c r="E291" s="5" t="s">
        <v>134</v>
      </c>
      <c r="F291" s="3" t="s">
        <v>335</v>
      </c>
      <c r="G291" s="3" t="s">
        <v>336</v>
      </c>
      <c r="H291" s="3" t="s">
        <v>137</v>
      </c>
      <c r="I291" s="3" t="s">
        <v>138</v>
      </c>
      <c r="J291" s="3" t="s">
        <v>30</v>
      </c>
      <c r="K291" s="3" t="s">
        <v>30</v>
      </c>
      <c r="L291" s="3" t="s">
        <v>139</v>
      </c>
      <c r="M291" s="3" t="s">
        <v>31</v>
      </c>
      <c r="N291" s="3" t="s">
        <v>186</v>
      </c>
      <c r="O291" s="3" t="s">
        <v>141</v>
      </c>
      <c r="P291" s="3" t="s">
        <v>230</v>
      </c>
      <c r="Q291" s="3" t="s">
        <v>143</v>
      </c>
      <c r="R291" s="3" t="s">
        <v>144</v>
      </c>
      <c r="S291" s="3" t="s">
        <v>34</v>
      </c>
      <c r="T291" s="153">
        <v>1.996</v>
      </c>
      <c r="U291" s="3" t="s">
        <v>337</v>
      </c>
      <c r="V291" s="164">
        <v>1.7999999999999999E-2</v>
      </c>
      <c r="W291" s="164">
        <v>3.0210000000000001E-2</v>
      </c>
      <c r="X291" s="5" t="s">
        <v>146</v>
      </c>
      <c r="Y291" s="5" t="s">
        <v>141</v>
      </c>
      <c r="Z291" s="153">
        <v>1692950.3</v>
      </c>
      <c r="AA291" s="162">
        <v>1</v>
      </c>
      <c r="AB291" s="172">
        <v>116.94</v>
      </c>
      <c r="AD291" s="153">
        <v>1979.7360000000001</v>
      </c>
      <c r="AG291" s="3" t="s">
        <v>36</v>
      </c>
      <c r="AH291" s="164">
        <v>2.2899999999999999E-3</v>
      </c>
      <c r="AI291" s="164">
        <v>7.5081475496653902E-3</v>
      </c>
      <c r="AJ291" s="164">
        <v>7.7470723855001299E-4</v>
      </c>
    </row>
    <row r="292" spans="1:36">
      <c r="A292" s="3">
        <v>424</v>
      </c>
      <c r="B292" s="3">
        <v>7228</v>
      </c>
      <c r="C292" s="3" t="s">
        <v>338</v>
      </c>
      <c r="D292" s="3" t="s">
        <v>339</v>
      </c>
      <c r="E292" s="5" t="s">
        <v>134</v>
      </c>
      <c r="F292" s="3" t="s">
        <v>590</v>
      </c>
      <c r="G292" s="3" t="s">
        <v>591</v>
      </c>
      <c r="H292" s="3" t="s">
        <v>137</v>
      </c>
      <c r="I292" s="3" t="s">
        <v>156</v>
      </c>
      <c r="J292" s="3" t="s">
        <v>30</v>
      </c>
      <c r="K292" s="3" t="s">
        <v>30</v>
      </c>
      <c r="L292" s="3" t="s">
        <v>139</v>
      </c>
      <c r="M292" s="3" t="s">
        <v>31</v>
      </c>
      <c r="N292" s="3" t="s">
        <v>170</v>
      </c>
      <c r="O292" s="3" t="s">
        <v>141</v>
      </c>
      <c r="P292" s="3" t="s">
        <v>142</v>
      </c>
      <c r="Q292" s="3" t="s">
        <v>143</v>
      </c>
      <c r="R292" s="3" t="s">
        <v>144</v>
      </c>
      <c r="S292" s="3" t="s">
        <v>34</v>
      </c>
      <c r="T292" s="153">
        <v>5.6509999999999998</v>
      </c>
      <c r="U292" s="3" t="s">
        <v>592</v>
      </c>
      <c r="V292" s="164">
        <v>3.0499999999999999E-2</v>
      </c>
      <c r="W292" s="164">
        <v>4.6489999999999997E-2</v>
      </c>
      <c r="X292" s="5" t="s">
        <v>146</v>
      </c>
      <c r="Y292" s="5" t="s">
        <v>141</v>
      </c>
      <c r="Z292" s="153">
        <v>1926852</v>
      </c>
      <c r="AA292" s="162">
        <v>1</v>
      </c>
      <c r="AB292" s="172">
        <v>92.49</v>
      </c>
      <c r="AD292" s="153">
        <v>1782.145</v>
      </c>
      <c r="AG292" s="3" t="s">
        <v>36</v>
      </c>
      <c r="AH292" s="164">
        <v>2.823E-3</v>
      </c>
      <c r="AI292" s="164">
        <v>6.7587851021717197E-3</v>
      </c>
      <c r="AJ292" s="164">
        <v>6.9738636698605703E-4</v>
      </c>
    </row>
    <row r="293" spans="1:36">
      <c r="A293" s="3">
        <v>424</v>
      </c>
      <c r="B293" s="3">
        <v>7228</v>
      </c>
      <c r="C293" s="3" t="s">
        <v>338</v>
      </c>
      <c r="D293" s="3" t="s">
        <v>339</v>
      </c>
      <c r="E293" s="5" t="s">
        <v>134</v>
      </c>
      <c r="F293" s="3" t="s">
        <v>340</v>
      </c>
      <c r="G293" s="3" t="s">
        <v>341</v>
      </c>
      <c r="H293" s="3" t="s">
        <v>137</v>
      </c>
      <c r="I293" s="3" t="s">
        <v>156</v>
      </c>
      <c r="J293" s="3" t="s">
        <v>30</v>
      </c>
      <c r="K293" s="3" t="s">
        <v>30</v>
      </c>
      <c r="L293" s="3" t="s">
        <v>139</v>
      </c>
      <c r="M293" s="3" t="s">
        <v>31</v>
      </c>
      <c r="N293" s="3" t="s">
        <v>170</v>
      </c>
      <c r="O293" s="3" t="s">
        <v>141</v>
      </c>
      <c r="P293" s="3" t="s">
        <v>152</v>
      </c>
      <c r="Q293" s="3" t="s">
        <v>143</v>
      </c>
      <c r="R293" s="3" t="s">
        <v>144</v>
      </c>
      <c r="S293" s="3" t="s">
        <v>34</v>
      </c>
      <c r="T293" s="153">
        <v>7.4459999999999997</v>
      </c>
      <c r="U293" s="3" t="s">
        <v>342</v>
      </c>
      <c r="V293" s="164">
        <v>5.8500000000000003E-2</v>
      </c>
      <c r="W293" s="164">
        <v>5.2249999999999998E-2</v>
      </c>
      <c r="X293" s="5" t="s">
        <v>146</v>
      </c>
      <c r="Y293" s="5" t="s">
        <v>141</v>
      </c>
      <c r="Z293" s="153">
        <v>2793000</v>
      </c>
      <c r="AA293" s="162">
        <v>1</v>
      </c>
      <c r="AB293" s="172">
        <v>107.8</v>
      </c>
      <c r="AD293" s="153">
        <v>3010.8539999999998</v>
      </c>
      <c r="AG293" s="3" t="s">
        <v>36</v>
      </c>
      <c r="AH293" s="164">
        <v>2.7929999999999999E-3</v>
      </c>
      <c r="AI293" s="164">
        <v>1.1418661457711501E-2</v>
      </c>
      <c r="AJ293" s="164">
        <v>1.17820269611449E-3</v>
      </c>
    </row>
    <row r="294" spans="1:36">
      <c r="A294" s="3">
        <v>424</v>
      </c>
      <c r="B294" s="3">
        <v>7228</v>
      </c>
      <c r="C294" s="3" t="s">
        <v>338</v>
      </c>
      <c r="D294" s="3" t="s">
        <v>339</v>
      </c>
      <c r="E294" s="5" t="s">
        <v>134</v>
      </c>
      <c r="F294" s="3" t="s">
        <v>639</v>
      </c>
      <c r="G294" s="3" t="s">
        <v>640</v>
      </c>
      <c r="H294" s="3" t="s">
        <v>137</v>
      </c>
      <c r="I294" s="3" t="s">
        <v>138</v>
      </c>
      <c r="J294" s="3" t="s">
        <v>30</v>
      </c>
      <c r="K294" s="3" t="s">
        <v>30</v>
      </c>
      <c r="L294" s="3" t="s">
        <v>139</v>
      </c>
      <c r="M294" s="3" t="s">
        <v>31</v>
      </c>
      <c r="N294" s="3" t="s">
        <v>170</v>
      </c>
      <c r="O294" s="3" t="s">
        <v>141</v>
      </c>
      <c r="P294" s="3" t="s">
        <v>142</v>
      </c>
      <c r="Q294" s="3" t="s">
        <v>143</v>
      </c>
      <c r="R294" s="3" t="s">
        <v>144</v>
      </c>
      <c r="S294" s="3" t="s">
        <v>34</v>
      </c>
      <c r="T294" s="153">
        <v>1.218</v>
      </c>
      <c r="U294" s="3" t="s">
        <v>641</v>
      </c>
      <c r="V294" s="164">
        <v>2.4E-2</v>
      </c>
      <c r="W294" s="164">
        <v>2.9829999999999999E-2</v>
      </c>
      <c r="X294" s="5" t="s">
        <v>146</v>
      </c>
      <c r="Y294" s="5" t="s">
        <v>141</v>
      </c>
      <c r="Z294" s="153">
        <v>16877.099999999999</v>
      </c>
      <c r="AA294" s="162">
        <v>1</v>
      </c>
      <c r="AB294" s="172">
        <v>118.57</v>
      </c>
      <c r="AD294" s="153">
        <v>20.010999999999999</v>
      </c>
      <c r="AG294" s="3" t="s">
        <v>36</v>
      </c>
      <c r="AH294" s="164">
        <v>5.7000000000000003E-5</v>
      </c>
      <c r="AI294" s="164">
        <v>7.5892375020547193E-5</v>
      </c>
      <c r="AJ294" s="164">
        <v>7.8307427884512399E-6</v>
      </c>
    </row>
    <row r="295" spans="1:36">
      <c r="A295" s="3">
        <v>424</v>
      </c>
      <c r="B295" s="3">
        <v>7228</v>
      </c>
      <c r="C295" s="3" t="s">
        <v>343</v>
      </c>
      <c r="D295" s="3" t="s">
        <v>344</v>
      </c>
      <c r="E295" s="5" t="s">
        <v>134</v>
      </c>
      <c r="F295" s="3" t="s">
        <v>345</v>
      </c>
      <c r="G295" s="3" t="s">
        <v>346</v>
      </c>
      <c r="H295" s="3" t="s">
        <v>137</v>
      </c>
      <c r="I295" s="3" t="s">
        <v>138</v>
      </c>
      <c r="J295" s="3" t="s">
        <v>30</v>
      </c>
      <c r="K295" s="3" t="s">
        <v>30</v>
      </c>
      <c r="L295" s="3" t="s">
        <v>139</v>
      </c>
      <c r="M295" s="3" t="s">
        <v>31</v>
      </c>
      <c r="N295" s="3" t="s">
        <v>186</v>
      </c>
      <c r="O295" s="3" t="s">
        <v>141</v>
      </c>
      <c r="P295" s="3" t="s">
        <v>171</v>
      </c>
      <c r="Q295" s="3" t="s">
        <v>164</v>
      </c>
      <c r="R295" s="3" t="s">
        <v>144</v>
      </c>
      <c r="S295" s="3" t="s">
        <v>34</v>
      </c>
      <c r="T295" s="153">
        <v>4.843</v>
      </c>
      <c r="U295" s="3" t="s">
        <v>347</v>
      </c>
      <c r="V295" s="164">
        <v>3.1800000000000002E-2</v>
      </c>
      <c r="W295" s="164">
        <v>3.2800000000000003E-2</v>
      </c>
      <c r="X295" s="5" t="s">
        <v>146</v>
      </c>
      <c r="Y295" s="5" t="s">
        <v>141</v>
      </c>
      <c r="Z295" s="153">
        <v>3630000</v>
      </c>
      <c r="AA295" s="162">
        <v>1</v>
      </c>
      <c r="AB295" s="172">
        <v>103.74</v>
      </c>
      <c r="AD295" s="153">
        <v>3765.7620000000002</v>
      </c>
      <c r="AG295" s="3" t="s">
        <v>36</v>
      </c>
      <c r="AH295" s="164">
        <v>1.6265999999999999E-2</v>
      </c>
      <c r="AI295" s="164">
        <v>1.42816494616859E-2</v>
      </c>
      <c r="AJ295" s="164">
        <v>1.4736121184638999E-3</v>
      </c>
    </row>
    <row r="296" spans="1:36">
      <c r="A296" s="3">
        <v>424</v>
      </c>
      <c r="B296" s="3">
        <v>7228</v>
      </c>
      <c r="C296" s="3" t="s">
        <v>348</v>
      </c>
      <c r="D296" s="3" t="s">
        <v>349</v>
      </c>
      <c r="E296" s="5" t="s">
        <v>134</v>
      </c>
      <c r="F296" s="3" t="s">
        <v>353</v>
      </c>
      <c r="G296" s="3" t="s">
        <v>354</v>
      </c>
      <c r="H296" s="3" t="s">
        <v>137</v>
      </c>
      <c r="I296" s="3" t="s">
        <v>138</v>
      </c>
      <c r="J296" s="3" t="s">
        <v>30</v>
      </c>
      <c r="K296" s="3" t="s">
        <v>30</v>
      </c>
      <c r="L296" s="3" t="s">
        <v>139</v>
      </c>
      <c r="M296" s="3" t="s">
        <v>31</v>
      </c>
      <c r="N296" s="3" t="s">
        <v>151</v>
      </c>
      <c r="O296" s="3" t="s">
        <v>141</v>
      </c>
      <c r="P296" s="3" t="s">
        <v>286</v>
      </c>
      <c r="Q296" s="3" t="s">
        <v>143</v>
      </c>
      <c r="R296" s="3" t="s">
        <v>144</v>
      </c>
      <c r="S296" s="3" t="s">
        <v>34</v>
      </c>
      <c r="T296" s="153">
        <v>6.8730000000000002</v>
      </c>
      <c r="U296" s="3" t="s">
        <v>355</v>
      </c>
      <c r="V296" s="164">
        <v>0.03</v>
      </c>
      <c r="W296" s="164">
        <v>2.632E-2</v>
      </c>
      <c r="X296" s="5" t="s">
        <v>146</v>
      </c>
      <c r="Y296" s="5" t="s">
        <v>141</v>
      </c>
      <c r="Z296" s="153">
        <v>4700000</v>
      </c>
      <c r="AA296" s="162">
        <v>1</v>
      </c>
      <c r="AB296" s="172">
        <v>111.48</v>
      </c>
      <c r="AD296" s="153">
        <v>5239.5600000000004</v>
      </c>
      <c r="AG296" s="3" t="s">
        <v>36</v>
      </c>
      <c r="AH296" s="164">
        <v>1.152E-3</v>
      </c>
      <c r="AI296" s="164">
        <v>1.98710272325948E-2</v>
      </c>
      <c r="AJ296" s="164">
        <v>2.0503364555217998E-3</v>
      </c>
    </row>
    <row r="297" spans="1:36">
      <c r="A297" s="3">
        <v>424</v>
      </c>
      <c r="B297" s="3">
        <v>7228</v>
      </c>
      <c r="C297" s="3" t="s">
        <v>348</v>
      </c>
      <c r="D297" s="3" t="s">
        <v>349</v>
      </c>
      <c r="E297" s="5" t="s">
        <v>134</v>
      </c>
      <c r="F297" s="3" t="s">
        <v>578</v>
      </c>
      <c r="G297" s="3" t="s">
        <v>579</v>
      </c>
      <c r="H297" s="3" t="s">
        <v>137</v>
      </c>
      <c r="I297" s="3" t="s">
        <v>138</v>
      </c>
      <c r="J297" s="3" t="s">
        <v>30</v>
      </c>
      <c r="K297" s="3" t="s">
        <v>30</v>
      </c>
      <c r="L297" s="3" t="s">
        <v>139</v>
      </c>
      <c r="M297" s="3" t="s">
        <v>31</v>
      </c>
      <c r="N297" s="3" t="s">
        <v>151</v>
      </c>
      <c r="O297" s="3" t="s">
        <v>141</v>
      </c>
      <c r="P297" s="3" t="s">
        <v>286</v>
      </c>
      <c r="Q297" s="3" t="s">
        <v>143</v>
      </c>
      <c r="R297" s="3" t="s">
        <v>144</v>
      </c>
      <c r="S297" s="3" t="s">
        <v>34</v>
      </c>
      <c r="T297" s="153">
        <v>9.7940000000000005</v>
      </c>
      <c r="U297" s="3" t="s">
        <v>580</v>
      </c>
      <c r="V297" s="164">
        <v>3.2000000000000001E-2</v>
      </c>
      <c r="W297" s="164">
        <v>2.8170000000000001E-2</v>
      </c>
      <c r="X297" s="5" t="s">
        <v>146</v>
      </c>
      <c r="Y297" s="5" t="s">
        <v>141</v>
      </c>
      <c r="Z297" s="153">
        <v>4700000</v>
      </c>
      <c r="AA297" s="162">
        <v>1</v>
      </c>
      <c r="AB297" s="172">
        <v>112.97</v>
      </c>
      <c r="AD297" s="153">
        <v>5309.59</v>
      </c>
      <c r="AG297" s="3" t="s">
        <v>36</v>
      </c>
      <c r="AH297" s="164">
        <v>9.5399999999999999E-4</v>
      </c>
      <c r="AI297" s="164">
        <v>2.01366159532314E-2</v>
      </c>
      <c r="AJ297" s="164">
        <v>2.0777404860091299E-3</v>
      </c>
    </row>
    <row r="298" spans="1:36">
      <c r="A298" s="3">
        <v>424</v>
      </c>
      <c r="B298" s="3">
        <v>7228</v>
      </c>
      <c r="C298" s="3" t="s">
        <v>348</v>
      </c>
      <c r="D298" s="3" t="s">
        <v>349</v>
      </c>
      <c r="E298" s="5" t="s">
        <v>134</v>
      </c>
      <c r="F298" s="3" t="s">
        <v>356</v>
      </c>
      <c r="G298" s="3" t="s">
        <v>357</v>
      </c>
      <c r="H298" s="3" t="s">
        <v>137</v>
      </c>
      <c r="I298" s="3" t="s">
        <v>138</v>
      </c>
      <c r="J298" s="3" t="s">
        <v>30</v>
      </c>
      <c r="K298" s="3" t="s">
        <v>30</v>
      </c>
      <c r="L298" s="3" t="s">
        <v>139</v>
      </c>
      <c r="M298" s="3" t="s">
        <v>31</v>
      </c>
      <c r="N298" s="3" t="s">
        <v>151</v>
      </c>
      <c r="O298" s="3" t="s">
        <v>141</v>
      </c>
      <c r="P298" s="3" t="s">
        <v>286</v>
      </c>
      <c r="Q298" s="3" t="s">
        <v>143</v>
      </c>
      <c r="R298" s="3" t="s">
        <v>144</v>
      </c>
      <c r="S298" s="3" t="s">
        <v>34</v>
      </c>
      <c r="T298" s="153">
        <v>7.569</v>
      </c>
      <c r="U298" s="3" t="s">
        <v>358</v>
      </c>
      <c r="V298" s="164">
        <v>2.9899999999999999E-2</v>
      </c>
      <c r="W298" s="164">
        <v>2.7519999999999999E-2</v>
      </c>
      <c r="X298" s="5" t="s">
        <v>146</v>
      </c>
      <c r="Y298" s="5" t="s">
        <v>141</v>
      </c>
      <c r="Z298" s="153">
        <v>3921114</v>
      </c>
      <c r="AA298" s="162">
        <v>1</v>
      </c>
      <c r="AB298" s="172">
        <v>105.38</v>
      </c>
      <c r="AD298" s="153">
        <v>4132.07</v>
      </c>
      <c r="AG298" s="3" t="s">
        <v>36</v>
      </c>
      <c r="AH298" s="164">
        <v>1.0132E-2</v>
      </c>
      <c r="AI298" s="164">
        <v>1.5670872013986599E-2</v>
      </c>
      <c r="AJ298" s="164">
        <v>1.61695516814494E-3</v>
      </c>
    </row>
    <row r="299" spans="1:36">
      <c r="A299" s="3">
        <v>424</v>
      </c>
      <c r="B299" s="3">
        <v>7228</v>
      </c>
      <c r="C299" s="3" t="s">
        <v>359</v>
      </c>
      <c r="D299" s="3" t="s">
        <v>360</v>
      </c>
      <c r="E299" s="5" t="s">
        <v>134</v>
      </c>
      <c r="F299" s="3" t="s">
        <v>361</v>
      </c>
      <c r="G299" s="3" t="s">
        <v>362</v>
      </c>
      <c r="H299" s="3" t="s">
        <v>137</v>
      </c>
      <c r="I299" s="3" t="s">
        <v>138</v>
      </c>
      <c r="J299" s="3" t="s">
        <v>30</v>
      </c>
      <c r="K299" s="3" t="s">
        <v>30</v>
      </c>
      <c r="L299" s="3" t="s">
        <v>139</v>
      </c>
      <c r="M299" s="3" t="s">
        <v>31</v>
      </c>
      <c r="N299" s="3" t="s">
        <v>285</v>
      </c>
      <c r="O299" s="3" t="s">
        <v>141</v>
      </c>
      <c r="P299" s="3" t="s">
        <v>142</v>
      </c>
      <c r="Q299" s="3" t="s">
        <v>143</v>
      </c>
      <c r="R299" s="3" t="s">
        <v>144</v>
      </c>
      <c r="S299" s="3" t="s">
        <v>34</v>
      </c>
      <c r="T299" s="153">
        <v>3.6120000000000001</v>
      </c>
      <c r="U299" s="3" t="s">
        <v>363</v>
      </c>
      <c r="V299" s="164">
        <v>2.5899999999999999E-2</v>
      </c>
      <c r="W299" s="164">
        <v>2.6800000000000001E-2</v>
      </c>
      <c r="X299" s="5" t="s">
        <v>146</v>
      </c>
      <c r="Y299" s="5" t="s">
        <v>141</v>
      </c>
      <c r="Z299" s="153">
        <v>2010000</v>
      </c>
      <c r="AA299" s="162">
        <v>1</v>
      </c>
      <c r="AB299" s="172">
        <v>107.69</v>
      </c>
      <c r="AD299" s="153">
        <v>2164.569</v>
      </c>
      <c r="AG299" s="3" t="s">
        <v>36</v>
      </c>
      <c r="AH299" s="164">
        <v>2.944E-3</v>
      </c>
      <c r="AI299" s="164">
        <v>8.2091262521720495E-3</v>
      </c>
      <c r="AJ299" s="164">
        <v>8.4703576849819E-4</v>
      </c>
    </row>
    <row r="300" spans="1:36">
      <c r="A300" s="3">
        <v>424</v>
      </c>
      <c r="B300" s="3">
        <v>7228</v>
      </c>
      <c r="C300" s="3" t="s">
        <v>595</v>
      </c>
      <c r="D300" s="3" t="s">
        <v>596</v>
      </c>
      <c r="E300" s="5" t="s">
        <v>134</v>
      </c>
      <c r="F300" s="3" t="s">
        <v>597</v>
      </c>
      <c r="G300" s="3" t="s">
        <v>598</v>
      </c>
      <c r="H300" s="3" t="s">
        <v>137</v>
      </c>
      <c r="I300" s="3" t="s">
        <v>156</v>
      </c>
      <c r="J300" s="3" t="s">
        <v>30</v>
      </c>
      <c r="K300" s="3" t="s">
        <v>30</v>
      </c>
      <c r="L300" s="3" t="s">
        <v>139</v>
      </c>
      <c r="M300" s="3" t="s">
        <v>31</v>
      </c>
      <c r="N300" s="3" t="s">
        <v>170</v>
      </c>
      <c r="O300" s="3" t="s">
        <v>141</v>
      </c>
      <c r="P300" s="3" t="s">
        <v>142</v>
      </c>
      <c r="Q300" s="3" t="s">
        <v>143</v>
      </c>
      <c r="R300" s="3" t="s">
        <v>144</v>
      </c>
      <c r="S300" s="3" t="s">
        <v>34</v>
      </c>
      <c r="T300" s="153">
        <v>4.431</v>
      </c>
      <c r="U300" s="3" t="s">
        <v>599</v>
      </c>
      <c r="V300" s="164">
        <v>5.2499999999999998E-2</v>
      </c>
      <c r="W300" s="164">
        <v>4.6510000000000003E-2</v>
      </c>
      <c r="X300" s="5" t="s">
        <v>146</v>
      </c>
      <c r="Y300" s="5" t="s">
        <v>141</v>
      </c>
      <c r="Z300" s="153">
        <v>2060984</v>
      </c>
      <c r="AA300" s="162">
        <v>1</v>
      </c>
      <c r="AB300" s="172">
        <v>105.15</v>
      </c>
      <c r="AD300" s="153">
        <v>2167.125</v>
      </c>
      <c r="AG300" s="3" t="s">
        <v>36</v>
      </c>
      <c r="AH300" s="164">
        <v>2.4250000000000001E-3</v>
      </c>
      <c r="AI300" s="164">
        <v>8.2188186514181097E-3</v>
      </c>
      <c r="AJ300" s="164">
        <v>8.4803585164854999E-4</v>
      </c>
    </row>
    <row r="301" spans="1:36">
      <c r="A301" s="3">
        <v>424</v>
      </c>
      <c r="B301" s="3">
        <v>7228</v>
      </c>
      <c r="C301" s="3" t="s">
        <v>371</v>
      </c>
      <c r="D301" s="3" t="s">
        <v>372</v>
      </c>
      <c r="E301" s="5" t="s">
        <v>134</v>
      </c>
      <c r="F301" s="3" t="s">
        <v>373</v>
      </c>
      <c r="G301" s="3" t="s">
        <v>374</v>
      </c>
      <c r="H301" s="3" t="s">
        <v>137</v>
      </c>
      <c r="I301" s="3" t="s">
        <v>156</v>
      </c>
      <c r="J301" s="3" t="s">
        <v>30</v>
      </c>
      <c r="K301" s="3" t="s">
        <v>30</v>
      </c>
      <c r="L301" s="3" t="s">
        <v>139</v>
      </c>
      <c r="M301" s="3" t="s">
        <v>31</v>
      </c>
      <c r="N301" s="3" t="s">
        <v>170</v>
      </c>
      <c r="O301" s="3" t="s">
        <v>141</v>
      </c>
      <c r="P301" s="3" t="s">
        <v>142</v>
      </c>
      <c r="Q301" s="3" t="s">
        <v>143</v>
      </c>
      <c r="R301" s="3" t="s">
        <v>144</v>
      </c>
      <c r="S301" s="3" t="s">
        <v>34</v>
      </c>
      <c r="T301" s="153">
        <v>8.4480000000000004</v>
      </c>
      <c r="U301" s="3" t="s">
        <v>375</v>
      </c>
      <c r="V301" s="164">
        <v>5.5100000000000003E-2</v>
      </c>
      <c r="W301" s="164">
        <v>5.0360000000000002E-2</v>
      </c>
      <c r="X301" s="5" t="s">
        <v>146</v>
      </c>
      <c r="Y301" s="5" t="s">
        <v>141</v>
      </c>
      <c r="Z301" s="153">
        <v>2793000</v>
      </c>
      <c r="AA301" s="162">
        <v>1</v>
      </c>
      <c r="AB301" s="172">
        <v>104.55</v>
      </c>
      <c r="AD301" s="153">
        <v>2920.0810000000001</v>
      </c>
      <c r="AG301" s="3" t="s">
        <v>36</v>
      </c>
      <c r="AH301" s="164">
        <v>5.5859999999999998E-3</v>
      </c>
      <c r="AI301" s="164">
        <v>1.1074406821927099E-2</v>
      </c>
      <c r="AJ301" s="164">
        <v>1.14268174284573E-3</v>
      </c>
    </row>
    <row r="302" spans="1:36">
      <c r="A302" s="3">
        <v>424</v>
      </c>
      <c r="B302" s="3">
        <v>7228</v>
      </c>
      <c r="C302" s="3" t="s">
        <v>371</v>
      </c>
      <c r="D302" s="3" t="s">
        <v>372</v>
      </c>
      <c r="E302" s="5" t="s">
        <v>134</v>
      </c>
      <c r="F302" s="3" t="s">
        <v>376</v>
      </c>
      <c r="G302" s="3" t="s">
        <v>377</v>
      </c>
      <c r="H302" s="3" t="s">
        <v>137</v>
      </c>
      <c r="I302" s="3" t="s">
        <v>156</v>
      </c>
      <c r="J302" s="3" t="s">
        <v>30</v>
      </c>
      <c r="K302" s="3" t="s">
        <v>30</v>
      </c>
      <c r="L302" s="3" t="s">
        <v>139</v>
      </c>
      <c r="M302" s="3" t="s">
        <v>31</v>
      </c>
      <c r="N302" s="3" t="s">
        <v>378</v>
      </c>
      <c r="O302" s="3" t="s">
        <v>141</v>
      </c>
      <c r="P302" s="3" t="s">
        <v>142</v>
      </c>
      <c r="Q302" s="3" t="s">
        <v>143</v>
      </c>
      <c r="R302" s="3" t="s">
        <v>144</v>
      </c>
      <c r="S302" s="3" t="s">
        <v>34</v>
      </c>
      <c r="T302" s="153">
        <v>7.1269999999999998</v>
      </c>
      <c r="U302" s="3" t="s">
        <v>379</v>
      </c>
      <c r="V302" s="164">
        <v>5.3100000000000001E-2</v>
      </c>
      <c r="W302" s="164">
        <v>4.8730000000000002E-2</v>
      </c>
      <c r="X302" s="5" t="s">
        <v>146</v>
      </c>
      <c r="Y302" s="5" t="s">
        <v>141</v>
      </c>
      <c r="Z302" s="153">
        <v>3444043</v>
      </c>
      <c r="AA302" s="162">
        <v>1</v>
      </c>
      <c r="AB302" s="172">
        <v>104.46</v>
      </c>
      <c r="AD302" s="153">
        <v>3597.6469999999999</v>
      </c>
      <c r="AG302" s="3" t="s">
        <v>36</v>
      </c>
      <c r="AH302" s="164">
        <v>2.7049999999999999E-3</v>
      </c>
      <c r="AI302" s="164">
        <v>1.36440746599477E-2</v>
      </c>
      <c r="AJ302" s="164">
        <v>1.4078257429623001E-3</v>
      </c>
    </row>
    <row r="303" spans="1:36">
      <c r="A303" s="3">
        <v>424</v>
      </c>
      <c r="B303" s="3">
        <v>7228</v>
      </c>
      <c r="C303" s="3" t="s">
        <v>380</v>
      </c>
      <c r="D303" s="3" t="s">
        <v>381</v>
      </c>
      <c r="E303" s="5" t="s">
        <v>134</v>
      </c>
      <c r="F303" s="3" t="s">
        <v>382</v>
      </c>
      <c r="G303" s="3" t="s">
        <v>383</v>
      </c>
      <c r="H303" s="3" t="s">
        <v>137</v>
      </c>
      <c r="I303" s="3" t="s">
        <v>138</v>
      </c>
      <c r="J303" s="3" t="s">
        <v>30</v>
      </c>
      <c r="K303" s="3" t="s">
        <v>30</v>
      </c>
      <c r="L303" s="3" t="s">
        <v>139</v>
      </c>
      <c r="M303" s="3" t="s">
        <v>31</v>
      </c>
      <c r="N303" s="3" t="s">
        <v>285</v>
      </c>
      <c r="O303" s="3" t="s">
        <v>141</v>
      </c>
      <c r="P303" s="3" t="s">
        <v>286</v>
      </c>
      <c r="Q303" s="3" t="s">
        <v>143</v>
      </c>
      <c r="R303" s="3" t="s">
        <v>144</v>
      </c>
      <c r="S303" s="3" t="s">
        <v>34</v>
      </c>
      <c r="T303" s="153">
        <v>0.73199999999999998</v>
      </c>
      <c r="U303" s="3" t="s">
        <v>384</v>
      </c>
      <c r="V303" s="164">
        <v>8.3000000000000001E-3</v>
      </c>
      <c r="W303" s="164">
        <v>3.2770000000000001E-2</v>
      </c>
      <c r="X303" s="5" t="s">
        <v>146</v>
      </c>
      <c r="Y303" s="5" t="s">
        <v>141</v>
      </c>
      <c r="Z303" s="153">
        <v>1051282.5</v>
      </c>
      <c r="AA303" s="162">
        <v>1</v>
      </c>
      <c r="AB303" s="172">
        <v>116.83</v>
      </c>
      <c r="AD303" s="153">
        <v>1228.213</v>
      </c>
      <c r="AG303" s="3" t="s">
        <v>36</v>
      </c>
      <c r="AH303" s="164">
        <v>6.9099999999999999E-4</v>
      </c>
      <c r="AI303" s="164">
        <v>4.6579981565176599E-3</v>
      </c>
      <c r="AJ303" s="164">
        <v>4.8062253240716701E-4</v>
      </c>
    </row>
    <row r="304" spans="1:36">
      <c r="A304" s="3">
        <v>424</v>
      </c>
      <c r="B304" s="3">
        <v>7228</v>
      </c>
      <c r="C304" s="3" t="s">
        <v>380</v>
      </c>
      <c r="D304" s="3" t="s">
        <v>381</v>
      </c>
      <c r="E304" s="5" t="s">
        <v>134</v>
      </c>
      <c r="F304" s="3" t="s">
        <v>385</v>
      </c>
      <c r="G304" s="3" t="s">
        <v>386</v>
      </c>
      <c r="H304" s="3" t="s">
        <v>137</v>
      </c>
      <c r="I304" s="3" t="s">
        <v>138</v>
      </c>
      <c r="J304" s="3" t="s">
        <v>30</v>
      </c>
      <c r="K304" s="3" t="s">
        <v>30</v>
      </c>
      <c r="L304" s="3" t="s">
        <v>139</v>
      </c>
      <c r="M304" s="3" t="s">
        <v>31</v>
      </c>
      <c r="N304" s="3" t="s">
        <v>285</v>
      </c>
      <c r="O304" s="3" t="s">
        <v>141</v>
      </c>
      <c r="P304" s="3" t="s">
        <v>286</v>
      </c>
      <c r="Q304" s="3" t="s">
        <v>143</v>
      </c>
      <c r="R304" s="3" t="s">
        <v>144</v>
      </c>
      <c r="S304" s="3" t="s">
        <v>34</v>
      </c>
      <c r="T304" s="153">
        <v>4.13</v>
      </c>
      <c r="U304" s="3" t="s">
        <v>387</v>
      </c>
      <c r="V304" s="164">
        <v>2.0199999999999999E-2</v>
      </c>
      <c r="W304" s="164">
        <v>2.5430000000000001E-2</v>
      </c>
      <c r="X304" s="5" t="s">
        <v>146</v>
      </c>
      <c r="Y304" s="5" t="s">
        <v>141</v>
      </c>
      <c r="Z304" s="153">
        <v>3500000</v>
      </c>
      <c r="AA304" s="162">
        <v>1</v>
      </c>
      <c r="AB304" s="172">
        <v>105.02</v>
      </c>
      <c r="AD304" s="153">
        <v>3675.7</v>
      </c>
      <c r="AG304" s="3" t="s">
        <v>36</v>
      </c>
      <c r="AH304" s="164">
        <v>9.810000000000001E-4</v>
      </c>
      <c r="AI304" s="164">
        <v>1.39400893965999E-2</v>
      </c>
      <c r="AJ304" s="164">
        <v>1.43836919694812E-3</v>
      </c>
    </row>
    <row r="305" spans="1:36">
      <c r="A305" s="3">
        <v>424</v>
      </c>
      <c r="B305" s="3">
        <v>7228</v>
      </c>
      <c r="C305" s="3" t="s">
        <v>380</v>
      </c>
      <c r="D305" s="3" t="s">
        <v>381</v>
      </c>
      <c r="E305" s="5" t="s">
        <v>134</v>
      </c>
      <c r="F305" s="3" t="s">
        <v>388</v>
      </c>
      <c r="G305" s="3" t="s">
        <v>389</v>
      </c>
      <c r="H305" s="3" t="s">
        <v>137</v>
      </c>
      <c r="I305" s="3" t="s">
        <v>138</v>
      </c>
      <c r="J305" s="3" t="s">
        <v>30</v>
      </c>
      <c r="K305" s="3" t="s">
        <v>30</v>
      </c>
      <c r="L305" s="3" t="s">
        <v>139</v>
      </c>
      <c r="M305" s="3" t="s">
        <v>31</v>
      </c>
      <c r="N305" s="3" t="s">
        <v>285</v>
      </c>
      <c r="O305" s="3" t="s">
        <v>141</v>
      </c>
      <c r="P305" s="3" t="s">
        <v>286</v>
      </c>
      <c r="Q305" s="3" t="s">
        <v>143</v>
      </c>
      <c r="R305" s="3" t="s">
        <v>144</v>
      </c>
      <c r="S305" s="3" t="s">
        <v>34</v>
      </c>
      <c r="T305" s="153">
        <v>4.1289999999999996</v>
      </c>
      <c r="U305" s="3" t="s">
        <v>390</v>
      </c>
      <c r="V305" s="164">
        <v>1E-3</v>
      </c>
      <c r="W305" s="164">
        <v>2.5350000000000001E-2</v>
      </c>
      <c r="X305" s="5" t="s">
        <v>146</v>
      </c>
      <c r="Y305" s="5" t="s">
        <v>141</v>
      </c>
      <c r="Z305" s="153">
        <v>2400000</v>
      </c>
      <c r="AA305" s="162">
        <v>1</v>
      </c>
      <c r="AB305" s="172">
        <v>104.89</v>
      </c>
      <c r="AD305" s="153">
        <v>2517.36</v>
      </c>
      <c r="AG305" s="3" t="s">
        <v>36</v>
      </c>
      <c r="AH305" s="164">
        <v>5.5999999999999995E-4</v>
      </c>
      <c r="AI305" s="164">
        <v>9.5470858458047893E-3</v>
      </c>
      <c r="AJ305" s="164">
        <v>9.850893929399349E-4</v>
      </c>
    </row>
    <row r="306" spans="1:36">
      <c r="A306" s="3">
        <v>424</v>
      </c>
      <c r="B306" s="3">
        <v>7228</v>
      </c>
      <c r="C306" s="3" t="s">
        <v>380</v>
      </c>
      <c r="D306" s="3" t="s">
        <v>381</v>
      </c>
      <c r="E306" s="5" t="s">
        <v>134</v>
      </c>
      <c r="F306" s="3" t="s">
        <v>391</v>
      </c>
      <c r="G306" s="3" t="s">
        <v>392</v>
      </c>
      <c r="H306" s="3" t="s">
        <v>137</v>
      </c>
      <c r="I306" s="3" t="s">
        <v>138</v>
      </c>
      <c r="J306" s="3" t="s">
        <v>30</v>
      </c>
      <c r="K306" s="3" t="s">
        <v>30</v>
      </c>
      <c r="L306" s="3" t="s">
        <v>139</v>
      </c>
      <c r="M306" s="3" t="s">
        <v>31</v>
      </c>
      <c r="N306" s="3" t="s">
        <v>285</v>
      </c>
      <c r="O306" s="3" t="s">
        <v>141</v>
      </c>
      <c r="P306" s="3" t="s">
        <v>393</v>
      </c>
      <c r="Q306" s="3" t="s">
        <v>164</v>
      </c>
      <c r="R306" s="3" t="s">
        <v>144</v>
      </c>
      <c r="S306" s="3" t="s">
        <v>34</v>
      </c>
      <c r="T306" s="153">
        <v>6.6959999999999997</v>
      </c>
      <c r="U306" s="3" t="s">
        <v>394</v>
      </c>
      <c r="V306" s="164">
        <v>2.5999999999999999E-2</v>
      </c>
      <c r="W306" s="164">
        <v>2.554E-2</v>
      </c>
      <c r="X306" s="5" t="s">
        <v>146</v>
      </c>
      <c r="Y306" s="5" t="s">
        <v>141</v>
      </c>
      <c r="Z306" s="153">
        <v>3600000</v>
      </c>
      <c r="AA306" s="162">
        <v>1</v>
      </c>
      <c r="AB306" s="172">
        <v>101.17</v>
      </c>
      <c r="AD306" s="153">
        <v>3642.12</v>
      </c>
      <c r="AG306" s="3" t="s">
        <v>36</v>
      </c>
      <c r="AH306" s="164">
        <v>1.9599999999999999E-3</v>
      </c>
      <c r="AI306" s="164">
        <v>1.3812737272667601E-2</v>
      </c>
      <c r="AJ306" s="164">
        <v>1.4252287236686E-3</v>
      </c>
    </row>
    <row r="307" spans="1:36">
      <c r="A307" s="3">
        <v>424</v>
      </c>
      <c r="B307" s="3">
        <v>7228</v>
      </c>
      <c r="C307" s="3" t="s">
        <v>380</v>
      </c>
      <c r="D307" s="3" t="s">
        <v>381</v>
      </c>
      <c r="E307" s="5" t="s">
        <v>134</v>
      </c>
      <c r="F307" s="3" t="s">
        <v>395</v>
      </c>
      <c r="G307" s="3" t="s">
        <v>396</v>
      </c>
      <c r="H307" s="3" t="s">
        <v>137</v>
      </c>
      <c r="I307" s="3" t="s">
        <v>138</v>
      </c>
      <c r="J307" s="3" t="s">
        <v>30</v>
      </c>
      <c r="K307" s="3" t="s">
        <v>30</v>
      </c>
      <c r="L307" s="3" t="s">
        <v>139</v>
      </c>
      <c r="M307" s="3" t="s">
        <v>31</v>
      </c>
      <c r="N307" s="3" t="s">
        <v>285</v>
      </c>
      <c r="O307" s="3" t="s">
        <v>141</v>
      </c>
      <c r="P307" s="3" t="s">
        <v>142</v>
      </c>
      <c r="Q307" s="3" t="s">
        <v>143</v>
      </c>
      <c r="R307" s="3" t="s">
        <v>144</v>
      </c>
      <c r="S307" s="3" t="s">
        <v>34</v>
      </c>
      <c r="T307" s="153">
        <v>4.968</v>
      </c>
      <c r="U307" s="3" t="s">
        <v>397</v>
      </c>
      <c r="V307" s="164">
        <v>3.1E-2</v>
      </c>
      <c r="W307" s="164">
        <v>2.972E-2</v>
      </c>
      <c r="X307" s="5" t="s">
        <v>146</v>
      </c>
      <c r="Y307" s="5" t="s">
        <v>141</v>
      </c>
      <c r="Z307" s="153">
        <v>2200000</v>
      </c>
      <c r="AA307" s="162">
        <v>1</v>
      </c>
      <c r="AB307" s="172">
        <v>105.8</v>
      </c>
      <c r="AD307" s="153">
        <v>2327.6</v>
      </c>
      <c r="AG307" s="3" t="s">
        <v>36</v>
      </c>
      <c r="AH307" s="164">
        <v>1.433E-3</v>
      </c>
      <c r="AI307" s="164">
        <v>8.8274211931131195E-3</v>
      </c>
      <c r="AJ307" s="164">
        <v>9.1083280540208496E-4</v>
      </c>
    </row>
    <row r="308" spans="1:36">
      <c r="A308" s="3">
        <v>424</v>
      </c>
      <c r="B308" s="3">
        <v>7228</v>
      </c>
      <c r="C308" s="3" t="s">
        <v>403</v>
      </c>
      <c r="D308" s="3" t="s">
        <v>404</v>
      </c>
      <c r="E308" s="5" t="s">
        <v>134</v>
      </c>
      <c r="F308" s="3" t="s">
        <v>405</v>
      </c>
      <c r="G308" s="3" t="s">
        <v>406</v>
      </c>
      <c r="H308" s="3" t="s">
        <v>137</v>
      </c>
      <c r="I308" s="3" t="s">
        <v>156</v>
      </c>
      <c r="J308" s="3" t="s">
        <v>30</v>
      </c>
      <c r="K308" s="3" t="s">
        <v>30</v>
      </c>
      <c r="L308" s="3" t="s">
        <v>139</v>
      </c>
      <c r="M308" s="3" t="s">
        <v>31</v>
      </c>
      <c r="N308" s="3" t="s">
        <v>170</v>
      </c>
      <c r="O308" s="3" t="s">
        <v>141</v>
      </c>
      <c r="P308" s="3" t="s">
        <v>163</v>
      </c>
      <c r="Q308" s="3" t="s">
        <v>164</v>
      </c>
      <c r="R308" s="3" t="s">
        <v>144</v>
      </c>
      <c r="S308" s="3" t="s">
        <v>34</v>
      </c>
      <c r="T308" s="153">
        <v>6.5819999999999999</v>
      </c>
      <c r="U308" s="3" t="s">
        <v>250</v>
      </c>
      <c r="V308" s="164">
        <v>6.0699999999999997E-2</v>
      </c>
      <c r="W308" s="164">
        <v>4.9540000000000001E-2</v>
      </c>
      <c r="X308" s="5" t="s">
        <v>146</v>
      </c>
      <c r="Y308" s="5" t="s">
        <v>141</v>
      </c>
      <c r="Z308" s="153">
        <v>2318988</v>
      </c>
      <c r="AA308" s="162">
        <v>1</v>
      </c>
      <c r="AB308" s="172">
        <v>109.46</v>
      </c>
      <c r="AD308" s="153">
        <v>2538.364</v>
      </c>
      <c r="AG308" s="3" t="s">
        <v>36</v>
      </c>
      <c r="AH308" s="164">
        <v>3.6879999999999999E-3</v>
      </c>
      <c r="AI308" s="164">
        <v>9.6267445037534396E-3</v>
      </c>
      <c r="AJ308" s="164">
        <v>9.9330874911504803E-4</v>
      </c>
    </row>
    <row r="309" spans="1:36">
      <c r="A309" s="3">
        <v>424</v>
      </c>
      <c r="B309" s="3">
        <v>7228</v>
      </c>
      <c r="C309" s="3" t="s">
        <v>403</v>
      </c>
      <c r="D309" s="3" t="s">
        <v>404</v>
      </c>
      <c r="E309" s="5" t="s">
        <v>134</v>
      </c>
      <c r="F309" s="3" t="s">
        <v>642</v>
      </c>
      <c r="G309" s="3" t="s">
        <v>643</v>
      </c>
      <c r="H309" s="3" t="s">
        <v>137</v>
      </c>
      <c r="I309" s="3" t="s">
        <v>156</v>
      </c>
      <c r="J309" s="3" t="s">
        <v>30</v>
      </c>
      <c r="K309" s="3" t="s">
        <v>30</v>
      </c>
      <c r="L309" s="3" t="s">
        <v>139</v>
      </c>
      <c r="M309" s="3" t="s">
        <v>31</v>
      </c>
      <c r="N309" s="3" t="s">
        <v>170</v>
      </c>
      <c r="O309" s="3" t="s">
        <v>141</v>
      </c>
      <c r="P309" s="3" t="s">
        <v>163</v>
      </c>
      <c r="Q309" s="3" t="s">
        <v>164</v>
      </c>
      <c r="R309" s="3" t="s">
        <v>144</v>
      </c>
      <c r="S309" s="3" t="s">
        <v>34</v>
      </c>
      <c r="T309" s="153">
        <v>1.196</v>
      </c>
      <c r="U309" s="3" t="s">
        <v>641</v>
      </c>
      <c r="V309" s="164">
        <v>4.1000000000000002E-2</v>
      </c>
      <c r="W309" s="164">
        <v>4.9340000000000002E-2</v>
      </c>
      <c r="X309" s="5" t="s">
        <v>146</v>
      </c>
      <c r="Y309" s="5" t="s">
        <v>141</v>
      </c>
      <c r="Z309" s="153">
        <v>1220000</v>
      </c>
      <c r="AA309" s="162">
        <v>1</v>
      </c>
      <c r="AB309" s="172">
        <v>102.14</v>
      </c>
      <c r="AD309" s="153">
        <v>1246.1079999999999</v>
      </c>
      <c r="AG309" s="3" t="s">
        <v>36</v>
      </c>
      <c r="AH309" s="164">
        <v>1.7110000000000001E-3</v>
      </c>
      <c r="AI309" s="164">
        <v>4.7258636226618798E-3</v>
      </c>
      <c r="AJ309" s="164">
        <v>4.8762504101820798E-4</v>
      </c>
    </row>
    <row r="310" spans="1:36">
      <c r="A310" s="3">
        <v>424</v>
      </c>
      <c r="B310" s="3">
        <v>7228</v>
      </c>
      <c r="C310" s="3" t="s">
        <v>403</v>
      </c>
      <c r="D310" s="3" t="s">
        <v>404</v>
      </c>
      <c r="E310" s="5" t="s">
        <v>134</v>
      </c>
      <c r="F310" s="3" t="s">
        <v>407</v>
      </c>
      <c r="G310" s="3" t="s">
        <v>408</v>
      </c>
      <c r="H310" s="3" t="s">
        <v>137</v>
      </c>
      <c r="I310" s="3" t="s">
        <v>156</v>
      </c>
      <c r="J310" s="3" t="s">
        <v>30</v>
      </c>
      <c r="K310" s="3" t="s">
        <v>30</v>
      </c>
      <c r="L310" s="3" t="s">
        <v>139</v>
      </c>
      <c r="M310" s="3" t="s">
        <v>31</v>
      </c>
      <c r="N310" s="3" t="s">
        <v>170</v>
      </c>
      <c r="O310" s="3" t="s">
        <v>141</v>
      </c>
      <c r="P310" s="3" t="s">
        <v>152</v>
      </c>
      <c r="Q310" s="3" t="s">
        <v>143</v>
      </c>
      <c r="R310" s="3" t="s">
        <v>144</v>
      </c>
      <c r="S310" s="3" t="s">
        <v>34</v>
      </c>
      <c r="T310" s="153">
        <v>5.931</v>
      </c>
      <c r="U310" s="3" t="s">
        <v>258</v>
      </c>
      <c r="V310" s="164">
        <v>6.0699999999999997E-2</v>
      </c>
      <c r="W310" s="164">
        <v>4.929E-2</v>
      </c>
      <c r="X310" s="5" t="s">
        <v>146</v>
      </c>
      <c r="Y310" s="5" t="s">
        <v>141</v>
      </c>
      <c r="Z310" s="153">
        <v>2527229</v>
      </c>
      <c r="AA310" s="162">
        <v>1</v>
      </c>
      <c r="AB310" s="172">
        <v>108.82</v>
      </c>
      <c r="AD310" s="153">
        <v>2750.1309999999999</v>
      </c>
      <c r="AG310" s="3" t="s">
        <v>36</v>
      </c>
      <c r="AH310" s="164">
        <v>4.019E-3</v>
      </c>
      <c r="AI310" s="164">
        <v>1.04298681572644E-2</v>
      </c>
      <c r="AJ310" s="164">
        <v>1.0761768205947301E-3</v>
      </c>
    </row>
    <row r="311" spans="1:36">
      <c r="A311" s="3">
        <v>424</v>
      </c>
      <c r="B311" s="3">
        <v>7228</v>
      </c>
      <c r="C311" s="3" t="s">
        <v>409</v>
      </c>
      <c r="D311" s="3" t="s">
        <v>410</v>
      </c>
      <c r="E311" s="5" t="s">
        <v>134</v>
      </c>
      <c r="F311" s="3" t="s">
        <v>600</v>
      </c>
      <c r="G311" s="3" t="s">
        <v>601</v>
      </c>
      <c r="H311" s="3" t="s">
        <v>137</v>
      </c>
      <c r="I311" s="3" t="s">
        <v>156</v>
      </c>
      <c r="J311" s="3" t="s">
        <v>30</v>
      </c>
      <c r="K311" s="3" t="s">
        <v>30</v>
      </c>
      <c r="L311" s="3" t="s">
        <v>139</v>
      </c>
      <c r="M311" s="3" t="s">
        <v>31</v>
      </c>
      <c r="N311" s="3" t="s">
        <v>186</v>
      </c>
      <c r="O311" s="3" t="s">
        <v>141</v>
      </c>
      <c r="P311" s="3" t="s">
        <v>171</v>
      </c>
      <c r="Q311" s="3" t="s">
        <v>164</v>
      </c>
      <c r="R311" s="3" t="s">
        <v>144</v>
      </c>
      <c r="S311" s="3" t="s">
        <v>34</v>
      </c>
      <c r="T311" s="153">
        <v>4.6219999999999999</v>
      </c>
      <c r="U311" s="3" t="s">
        <v>347</v>
      </c>
      <c r="V311" s="164">
        <v>5.4800000000000001E-2</v>
      </c>
      <c r="W311" s="164">
        <v>4.7289999999999999E-2</v>
      </c>
      <c r="X311" s="5" t="s">
        <v>146</v>
      </c>
      <c r="Y311" s="5" t="s">
        <v>141</v>
      </c>
      <c r="Z311" s="153">
        <v>2160000</v>
      </c>
      <c r="AA311" s="162">
        <v>1</v>
      </c>
      <c r="AB311" s="172">
        <v>105.18</v>
      </c>
      <c r="AD311" s="153">
        <v>2271.8879999999999</v>
      </c>
      <c r="AG311" s="3" t="s">
        <v>36</v>
      </c>
      <c r="AH311" s="164">
        <v>7.1999999999999998E-3</v>
      </c>
      <c r="AI311" s="164">
        <v>8.6161334763616496E-3</v>
      </c>
      <c r="AJ311" s="164">
        <v>8.8903167236609897E-4</v>
      </c>
    </row>
    <row r="312" spans="1:36">
      <c r="A312" s="3">
        <v>424</v>
      </c>
      <c r="B312" s="3">
        <v>7228</v>
      </c>
      <c r="C312" s="3" t="s">
        <v>409</v>
      </c>
      <c r="D312" s="3" t="s">
        <v>410</v>
      </c>
      <c r="E312" s="5" t="s">
        <v>134</v>
      </c>
      <c r="F312" s="3" t="s">
        <v>411</v>
      </c>
      <c r="G312" s="3" t="s">
        <v>412</v>
      </c>
      <c r="H312" s="3" t="s">
        <v>137</v>
      </c>
      <c r="I312" s="3" t="s">
        <v>156</v>
      </c>
      <c r="J312" s="3" t="s">
        <v>30</v>
      </c>
      <c r="K312" s="3" t="s">
        <v>30</v>
      </c>
      <c r="L312" s="3" t="s">
        <v>139</v>
      </c>
      <c r="M312" s="3" t="s">
        <v>31</v>
      </c>
      <c r="N312" s="3" t="s">
        <v>186</v>
      </c>
      <c r="O312" s="3" t="s">
        <v>141</v>
      </c>
      <c r="P312" s="3" t="s">
        <v>171</v>
      </c>
      <c r="Q312" s="3" t="s">
        <v>164</v>
      </c>
      <c r="R312" s="3" t="s">
        <v>144</v>
      </c>
      <c r="S312" s="3" t="s">
        <v>34</v>
      </c>
      <c r="T312" s="153">
        <v>6.2949999999999999</v>
      </c>
      <c r="U312" s="3" t="s">
        <v>301</v>
      </c>
      <c r="V312" s="164">
        <v>5.2900000000000003E-2</v>
      </c>
      <c r="W312" s="164">
        <v>5.1069999999999997E-2</v>
      </c>
      <c r="X312" s="5" t="s">
        <v>146</v>
      </c>
      <c r="Y312" s="5" t="s">
        <v>141</v>
      </c>
      <c r="Z312" s="153">
        <v>3699808</v>
      </c>
      <c r="AA312" s="162">
        <v>1</v>
      </c>
      <c r="AB312" s="172">
        <v>102.93</v>
      </c>
      <c r="AD312" s="153">
        <v>3808.212</v>
      </c>
      <c r="AG312" s="3" t="s">
        <v>36</v>
      </c>
      <c r="AH312" s="164">
        <v>6.7330000000000003E-3</v>
      </c>
      <c r="AI312" s="164">
        <v>1.4442642473644201E-2</v>
      </c>
      <c r="AJ312" s="164">
        <v>1.4902237328328299E-3</v>
      </c>
    </row>
    <row r="313" spans="1:36">
      <c r="A313" s="3">
        <v>424</v>
      </c>
      <c r="B313" s="3">
        <v>7228</v>
      </c>
      <c r="C313" s="3" t="s">
        <v>413</v>
      </c>
      <c r="D313" s="3" t="s">
        <v>414</v>
      </c>
      <c r="E313" s="5" t="s">
        <v>134</v>
      </c>
      <c r="F313" s="3" t="s">
        <v>415</v>
      </c>
      <c r="G313" s="3" t="s">
        <v>416</v>
      </c>
      <c r="H313" s="3" t="s">
        <v>137</v>
      </c>
      <c r="I313" s="3" t="s">
        <v>138</v>
      </c>
      <c r="J313" s="3" t="s">
        <v>30</v>
      </c>
      <c r="K313" s="3" t="s">
        <v>30</v>
      </c>
      <c r="L313" s="3" t="s">
        <v>139</v>
      </c>
      <c r="M313" s="3" t="s">
        <v>31</v>
      </c>
      <c r="N313" s="3" t="s">
        <v>186</v>
      </c>
      <c r="O313" s="3" t="s">
        <v>141</v>
      </c>
      <c r="P313" s="3" t="s">
        <v>152</v>
      </c>
      <c r="Q313" s="3" t="s">
        <v>143</v>
      </c>
      <c r="R313" s="3" t="s">
        <v>144</v>
      </c>
      <c r="S313" s="3" t="s">
        <v>34</v>
      </c>
      <c r="T313" s="153">
        <v>5.0469999999999997</v>
      </c>
      <c r="U313" s="3" t="s">
        <v>417</v>
      </c>
      <c r="V313" s="164">
        <v>9.7000000000000003E-3</v>
      </c>
      <c r="W313" s="164">
        <v>3.1480000000000001E-2</v>
      </c>
      <c r="X313" s="5" t="s">
        <v>146</v>
      </c>
      <c r="Y313" s="5" t="s">
        <v>141</v>
      </c>
      <c r="Z313" s="153">
        <v>3388235.3</v>
      </c>
      <c r="AA313" s="162">
        <v>1</v>
      </c>
      <c r="AB313" s="172">
        <v>104.98</v>
      </c>
      <c r="AD313" s="153">
        <v>3556.9690000000001</v>
      </c>
      <c r="AG313" s="3" t="s">
        <v>36</v>
      </c>
      <c r="AH313" s="164">
        <v>5.6299999999999996E-3</v>
      </c>
      <c r="AI313" s="164">
        <v>1.3489803756306399E-2</v>
      </c>
      <c r="AJ313" s="164">
        <v>1.3919077305687001E-3</v>
      </c>
    </row>
    <row r="314" spans="1:36">
      <c r="A314" s="3">
        <v>424</v>
      </c>
      <c r="B314" s="3">
        <v>7228</v>
      </c>
      <c r="C314" s="3" t="s">
        <v>418</v>
      </c>
      <c r="D314" s="3" t="s">
        <v>419</v>
      </c>
      <c r="E314" s="5" t="s">
        <v>134</v>
      </c>
      <c r="F314" s="3" t="s">
        <v>605</v>
      </c>
      <c r="G314" s="3" t="s">
        <v>606</v>
      </c>
      <c r="H314" s="3" t="s">
        <v>137</v>
      </c>
      <c r="I314" s="3" t="s">
        <v>138</v>
      </c>
      <c r="J314" s="3" t="s">
        <v>30</v>
      </c>
      <c r="K314" s="3" t="s">
        <v>30</v>
      </c>
      <c r="L314" s="3" t="s">
        <v>139</v>
      </c>
      <c r="M314" s="3" t="s">
        <v>31</v>
      </c>
      <c r="N314" s="3" t="s">
        <v>285</v>
      </c>
      <c r="O314" s="3" t="s">
        <v>141</v>
      </c>
      <c r="P314" s="3" t="s">
        <v>286</v>
      </c>
      <c r="Q314" s="3" t="s">
        <v>143</v>
      </c>
      <c r="R314" s="3" t="s">
        <v>144</v>
      </c>
      <c r="S314" s="3" t="s">
        <v>34</v>
      </c>
      <c r="T314" s="153">
        <v>4.7160000000000002</v>
      </c>
      <c r="U314" s="3" t="s">
        <v>607</v>
      </c>
      <c r="V314" s="164">
        <v>2E-3</v>
      </c>
      <c r="W314" s="164">
        <v>2.564E-2</v>
      </c>
      <c r="X314" s="5" t="s">
        <v>146</v>
      </c>
      <c r="Y314" s="5" t="s">
        <v>141</v>
      </c>
      <c r="Z314" s="153">
        <v>2400000</v>
      </c>
      <c r="AA314" s="162">
        <v>1</v>
      </c>
      <c r="AB314" s="172">
        <v>106.44</v>
      </c>
      <c r="AD314" s="153">
        <v>2554.56</v>
      </c>
      <c r="AG314" s="3" t="s">
        <v>36</v>
      </c>
      <c r="AH314" s="164">
        <v>6.9399999999999996E-4</v>
      </c>
      <c r="AI314" s="164">
        <v>9.6881668169268992E-3</v>
      </c>
      <c r="AJ314" s="164">
        <v>9.996464389791849E-4</v>
      </c>
    </row>
    <row r="315" spans="1:36">
      <c r="A315" s="3">
        <v>424</v>
      </c>
      <c r="B315" s="3">
        <v>7228</v>
      </c>
      <c r="C315" s="3" t="s">
        <v>418</v>
      </c>
      <c r="D315" s="3" t="s">
        <v>419</v>
      </c>
      <c r="E315" s="5" t="s">
        <v>134</v>
      </c>
      <c r="F315" s="3" t="s">
        <v>420</v>
      </c>
      <c r="G315" s="3" t="s">
        <v>421</v>
      </c>
      <c r="H315" s="3" t="s">
        <v>137</v>
      </c>
      <c r="I315" s="3" t="s">
        <v>138</v>
      </c>
      <c r="J315" s="3" t="s">
        <v>30</v>
      </c>
      <c r="K315" s="3" t="s">
        <v>30</v>
      </c>
      <c r="L315" s="3" t="s">
        <v>139</v>
      </c>
      <c r="M315" s="3" t="s">
        <v>31</v>
      </c>
      <c r="N315" s="3" t="s">
        <v>285</v>
      </c>
      <c r="O315" s="3" t="s">
        <v>141</v>
      </c>
      <c r="P315" s="3" t="s">
        <v>142</v>
      </c>
      <c r="Q315" s="3" t="s">
        <v>143</v>
      </c>
      <c r="R315" s="3" t="s">
        <v>144</v>
      </c>
      <c r="S315" s="3" t="s">
        <v>34</v>
      </c>
      <c r="T315" s="153">
        <v>3.5310000000000001</v>
      </c>
      <c r="U315" s="3" t="s">
        <v>422</v>
      </c>
      <c r="V315" s="164">
        <v>3.3599999999999998E-2</v>
      </c>
      <c r="W315" s="164">
        <v>2.955E-2</v>
      </c>
      <c r="X315" s="5" t="s">
        <v>146</v>
      </c>
      <c r="Y315" s="5" t="s">
        <v>141</v>
      </c>
      <c r="Z315" s="153">
        <v>2550000</v>
      </c>
      <c r="AA315" s="162">
        <v>1</v>
      </c>
      <c r="AB315" s="172">
        <v>108.97</v>
      </c>
      <c r="AD315" s="153">
        <v>2778.7350000000001</v>
      </c>
      <c r="AG315" s="3" t="s">
        <v>36</v>
      </c>
      <c r="AH315" s="164">
        <v>2.1849999999999999E-3</v>
      </c>
      <c r="AI315" s="164">
        <v>1.05383503304026E-2</v>
      </c>
      <c r="AJ315" s="164">
        <v>1.0873702506955501E-3</v>
      </c>
    </row>
    <row r="316" spans="1:36">
      <c r="A316" s="3">
        <v>424</v>
      </c>
      <c r="B316" s="3">
        <v>7228</v>
      </c>
      <c r="C316" s="3" t="s">
        <v>418</v>
      </c>
      <c r="D316" s="3" t="s">
        <v>419</v>
      </c>
      <c r="E316" s="5" t="s">
        <v>134</v>
      </c>
      <c r="F316" s="3" t="s">
        <v>423</v>
      </c>
      <c r="G316" s="3" t="s">
        <v>424</v>
      </c>
      <c r="H316" s="3" t="s">
        <v>137</v>
      </c>
      <c r="I316" s="3" t="s">
        <v>138</v>
      </c>
      <c r="J316" s="3" t="s">
        <v>30</v>
      </c>
      <c r="K316" s="3" t="s">
        <v>30</v>
      </c>
      <c r="L316" s="3" t="s">
        <v>139</v>
      </c>
      <c r="M316" s="3" t="s">
        <v>31</v>
      </c>
      <c r="N316" s="3" t="s">
        <v>285</v>
      </c>
      <c r="O316" s="3" t="s">
        <v>141</v>
      </c>
      <c r="P316" s="3" t="s">
        <v>142</v>
      </c>
      <c r="Q316" s="3" t="s">
        <v>143</v>
      </c>
      <c r="R316" s="3" t="s">
        <v>144</v>
      </c>
      <c r="S316" s="3" t="s">
        <v>34</v>
      </c>
      <c r="T316" s="153">
        <v>4.6829999999999998</v>
      </c>
      <c r="U316" s="3" t="s">
        <v>425</v>
      </c>
      <c r="V316" s="164">
        <v>3.3500000000000002E-2</v>
      </c>
      <c r="W316" s="164">
        <v>3.0839999999999999E-2</v>
      </c>
      <c r="X316" s="5" t="s">
        <v>146</v>
      </c>
      <c r="Y316" s="5" t="s">
        <v>141</v>
      </c>
      <c r="Z316" s="153">
        <v>3630000</v>
      </c>
      <c r="AA316" s="162">
        <v>1</v>
      </c>
      <c r="AB316" s="172">
        <v>106.95</v>
      </c>
      <c r="AD316" s="153">
        <v>3882.2849999999999</v>
      </c>
      <c r="AG316" s="3" t="s">
        <v>36</v>
      </c>
      <c r="AH316" s="164">
        <v>2.395E-3</v>
      </c>
      <c r="AI316" s="164">
        <v>1.47235628487305E-2</v>
      </c>
      <c r="AJ316" s="164">
        <v>1.5192097172712E-3</v>
      </c>
    </row>
    <row r="317" spans="1:36">
      <c r="A317" s="3">
        <v>424</v>
      </c>
      <c r="B317" s="3">
        <v>7228</v>
      </c>
      <c r="C317" s="3" t="s">
        <v>418</v>
      </c>
      <c r="D317" s="3" t="s">
        <v>419</v>
      </c>
      <c r="E317" s="5" t="s">
        <v>134</v>
      </c>
      <c r="F317" s="3" t="s">
        <v>426</v>
      </c>
      <c r="G317" s="3" t="s">
        <v>427</v>
      </c>
      <c r="H317" s="3" t="s">
        <v>137</v>
      </c>
      <c r="I317" s="3" t="s">
        <v>138</v>
      </c>
      <c r="J317" s="3" t="s">
        <v>30</v>
      </c>
      <c r="K317" s="3" t="s">
        <v>30</v>
      </c>
      <c r="L317" s="3" t="s">
        <v>139</v>
      </c>
      <c r="M317" s="3" t="s">
        <v>31</v>
      </c>
      <c r="N317" s="3" t="s">
        <v>285</v>
      </c>
      <c r="O317" s="3" t="s">
        <v>141</v>
      </c>
      <c r="P317" s="3" t="s">
        <v>286</v>
      </c>
      <c r="Q317" s="3" t="s">
        <v>143</v>
      </c>
      <c r="R317" s="3" t="s">
        <v>144</v>
      </c>
      <c r="S317" s="3" t="s">
        <v>34</v>
      </c>
      <c r="T317" s="153">
        <v>4.3650000000000002</v>
      </c>
      <c r="U317" s="3" t="s">
        <v>428</v>
      </c>
      <c r="V317" s="164">
        <v>2.2013000000000001E-2</v>
      </c>
      <c r="W317" s="164">
        <v>2.4549999999999999E-2</v>
      </c>
      <c r="X317" s="5" t="s">
        <v>146</v>
      </c>
      <c r="Y317" s="5" t="s">
        <v>141</v>
      </c>
      <c r="Z317" s="153">
        <v>4000000</v>
      </c>
      <c r="AA317" s="162">
        <v>1</v>
      </c>
      <c r="AB317" s="172">
        <v>125.71</v>
      </c>
      <c r="AD317" s="153">
        <v>5028.3999999999996</v>
      </c>
      <c r="AG317" s="3" t="s">
        <v>36</v>
      </c>
      <c r="AH317" s="164">
        <v>5.6990000000000001E-3</v>
      </c>
      <c r="AI317" s="164">
        <v>1.9070203096515699E-2</v>
      </c>
      <c r="AJ317" s="164">
        <v>1.9677056533269699E-3</v>
      </c>
    </row>
    <row r="318" spans="1:36">
      <c r="A318" s="3">
        <v>424</v>
      </c>
      <c r="B318" s="3">
        <v>7228</v>
      </c>
      <c r="C318" s="3" t="s">
        <v>429</v>
      </c>
      <c r="D318" s="3" t="s">
        <v>430</v>
      </c>
      <c r="E318" s="5" t="s">
        <v>134</v>
      </c>
      <c r="F318" s="3" t="s">
        <v>431</v>
      </c>
      <c r="G318" s="3" t="s">
        <v>432</v>
      </c>
      <c r="H318" s="3" t="s">
        <v>137</v>
      </c>
      <c r="I318" s="3" t="s">
        <v>138</v>
      </c>
      <c r="J318" s="3" t="s">
        <v>30</v>
      </c>
      <c r="K318" s="3" t="s">
        <v>30</v>
      </c>
      <c r="L318" s="3" t="s">
        <v>139</v>
      </c>
      <c r="M318" s="3" t="s">
        <v>31</v>
      </c>
      <c r="N318" s="3" t="s">
        <v>186</v>
      </c>
      <c r="O318" s="3" t="s">
        <v>141</v>
      </c>
      <c r="P318" s="3" t="s">
        <v>180</v>
      </c>
      <c r="Q318" s="3" t="s">
        <v>143</v>
      </c>
      <c r="R318" s="3" t="s">
        <v>144</v>
      </c>
      <c r="S318" s="3" t="s">
        <v>34</v>
      </c>
      <c r="T318" s="153">
        <v>3.4809999999999999</v>
      </c>
      <c r="U318" s="3" t="s">
        <v>433</v>
      </c>
      <c r="V318" s="164">
        <v>1.43E-2</v>
      </c>
      <c r="W318" s="164">
        <v>2.8119999999999999E-2</v>
      </c>
      <c r="X318" s="5" t="s">
        <v>146</v>
      </c>
      <c r="Y318" s="5" t="s">
        <v>141</v>
      </c>
      <c r="Z318" s="153">
        <v>2966043.96</v>
      </c>
      <c r="AA318" s="162">
        <v>1</v>
      </c>
      <c r="AB318" s="172">
        <v>113.61</v>
      </c>
      <c r="AD318" s="153">
        <v>3369.723</v>
      </c>
      <c r="AG318" s="3" t="s">
        <v>36</v>
      </c>
      <c r="AH318" s="164">
        <v>1.5380000000000001E-3</v>
      </c>
      <c r="AI318" s="164">
        <v>1.2779670128287001E-2</v>
      </c>
      <c r="AJ318" s="164">
        <v>1.3186345751964501E-3</v>
      </c>
    </row>
    <row r="319" spans="1:36">
      <c r="A319" s="3">
        <v>424</v>
      </c>
      <c r="B319" s="3">
        <v>7228</v>
      </c>
      <c r="C319" s="3" t="s">
        <v>429</v>
      </c>
      <c r="D319" s="3" t="s">
        <v>430</v>
      </c>
      <c r="E319" s="5" t="s">
        <v>134</v>
      </c>
      <c r="F319" s="3" t="s">
        <v>434</v>
      </c>
      <c r="G319" s="3" t="s">
        <v>435</v>
      </c>
      <c r="H319" s="3" t="s">
        <v>137</v>
      </c>
      <c r="I319" s="3" t="s">
        <v>138</v>
      </c>
      <c r="J319" s="3" t="s">
        <v>30</v>
      </c>
      <c r="K319" s="3" t="s">
        <v>30</v>
      </c>
      <c r="L319" s="3" t="s">
        <v>139</v>
      </c>
      <c r="M319" s="3" t="s">
        <v>31</v>
      </c>
      <c r="N319" s="3" t="s">
        <v>186</v>
      </c>
      <c r="O319" s="3" t="s">
        <v>141</v>
      </c>
      <c r="P319" s="3" t="s">
        <v>180</v>
      </c>
      <c r="Q319" s="3" t="s">
        <v>143</v>
      </c>
      <c r="R319" s="3" t="s">
        <v>144</v>
      </c>
      <c r="S319" s="3" t="s">
        <v>34</v>
      </c>
      <c r="T319" s="153">
        <v>5.3339999999999996</v>
      </c>
      <c r="U319" s="3" t="s">
        <v>436</v>
      </c>
      <c r="V319" s="164">
        <v>3.61E-2</v>
      </c>
      <c r="W319" s="164">
        <v>2.9340000000000001E-2</v>
      </c>
      <c r="X319" s="5" t="s">
        <v>146</v>
      </c>
      <c r="Y319" s="5" t="s">
        <v>141</v>
      </c>
      <c r="Z319" s="153">
        <v>5581176.5700000003</v>
      </c>
      <c r="AA319" s="162">
        <v>1</v>
      </c>
      <c r="AB319" s="172">
        <v>113.95</v>
      </c>
      <c r="AD319" s="153">
        <v>6359.7510000000002</v>
      </c>
      <c r="AG319" s="3" t="s">
        <v>36</v>
      </c>
      <c r="AH319" s="164">
        <v>2.5400000000000002E-3</v>
      </c>
      <c r="AI319" s="164">
        <v>2.41193495985004E-2</v>
      </c>
      <c r="AJ319" s="164">
        <v>2.4886877354866801E-3</v>
      </c>
    </row>
    <row r="320" spans="1:36">
      <c r="A320" s="3">
        <v>424</v>
      </c>
      <c r="B320" s="3">
        <v>7228</v>
      </c>
      <c r="C320" s="3" t="s">
        <v>443</v>
      </c>
      <c r="D320" s="3" t="s">
        <v>444</v>
      </c>
      <c r="E320" s="5" t="s">
        <v>134</v>
      </c>
      <c r="F320" s="3" t="s">
        <v>445</v>
      </c>
      <c r="G320" s="3" t="s">
        <v>446</v>
      </c>
      <c r="H320" s="3" t="s">
        <v>137</v>
      </c>
      <c r="I320" s="3" t="s">
        <v>156</v>
      </c>
      <c r="J320" s="3" t="s">
        <v>30</v>
      </c>
      <c r="K320" s="3" t="s">
        <v>30</v>
      </c>
      <c r="L320" s="3" t="s">
        <v>139</v>
      </c>
      <c r="M320" s="3" t="s">
        <v>31</v>
      </c>
      <c r="N320" s="3" t="s">
        <v>447</v>
      </c>
      <c r="O320" s="3" t="s">
        <v>141</v>
      </c>
      <c r="P320" s="3" t="s">
        <v>209</v>
      </c>
      <c r="Q320" s="3" t="s">
        <v>164</v>
      </c>
      <c r="R320" s="3" t="s">
        <v>144</v>
      </c>
      <c r="S320" s="3" t="s">
        <v>34</v>
      </c>
      <c r="T320" s="153">
        <v>0.96699999999999997</v>
      </c>
      <c r="U320" s="3" t="s">
        <v>448</v>
      </c>
      <c r="V320" s="164">
        <v>0.114</v>
      </c>
      <c r="W320" s="164">
        <v>1E-4</v>
      </c>
      <c r="X320" s="5" t="s">
        <v>146</v>
      </c>
      <c r="Y320" s="5" t="s">
        <v>141</v>
      </c>
      <c r="Z320" s="153">
        <v>1932149.96</v>
      </c>
      <c r="AA320" s="162">
        <v>1</v>
      </c>
      <c r="AB320" s="172">
        <v>100.46</v>
      </c>
      <c r="AD320" s="153">
        <v>1941.038</v>
      </c>
      <c r="AG320" s="3" t="s">
        <v>36</v>
      </c>
      <c r="AH320" s="164">
        <v>7.9930000000000001E-3</v>
      </c>
      <c r="AI320" s="164">
        <v>7.3613845386236798E-3</v>
      </c>
      <c r="AJ320" s="164">
        <v>7.5956390708864898E-4</v>
      </c>
    </row>
    <row r="321" spans="1:36">
      <c r="A321" s="3">
        <v>424</v>
      </c>
      <c r="B321" s="3">
        <v>7228</v>
      </c>
      <c r="C321" s="3" t="s">
        <v>443</v>
      </c>
      <c r="D321" s="3" t="s">
        <v>444</v>
      </c>
      <c r="E321" s="5" t="s">
        <v>134</v>
      </c>
      <c r="F321" s="3" t="s">
        <v>452</v>
      </c>
      <c r="G321" s="3" t="s">
        <v>453</v>
      </c>
      <c r="H321" s="3" t="s">
        <v>137</v>
      </c>
      <c r="I321" s="3" t="s">
        <v>156</v>
      </c>
      <c r="J321" s="3" t="s">
        <v>30</v>
      </c>
      <c r="K321" s="3" t="s">
        <v>30</v>
      </c>
      <c r="L321" s="3" t="s">
        <v>139</v>
      </c>
      <c r="M321" s="3" t="s">
        <v>31</v>
      </c>
      <c r="N321" s="3" t="s">
        <v>447</v>
      </c>
      <c r="O321" s="3" t="s">
        <v>141</v>
      </c>
      <c r="P321" s="3" t="s">
        <v>209</v>
      </c>
      <c r="Q321" s="3" t="s">
        <v>164</v>
      </c>
      <c r="R321" s="3" t="s">
        <v>144</v>
      </c>
      <c r="S321" s="3" t="s">
        <v>34</v>
      </c>
      <c r="T321" s="153">
        <v>2.8410000000000002</v>
      </c>
      <c r="U321" s="3" t="s">
        <v>454</v>
      </c>
      <c r="V321" s="164">
        <v>6.4000000000000001E-2</v>
      </c>
      <c r="W321" s="164">
        <v>5.8369999999999998E-2</v>
      </c>
      <c r="X321" s="5" t="s">
        <v>146</v>
      </c>
      <c r="Y321" s="5" t="s">
        <v>141</v>
      </c>
      <c r="Z321" s="153">
        <v>2339000</v>
      </c>
      <c r="AA321" s="162">
        <v>1</v>
      </c>
      <c r="AB321" s="172">
        <v>104.05</v>
      </c>
      <c r="AD321" s="153">
        <v>2433.7289999999998</v>
      </c>
      <c r="AG321" s="3" t="s">
        <v>36</v>
      </c>
      <c r="AH321" s="164">
        <v>6.7539999999999996E-3</v>
      </c>
      <c r="AI321" s="164">
        <v>9.2299172394761098E-3</v>
      </c>
      <c r="AJ321" s="164">
        <v>9.5236323598333705E-4</v>
      </c>
    </row>
    <row r="322" spans="1:36">
      <c r="A322" s="3">
        <v>424</v>
      </c>
      <c r="B322" s="3">
        <v>7228</v>
      </c>
      <c r="C322" s="3" t="s">
        <v>455</v>
      </c>
      <c r="D322" s="3" t="s">
        <v>456</v>
      </c>
      <c r="E322" s="5" t="s">
        <v>134</v>
      </c>
      <c r="F322" s="3" t="s">
        <v>457</v>
      </c>
      <c r="G322" s="3" t="s">
        <v>458</v>
      </c>
      <c r="H322" s="3" t="s">
        <v>137</v>
      </c>
      <c r="I322" s="3" t="s">
        <v>138</v>
      </c>
      <c r="J322" s="3" t="s">
        <v>30</v>
      </c>
      <c r="K322" s="3" t="s">
        <v>30</v>
      </c>
      <c r="L322" s="3" t="s">
        <v>139</v>
      </c>
      <c r="M322" s="3" t="s">
        <v>31</v>
      </c>
      <c r="N322" s="3" t="s">
        <v>162</v>
      </c>
      <c r="O322" s="3" t="s">
        <v>141</v>
      </c>
      <c r="P322" s="3" t="s">
        <v>459</v>
      </c>
      <c r="Q322" s="3" t="s">
        <v>164</v>
      </c>
      <c r="R322" s="3" t="s">
        <v>144</v>
      </c>
      <c r="S322" s="3" t="s">
        <v>34</v>
      </c>
      <c r="T322" s="153">
        <v>3.2679999999999998</v>
      </c>
      <c r="U322" s="3" t="s">
        <v>460</v>
      </c>
      <c r="V322" s="164">
        <v>2.07E-2</v>
      </c>
      <c r="W322" s="164">
        <v>4.1239999999999999E-2</v>
      </c>
      <c r="X322" s="5" t="s">
        <v>146</v>
      </c>
      <c r="Y322" s="5" t="s">
        <v>141</v>
      </c>
      <c r="Z322" s="153">
        <v>2963703.46</v>
      </c>
      <c r="AA322" s="162">
        <v>1</v>
      </c>
      <c r="AB322" s="172">
        <v>109.03</v>
      </c>
      <c r="AD322" s="153">
        <v>3231.326</v>
      </c>
      <c r="AG322" s="3" t="s">
        <v>36</v>
      </c>
      <c r="AH322" s="164">
        <v>7.1009999999999997E-3</v>
      </c>
      <c r="AI322" s="164">
        <v>1.22548009007081E-2</v>
      </c>
      <c r="AJ322" s="164">
        <v>1.26447740963627E-3</v>
      </c>
    </row>
    <row r="323" spans="1:36">
      <c r="A323" s="3">
        <v>424</v>
      </c>
      <c r="B323" s="3">
        <v>7228</v>
      </c>
      <c r="C323" s="3" t="s">
        <v>461</v>
      </c>
      <c r="D323" s="3" t="s">
        <v>462</v>
      </c>
      <c r="E323" s="5" t="s">
        <v>134</v>
      </c>
      <c r="F323" s="3" t="s">
        <v>463</v>
      </c>
      <c r="G323" s="3" t="s">
        <v>464</v>
      </c>
      <c r="H323" s="3" t="s">
        <v>137</v>
      </c>
      <c r="I323" s="3" t="s">
        <v>138</v>
      </c>
      <c r="J323" s="3" t="s">
        <v>30</v>
      </c>
      <c r="K323" s="3" t="s">
        <v>30</v>
      </c>
      <c r="L323" s="3" t="s">
        <v>139</v>
      </c>
      <c r="M323" s="3" t="s">
        <v>31</v>
      </c>
      <c r="N323" s="3" t="s">
        <v>465</v>
      </c>
      <c r="O323" s="3" t="s">
        <v>141</v>
      </c>
      <c r="P323" s="3" t="s">
        <v>286</v>
      </c>
      <c r="Q323" s="3" t="s">
        <v>143</v>
      </c>
      <c r="R323" s="3" t="s">
        <v>144</v>
      </c>
      <c r="S323" s="3" t="s">
        <v>34</v>
      </c>
      <c r="T323" s="153">
        <v>11.507999999999999</v>
      </c>
      <c r="U323" s="3" t="s">
        <v>466</v>
      </c>
      <c r="V323" s="164">
        <v>2.07E-2</v>
      </c>
      <c r="W323" s="164">
        <v>2.7050000000000001E-2</v>
      </c>
      <c r="X323" s="5" t="s">
        <v>146</v>
      </c>
      <c r="Y323" s="5" t="s">
        <v>141</v>
      </c>
      <c r="Z323" s="153">
        <v>2022127.66</v>
      </c>
      <c r="AA323" s="162">
        <v>1</v>
      </c>
      <c r="AB323" s="172">
        <v>109.4</v>
      </c>
      <c r="AD323" s="153">
        <v>2212.2080000000001</v>
      </c>
      <c r="AG323" s="3" t="s">
        <v>36</v>
      </c>
      <c r="AH323" s="164">
        <v>3.6999999999999999E-4</v>
      </c>
      <c r="AI323" s="164">
        <v>8.3897958333924508E-3</v>
      </c>
      <c r="AJ323" s="164">
        <v>8.6567765471997596E-4</v>
      </c>
    </row>
    <row r="324" spans="1:36">
      <c r="A324" s="3">
        <v>424</v>
      </c>
      <c r="B324" s="3">
        <v>7228</v>
      </c>
      <c r="C324" s="3" t="s">
        <v>467</v>
      </c>
      <c r="D324" s="3" t="s">
        <v>468</v>
      </c>
      <c r="E324" s="5" t="s">
        <v>366</v>
      </c>
      <c r="F324" s="3" t="s">
        <v>469</v>
      </c>
      <c r="G324" s="3" t="s">
        <v>470</v>
      </c>
      <c r="H324" s="3" t="s">
        <v>137</v>
      </c>
      <c r="I324" s="3" t="s">
        <v>156</v>
      </c>
      <c r="J324" s="3" t="s">
        <v>30</v>
      </c>
      <c r="K324" s="3" t="s">
        <v>30</v>
      </c>
      <c r="L324" s="3" t="s">
        <v>139</v>
      </c>
      <c r="M324" s="3" t="s">
        <v>31</v>
      </c>
      <c r="N324" s="3" t="s">
        <v>369</v>
      </c>
      <c r="O324" s="3" t="s">
        <v>141</v>
      </c>
      <c r="P324" s="3" t="s">
        <v>471</v>
      </c>
      <c r="Q324" s="3" t="s">
        <v>143</v>
      </c>
      <c r="R324" s="3" t="s">
        <v>144</v>
      </c>
      <c r="S324" s="3" t="s">
        <v>34</v>
      </c>
      <c r="T324" s="153">
        <v>3.746</v>
      </c>
      <c r="U324" s="3" t="s">
        <v>472</v>
      </c>
      <c r="V324" s="164">
        <v>0.06</v>
      </c>
      <c r="W324" s="164">
        <v>5.5539999999999999E-2</v>
      </c>
      <c r="X324" s="5" t="s">
        <v>146</v>
      </c>
      <c r="Y324" s="5" t="s">
        <v>141</v>
      </c>
      <c r="Z324" s="153">
        <v>2900000</v>
      </c>
      <c r="AA324" s="162">
        <v>1</v>
      </c>
      <c r="AB324" s="172">
        <v>103.52</v>
      </c>
      <c r="AD324" s="153">
        <v>3002.08</v>
      </c>
      <c r="AG324" s="3" t="s">
        <v>36</v>
      </c>
      <c r="AH324" s="164">
        <v>2.8999999999999998E-3</v>
      </c>
      <c r="AI324" s="164">
        <v>1.1385386069522699E-2</v>
      </c>
      <c r="AJ324" s="164">
        <v>1.1747692681051301E-3</v>
      </c>
    </row>
    <row r="325" spans="1:36">
      <c r="A325" s="3">
        <v>424</v>
      </c>
      <c r="B325" s="3">
        <v>7228</v>
      </c>
      <c r="C325" s="3" t="s">
        <v>467</v>
      </c>
      <c r="D325" s="3" t="s">
        <v>468</v>
      </c>
      <c r="E325" s="5" t="s">
        <v>366</v>
      </c>
      <c r="F325" s="3" t="s">
        <v>473</v>
      </c>
      <c r="G325" s="3" t="s">
        <v>474</v>
      </c>
      <c r="H325" s="3" t="s">
        <v>137</v>
      </c>
      <c r="I325" s="3" t="s">
        <v>156</v>
      </c>
      <c r="J325" s="3" t="s">
        <v>30</v>
      </c>
      <c r="K325" s="3" t="s">
        <v>30</v>
      </c>
      <c r="L325" s="3" t="s">
        <v>139</v>
      </c>
      <c r="M325" s="3" t="s">
        <v>31</v>
      </c>
      <c r="N325" s="3" t="s">
        <v>369</v>
      </c>
      <c r="O325" s="3" t="s">
        <v>141</v>
      </c>
      <c r="P325" s="3" t="s">
        <v>329</v>
      </c>
      <c r="Q325" s="3" t="s">
        <v>143</v>
      </c>
      <c r="R325" s="3" t="s">
        <v>144</v>
      </c>
      <c r="S325" s="3" t="s">
        <v>34</v>
      </c>
      <c r="T325" s="153">
        <v>2.9580000000000002</v>
      </c>
      <c r="U325" s="3" t="s">
        <v>475</v>
      </c>
      <c r="V325" s="164">
        <v>6.7000000000000004E-2</v>
      </c>
      <c r="W325" s="164">
        <v>5.1299999999999998E-2</v>
      </c>
      <c r="X325" s="5" t="s">
        <v>146</v>
      </c>
      <c r="Y325" s="5" t="s">
        <v>141</v>
      </c>
      <c r="Z325" s="153">
        <v>1425000</v>
      </c>
      <c r="AA325" s="162">
        <v>1</v>
      </c>
      <c r="AB325" s="172">
        <v>104.89</v>
      </c>
      <c r="AD325" s="153">
        <v>1494.682</v>
      </c>
      <c r="AG325" s="3" t="s">
        <v>36</v>
      </c>
      <c r="AH325" s="164">
        <v>1.5659999999999999E-3</v>
      </c>
      <c r="AI325" s="164">
        <v>5.6685822209465997E-3</v>
      </c>
      <c r="AJ325" s="164">
        <v>5.8489682705808598E-4</v>
      </c>
    </row>
    <row r="326" spans="1:36">
      <c r="A326" s="3">
        <v>424</v>
      </c>
      <c r="B326" s="3">
        <v>7228</v>
      </c>
      <c r="C326" s="3" t="s">
        <v>476</v>
      </c>
      <c r="D326" s="3" t="s">
        <v>477</v>
      </c>
      <c r="E326" s="5" t="s">
        <v>134</v>
      </c>
      <c r="F326" s="3" t="s">
        <v>478</v>
      </c>
      <c r="G326" s="3" t="s">
        <v>479</v>
      </c>
      <c r="H326" s="3" t="s">
        <v>137</v>
      </c>
      <c r="I326" s="3" t="s">
        <v>156</v>
      </c>
      <c r="J326" s="3" t="s">
        <v>30</v>
      </c>
      <c r="K326" s="3" t="s">
        <v>30</v>
      </c>
      <c r="L326" s="3" t="s">
        <v>139</v>
      </c>
      <c r="M326" s="3" t="s">
        <v>31</v>
      </c>
      <c r="N326" s="3" t="s">
        <v>480</v>
      </c>
      <c r="O326" s="3" t="s">
        <v>141</v>
      </c>
      <c r="P326" s="3" t="s">
        <v>481</v>
      </c>
      <c r="Q326" s="3" t="s">
        <v>481</v>
      </c>
      <c r="R326" s="3" t="s">
        <v>481</v>
      </c>
      <c r="S326" s="3" t="s">
        <v>34</v>
      </c>
      <c r="T326" s="153">
        <v>3.6760000000000002</v>
      </c>
      <c r="U326" s="3" t="s">
        <v>482</v>
      </c>
      <c r="V326" s="164">
        <v>5.8999999999999997E-2</v>
      </c>
      <c r="W326" s="164">
        <v>5.3530000000000001E-2</v>
      </c>
      <c r="X326" s="5" t="s">
        <v>146</v>
      </c>
      <c r="Y326" s="5" t="s">
        <v>141</v>
      </c>
      <c r="Z326" s="153">
        <v>3052000</v>
      </c>
      <c r="AA326" s="162">
        <v>1</v>
      </c>
      <c r="AB326" s="172">
        <v>102.31</v>
      </c>
      <c r="AD326" s="153">
        <v>3122.5010000000002</v>
      </c>
      <c r="AG326" s="3" t="s">
        <v>36</v>
      </c>
      <c r="AH326" s="164">
        <v>6.2760000000000003E-3</v>
      </c>
      <c r="AI326" s="164">
        <v>1.18420833770412E-2</v>
      </c>
      <c r="AJ326" s="164">
        <v>1.2218923044627001E-3</v>
      </c>
    </row>
    <row r="327" spans="1:36">
      <c r="A327" s="3">
        <v>424</v>
      </c>
      <c r="B327" s="3">
        <v>7228</v>
      </c>
      <c r="C327" s="3" t="s">
        <v>483</v>
      </c>
      <c r="D327" s="3" t="s">
        <v>484</v>
      </c>
      <c r="E327" s="5" t="s">
        <v>134</v>
      </c>
      <c r="F327" s="3" t="s">
        <v>485</v>
      </c>
      <c r="G327" s="3" t="s">
        <v>486</v>
      </c>
      <c r="H327" s="3" t="s">
        <v>137</v>
      </c>
      <c r="I327" s="3" t="s">
        <v>156</v>
      </c>
      <c r="J327" s="3" t="s">
        <v>30</v>
      </c>
      <c r="K327" s="3" t="s">
        <v>30</v>
      </c>
      <c r="L327" s="3" t="s">
        <v>139</v>
      </c>
      <c r="M327" s="3" t="s">
        <v>31</v>
      </c>
      <c r="N327" s="3" t="s">
        <v>220</v>
      </c>
      <c r="O327" s="3" t="s">
        <v>141</v>
      </c>
      <c r="P327" s="3" t="s">
        <v>209</v>
      </c>
      <c r="Q327" s="3" t="s">
        <v>164</v>
      </c>
      <c r="R327" s="3" t="s">
        <v>144</v>
      </c>
      <c r="S327" s="3" t="s">
        <v>34</v>
      </c>
      <c r="T327" s="153">
        <v>2.992</v>
      </c>
      <c r="U327" s="3" t="s">
        <v>472</v>
      </c>
      <c r="V327" s="164">
        <v>6.9500000000000006E-2</v>
      </c>
      <c r="W327" s="164">
        <v>5.3469999999999997E-2</v>
      </c>
      <c r="X327" s="5" t="s">
        <v>146</v>
      </c>
      <c r="Y327" s="5" t="s">
        <v>141</v>
      </c>
      <c r="Z327" s="153">
        <v>2090000</v>
      </c>
      <c r="AA327" s="162">
        <v>1</v>
      </c>
      <c r="AB327" s="172">
        <v>106.87</v>
      </c>
      <c r="AD327" s="153">
        <v>2233.5830000000001</v>
      </c>
      <c r="AG327" s="3" t="s">
        <v>36</v>
      </c>
      <c r="AH327" s="164">
        <v>2.6029999999999998E-3</v>
      </c>
      <c r="AI327" s="164">
        <v>8.4708617935973403E-3</v>
      </c>
      <c r="AJ327" s="164">
        <v>8.7404221944853303E-4</v>
      </c>
    </row>
    <row r="328" spans="1:36">
      <c r="A328" s="3">
        <v>424</v>
      </c>
      <c r="B328" s="3">
        <v>7228</v>
      </c>
      <c r="C328" s="3" t="s">
        <v>490</v>
      </c>
      <c r="D328" s="3" t="s">
        <v>491</v>
      </c>
      <c r="E328" s="5" t="s">
        <v>492</v>
      </c>
      <c r="F328" s="3" t="s">
        <v>493</v>
      </c>
      <c r="G328" s="3" t="s">
        <v>494</v>
      </c>
      <c r="H328" s="3" t="s">
        <v>137</v>
      </c>
      <c r="I328" s="3" t="s">
        <v>156</v>
      </c>
      <c r="J328" s="3" t="s">
        <v>30</v>
      </c>
      <c r="K328" s="3" t="s">
        <v>30</v>
      </c>
      <c r="L328" s="3" t="s">
        <v>139</v>
      </c>
      <c r="M328" s="3" t="s">
        <v>31</v>
      </c>
      <c r="N328" s="3" t="s">
        <v>208</v>
      </c>
      <c r="O328" s="3" t="s">
        <v>141</v>
      </c>
      <c r="P328" s="3" t="s">
        <v>180</v>
      </c>
      <c r="Q328" s="3" t="s">
        <v>143</v>
      </c>
      <c r="R328" s="3" t="s">
        <v>144</v>
      </c>
      <c r="S328" s="3" t="s">
        <v>34</v>
      </c>
      <c r="T328" s="153">
        <v>3.2290000000000001</v>
      </c>
      <c r="U328" s="3" t="s">
        <v>495</v>
      </c>
      <c r="V328" s="164">
        <v>6.25E-2</v>
      </c>
      <c r="W328" s="164">
        <v>5.2150000000000002E-2</v>
      </c>
      <c r="X328" s="5" t="s">
        <v>146</v>
      </c>
      <c r="Y328" s="5" t="s">
        <v>141</v>
      </c>
      <c r="Z328" s="153">
        <v>3422632</v>
      </c>
      <c r="AA328" s="162">
        <v>1</v>
      </c>
      <c r="AB328" s="172">
        <v>106.47</v>
      </c>
      <c r="AD328" s="153">
        <v>3644.076</v>
      </c>
      <c r="AG328" s="3" t="s">
        <v>36</v>
      </c>
      <c r="AH328" s="164">
        <v>6.2230000000000002E-3</v>
      </c>
      <c r="AI328" s="164">
        <v>1.3820156502491E-2</v>
      </c>
      <c r="AJ328" s="164">
        <v>1.4259942561798699E-3</v>
      </c>
    </row>
    <row r="329" spans="1:36">
      <c r="A329" s="3">
        <v>424</v>
      </c>
      <c r="B329" s="3">
        <v>7228</v>
      </c>
      <c r="C329" s="3" t="s">
        <v>490</v>
      </c>
      <c r="D329" s="3" t="s">
        <v>491</v>
      </c>
      <c r="E329" s="5" t="s">
        <v>492</v>
      </c>
      <c r="F329" s="3" t="s">
        <v>496</v>
      </c>
      <c r="G329" s="3" t="s">
        <v>497</v>
      </c>
      <c r="H329" s="3" t="s">
        <v>137</v>
      </c>
      <c r="I329" s="3" t="s">
        <v>156</v>
      </c>
      <c r="J329" s="3" t="s">
        <v>30</v>
      </c>
      <c r="K329" s="3" t="s">
        <v>30</v>
      </c>
      <c r="L329" s="3" t="s">
        <v>139</v>
      </c>
      <c r="M329" s="3" t="s">
        <v>498</v>
      </c>
      <c r="N329" s="3" t="s">
        <v>208</v>
      </c>
      <c r="O329" s="3" t="s">
        <v>141</v>
      </c>
      <c r="P329" s="3" t="s">
        <v>142</v>
      </c>
      <c r="Q329" s="3" t="s">
        <v>143</v>
      </c>
      <c r="R329" s="3" t="s">
        <v>144</v>
      </c>
      <c r="S329" s="3" t="s">
        <v>34</v>
      </c>
      <c r="T329" s="153">
        <v>4.1349999999999998</v>
      </c>
      <c r="U329" s="3" t="s">
        <v>472</v>
      </c>
      <c r="V329" s="164">
        <v>2.9000000000000001E-2</v>
      </c>
      <c r="W329" s="164">
        <v>5.738E-2</v>
      </c>
      <c r="X329" s="5" t="s">
        <v>146</v>
      </c>
      <c r="Y329" s="5" t="s">
        <v>141</v>
      </c>
      <c r="Z329" s="153">
        <v>2393000</v>
      </c>
      <c r="AA329" s="162">
        <v>1</v>
      </c>
      <c r="AB329" s="172">
        <v>102.45</v>
      </c>
      <c r="AD329" s="153">
        <v>2451.6280000000002</v>
      </c>
      <c r="AG329" s="3" t="s">
        <v>36</v>
      </c>
      <c r="AH329" s="164">
        <v>6.8370000000000002E-3</v>
      </c>
      <c r="AI329" s="164">
        <v>9.2977991830813407E-3</v>
      </c>
      <c r="AJ329" s="164">
        <v>9.5936744477517896E-4</v>
      </c>
    </row>
    <row r="330" spans="1:36">
      <c r="A330" s="3">
        <v>424</v>
      </c>
      <c r="B330" s="3">
        <v>7228</v>
      </c>
      <c r="C330" s="3" t="s">
        <v>499</v>
      </c>
      <c r="D330" s="3" t="s">
        <v>500</v>
      </c>
      <c r="E330" s="5" t="s">
        <v>492</v>
      </c>
      <c r="F330" s="3" t="s">
        <v>501</v>
      </c>
      <c r="G330" s="3" t="s">
        <v>502</v>
      </c>
      <c r="H330" s="3" t="s">
        <v>137</v>
      </c>
      <c r="I330" s="3" t="s">
        <v>156</v>
      </c>
      <c r="J330" s="3" t="s">
        <v>30</v>
      </c>
      <c r="K330" s="3" t="s">
        <v>224</v>
      </c>
      <c r="L330" s="3" t="s">
        <v>139</v>
      </c>
      <c r="M330" s="3" t="s">
        <v>31</v>
      </c>
      <c r="N330" s="3" t="s">
        <v>208</v>
      </c>
      <c r="O330" s="3" t="s">
        <v>141</v>
      </c>
      <c r="P330" s="3" t="s">
        <v>180</v>
      </c>
      <c r="Q330" s="3" t="s">
        <v>143</v>
      </c>
      <c r="R330" s="3" t="s">
        <v>144</v>
      </c>
      <c r="S330" s="3" t="s">
        <v>34</v>
      </c>
      <c r="T330" s="153">
        <v>1.1879999999999999</v>
      </c>
      <c r="U330" s="3" t="s">
        <v>337</v>
      </c>
      <c r="V330" s="164">
        <v>3.49E-2</v>
      </c>
      <c r="W330" s="164">
        <v>5.4760000000000003E-2</v>
      </c>
      <c r="X330" s="5" t="s">
        <v>146</v>
      </c>
      <c r="Y330" s="5" t="s">
        <v>141</v>
      </c>
      <c r="Z330" s="153">
        <v>4891529</v>
      </c>
      <c r="AA330" s="162">
        <v>1</v>
      </c>
      <c r="AB330" s="172">
        <v>98.69</v>
      </c>
      <c r="AD330" s="153">
        <v>4827.45</v>
      </c>
      <c r="AG330" s="3" t="s">
        <v>36</v>
      </c>
      <c r="AH330" s="164">
        <v>5.1729999999999996E-3</v>
      </c>
      <c r="AI330" s="164">
        <v>1.8308100264115001E-2</v>
      </c>
      <c r="AJ330" s="164">
        <v>1.88907020072366E-3</v>
      </c>
    </row>
    <row r="331" spans="1:36">
      <c r="A331" s="3">
        <v>424</v>
      </c>
      <c r="B331" s="3">
        <v>7228</v>
      </c>
      <c r="C331" s="3" t="s">
        <v>499</v>
      </c>
      <c r="D331" s="3" t="s">
        <v>500</v>
      </c>
      <c r="E331" s="5" t="s">
        <v>492</v>
      </c>
      <c r="F331" s="3" t="s">
        <v>503</v>
      </c>
      <c r="G331" s="3" t="s">
        <v>504</v>
      </c>
      <c r="H331" s="3" t="s">
        <v>137</v>
      </c>
      <c r="I331" s="3" t="s">
        <v>156</v>
      </c>
      <c r="J331" s="3" t="s">
        <v>30</v>
      </c>
      <c r="K331" s="3" t="s">
        <v>224</v>
      </c>
      <c r="L331" s="3" t="s">
        <v>139</v>
      </c>
      <c r="M331" s="3" t="s">
        <v>31</v>
      </c>
      <c r="N331" s="3" t="s">
        <v>208</v>
      </c>
      <c r="O331" s="3" t="s">
        <v>141</v>
      </c>
      <c r="P331" s="3" t="s">
        <v>180</v>
      </c>
      <c r="Q331" s="3" t="s">
        <v>143</v>
      </c>
      <c r="R331" s="3" t="s">
        <v>144</v>
      </c>
      <c r="S331" s="3" t="s">
        <v>34</v>
      </c>
      <c r="T331" s="153">
        <v>3.6960000000000002</v>
      </c>
      <c r="U331" s="3" t="s">
        <v>505</v>
      </c>
      <c r="V331" s="164">
        <v>6.7400000000000002E-2</v>
      </c>
      <c r="W331" s="164">
        <v>5.6890000000000003E-2</v>
      </c>
      <c r="X331" s="5" t="s">
        <v>146</v>
      </c>
      <c r="Y331" s="5" t="s">
        <v>141</v>
      </c>
      <c r="Z331" s="153">
        <v>2289000</v>
      </c>
      <c r="AA331" s="162">
        <v>1</v>
      </c>
      <c r="AB331" s="172">
        <v>105.95</v>
      </c>
      <c r="AD331" s="153">
        <v>2425.1950000000002</v>
      </c>
      <c r="AG331" s="3" t="s">
        <v>36</v>
      </c>
      <c r="AH331" s="164">
        <v>8.0319999999999992E-3</v>
      </c>
      <c r="AI331" s="164">
        <v>9.1975520511009407E-3</v>
      </c>
      <c r="AJ331" s="164">
        <v>9.4902372440003096E-4</v>
      </c>
    </row>
    <row r="332" spans="1:36">
      <c r="A332" s="3">
        <v>424</v>
      </c>
      <c r="B332" s="3">
        <v>7228</v>
      </c>
      <c r="C332" s="3" t="s">
        <v>608</v>
      </c>
      <c r="D332" s="3" t="s">
        <v>609</v>
      </c>
      <c r="E332" s="5" t="s">
        <v>134</v>
      </c>
      <c r="F332" s="3" t="s">
        <v>610</v>
      </c>
      <c r="G332" s="3" t="s">
        <v>611</v>
      </c>
      <c r="H332" s="3" t="s">
        <v>137</v>
      </c>
      <c r="I332" s="3" t="s">
        <v>156</v>
      </c>
      <c r="J332" s="3" t="s">
        <v>30</v>
      </c>
      <c r="K332" s="3" t="s">
        <v>30</v>
      </c>
      <c r="L332" s="3" t="s">
        <v>139</v>
      </c>
      <c r="M332" s="3" t="s">
        <v>31</v>
      </c>
      <c r="N332" s="3" t="s">
        <v>612</v>
      </c>
      <c r="O332" s="3" t="s">
        <v>141</v>
      </c>
      <c r="P332" s="3" t="s">
        <v>142</v>
      </c>
      <c r="Q332" s="3" t="s">
        <v>143</v>
      </c>
      <c r="R332" s="3" t="s">
        <v>144</v>
      </c>
      <c r="S332" s="3" t="s">
        <v>34</v>
      </c>
      <c r="T332" s="153">
        <v>2.5470000000000002</v>
      </c>
      <c r="U332" s="3" t="s">
        <v>613</v>
      </c>
      <c r="V332" s="164">
        <v>4.7300000000000002E-2</v>
      </c>
      <c r="W332" s="164">
        <v>4.7289999999999999E-2</v>
      </c>
      <c r="X332" s="5" t="s">
        <v>146</v>
      </c>
      <c r="Y332" s="5" t="s">
        <v>141</v>
      </c>
      <c r="Z332" s="153">
        <v>1757500</v>
      </c>
      <c r="AA332" s="162">
        <v>1</v>
      </c>
      <c r="AB332" s="172">
        <v>101.31</v>
      </c>
      <c r="AD332" s="153">
        <v>1780.5229999999999</v>
      </c>
      <c r="AG332" s="3" t="s">
        <v>36</v>
      </c>
      <c r="AH332" s="164">
        <v>3.738E-3</v>
      </c>
      <c r="AI332" s="164">
        <v>6.75263304342698E-3</v>
      </c>
      <c r="AJ332" s="164">
        <v>6.9675158398399095E-4</v>
      </c>
    </row>
    <row r="333" spans="1:36">
      <c r="A333" s="3">
        <v>424</v>
      </c>
      <c r="B333" s="3">
        <v>7228</v>
      </c>
      <c r="C333" s="3" t="s">
        <v>506</v>
      </c>
      <c r="D333" s="3" t="s">
        <v>507</v>
      </c>
      <c r="E333" s="5" t="s">
        <v>134</v>
      </c>
      <c r="F333" s="3" t="s">
        <v>508</v>
      </c>
      <c r="G333" s="3" t="s">
        <v>509</v>
      </c>
      <c r="H333" s="3" t="s">
        <v>137</v>
      </c>
      <c r="I333" s="3" t="s">
        <v>138</v>
      </c>
      <c r="J333" s="3" t="s">
        <v>30</v>
      </c>
      <c r="K333" s="3" t="s">
        <v>30</v>
      </c>
      <c r="L333" s="3" t="s">
        <v>139</v>
      </c>
      <c r="M333" s="3" t="s">
        <v>31</v>
      </c>
      <c r="N333" s="3" t="s">
        <v>186</v>
      </c>
      <c r="O333" s="3" t="s">
        <v>141</v>
      </c>
      <c r="P333" s="3" t="s">
        <v>510</v>
      </c>
      <c r="Q333" s="3" t="s">
        <v>164</v>
      </c>
      <c r="R333" s="3" t="s">
        <v>144</v>
      </c>
      <c r="S333" s="3" t="s">
        <v>34</v>
      </c>
      <c r="T333" s="153">
        <v>1.6930000000000001</v>
      </c>
      <c r="U333" s="3" t="s">
        <v>511</v>
      </c>
      <c r="V333" s="164">
        <v>1.77E-2</v>
      </c>
      <c r="W333" s="164">
        <v>2.93E-2</v>
      </c>
      <c r="X333" s="5" t="s">
        <v>146</v>
      </c>
      <c r="Y333" s="5" t="s">
        <v>141</v>
      </c>
      <c r="Z333" s="153">
        <v>2097000</v>
      </c>
      <c r="AA333" s="162">
        <v>1</v>
      </c>
      <c r="AB333" s="172">
        <v>116.94</v>
      </c>
      <c r="AD333" s="153">
        <v>2452.232</v>
      </c>
      <c r="AG333" s="3" t="s">
        <v>36</v>
      </c>
      <c r="AH333" s="164">
        <v>8.6200000000000003E-4</v>
      </c>
      <c r="AI333" s="164">
        <v>9.3000871978630006E-3</v>
      </c>
      <c r="AJ333" s="164">
        <v>9.5960352719118595E-4</v>
      </c>
    </row>
    <row r="334" spans="1:36">
      <c r="A334" s="3">
        <v>424</v>
      </c>
      <c r="B334" s="3">
        <v>7228</v>
      </c>
      <c r="C334" s="3" t="s">
        <v>506</v>
      </c>
      <c r="D334" s="3" t="s">
        <v>507</v>
      </c>
      <c r="E334" s="5" t="s">
        <v>134</v>
      </c>
      <c r="F334" s="3" t="s">
        <v>512</v>
      </c>
      <c r="G334" s="3" t="s">
        <v>513</v>
      </c>
      <c r="H334" s="3" t="s">
        <v>137</v>
      </c>
      <c r="I334" s="3" t="s">
        <v>138</v>
      </c>
      <c r="J334" s="3" t="s">
        <v>30</v>
      </c>
      <c r="K334" s="3" t="s">
        <v>30</v>
      </c>
      <c r="L334" s="3" t="s">
        <v>139</v>
      </c>
      <c r="M334" s="3" t="s">
        <v>31</v>
      </c>
      <c r="N334" s="3" t="s">
        <v>186</v>
      </c>
      <c r="O334" s="3" t="s">
        <v>141</v>
      </c>
      <c r="P334" s="3" t="s">
        <v>514</v>
      </c>
      <c r="Q334" s="3" t="s">
        <v>143</v>
      </c>
      <c r="R334" s="3" t="s">
        <v>144</v>
      </c>
      <c r="S334" s="3" t="s">
        <v>34</v>
      </c>
      <c r="T334" s="153">
        <v>6.157</v>
      </c>
      <c r="U334" s="3" t="s">
        <v>515</v>
      </c>
      <c r="V334" s="164">
        <v>8.9999999999999993E-3</v>
      </c>
      <c r="W334" s="164">
        <v>2.7810000000000001E-2</v>
      </c>
      <c r="X334" s="5" t="s">
        <v>146</v>
      </c>
      <c r="Y334" s="5" t="s">
        <v>141</v>
      </c>
      <c r="Z334" s="153">
        <v>2742857.14</v>
      </c>
      <c r="AA334" s="162">
        <v>1</v>
      </c>
      <c r="AB334" s="172">
        <v>104.46</v>
      </c>
      <c r="AD334" s="153">
        <v>2865.1889999999999</v>
      </c>
      <c r="AG334" s="3" t="s">
        <v>36</v>
      </c>
      <c r="AH334" s="164">
        <v>1.018E-3</v>
      </c>
      <c r="AI334" s="164">
        <v>1.0866225421613701E-2</v>
      </c>
      <c r="AJ334" s="164">
        <v>1.1212011263970799E-3</v>
      </c>
    </row>
    <row r="335" spans="1:36">
      <c r="A335" s="3">
        <v>424</v>
      </c>
      <c r="B335" s="3">
        <v>7228</v>
      </c>
      <c r="C335" s="3" t="s">
        <v>506</v>
      </c>
      <c r="D335" s="3" t="s">
        <v>507</v>
      </c>
      <c r="E335" s="5" t="s">
        <v>134</v>
      </c>
      <c r="F335" s="3" t="s">
        <v>516</v>
      </c>
      <c r="G335" s="3" t="s">
        <v>517</v>
      </c>
      <c r="H335" s="3" t="s">
        <v>137</v>
      </c>
      <c r="I335" s="3" t="s">
        <v>138</v>
      </c>
      <c r="J335" s="3" t="s">
        <v>30</v>
      </c>
      <c r="K335" s="3" t="s">
        <v>30</v>
      </c>
      <c r="L335" s="3" t="s">
        <v>139</v>
      </c>
      <c r="M335" s="3" t="s">
        <v>31</v>
      </c>
      <c r="N335" s="3" t="s">
        <v>186</v>
      </c>
      <c r="O335" s="3" t="s">
        <v>141</v>
      </c>
      <c r="P335" s="3" t="s">
        <v>514</v>
      </c>
      <c r="Q335" s="3" t="s">
        <v>143</v>
      </c>
      <c r="R335" s="3" t="s">
        <v>144</v>
      </c>
      <c r="S335" s="3" t="s">
        <v>34</v>
      </c>
      <c r="T335" s="153">
        <v>9.6180000000000003</v>
      </c>
      <c r="U335" s="3" t="s">
        <v>518</v>
      </c>
      <c r="V335" s="164">
        <v>1.6899999999999998E-2</v>
      </c>
      <c r="W335" s="164">
        <v>2.9430000000000001E-2</v>
      </c>
      <c r="X335" s="5" t="s">
        <v>146</v>
      </c>
      <c r="Y335" s="5" t="s">
        <v>141</v>
      </c>
      <c r="Z335" s="153">
        <v>2367865</v>
      </c>
      <c r="AA335" s="162">
        <v>1</v>
      </c>
      <c r="AB335" s="172">
        <v>104.3</v>
      </c>
      <c r="AD335" s="153">
        <v>2469.683</v>
      </c>
      <c r="AG335" s="3" t="s">
        <v>36</v>
      </c>
      <c r="AH335" s="164">
        <v>5.4299999999999997E-4</v>
      </c>
      <c r="AI335" s="164">
        <v>9.3662715998532008E-3</v>
      </c>
      <c r="AJ335" s="164">
        <v>9.66432579891835E-4</v>
      </c>
    </row>
    <row r="336" spans="1:36">
      <c r="A336" s="3">
        <v>424</v>
      </c>
      <c r="B336" s="3">
        <v>7228</v>
      </c>
      <c r="C336" s="3" t="s">
        <v>506</v>
      </c>
      <c r="D336" s="3" t="s">
        <v>507</v>
      </c>
      <c r="E336" s="5" t="s">
        <v>134</v>
      </c>
      <c r="F336" s="3" t="s">
        <v>519</v>
      </c>
      <c r="G336" s="3" t="s">
        <v>520</v>
      </c>
      <c r="H336" s="3" t="s">
        <v>137</v>
      </c>
      <c r="I336" s="3" t="s">
        <v>138</v>
      </c>
      <c r="J336" s="3" t="s">
        <v>30</v>
      </c>
      <c r="K336" s="3" t="s">
        <v>30</v>
      </c>
      <c r="L336" s="3" t="s">
        <v>139</v>
      </c>
      <c r="M336" s="3" t="s">
        <v>31</v>
      </c>
      <c r="N336" s="3" t="s">
        <v>186</v>
      </c>
      <c r="O336" s="3" t="s">
        <v>141</v>
      </c>
      <c r="P336" s="3" t="s">
        <v>510</v>
      </c>
      <c r="Q336" s="3" t="s">
        <v>164</v>
      </c>
      <c r="R336" s="3" t="s">
        <v>144</v>
      </c>
      <c r="S336" s="3" t="s">
        <v>34</v>
      </c>
      <c r="T336" s="153">
        <v>11.696</v>
      </c>
      <c r="U336" s="3" t="s">
        <v>521</v>
      </c>
      <c r="V336" s="164">
        <v>3.6700000000000003E-2</v>
      </c>
      <c r="W336" s="164">
        <v>3.0839999999999999E-2</v>
      </c>
      <c r="X336" s="5" t="s">
        <v>146</v>
      </c>
      <c r="Y336" s="5" t="s">
        <v>141</v>
      </c>
      <c r="Z336" s="153">
        <v>2400000</v>
      </c>
      <c r="AA336" s="162">
        <v>1</v>
      </c>
      <c r="AB336" s="172">
        <v>112.94</v>
      </c>
      <c r="AD336" s="153">
        <v>2710.56</v>
      </c>
      <c r="AG336" s="3" t="s">
        <v>36</v>
      </c>
      <c r="AH336" s="164">
        <v>4.7100000000000001E-4</v>
      </c>
      <c r="AI336" s="164">
        <v>1.0279796695826E-2</v>
      </c>
      <c r="AJ336" s="164">
        <v>1.0606921159179699E-3</v>
      </c>
    </row>
    <row r="337" spans="1:36">
      <c r="A337" s="3">
        <v>424</v>
      </c>
      <c r="B337" s="3">
        <v>7228</v>
      </c>
      <c r="C337" s="3" t="s">
        <v>522</v>
      </c>
      <c r="D337" s="3" t="s">
        <v>523</v>
      </c>
      <c r="E337" s="5" t="s">
        <v>134</v>
      </c>
      <c r="F337" s="3" t="s">
        <v>524</v>
      </c>
      <c r="G337" s="3" t="s">
        <v>525</v>
      </c>
      <c r="H337" s="3" t="s">
        <v>137</v>
      </c>
      <c r="I337" s="3" t="s">
        <v>138</v>
      </c>
      <c r="J337" s="3" t="s">
        <v>30</v>
      </c>
      <c r="K337" s="3" t="s">
        <v>30</v>
      </c>
      <c r="L337" s="3" t="s">
        <v>139</v>
      </c>
      <c r="M337" s="3" t="s">
        <v>31</v>
      </c>
      <c r="N337" s="3" t="s">
        <v>285</v>
      </c>
      <c r="O337" s="3" t="s">
        <v>141</v>
      </c>
      <c r="P337" s="3" t="s">
        <v>142</v>
      </c>
      <c r="Q337" s="3" t="s">
        <v>143</v>
      </c>
      <c r="R337" s="3" t="s">
        <v>144</v>
      </c>
      <c r="S337" s="3" t="s">
        <v>34</v>
      </c>
      <c r="T337" s="153">
        <v>10.029</v>
      </c>
      <c r="U337" s="3" t="s">
        <v>526</v>
      </c>
      <c r="V337" s="164">
        <v>3.1899999999999998E-2</v>
      </c>
      <c r="W337" s="164">
        <v>3.2599999999999997E-2</v>
      </c>
      <c r="X337" s="5" t="s">
        <v>146</v>
      </c>
      <c r="Y337" s="5" t="s">
        <v>141</v>
      </c>
      <c r="Z337" s="153">
        <v>2900000</v>
      </c>
      <c r="AA337" s="162">
        <v>1</v>
      </c>
      <c r="AB337" s="172">
        <v>100.37</v>
      </c>
      <c r="AD337" s="153">
        <v>2910.73</v>
      </c>
      <c r="AG337" s="3" t="s">
        <v>36</v>
      </c>
      <c r="AH337" s="164">
        <v>3.058E-3</v>
      </c>
      <c r="AI337" s="164">
        <v>1.10389412654366E-2</v>
      </c>
      <c r="AJ337" s="164">
        <v>1.1390223284361599E-3</v>
      </c>
    </row>
    <row r="338" spans="1:36">
      <c r="A338" s="3">
        <v>424</v>
      </c>
      <c r="B338" s="3">
        <v>7228</v>
      </c>
      <c r="C338" s="3" t="s">
        <v>522</v>
      </c>
      <c r="D338" s="3" t="s">
        <v>523</v>
      </c>
      <c r="E338" s="5" t="s">
        <v>134</v>
      </c>
      <c r="F338" s="3" t="s">
        <v>527</v>
      </c>
      <c r="G338" s="3" t="s">
        <v>528</v>
      </c>
      <c r="H338" s="3" t="s">
        <v>137</v>
      </c>
      <c r="I338" s="3" t="s">
        <v>138</v>
      </c>
      <c r="J338" s="3" t="s">
        <v>30</v>
      </c>
      <c r="K338" s="3" t="s">
        <v>30</v>
      </c>
      <c r="L338" s="3" t="s">
        <v>139</v>
      </c>
      <c r="M338" s="3" t="s">
        <v>31</v>
      </c>
      <c r="N338" s="3" t="s">
        <v>285</v>
      </c>
      <c r="O338" s="3" t="s">
        <v>141</v>
      </c>
      <c r="P338" s="3" t="s">
        <v>142</v>
      </c>
      <c r="Q338" s="3" t="s">
        <v>143</v>
      </c>
      <c r="R338" s="3" t="s">
        <v>144</v>
      </c>
      <c r="S338" s="3" t="s">
        <v>34</v>
      </c>
      <c r="T338" s="153">
        <v>3.8340000000000001</v>
      </c>
      <c r="U338" s="3" t="s">
        <v>529</v>
      </c>
      <c r="V338" s="164">
        <v>3.7100000000000001E-2</v>
      </c>
      <c r="W338" s="164">
        <v>2.98E-2</v>
      </c>
      <c r="X338" s="5" t="s">
        <v>146</v>
      </c>
      <c r="Y338" s="5" t="s">
        <v>141</v>
      </c>
      <c r="Z338" s="153">
        <v>2150000</v>
      </c>
      <c r="AA338" s="162">
        <v>1</v>
      </c>
      <c r="AB338" s="172">
        <v>112.43</v>
      </c>
      <c r="AD338" s="153">
        <v>2417.2449999999999</v>
      </c>
      <c r="AG338" s="3" t="s">
        <v>36</v>
      </c>
      <c r="AH338" s="164">
        <v>5.5970000000000004E-3</v>
      </c>
      <c r="AI338" s="164">
        <v>9.1673997860228194E-3</v>
      </c>
      <c r="AJ338" s="164">
        <v>9.4591254712758405E-4</v>
      </c>
    </row>
    <row r="339" spans="1:36">
      <c r="A339" s="3">
        <v>424</v>
      </c>
      <c r="B339" s="3">
        <v>7228</v>
      </c>
      <c r="C339" s="3" t="s">
        <v>522</v>
      </c>
      <c r="D339" s="3" t="s">
        <v>523</v>
      </c>
      <c r="E339" s="5" t="s">
        <v>134</v>
      </c>
      <c r="F339" s="3" t="s">
        <v>530</v>
      </c>
      <c r="G339" s="3" t="s">
        <v>531</v>
      </c>
      <c r="H339" s="3" t="s">
        <v>137</v>
      </c>
      <c r="I339" s="3" t="s">
        <v>138</v>
      </c>
      <c r="J339" s="3" t="s">
        <v>30</v>
      </c>
      <c r="K339" s="3" t="s">
        <v>30</v>
      </c>
      <c r="L339" s="3" t="s">
        <v>139</v>
      </c>
      <c r="M339" s="3" t="s">
        <v>31</v>
      </c>
      <c r="N339" s="3" t="s">
        <v>285</v>
      </c>
      <c r="O339" s="3" t="s">
        <v>141</v>
      </c>
      <c r="P339" s="3" t="s">
        <v>142</v>
      </c>
      <c r="Q339" s="3" t="s">
        <v>143</v>
      </c>
      <c r="R339" s="3" t="s">
        <v>144</v>
      </c>
      <c r="S339" s="3" t="s">
        <v>34</v>
      </c>
      <c r="T339" s="153">
        <v>6.2939999999999996</v>
      </c>
      <c r="U339" s="3" t="s">
        <v>532</v>
      </c>
      <c r="V339" s="164">
        <v>3.4500000000000003E-2</v>
      </c>
      <c r="W339" s="164">
        <v>2.9739999999999999E-2</v>
      </c>
      <c r="X339" s="5" t="s">
        <v>146</v>
      </c>
      <c r="Y339" s="5" t="s">
        <v>141</v>
      </c>
      <c r="Z339" s="153">
        <v>3600000</v>
      </c>
      <c r="AA339" s="162">
        <v>1</v>
      </c>
      <c r="AB339" s="172">
        <v>108.65</v>
      </c>
      <c r="AD339" s="153">
        <v>3911.4</v>
      </c>
      <c r="AG339" s="3" t="s">
        <v>36</v>
      </c>
      <c r="AH339" s="164">
        <v>2.4459999999999998E-3</v>
      </c>
      <c r="AI339" s="164">
        <v>1.48339814636289E-2</v>
      </c>
      <c r="AJ339" s="164">
        <v>1.53060295370756E-3</v>
      </c>
    </row>
    <row r="340" spans="1:36">
      <c r="A340" s="3">
        <v>424</v>
      </c>
      <c r="B340" s="3">
        <v>7228</v>
      </c>
      <c r="C340" s="3" t="s">
        <v>644</v>
      </c>
      <c r="D340" s="3" t="s">
        <v>645</v>
      </c>
      <c r="E340" s="5" t="s">
        <v>134</v>
      </c>
      <c r="F340" s="3" t="s">
        <v>646</v>
      </c>
      <c r="G340" s="3" t="s">
        <v>647</v>
      </c>
      <c r="H340" s="3" t="s">
        <v>137</v>
      </c>
      <c r="I340" s="3" t="s">
        <v>156</v>
      </c>
      <c r="J340" s="3" t="s">
        <v>30</v>
      </c>
      <c r="K340" s="3" t="s">
        <v>30</v>
      </c>
      <c r="L340" s="3" t="s">
        <v>139</v>
      </c>
      <c r="M340" s="3" t="s">
        <v>31</v>
      </c>
      <c r="N340" s="3" t="s">
        <v>612</v>
      </c>
      <c r="O340" s="3" t="s">
        <v>141</v>
      </c>
      <c r="P340" s="3" t="s">
        <v>142</v>
      </c>
      <c r="Q340" s="3" t="s">
        <v>143</v>
      </c>
      <c r="R340" s="3" t="s">
        <v>144</v>
      </c>
      <c r="S340" s="3" t="s">
        <v>34</v>
      </c>
      <c r="T340" s="153">
        <v>1.357</v>
      </c>
      <c r="U340" s="3" t="s">
        <v>648</v>
      </c>
      <c r="V340" s="164">
        <v>0.04</v>
      </c>
      <c r="W340" s="164">
        <v>4.7350000000000003E-2</v>
      </c>
      <c r="X340" s="5" t="s">
        <v>146</v>
      </c>
      <c r="Y340" s="5" t="s">
        <v>141</v>
      </c>
      <c r="Z340" s="153">
        <v>365724.6</v>
      </c>
      <c r="AA340" s="162">
        <v>1</v>
      </c>
      <c r="AB340" s="172">
        <v>100.15</v>
      </c>
      <c r="AD340" s="153">
        <v>366.27300000000002</v>
      </c>
      <c r="AG340" s="3" t="s">
        <v>36</v>
      </c>
      <c r="AH340" s="164">
        <v>7.1599999999999995E-4</v>
      </c>
      <c r="AI340" s="164">
        <v>1.3890907769849401E-3</v>
      </c>
      <c r="AJ340" s="164">
        <v>1.4332945281306499E-4</v>
      </c>
    </row>
    <row r="341" spans="1:36">
      <c r="A341" s="3">
        <v>424</v>
      </c>
      <c r="B341" s="3">
        <v>7228</v>
      </c>
      <c r="C341" s="3" t="s">
        <v>533</v>
      </c>
      <c r="D341" s="3" t="s">
        <v>534</v>
      </c>
      <c r="E341" s="5" t="s">
        <v>134</v>
      </c>
      <c r="F341" s="3" t="s">
        <v>535</v>
      </c>
      <c r="G341" s="3" t="s">
        <v>536</v>
      </c>
      <c r="H341" s="3" t="s">
        <v>137</v>
      </c>
      <c r="I341" s="3" t="s">
        <v>156</v>
      </c>
      <c r="J341" s="3" t="s">
        <v>30</v>
      </c>
      <c r="K341" s="3" t="s">
        <v>30</v>
      </c>
      <c r="L341" s="3" t="s">
        <v>139</v>
      </c>
      <c r="M341" s="3" t="s">
        <v>31</v>
      </c>
      <c r="N341" s="3" t="s">
        <v>208</v>
      </c>
      <c r="O341" s="3" t="s">
        <v>141</v>
      </c>
      <c r="P341" s="3" t="s">
        <v>171</v>
      </c>
      <c r="Q341" s="3" t="s">
        <v>164</v>
      </c>
      <c r="R341" s="3" t="s">
        <v>144</v>
      </c>
      <c r="S341" s="3" t="s">
        <v>34</v>
      </c>
      <c r="T341" s="153">
        <v>5.5339999999999998</v>
      </c>
      <c r="U341" s="3" t="s">
        <v>330</v>
      </c>
      <c r="V341" s="164">
        <v>5.5899999999999998E-2</v>
      </c>
      <c r="W341" s="164">
        <v>5.425E-2</v>
      </c>
      <c r="X341" s="5" t="s">
        <v>146</v>
      </c>
      <c r="Y341" s="5" t="s">
        <v>141</v>
      </c>
      <c r="Z341" s="153">
        <v>2103000</v>
      </c>
      <c r="AA341" s="162">
        <v>1</v>
      </c>
      <c r="AB341" s="172">
        <v>101.35</v>
      </c>
      <c r="AD341" s="153">
        <v>2131.39</v>
      </c>
      <c r="AG341" s="3" t="s">
        <v>36</v>
      </c>
      <c r="AH341" s="164">
        <v>9.4020000000000006E-3</v>
      </c>
      <c r="AI341" s="164">
        <v>8.0832968166781108E-3</v>
      </c>
      <c r="AJ341" s="164">
        <v>8.3405240957310205E-4</v>
      </c>
    </row>
    <row r="342" spans="1:36">
      <c r="A342" s="3">
        <v>424</v>
      </c>
      <c r="B342" s="3">
        <v>7228</v>
      </c>
      <c r="C342" s="3" t="s">
        <v>533</v>
      </c>
      <c r="D342" s="3" t="s">
        <v>534</v>
      </c>
      <c r="E342" s="5" t="s">
        <v>134</v>
      </c>
      <c r="F342" s="3" t="s">
        <v>537</v>
      </c>
      <c r="G342" s="3" t="s">
        <v>538</v>
      </c>
      <c r="H342" s="3" t="s">
        <v>137</v>
      </c>
      <c r="I342" s="3" t="s">
        <v>156</v>
      </c>
      <c r="J342" s="3" t="s">
        <v>30</v>
      </c>
      <c r="K342" s="3" t="s">
        <v>30</v>
      </c>
      <c r="L342" s="3" t="s">
        <v>139</v>
      </c>
      <c r="M342" s="3" t="s">
        <v>31</v>
      </c>
      <c r="N342" s="3" t="s">
        <v>208</v>
      </c>
      <c r="O342" s="3" t="s">
        <v>141</v>
      </c>
      <c r="P342" s="3" t="s">
        <v>171</v>
      </c>
      <c r="Q342" s="3" t="s">
        <v>164</v>
      </c>
      <c r="R342" s="3" t="s">
        <v>144</v>
      </c>
      <c r="S342" s="3" t="s">
        <v>34</v>
      </c>
      <c r="T342" s="153">
        <v>1.37</v>
      </c>
      <c r="U342" s="3" t="s">
        <v>539</v>
      </c>
      <c r="V342" s="164">
        <v>2.6499999999999999E-2</v>
      </c>
      <c r="W342" s="164">
        <v>4.9149999999999999E-2</v>
      </c>
      <c r="X342" s="5" t="s">
        <v>146</v>
      </c>
      <c r="Y342" s="5" t="s">
        <v>141</v>
      </c>
      <c r="Z342" s="153">
        <v>1268571.42</v>
      </c>
      <c r="AA342" s="162">
        <v>1</v>
      </c>
      <c r="AB342" s="172">
        <v>97.33</v>
      </c>
      <c r="AD342" s="153">
        <v>1234.701</v>
      </c>
      <c r="AG342" s="3" t="s">
        <v>36</v>
      </c>
      <c r="AH342" s="164">
        <v>3.0959999999999998E-3</v>
      </c>
      <c r="AI342" s="164">
        <v>4.6826009270209898E-3</v>
      </c>
      <c r="AJ342" s="164">
        <v>4.8316110057877498E-4</v>
      </c>
    </row>
    <row r="343" spans="1:36">
      <c r="A343" s="3">
        <v>424</v>
      </c>
      <c r="B343" s="3">
        <v>7228</v>
      </c>
      <c r="C343" s="3" t="s">
        <v>540</v>
      </c>
      <c r="D343" s="3" t="s">
        <v>541</v>
      </c>
      <c r="E343" s="5" t="s">
        <v>134</v>
      </c>
      <c r="F343" s="3" t="s">
        <v>542</v>
      </c>
      <c r="G343" s="3" t="s">
        <v>543</v>
      </c>
      <c r="H343" s="3" t="s">
        <v>137</v>
      </c>
      <c r="I343" s="3" t="s">
        <v>156</v>
      </c>
      <c r="J343" s="3" t="s">
        <v>30</v>
      </c>
      <c r="K343" s="3" t="s">
        <v>30</v>
      </c>
      <c r="L343" s="3" t="s">
        <v>139</v>
      </c>
      <c r="M343" s="3" t="s">
        <v>31</v>
      </c>
      <c r="N343" s="3" t="s">
        <v>544</v>
      </c>
      <c r="O343" s="3" t="s">
        <v>141</v>
      </c>
      <c r="P343" s="3" t="s">
        <v>171</v>
      </c>
      <c r="Q343" s="3" t="s">
        <v>164</v>
      </c>
      <c r="R343" s="3" t="s">
        <v>144</v>
      </c>
      <c r="S343" s="3" t="s">
        <v>34</v>
      </c>
      <c r="T343" s="153">
        <v>3.734</v>
      </c>
      <c r="U343" s="3" t="s">
        <v>545</v>
      </c>
      <c r="V343" s="164">
        <v>6.3299999999999995E-2</v>
      </c>
      <c r="W343" s="164">
        <v>5.2850000000000001E-2</v>
      </c>
      <c r="X343" s="5" t="s">
        <v>146</v>
      </c>
      <c r="Y343" s="5" t="s">
        <v>141</v>
      </c>
      <c r="Z343" s="153">
        <v>2200000</v>
      </c>
      <c r="AA343" s="162">
        <v>1</v>
      </c>
      <c r="AB343" s="172">
        <v>104.74</v>
      </c>
      <c r="AD343" s="153">
        <v>2304.2800000000002</v>
      </c>
      <c r="AG343" s="3" t="s">
        <v>36</v>
      </c>
      <c r="AH343" s="164">
        <v>3.349E-3</v>
      </c>
      <c r="AI343" s="164">
        <v>8.7389801112161408E-3</v>
      </c>
      <c r="AJ343" s="164">
        <v>9.0170725933661996E-4</v>
      </c>
    </row>
    <row r="344" spans="1:36">
      <c r="A344" s="3">
        <v>424</v>
      </c>
      <c r="B344" s="3">
        <v>7228</v>
      </c>
      <c r="C344" s="3" t="s">
        <v>546</v>
      </c>
      <c r="D344" s="3" t="s">
        <v>547</v>
      </c>
      <c r="E344" s="5" t="s">
        <v>134</v>
      </c>
      <c r="F344" s="3" t="s">
        <v>548</v>
      </c>
      <c r="G344" s="3" t="s">
        <v>549</v>
      </c>
      <c r="H344" s="3" t="s">
        <v>137</v>
      </c>
      <c r="I344" s="3" t="s">
        <v>138</v>
      </c>
      <c r="J344" s="3" t="s">
        <v>30</v>
      </c>
      <c r="K344" s="3" t="s">
        <v>30</v>
      </c>
      <c r="L344" s="3" t="s">
        <v>139</v>
      </c>
      <c r="M344" s="3" t="s">
        <v>31</v>
      </c>
      <c r="N344" s="3" t="s">
        <v>199</v>
      </c>
      <c r="O344" s="3" t="s">
        <v>141</v>
      </c>
      <c r="P344" s="3" t="s">
        <v>481</v>
      </c>
      <c r="Q344" s="3" t="s">
        <v>481</v>
      </c>
      <c r="R344" s="3" t="s">
        <v>481</v>
      </c>
      <c r="S344" s="3" t="s">
        <v>34</v>
      </c>
      <c r="T344" s="153">
        <v>6.4660000000000002</v>
      </c>
      <c r="U344" s="3" t="s">
        <v>550</v>
      </c>
      <c r="V344" s="164">
        <v>4.1000000000000002E-2</v>
      </c>
      <c r="W344" s="164">
        <v>3.7850000000000002E-2</v>
      </c>
      <c r="X344" s="5" t="s">
        <v>146</v>
      </c>
      <c r="Y344" s="5" t="s">
        <v>141</v>
      </c>
      <c r="Z344" s="153">
        <v>2390000</v>
      </c>
      <c r="AA344" s="162">
        <v>1</v>
      </c>
      <c r="AB344" s="172">
        <v>104.73</v>
      </c>
      <c r="AD344" s="153">
        <v>2503.047</v>
      </c>
      <c r="AG344" s="3" t="s">
        <v>36</v>
      </c>
      <c r="AH344" s="164">
        <v>8.5360000000000002E-3</v>
      </c>
      <c r="AI344" s="164">
        <v>9.4928038044158006E-3</v>
      </c>
      <c r="AJ344" s="164">
        <v>9.7948845208080198E-4</v>
      </c>
    </row>
    <row r="345" spans="1:36">
      <c r="A345" s="3">
        <v>424</v>
      </c>
      <c r="B345" s="3">
        <v>7228</v>
      </c>
      <c r="C345" s="3" t="s">
        <v>551</v>
      </c>
      <c r="D345" s="3" t="s">
        <v>552</v>
      </c>
      <c r="E345" s="5" t="s">
        <v>134</v>
      </c>
      <c r="F345" s="3" t="s">
        <v>553</v>
      </c>
      <c r="G345" s="3" t="s">
        <v>554</v>
      </c>
      <c r="H345" s="3" t="s">
        <v>137</v>
      </c>
      <c r="I345" s="3" t="s">
        <v>156</v>
      </c>
      <c r="J345" s="3" t="s">
        <v>30</v>
      </c>
      <c r="K345" s="3" t="s">
        <v>30</v>
      </c>
      <c r="L345" s="3" t="s">
        <v>139</v>
      </c>
      <c r="M345" s="3" t="s">
        <v>31</v>
      </c>
      <c r="N345" s="3" t="s">
        <v>555</v>
      </c>
      <c r="O345" s="3" t="s">
        <v>141</v>
      </c>
      <c r="P345" s="3" t="s">
        <v>142</v>
      </c>
      <c r="Q345" s="3" t="s">
        <v>143</v>
      </c>
      <c r="R345" s="3" t="s">
        <v>144</v>
      </c>
      <c r="S345" s="3" t="s">
        <v>34</v>
      </c>
      <c r="T345" s="153">
        <v>3.399</v>
      </c>
      <c r="U345" s="3" t="s">
        <v>556</v>
      </c>
      <c r="V345" s="164">
        <v>5.04E-2</v>
      </c>
      <c r="W345" s="164">
        <v>4.922E-2</v>
      </c>
      <c r="X345" s="5" t="s">
        <v>146</v>
      </c>
      <c r="Y345" s="5" t="s">
        <v>141</v>
      </c>
      <c r="Z345" s="153">
        <v>3000000</v>
      </c>
      <c r="AA345" s="162">
        <v>1</v>
      </c>
      <c r="AB345" s="172">
        <v>101.51</v>
      </c>
      <c r="AD345" s="153">
        <v>3045.3</v>
      </c>
      <c r="AG345" s="3" t="s">
        <v>36</v>
      </c>
      <c r="AH345" s="164">
        <v>6.0600000000000003E-3</v>
      </c>
      <c r="AI345" s="164">
        <v>1.1549297885971499E-2</v>
      </c>
      <c r="AJ345" s="164">
        <v>1.19168205116471E-3</v>
      </c>
    </row>
    <row r="346" spans="1:36">
      <c r="A346" s="3">
        <v>424</v>
      </c>
      <c r="B346" s="3">
        <v>7228</v>
      </c>
      <c r="C346" s="3" t="s">
        <v>614</v>
      </c>
      <c r="D346" s="3" t="s">
        <v>615</v>
      </c>
      <c r="E346" s="5" t="s">
        <v>134</v>
      </c>
      <c r="F346" s="3" t="s">
        <v>616</v>
      </c>
      <c r="G346" s="3" t="s">
        <v>617</v>
      </c>
      <c r="H346" s="3" t="s">
        <v>137</v>
      </c>
      <c r="I346" s="3" t="s">
        <v>138</v>
      </c>
      <c r="J346" s="3" t="s">
        <v>30</v>
      </c>
      <c r="K346" s="3" t="s">
        <v>30</v>
      </c>
      <c r="L346" s="3" t="s">
        <v>139</v>
      </c>
      <c r="M346" s="3" t="s">
        <v>31</v>
      </c>
      <c r="N346" s="3" t="s">
        <v>186</v>
      </c>
      <c r="O346" s="3" t="s">
        <v>141</v>
      </c>
      <c r="P346" s="3" t="s">
        <v>180</v>
      </c>
      <c r="Q346" s="3" t="s">
        <v>143</v>
      </c>
      <c r="R346" s="3" t="s">
        <v>144</v>
      </c>
      <c r="S346" s="3" t="s">
        <v>34</v>
      </c>
      <c r="T346" s="153">
        <v>5.8140000000000001</v>
      </c>
      <c r="U346" s="3" t="s">
        <v>618</v>
      </c>
      <c r="V346" s="164">
        <v>2.5000000000000001E-2</v>
      </c>
      <c r="W346" s="164">
        <v>2.9170000000000001E-2</v>
      </c>
      <c r="X346" s="5" t="s">
        <v>146</v>
      </c>
      <c r="Y346" s="5" t="s">
        <v>141</v>
      </c>
      <c r="Z346" s="153">
        <v>1306000</v>
      </c>
      <c r="AA346" s="162">
        <v>1</v>
      </c>
      <c r="AB346" s="172">
        <v>116.08</v>
      </c>
      <c r="AD346" s="153">
        <v>1516.0050000000001</v>
      </c>
      <c r="AG346" s="3" t="s">
        <v>36</v>
      </c>
      <c r="AH346" s="164">
        <v>9.68E-4</v>
      </c>
      <c r="AI346" s="164">
        <v>5.7494470271443601E-3</v>
      </c>
      <c r="AJ346" s="164">
        <v>5.9324063627213804E-4</v>
      </c>
    </row>
    <row r="347" spans="1:36">
      <c r="A347" s="3">
        <v>424</v>
      </c>
      <c r="B347" s="3">
        <v>7228</v>
      </c>
      <c r="C347" s="3" t="s">
        <v>561</v>
      </c>
      <c r="D347" s="3" t="s">
        <v>562</v>
      </c>
      <c r="E347" s="5" t="s">
        <v>492</v>
      </c>
      <c r="F347" s="3" t="s">
        <v>563</v>
      </c>
      <c r="G347" s="3" t="s">
        <v>564</v>
      </c>
      <c r="H347" s="3" t="s">
        <v>137</v>
      </c>
      <c r="I347" s="3" t="s">
        <v>565</v>
      </c>
      <c r="J347" s="3" t="s">
        <v>30</v>
      </c>
      <c r="K347" s="3" t="s">
        <v>566</v>
      </c>
      <c r="L347" s="3" t="s">
        <v>139</v>
      </c>
      <c r="M347" s="3" t="s">
        <v>31</v>
      </c>
      <c r="N347" s="3" t="s">
        <v>208</v>
      </c>
      <c r="O347" s="3" t="s">
        <v>141</v>
      </c>
      <c r="P347" s="3" t="s">
        <v>271</v>
      </c>
      <c r="Q347" s="3" t="s">
        <v>164</v>
      </c>
      <c r="R347" s="3" t="s">
        <v>144</v>
      </c>
      <c r="S347" s="3" t="s">
        <v>34</v>
      </c>
      <c r="T347" s="153">
        <v>2.3410000000000002</v>
      </c>
      <c r="U347" s="3" t="s">
        <v>567</v>
      </c>
      <c r="V347" s="164">
        <v>4.2999999999999997E-2</v>
      </c>
      <c r="W347" s="164">
        <v>7.3359999999999995E-2</v>
      </c>
      <c r="X347" s="5" t="s">
        <v>146</v>
      </c>
      <c r="Y347" s="5" t="s">
        <v>141</v>
      </c>
      <c r="Z347" s="153">
        <v>0.76</v>
      </c>
      <c r="AA347" s="162">
        <v>1</v>
      </c>
      <c r="AB347" s="172">
        <v>88.55</v>
      </c>
      <c r="AD347" s="153">
        <v>1E-3</v>
      </c>
      <c r="AG347" s="3" t="s">
        <v>36</v>
      </c>
      <c r="AH347" s="164">
        <v>0</v>
      </c>
      <c r="AI347" s="164">
        <v>2.5522761275740101E-9</v>
      </c>
      <c r="AJ347" s="164">
        <v>2.63349485040168E-10</v>
      </c>
    </row>
    <row r="348" spans="1:36">
      <c r="A348" s="3">
        <v>424</v>
      </c>
      <c r="B348" s="3">
        <v>7228</v>
      </c>
      <c r="C348" s="3" t="s">
        <v>619</v>
      </c>
      <c r="D348" s="3" t="s">
        <v>620</v>
      </c>
      <c r="E348" s="5" t="s">
        <v>134</v>
      </c>
      <c r="F348" s="3" t="s">
        <v>621</v>
      </c>
      <c r="G348" s="3" t="s">
        <v>622</v>
      </c>
      <c r="H348" s="3" t="s">
        <v>137</v>
      </c>
      <c r="I348" s="3" t="s">
        <v>156</v>
      </c>
      <c r="J348" s="3" t="s">
        <v>30</v>
      </c>
      <c r="K348" s="3" t="s">
        <v>30</v>
      </c>
      <c r="L348" s="3" t="s">
        <v>139</v>
      </c>
      <c r="M348" s="3" t="s">
        <v>31</v>
      </c>
      <c r="N348" s="3" t="s">
        <v>555</v>
      </c>
      <c r="O348" s="3" t="s">
        <v>141</v>
      </c>
      <c r="P348" s="3" t="s">
        <v>163</v>
      </c>
      <c r="Q348" s="3" t="s">
        <v>164</v>
      </c>
      <c r="R348" s="3" t="s">
        <v>144</v>
      </c>
      <c r="S348" s="3" t="s">
        <v>34</v>
      </c>
      <c r="T348" s="153">
        <v>4.532</v>
      </c>
      <c r="U348" s="3" t="s">
        <v>295</v>
      </c>
      <c r="V348" s="164">
        <v>5.8500000000000003E-2</v>
      </c>
      <c r="W348" s="164">
        <v>4.8800000000000003E-2</v>
      </c>
      <c r="X348" s="5" t="s">
        <v>146</v>
      </c>
      <c r="Y348" s="5" t="s">
        <v>141</v>
      </c>
      <c r="Z348" s="153">
        <v>1907000</v>
      </c>
      <c r="AA348" s="162">
        <v>1</v>
      </c>
      <c r="AB348" s="172">
        <v>105.82</v>
      </c>
      <c r="AD348" s="153">
        <v>2017.9870000000001</v>
      </c>
      <c r="AG348" s="3" t="s">
        <v>36</v>
      </c>
      <c r="AH348" s="164">
        <v>1.2303E-2</v>
      </c>
      <c r="AI348" s="164">
        <v>7.65321564796152E-3</v>
      </c>
      <c r="AJ348" s="164">
        <v>7.8967568517273603E-4</v>
      </c>
    </row>
    <row r="349" spans="1:36">
      <c r="A349" s="3">
        <v>424</v>
      </c>
      <c r="B349" s="3">
        <v>7228</v>
      </c>
      <c r="C349" s="3" t="s">
        <v>649</v>
      </c>
      <c r="D349" s="3" t="s">
        <v>650</v>
      </c>
      <c r="E349" s="5" t="s">
        <v>651</v>
      </c>
      <c r="F349" s="3" t="s">
        <v>652</v>
      </c>
      <c r="G349" s="3" t="s">
        <v>653</v>
      </c>
      <c r="H349" s="3" t="s">
        <v>137</v>
      </c>
      <c r="I349" s="3" t="s">
        <v>565</v>
      </c>
      <c r="J349" s="3" t="s">
        <v>572</v>
      </c>
      <c r="K349" s="3" t="s">
        <v>654</v>
      </c>
      <c r="L349" s="3" t="s">
        <v>139</v>
      </c>
      <c r="M349" s="3" t="s">
        <v>498</v>
      </c>
      <c r="N349" s="3" t="s">
        <v>655</v>
      </c>
      <c r="O349" s="3" t="s">
        <v>141</v>
      </c>
      <c r="P349" s="3" t="s">
        <v>656</v>
      </c>
      <c r="Q349" s="3" t="s">
        <v>575</v>
      </c>
      <c r="R349" s="3" t="s">
        <v>144</v>
      </c>
      <c r="S349" s="3" t="s">
        <v>576</v>
      </c>
      <c r="T349" s="153">
        <v>1.6830000000000001</v>
      </c>
      <c r="U349" s="3" t="s">
        <v>657</v>
      </c>
      <c r="V349" s="164">
        <v>4.4999999999999998E-2</v>
      </c>
      <c r="W349" s="164">
        <v>5.5919999999999997E-2</v>
      </c>
      <c r="X349" s="5" t="s">
        <v>146</v>
      </c>
      <c r="Y349" s="5" t="s">
        <v>141</v>
      </c>
      <c r="Z349" s="153">
        <v>300000</v>
      </c>
      <c r="AA349" s="162">
        <v>3.8807</v>
      </c>
      <c r="AB349" s="172">
        <v>101.34099999999999</v>
      </c>
      <c r="AD349" s="153">
        <v>1179.826</v>
      </c>
      <c r="AG349" s="3" t="s">
        <v>36</v>
      </c>
      <c r="AH349" s="164">
        <v>5.9999999999999995E-4</v>
      </c>
      <c r="AI349" s="164">
        <v>4.4744874776746499E-3</v>
      </c>
      <c r="AJ349" s="164">
        <v>4.6168749546090398E-4</v>
      </c>
    </row>
    <row r="350" spans="1:36">
      <c r="A350" s="3">
        <v>424</v>
      </c>
      <c r="B350" s="3">
        <v>7228</v>
      </c>
      <c r="C350" s="3" t="s">
        <v>658</v>
      </c>
      <c r="D350" s="3" t="s">
        <v>659</v>
      </c>
      <c r="E350" s="5" t="s">
        <v>651</v>
      </c>
      <c r="F350" s="3" t="s">
        <v>660</v>
      </c>
      <c r="G350" s="3" t="s">
        <v>661</v>
      </c>
      <c r="H350" s="3" t="s">
        <v>137</v>
      </c>
      <c r="I350" s="3" t="s">
        <v>565</v>
      </c>
      <c r="J350" s="3" t="s">
        <v>572</v>
      </c>
      <c r="K350" s="3" t="s">
        <v>662</v>
      </c>
      <c r="L350" s="3" t="s">
        <v>139</v>
      </c>
      <c r="M350" s="3" t="s">
        <v>498</v>
      </c>
      <c r="N350" s="3" t="s">
        <v>663</v>
      </c>
      <c r="O350" s="3" t="s">
        <v>141</v>
      </c>
      <c r="P350" s="3" t="s">
        <v>471</v>
      </c>
      <c r="Q350" s="3" t="s">
        <v>575</v>
      </c>
      <c r="R350" s="3" t="s">
        <v>144</v>
      </c>
      <c r="S350" s="3" t="s">
        <v>664</v>
      </c>
      <c r="T350" s="153">
        <v>0.55200000000000005</v>
      </c>
      <c r="U350" s="3" t="s">
        <v>665</v>
      </c>
      <c r="V350" s="164">
        <v>3.6249999999999998E-2</v>
      </c>
      <c r="W350" s="164">
        <v>4.4510000000000001E-2</v>
      </c>
      <c r="X350" s="5" t="s">
        <v>146</v>
      </c>
      <c r="Y350" s="5" t="s">
        <v>141</v>
      </c>
      <c r="Z350" s="153">
        <v>270000</v>
      </c>
      <c r="AA350" s="162">
        <v>3.306</v>
      </c>
      <c r="AB350" s="172">
        <v>101.108</v>
      </c>
      <c r="AD350" s="153">
        <v>902.50699999999995</v>
      </c>
      <c r="AG350" s="3" t="s">
        <v>36</v>
      </c>
      <c r="AH350" s="164">
        <v>2.9999999999999997E-4</v>
      </c>
      <c r="AI350" s="164">
        <v>3.42275580410792E-3</v>
      </c>
      <c r="AJ350" s="164">
        <v>3.53167499665034E-4</v>
      </c>
    </row>
    <row r="351" spans="1:36">
      <c r="A351" s="3">
        <v>424</v>
      </c>
      <c r="B351" s="3">
        <v>7228</v>
      </c>
      <c r="C351" s="3" t="s">
        <v>568</v>
      </c>
      <c r="D351" s="3" t="s">
        <v>569</v>
      </c>
      <c r="E351" s="5" t="s">
        <v>134</v>
      </c>
      <c r="F351" s="3" t="s">
        <v>570</v>
      </c>
      <c r="G351" s="3" t="s">
        <v>571</v>
      </c>
      <c r="H351" s="3" t="s">
        <v>137</v>
      </c>
      <c r="I351" s="3" t="s">
        <v>565</v>
      </c>
      <c r="J351" s="3" t="s">
        <v>572</v>
      </c>
      <c r="K351" s="3" t="s">
        <v>224</v>
      </c>
      <c r="L351" s="3" t="s">
        <v>139</v>
      </c>
      <c r="M351" s="3" t="s">
        <v>498</v>
      </c>
      <c r="N351" s="3" t="s">
        <v>573</v>
      </c>
      <c r="O351" s="3" t="s">
        <v>141</v>
      </c>
      <c r="P351" s="3" t="s">
        <v>574</v>
      </c>
      <c r="Q351" s="3" t="s">
        <v>575</v>
      </c>
      <c r="R351" s="3" t="s">
        <v>144</v>
      </c>
      <c r="S351" s="3" t="s">
        <v>576</v>
      </c>
      <c r="T351" s="153">
        <v>3.94</v>
      </c>
      <c r="U351" s="3" t="s">
        <v>577</v>
      </c>
      <c r="V351" s="164">
        <v>4.3749999999999997E-2</v>
      </c>
      <c r="W351" s="164">
        <v>3.8309999999999997E-2</v>
      </c>
      <c r="X351" s="5" t="s">
        <v>146</v>
      </c>
      <c r="Y351" s="5" t="s">
        <v>141</v>
      </c>
      <c r="Z351" s="153">
        <v>640000</v>
      </c>
      <c r="AA351" s="162">
        <v>3.8807</v>
      </c>
      <c r="AB351" s="172">
        <v>104.277</v>
      </c>
      <c r="AD351" s="153">
        <v>2589.8710000000001</v>
      </c>
      <c r="AG351" s="3" t="s">
        <v>36</v>
      </c>
      <c r="AH351" s="164">
        <v>4.2700000000000002E-4</v>
      </c>
      <c r="AI351" s="164">
        <v>9.8220842929410603E-3</v>
      </c>
      <c r="AJ351" s="164">
        <v>1.0134643397796501E-3</v>
      </c>
    </row>
    <row r="352" spans="1:36">
      <c r="A352" s="3">
        <v>424</v>
      </c>
      <c r="B352" s="3">
        <v>7229</v>
      </c>
      <c r="C352" s="3" t="s">
        <v>132</v>
      </c>
      <c r="D352" s="3" t="s">
        <v>133</v>
      </c>
      <c r="E352" s="5" t="s">
        <v>134</v>
      </c>
      <c r="F352" s="3" t="s">
        <v>135</v>
      </c>
      <c r="G352" s="3" t="s">
        <v>136</v>
      </c>
      <c r="H352" s="3" t="s">
        <v>137</v>
      </c>
      <c r="I352" s="3" t="s">
        <v>138</v>
      </c>
      <c r="J352" s="3" t="s">
        <v>30</v>
      </c>
      <c r="K352" s="3" t="s">
        <v>30</v>
      </c>
      <c r="L352" s="3" t="s">
        <v>139</v>
      </c>
      <c r="M352" s="3" t="s">
        <v>31</v>
      </c>
      <c r="N352" s="3" t="s">
        <v>140</v>
      </c>
      <c r="O352" s="3" t="s">
        <v>141</v>
      </c>
      <c r="P352" s="3" t="s">
        <v>142</v>
      </c>
      <c r="Q352" s="3" t="s">
        <v>143</v>
      </c>
      <c r="R352" s="3" t="s">
        <v>144</v>
      </c>
      <c r="S352" s="3" t="s">
        <v>34</v>
      </c>
      <c r="T352" s="153">
        <v>4.7809999999999997</v>
      </c>
      <c r="U352" s="3" t="s">
        <v>145</v>
      </c>
      <c r="V352" s="164">
        <v>5.1499999999999997E-2</v>
      </c>
      <c r="W352" s="164">
        <v>4.1050000000000003E-2</v>
      </c>
      <c r="X352" s="5" t="s">
        <v>146</v>
      </c>
      <c r="Y352" s="5" t="s">
        <v>141</v>
      </c>
      <c r="Z352" s="153">
        <v>0.26</v>
      </c>
      <c r="AA352" s="162">
        <v>1</v>
      </c>
      <c r="AB352" s="172">
        <v>153.07</v>
      </c>
      <c r="AD352" s="153">
        <v>0</v>
      </c>
      <c r="AG352" s="3" t="s">
        <v>36</v>
      </c>
      <c r="AH352" s="164">
        <v>0</v>
      </c>
      <c r="AI352" s="164">
        <v>1.6192174035236901E-8</v>
      </c>
      <c r="AJ352" s="164">
        <v>2.6229331769943804E-9</v>
      </c>
    </row>
    <row r="353" spans="1:36">
      <c r="A353" s="3">
        <v>424</v>
      </c>
      <c r="B353" s="3">
        <v>7229</v>
      </c>
      <c r="C353" s="3" t="s">
        <v>147</v>
      </c>
      <c r="D353" s="3" t="s">
        <v>148</v>
      </c>
      <c r="E353" s="5" t="s">
        <v>134</v>
      </c>
      <c r="F353" s="3" t="s">
        <v>149</v>
      </c>
      <c r="G353" s="3" t="s">
        <v>150</v>
      </c>
      <c r="H353" s="3" t="s">
        <v>137</v>
      </c>
      <c r="I353" s="3" t="s">
        <v>138</v>
      </c>
      <c r="J353" s="3" t="s">
        <v>30</v>
      </c>
      <c r="K353" s="3" t="s">
        <v>30</v>
      </c>
      <c r="L353" s="3" t="s">
        <v>139</v>
      </c>
      <c r="M353" s="3" t="s">
        <v>31</v>
      </c>
      <c r="N353" s="3" t="s">
        <v>151</v>
      </c>
      <c r="O353" s="3" t="s">
        <v>141</v>
      </c>
      <c r="P353" s="3" t="s">
        <v>152</v>
      </c>
      <c r="Q353" s="3" t="s">
        <v>143</v>
      </c>
      <c r="R353" s="3" t="s">
        <v>144</v>
      </c>
      <c r="S353" s="3" t="s">
        <v>34</v>
      </c>
      <c r="T353" s="153">
        <v>2.3959999999999999</v>
      </c>
      <c r="U353" s="3" t="s">
        <v>153</v>
      </c>
      <c r="V353" s="164">
        <v>2.75E-2</v>
      </c>
      <c r="W353" s="164">
        <v>3.0259999999999999E-2</v>
      </c>
      <c r="X353" s="5" t="s">
        <v>146</v>
      </c>
      <c r="Y353" s="5" t="s">
        <v>141</v>
      </c>
      <c r="Z353" s="153">
        <v>168352.32</v>
      </c>
      <c r="AA353" s="162">
        <v>1</v>
      </c>
      <c r="AB353" s="172">
        <v>117.38</v>
      </c>
      <c r="AD353" s="153">
        <v>197.61199999999999</v>
      </c>
      <c r="AG353" s="3" t="s">
        <v>36</v>
      </c>
      <c r="AH353" s="164">
        <v>2.2599999999999999E-4</v>
      </c>
      <c r="AI353" s="164">
        <v>8.03997954157867E-3</v>
      </c>
      <c r="AJ353" s="164">
        <v>1.30237786699124E-3</v>
      </c>
    </row>
    <row r="354" spans="1:36">
      <c r="A354" s="3">
        <v>424</v>
      </c>
      <c r="B354" s="3">
        <v>7229</v>
      </c>
      <c r="C354" s="3" t="s">
        <v>147</v>
      </c>
      <c r="D354" s="3" t="s">
        <v>148</v>
      </c>
      <c r="E354" s="5" t="s">
        <v>134</v>
      </c>
      <c r="F354" s="3" t="s">
        <v>154</v>
      </c>
      <c r="G354" s="3" t="s">
        <v>155</v>
      </c>
      <c r="H354" s="3" t="s">
        <v>137</v>
      </c>
      <c r="I354" s="3" t="s">
        <v>156</v>
      </c>
      <c r="J354" s="3" t="s">
        <v>30</v>
      </c>
      <c r="K354" s="3" t="s">
        <v>30</v>
      </c>
      <c r="L354" s="3" t="s">
        <v>139</v>
      </c>
      <c r="M354" s="3" t="s">
        <v>31</v>
      </c>
      <c r="N354" s="3" t="s">
        <v>151</v>
      </c>
      <c r="O354" s="3" t="s">
        <v>141</v>
      </c>
      <c r="P354" s="3" t="s">
        <v>152</v>
      </c>
      <c r="Q354" s="3" t="s">
        <v>143</v>
      </c>
      <c r="R354" s="3" t="s">
        <v>144</v>
      </c>
      <c r="S354" s="3" t="s">
        <v>34</v>
      </c>
      <c r="T354" s="153">
        <v>2.7879999999999998</v>
      </c>
      <c r="U354" s="3" t="s">
        <v>157</v>
      </c>
      <c r="V354" s="164">
        <v>2.5000000000000001E-2</v>
      </c>
      <c r="W354" s="164">
        <v>4.9959999999999997E-2</v>
      </c>
      <c r="X354" s="5" t="s">
        <v>146</v>
      </c>
      <c r="Y354" s="5" t="s">
        <v>141</v>
      </c>
      <c r="Z354" s="153">
        <v>214500</v>
      </c>
      <c r="AA354" s="162">
        <v>1</v>
      </c>
      <c r="AB354" s="172">
        <v>93.71</v>
      </c>
      <c r="AD354" s="153">
        <v>201.00800000000001</v>
      </c>
      <c r="AG354" s="3" t="s">
        <v>36</v>
      </c>
      <c r="AH354" s="164">
        <v>3.2299999999999999E-4</v>
      </c>
      <c r="AI354" s="164">
        <v>8.1781480289716407E-3</v>
      </c>
      <c r="AJ354" s="164">
        <v>1.32475946373109E-3</v>
      </c>
    </row>
    <row r="355" spans="1:36">
      <c r="A355" s="3">
        <v>424</v>
      </c>
      <c r="B355" s="3">
        <v>7229</v>
      </c>
      <c r="C355" s="3" t="s">
        <v>158</v>
      </c>
      <c r="D355" s="3" t="s">
        <v>159</v>
      </c>
      <c r="E355" s="5" t="s">
        <v>134</v>
      </c>
      <c r="F355" s="3" t="s">
        <v>666</v>
      </c>
      <c r="G355" s="3" t="s">
        <v>667</v>
      </c>
      <c r="H355" s="3" t="s">
        <v>137</v>
      </c>
      <c r="I355" s="3" t="s">
        <v>156</v>
      </c>
      <c r="J355" s="3" t="s">
        <v>30</v>
      </c>
      <c r="K355" s="3" t="s">
        <v>30</v>
      </c>
      <c r="L355" s="3" t="s">
        <v>139</v>
      </c>
      <c r="M355" s="3" t="s">
        <v>31</v>
      </c>
      <c r="N355" s="3" t="s">
        <v>162</v>
      </c>
      <c r="O355" s="3" t="s">
        <v>141</v>
      </c>
      <c r="P355" s="3" t="s">
        <v>163</v>
      </c>
      <c r="Q355" s="3" t="s">
        <v>164</v>
      </c>
      <c r="R355" s="3" t="s">
        <v>144</v>
      </c>
      <c r="S355" s="3" t="s">
        <v>34</v>
      </c>
      <c r="T355" s="153">
        <v>0.83699999999999997</v>
      </c>
      <c r="U355" s="3" t="s">
        <v>641</v>
      </c>
      <c r="V355" s="164">
        <v>2.9499999999999998E-2</v>
      </c>
      <c r="W355" s="164">
        <v>5.015E-2</v>
      </c>
      <c r="X355" s="5" t="s">
        <v>146</v>
      </c>
      <c r="Y355" s="5" t="s">
        <v>141</v>
      </c>
      <c r="Z355" s="153">
        <v>117600</v>
      </c>
      <c r="AA355" s="162">
        <v>1</v>
      </c>
      <c r="AB355" s="172">
        <v>99.13</v>
      </c>
      <c r="AD355" s="153">
        <v>116.577</v>
      </c>
      <c r="AG355" s="3" t="s">
        <v>36</v>
      </c>
      <c r="AH355" s="164">
        <v>5.2499999999999997E-4</v>
      </c>
      <c r="AI355" s="164">
        <v>4.74301131570002E-3</v>
      </c>
      <c r="AJ355" s="164">
        <v>7.6830953717125995E-4</v>
      </c>
    </row>
    <row r="356" spans="1:36">
      <c r="A356" s="3">
        <v>424</v>
      </c>
      <c r="B356" s="3">
        <v>7229</v>
      </c>
      <c r="C356" s="3" t="s">
        <v>158</v>
      </c>
      <c r="D356" s="3" t="s">
        <v>159</v>
      </c>
      <c r="E356" s="5" t="s">
        <v>134</v>
      </c>
      <c r="F356" s="3" t="s">
        <v>160</v>
      </c>
      <c r="G356" s="3" t="s">
        <v>161</v>
      </c>
      <c r="H356" s="3" t="s">
        <v>137</v>
      </c>
      <c r="I356" s="3" t="s">
        <v>156</v>
      </c>
      <c r="J356" s="3" t="s">
        <v>30</v>
      </c>
      <c r="K356" s="3" t="s">
        <v>30</v>
      </c>
      <c r="L356" s="3" t="s">
        <v>139</v>
      </c>
      <c r="M356" s="3" t="s">
        <v>31</v>
      </c>
      <c r="N356" s="3" t="s">
        <v>162</v>
      </c>
      <c r="O356" s="3" t="s">
        <v>141</v>
      </c>
      <c r="P356" s="3" t="s">
        <v>163</v>
      </c>
      <c r="Q356" s="3" t="s">
        <v>164</v>
      </c>
      <c r="R356" s="3" t="s">
        <v>144</v>
      </c>
      <c r="S356" s="3" t="s">
        <v>34</v>
      </c>
      <c r="T356" s="153">
        <v>1.6819999999999999</v>
      </c>
      <c r="U356" s="3" t="s">
        <v>165</v>
      </c>
      <c r="V356" s="164">
        <v>2.5499999999999998E-2</v>
      </c>
      <c r="W356" s="164">
        <v>5.1679999999999997E-2</v>
      </c>
      <c r="X356" s="5" t="s">
        <v>146</v>
      </c>
      <c r="Y356" s="5" t="s">
        <v>141</v>
      </c>
      <c r="Z356" s="153">
        <v>130011.75</v>
      </c>
      <c r="AA356" s="162">
        <v>1</v>
      </c>
      <c r="AB356" s="172">
        <v>96.49</v>
      </c>
      <c r="AD356" s="153">
        <v>125.44799999999999</v>
      </c>
      <c r="AG356" s="3" t="s">
        <v>36</v>
      </c>
      <c r="AH356" s="164">
        <v>1.9900000000000001E-4</v>
      </c>
      <c r="AI356" s="164">
        <v>5.1039527276247297E-3</v>
      </c>
      <c r="AJ356" s="164">
        <v>8.2677760960108305E-4</v>
      </c>
    </row>
    <row r="357" spans="1:36">
      <c r="A357" s="3">
        <v>424</v>
      </c>
      <c r="B357" s="3">
        <v>7229</v>
      </c>
      <c r="C357" s="3" t="s">
        <v>166</v>
      </c>
      <c r="D357" s="3" t="s">
        <v>167</v>
      </c>
      <c r="E357" s="5" t="s">
        <v>134</v>
      </c>
      <c r="F357" s="3" t="s">
        <v>168</v>
      </c>
      <c r="G357" s="3" t="s">
        <v>169</v>
      </c>
      <c r="H357" s="3" t="s">
        <v>137</v>
      </c>
      <c r="I357" s="3" t="s">
        <v>156</v>
      </c>
      <c r="J357" s="3" t="s">
        <v>30</v>
      </c>
      <c r="K357" s="3" t="s">
        <v>30</v>
      </c>
      <c r="L357" s="3" t="s">
        <v>139</v>
      </c>
      <c r="M357" s="3" t="s">
        <v>31</v>
      </c>
      <c r="N357" s="3" t="s">
        <v>170</v>
      </c>
      <c r="O357" s="3" t="s">
        <v>141</v>
      </c>
      <c r="P357" s="3" t="s">
        <v>171</v>
      </c>
      <c r="Q357" s="3" t="s">
        <v>164</v>
      </c>
      <c r="R357" s="3" t="s">
        <v>144</v>
      </c>
      <c r="S357" s="3" t="s">
        <v>34</v>
      </c>
      <c r="T357" s="153">
        <v>5.9370000000000003</v>
      </c>
      <c r="U357" s="3" t="s">
        <v>172</v>
      </c>
      <c r="V357" s="164">
        <v>5.1299999999999998E-2</v>
      </c>
      <c r="W357" s="164">
        <v>5.1470000000000002E-2</v>
      </c>
      <c r="X357" s="5" t="s">
        <v>146</v>
      </c>
      <c r="Y357" s="5" t="s">
        <v>141</v>
      </c>
      <c r="Z357" s="153">
        <v>292000</v>
      </c>
      <c r="AA357" s="162">
        <v>1</v>
      </c>
      <c r="AB357" s="172">
        <v>100.43</v>
      </c>
      <c r="AD357" s="153">
        <v>293.25599999999997</v>
      </c>
      <c r="AG357" s="3" t="s">
        <v>36</v>
      </c>
      <c r="AH357" s="164">
        <v>8.5700000000000001E-4</v>
      </c>
      <c r="AI357" s="164">
        <v>1.19313077275048E-2</v>
      </c>
      <c r="AJ357" s="164">
        <v>1.93272520510825E-3</v>
      </c>
    </row>
    <row r="358" spans="1:36">
      <c r="A358" s="3">
        <v>424</v>
      </c>
      <c r="B358" s="3">
        <v>7229</v>
      </c>
      <c r="C358" s="3" t="s">
        <v>166</v>
      </c>
      <c r="D358" s="3" t="s">
        <v>167</v>
      </c>
      <c r="E358" s="5" t="s">
        <v>134</v>
      </c>
      <c r="F358" s="3" t="s">
        <v>173</v>
      </c>
      <c r="G358" s="3" t="s">
        <v>174</v>
      </c>
      <c r="H358" s="3" t="s">
        <v>137</v>
      </c>
      <c r="I358" s="3" t="s">
        <v>156</v>
      </c>
      <c r="J358" s="3" t="s">
        <v>30</v>
      </c>
      <c r="K358" s="3" t="s">
        <v>30</v>
      </c>
      <c r="L358" s="3" t="s">
        <v>139</v>
      </c>
      <c r="M358" s="3" t="s">
        <v>31</v>
      </c>
      <c r="N358" s="3" t="s">
        <v>170</v>
      </c>
      <c r="O358" s="3" t="s">
        <v>141</v>
      </c>
      <c r="P358" s="3" t="s">
        <v>171</v>
      </c>
      <c r="Q358" s="3" t="s">
        <v>164</v>
      </c>
      <c r="R358" s="3" t="s">
        <v>144</v>
      </c>
      <c r="S358" s="3" t="s">
        <v>34</v>
      </c>
      <c r="T358" s="153">
        <v>3.0779999999999998</v>
      </c>
      <c r="U358" s="3" t="s">
        <v>175</v>
      </c>
      <c r="V358" s="164">
        <v>2.18E-2</v>
      </c>
      <c r="W358" s="164">
        <v>4.58E-2</v>
      </c>
      <c r="X358" s="5" t="s">
        <v>146</v>
      </c>
      <c r="Y358" s="5" t="s">
        <v>141</v>
      </c>
      <c r="Z358" s="153">
        <v>328903</v>
      </c>
      <c r="AA358" s="162">
        <v>1</v>
      </c>
      <c r="AB358" s="172">
        <v>93.75</v>
      </c>
      <c r="AD358" s="153">
        <v>308.34699999999998</v>
      </c>
      <c r="AG358" s="3" t="s">
        <v>36</v>
      </c>
      <c r="AH358" s="164">
        <v>2.0010000000000002E-3</v>
      </c>
      <c r="AI358" s="164">
        <v>1.2545294016229501E-2</v>
      </c>
      <c r="AJ358" s="164">
        <v>2.0321834374253602E-3</v>
      </c>
    </row>
    <row r="359" spans="1:36">
      <c r="A359" s="3">
        <v>424</v>
      </c>
      <c r="B359" s="3">
        <v>7229</v>
      </c>
      <c r="C359" s="3" t="s">
        <v>176</v>
      </c>
      <c r="D359" s="3" t="s">
        <v>177</v>
      </c>
      <c r="E359" s="5" t="s">
        <v>134</v>
      </c>
      <c r="F359" s="3" t="s">
        <v>178</v>
      </c>
      <c r="G359" s="3" t="s">
        <v>179</v>
      </c>
      <c r="H359" s="3" t="s">
        <v>137</v>
      </c>
      <c r="I359" s="3" t="s">
        <v>156</v>
      </c>
      <c r="J359" s="3" t="s">
        <v>30</v>
      </c>
      <c r="K359" s="3" t="s">
        <v>30</v>
      </c>
      <c r="L359" s="3" t="s">
        <v>139</v>
      </c>
      <c r="M359" s="3" t="s">
        <v>31</v>
      </c>
      <c r="N359" s="3" t="s">
        <v>140</v>
      </c>
      <c r="O359" s="3" t="s">
        <v>141</v>
      </c>
      <c r="P359" s="3" t="s">
        <v>180</v>
      </c>
      <c r="Q359" s="3" t="s">
        <v>143</v>
      </c>
      <c r="R359" s="3" t="s">
        <v>144</v>
      </c>
      <c r="S359" s="3" t="s">
        <v>34</v>
      </c>
      <c r="T359" s="153">
        <v>7.07</v>
      </c>
      <c r="U359" s="3" t="s">
        <v>181</v>
      </c>
      <c r="V359" s="164">
        <v>2.4E-2</v>
      </c>
      <c r="W359" s="164">
        <v>4.6629999999999998E-2</v>
      </c>
      <c r="X359" s="5" t="s">
        <v>146</v>
      </c>
      <c r="Y359" s="5" t="s">
        <v>141</v>
      </c>
      <c r="Z359" s="153">
        <v>376000</v>
      </c>
      <c r="AA359" s="162">
        <v>1</v>
      </c>
      <c r="AB359" s="172">
        <v>86.13</v>
      </c>
      <c r="AD359" s="153">
        <v>323.84899999999999</v>
      </c>
      <c r="AG359" s="3" t="s">
        <v>36</v>
      </c>
      <c r="AH359" s="164">
        <v>2.3900000000000001E-4</v>
      </c>
      <c r="AI359" s="164">
        <v>1.3176013313925299E-2</v>
      </c>
      <c r="AJ359" s="164">
        <v>2.13435221153172E-3</v>
      </c>
    </row>
    <row r="360" spans="1:36">
      <c r="A360" s="3">
        <v>424</v>
      </c>
      <c r="B360" s="3">
        <v>7229</v>
      </c>
      <c r="C360" s="3" t="s">
        <v>182</v>
      </c>
      <c r="D360" s="3" t="s">
        <v>183</v>
      </c>
      <c r="E360" s="5" t="s">
        <v>134</v>
      </c>
      <c r="F360" s="3" t="s">
        <v>184</v>
      </c>
      <c r="G360" s="3" t="s">
        <v>185</v>
      </c>
      <c r="H360" s="3" t="s">
        <v>137</v>
      </c>
      <c r="I360" s="3" t="s">
        <v>138</v>
      </c>
      <c r="J360" s="3" t="s">
        <v>30</v>
      </c>
      <c r="K360" s="3" t="s">
        <v>30</v>
      </c>
      <c r="L360" s="3" t="s">
        <v>139</v>
      </c>
      <c r="M360" s="3" t="s">
        <v>31</v>
      </c>
      <c r="N360" s="3" t="s">
        <v>186</v>
      </c>
      <c r="O360" s="3" t="s">
        <v>141</v>
      </c>
      <c r="P360" s="3" t="s">
        <v>180</v>
      </c>
      <c r="Q360" s="3" t="s">
        <v>143</v>
      </c>
      <c r="R360" s="3" t="s">
        <v>144</v>
      </c>
      <c r="S360" s="3" t="s">
        <v>34</v>
      </c>
      <c r="T360" s="153">
        <v>1.7490000000000001</v>
      </c>
      <c r="U360" s="3" t="s">
        <v>117</v>
      </c>
      <c r="V360" s="164">
        <v>2.3400000000000001E-2</v>
      </c>
      <c r="W360" s="164">
        <v>2.9860000000000001E-2</v>
      </c>
      <c r="X360" s="5" t="s">
        <v>146</v>
      </c>
      <c r="Y360" s="5" t="s">
        <v>141</v>
      </c>
      <c r="Z360" s="153">
        <v>119000.02</v>
      </c>
      <c r="AA360" s="162">
        <v>1</v>
      </c>
      <c r="AB360" s="172">
        <v>118.73</v>
      </c>
      <c r="AD360" s="153">
        <v>141.28899999999999</v>
      </c>
      <c r="AG360" s="3" t="s">
        <v>36</v>
      </c>
      <c r="AH360" s="164">
        <v>7.2999999999999999E-5</v>
      </c>
      <c r="AI360" s="164">
        <v>5.7484298388161704E-3</v>
      </c>
      <c r="AJ360" s="164">
        <v>9.3117498039754797E-4</v>
      </c>
    </row>
    <row r="361" spans="1:36">
      <c r="A361" s="3">
        <v>424</v>
      </c>
      <c r="B361" s="3">
        <v>7229</v>
      </c>
      <c r="C361" s="3" t="s">
        <v>187</v>
      </c>
      <c r="D361" s="3" t="s">
        <v>188</v>
      </c>
      <c r="E361" s="5" t="s">
        <v>134</v>
      </c>
      <c r="F361" s="3" t="s">
        <v>189</v>
      </c>
      <c r="G361" s="3" t="s">
        <v>190</v>
      </c>
      <c r="H361" s="3" t="s">
        <v>137</v>
      </c>
      <c r="I361" s="3" t="s">
        <v>156</v>
      </c>
      <c r="J361" s="3" t="s">
        <v>30</v>
      </c>
      <c r="K361" s="3" t="s">
        <v>30</v>
      </c>
      <c r="L361" s="3" t="s">
        <v>139</v>
      </c>
      <c r="M361" s="3" t="s">
        <v>31</v>
      </c>
      <c r="N361" s="3" t="s">
        <v>186</v>
      </c>
      <c r="O361" s="3" t="s">
        <v>141</v>
      </c>
      <c r="P361" s="3" t="s">
        <v>142</v>
      </c>
      <c r="Q361" s="3" t="s">
        <v>143</v>
      </c>
      <c r="R361" s="3" t="s">
        <v>144</v>
      </c>
      <c r="S361" s="3" t="s">
        <v>34</v>
      </c>
      <c r="T361" s="153">
        <v>3.4430000000000001</v>
      </c>
      <c r="U361" s="3" t="s">
        <v>191</v>
      </c>
      <c r="V361" s="164">
        <v>2.41E-2</v>
      </c>
      <c r="W361" s="164">
        <v>4.8230000000000002E-2</v>
      </c>
      <c r="X361" s="5" t="s">
        <v>146</v>
      </c>
      <c r="Y361" s="5" t="s">
        <v>141</v>
      </c>
      <c r="Z361" s="153">
        <v>133333.32999999999</v>
      </c>
      <c r="AA361" s="162">
        <v>1</v>
      </c>
      <c r="AB361" s="172">
        <v>93.59</v>
      </c>
      <c r="AD361" s="153">
        <v>124.78700000000001</v>
      </c>
      <c r="AG361" s="3" t="s">
        <v>36</v>
      </c>
      <c r="AH361" s="164">
        <v>6.4999999999999994E-5</v>
      </c>
      <c r="AI361" s="164">
        <v>5.0770320603182404E-3</v>
      </c>
      <c r="AJ361" s="164">
        <v>8.2241679237719605E-4</v>
      </c>
    </row>
    <row r="362" spans="1:36">
      <c r="A362" s="3">
        <v>424</v>
      </c>
      <c r="B362" s="3">
        <v>7229</v>
      </c>
      <c r="C362" s="3" t="s">
        <v>187</v>
      </c>
      <c r="D362" s="3" t="s">
        <v>188</v>
      </c>
      <c r="E362" s="5" t="s">
        <v>134</v>
      </c>
      <c r="F362" s="3" t="s">
        <v>192</v>
      </c>
      <c r="G362" s="3" t="s">
        <v>193</v>
      </c>
      <c r="H362" s="3" t="s">
        <v>137</v>
      </c>
      <c r="I362" s="3" t="s">
        <v>156</v>
      </c>
      <c r="J362" s="3" t="s">
        <v>30</v>
      </c>
      <c r="K362" s="3" t="s">
        <v>30</v>
      </c>
      <c r="L362" s="3" t="s">
        <v>139</v>
      </c>
      <c r="M362" s="3" t="s">
        <v>31</v>
      </c>
      <c r="N362" s="3" t="s">
        <v>186</v>
      </c>
      <c r="O362" s="3" t="s">
        <v>141</v>
      </c>
      <c r="P362" s="3" t="s">
        <v>142</v>
      </c>
      <c r="Q362" s="3" t="s">
        <v>143</v>
      </c>
      <c r="R362" s="3" t="s">
        <v>144</v>
      </c>
      <c r="S362" s="3" t="s">
        <v>34</v>
      </c>
      <c r="T362" s="153">
        <v>5.6870000000000003</v>
      </c>
      <c r="U362" s="3" t="s">
        <v>194</v>
      </c>
      <c r="V362" s="164">
        <v>4.9399999999999999E-2</v>
      </c>
      <c r="W362" s="164">
        <v>5.142E-2</v>
      </c>
      <c r="X362" s="5" t="s">
        <v>146</v>
      </c>
      <c r="Y362" s="5" t="s">
        <v>141</v>
      </c>
      <c r="Z362" s="153">
        <v>303881</v>
      </c>
      <c r="AA362" s="162">
        <v>1</v>
      </c>
      <c r="AB362" s="172">
        <v>101.81</v>
      </c>
      <c r="AD362" s="153">
        <v>309.38099999999997</v>
      </c>
      <c r="AG362" s="3" t="s">
        <v>36</v>
      </c>
      <c r="AH362" s="164">
        <v>1.63E-4</v>
      </c>
      <c r="AI362" s="164">
        <v>1.25873908369968E-2</v>
      </c>
      <c r="AJ362" s="164">
        <v>2.03900260498101E-3</v>
      </c>
    </row>
    <row r="363" spans="1:36">
      <c r="A363" s="3">
        <v>424</v>
      </c>
      <c r="B363" s="3">
        <v>7229</v>
      </c>
      <c r="C363" s="3" t="s">
        <v>195</v>
      </c>
      <c r="D363" s="3" t="s">
        <v>196</v>
      </c>
      <c r="E363" s="5" t="s">
        <v>134</v>
      </c>
      <c r="F363" s="3" t="s">
        <v>197</v>
      </c>
      <c r="G363" s="3" t="s">
        <v>198</v>
      </c>
      <c r="H363" s="3" t="s">
        <v>137</v>
      </c>
      <c r="I363" s="3" t="s">
        <v>156</v>
      </c>
      <c r="J363" s="3" t="s">
        <v>30</v>
      </c>
      <c r="K363" s="3" t="s">
        <v>30</v>
      </c>
      <c r="L363" s="3" t="s">
        <v>139</v>
      </c>
      <c r="M363" s="3" t="s">
        <v>31</v>
      </c>
      <c r="N363" s="3" t="s">
        <v>199</v>
      </c>
      <c r="O363" s="3" t="s">
        <v>141</v>
      </c>
      <c r="P363" s="3" t="s">
        <v>152</v>
      </c>
      <c r="Q363" s="3" t="s">
        <v>143</v>
      </c>
      <c r="R363" s="3" t="s">
        <v>144</v>
      </c>
      <c r="S363" s="3" t="s">
        <v>34</v>
      </c>
      <c r="T363" s="153">
        <v>2.5489999999999999</v>
      </c>
      <c r="U363" s="3" t="s">
        <v>200</v>
      </c>
      <c r="V363" s="164">
        <v>0.04</v>
      </c>
      <c r="W363" s="164">
        <v>4.802E-2</v>
      </c>
      <c r="X363" s="5" t="s">
        <v>146</v>
      </c>
      <c r="Y363" s="5" t="s">
        <v>141</v>
      </c>
      <c r="Z363" s="153">
        <v>225000.08</v>
      </c>
      <c r="AA363" s="162">
        <v>1</v>
      </c>
      <c r="AB363" s="172">
        <v>99.07</v>
      </c>
      <c r="AD363" s="153">
        <v>222.90799999999999</v>
      </c>
      <c r="AG363" s="3" t="s">
        <v>36</v>
      </c>
      <c r="AH363" s="164">
        <v>3.8699999999999997E-4</v>
      </c>
      <c r="AI363" s="164">
        <v>9.0691496527142198E-3</v>
      </c>
      <c r="AJ363" s="164">
        <v>1.4690907755478E-3</v>
      </c>
    </row>
    <row r="364" spans="1:36">
      <c r="A364" s="3">
        <v>424</v>
      </c>
      <c r="B364" s="3">
        <v>7229</v>
      </c>
      <c r="C364" s="3" t="s">
        <v>195</v>
      </c>
      <c r="D364" s="3" t="s">
        <v>196</v>
      </c>
      <c r="E364" s="5" t="s">
        <v>134</v>
      </c>
      <c r="F364" s="3" t="s">
        <v>201</v>
      </c>
      <c r="G364" s="3" t="s">
        <v>202</v>
      </c>
      <c r="H364" s="3" t="s">
        <v>137</v>
      </c>
      <c r="I364" s="3" t="s">
        <v>156</v>
      </c>
      <c r="J364" s="3" t="s">
        <v>30</v>
      </c>
      <c r="K364" s="3" t="s">
        <v>30</v>
      </c>
      <c r="L364" s="3" t="s">
        <v>139</v>
      </c>
      <c r="M364" s="3" t="s">
        <v>31</v>
      </c>
      <c r="N364" s="3" t="s">
        <v>199</v>
      </c>
      <c r="O364" s="3" t="s">
        <v>141</v>
      </c>
      <c r="P364" s="3" t="s">
        <v>152</v>
      </c>
      <c r="Q364" s="3" t="s">
        <v>143</v>
      </c>
      <c r="R364" s="3" t="s">
        <v>144</v>
      </c>
      <c r="S364" s="3" t="s">
        <v>34</v>
      </c>
      <c r="T364" s="153">
        <v>4.508</v>
      </c>
      <c r="U364" s="3" t="s">
        <v>203</v>
      </c>
      <c r="V364" s="164">
        <v>2.07E-2</v>
      </c>
      <c r="W364" s="164">
        <v>4.9689999999999998E-2</v>
      </c>
      <c r="X364" s="5" t="s">
        <v>146</v>
      </c>
      <c r="Y364" s="5" t="s">
        <v>141</v>
      </c>
      <c r="Z364" s="153">
        <v>379765.79</v>
      </c>
      <c r="AA364" s="162">
        <v>1</v>
      </c>
      <c r="AB364" s="172">
        <v>88.43</v>
      </c>
      <c r="AD364" s="153">
        <v>335.827</v>
      </c>
      <c r="AG364" s="3" t="s">
        <v>36</v>
      </c>
      <c r="AH364" s="164">
        <v>5.2300000000000003E-4</v>
      </c>
      <c r="AI364" s="164">
        <v>1.36633501459328E-2</v>
      </c>
      <c r="AJ364" s="164">
        <v>2.2132947884989798E-3</v>
      </c>
    </row>
    <row r="365" spans="1:36">
      <c r="A365" s="3">
        <v>424</v>
      </c>
      <c r="B365" s="3">
        <v>7229</v>
      </c>
      <c r="C365" s="3" t="s">
        <v>204</v>
      </c>
      <c r="D365" s="3" t="s">
        <v>205</v>
      </c>
      <c r="E365" s="5" t="s">
        <v>134</v>
      </c>
      <c r="F365" s="3" t="s">
        <v>206</v>
      </c>
      <c r="G365" s="3" t="s">
        <v>207</v>
      </c>
      <c r="H365" s="3" t="s">
        <v>137</v>
      </c>
      <c r="I365" s="3" t="s">
        <v>156</v>
      </c>
      <c r="J365" s="3" t="s">
        <v>30</v>
      </c>
      <c r="K365" s="3" t="s">
        <v>30</v>
      </c>
      <c r="L365" s="3" t="s">
        <v>139</v>
      </c>
      <c r="M365" s="3" t="s">
        <v>31</v>
      </c>
      <c r="N365" s="3" t="s">
        <v>208</v>
      </c>
      <c r="O365" s="3" t="s">
        <v>141</v>
      </c>
      <c r="P365" s="3" t="s">
        <v>209</v>
      </c>
      <c r="Q365" s="3" t="s">
        <v>164</v>
      </c>
      <c r="R365" s="3" t="s">
        <v>144</v>
      </c>
      <c r="S365" s="3" t="s">
        <v>34</v>
      </c>
      <c r="T365" s="153">
        <v>3.7789999999999999</v>
      </c>
      <c r="U365" s="3" t="s">
        <v>210</v>
      </c>
      <c r="V365" s="164">
        <v>6.0699999999999997E-2</v>
      </c>
      <c r="W365" s="164">
        <v>5.4559999999999997E-2</v>
      </c>
      <c r="X365" s="5" t="s">
        <v>146</v>
      </c>
      <c r="Y365" s="5" t="s">
        <v>141</v>
      </c>
      <c r="Z365" s="153">
        <v>144985</v>
      </c>
      <c r="AA365" s="162">
        <v>1</v>
      </c>
      <c r="AB365" s="172">
        <v>104.65</v>
      </c>
      <c r="AD365" s="153">
        <v>151.727</v>
      </c>
      <c r="AG365" s="3" t="s">
        <v>36</v>
      </c>
      <c r="AH365" s="164">
        <v>3.48E-4</v>
      </c>
      <c r="AI365" s="164">
        <v>6.1731103212959802E-3</v>
      </c>
      <c r="AJ365" s="164">
        <v>9.999679988454851E-4</v>
      </c>
    </row>
    <row r="366" spans="1:36">
      <c r="A366" s="3">
        <v>424</v>
      </c>
      <c r="B366" s="3">
        <v>7229</v>
      </c>
      <c r="C366" s="3" t="s">
        <v>211</v>
      </c>
      <c r="D366" s="3" t="s">
        <v>212</v>
      </c>
      <c r="E366" s="5" t="s">
        <v>134</v>
      </c>
      <c r="F366" s="3" t="s">
        <v>668</v>
      </c>
      <c r="G366" s="3" t="s">
        <v>669</v>
      </c>
      <c r="H366" s="3" t="s">
        <v>137</v>
      </c>
      <c r="I366" s="3" t="s">
        <v>138</v>
      </c>
      <c r="J366" s="3" t="s">
        <v>30</v>
      </c>
      <c r="K366" s="3" t="s">
        <v>30</v>
      </c>
      <c r="L366" s="3" t="s">
        <v>139</v>
      </c>
      <c r="M366" s="3" t="s">
        <v>31</v>
      </c>
      <c r="N366" s="3" t="s">
        <v>186</v>
      </c>
      <c r="O366" s="3" t="s">
        <v>141</v>
      </c>
      <c r="P366" s="3" t="s">
        <v>180</v>
      </c>
      <c r="Q366" s="3" t="s">
        <v>143</v>
      </c>
      <c r="R366" s="3" t="s">
        <v>144</v>
      </c>
      <c r="S366" s="3" t="s">
        <v>34</v>
      </c>
      <c r="T366" s="153">
        <v>1.6990000000000001</v>
      </c>
      <c r="U366" s="3" t="s">
        <v>670</v>
      </c>
      <c r="V366" s="164">
        <v>3.2000000000000001E-2</v>
      </c>
      <c r="W366" s="164">
        <v>2.8459999999999999E-2</v>
      </c>
      <c r="X366" s="5" t="s">
        <v>146</v>
      </c>
      <c r="Y366" s="5" t="s">
        <v>141</v>
      </c>
      <c r="Z366" s="153">
        <v>219454.31</v>
      </c>
      <c r="AA366" s="162">
        <v>1</v>
      </c>
      <c r="AB366" s="172">
        <v>120.07</v>
      </c>
      <c r="AD366" s="153">
        <v>263.49900000000002</v>
      </c>
      <c r="AG366" s="3" t="s">
        <v>36</v>
      </c>
      <c r="AH366" s="164">
        <v>5.2999999999999998E-4</v>
      </c>
      <c r="AI366" s="164">
        <v>1.07206312497289E-2</v>
      </c>
      <c r="AJ366" s="164">
        <v>1.73661049603616E-3</v>
      </c>
    </row>
    <row r="367" spans="1:36">
      <c r="A367" s="3">
        <v>424</v>
      </c>
      <c r="B367" s="3">
        <v>7229</v>
      </c>
      <c r="C367" s="3" t="s">
        <v>211</v>
      </c>
      <c r="D367" s="3" t="s">
        <v>212</v>
      </c>
      <c r="E367" s="5" t="s">
        <v>134</v>
      </c>
      <c r="F367" s="3" t="s">
        <v>671</v>
      </c>
      <c r="G367" s="3" t="s">
        <v>672</v>
      </c>
      <c r="H367" s="3" t="s">
        <v>137</v>
      </c>
      <c r="I367" s="3" t="s">
        <v>156</v>
      </c>
      <c r="J367" s="3" t="s">
        <v>30</v>
      </c>
      <c r="K367" s="3" t="s">
        <v>30</v>
      </c>
      <c r="L367" s="3" t="s">
        <v>139</v>
      </c>
      <c r="M367" s="3" t="s">
        <v>31</v>
      </c>
      <c r="N367" s="3" t="s">
        <v>186</v>
      </c>
      <c r="O367" s="3" t="s">
        <v>141</v>
      </c>
      <c r="P367" s="3" t="s">
        <v>180</v>
      </c>
      <c r="Q367" s="3" t="s">
        <v>143</v>
      </c>
      <c r="R367" s="3" t="s">
        <v>144</v>
      </c>
      <c r="S367" s="3" t="s">
        <v>34</v>
      </c>
      <c r="T367" s="153">
        <v>0.247</v>
      </c>
      <c r="U367" s="3" t="s">
        <v>673</v>
      </c>
      <c r="V367" s="164">
        <v>3.39E-2</v>
      </c>
      <c r="W367" s="164">
        <v>4.8070000000000002E-2</v>
      </c>
      <c r="X367" s="5" t="s">
        <v>146</v>
      </c>
      <c r="Y367" s="5" t="s">
        <v>141</v>
      </c>
      <c r="Z367" s="153">
        <v>63617</v>
      </c>
      <c r="AA367" s="162">
        <v>1</v>
      </c>
      <c r="AB367" s="172">
        <v>102.2</v>
      </c>
      <c r="AD367" s="153">
        <v>65.016999999999996</v>
      </c>
      <c r="AG367" s="3" t="s">
        <v>36</v>
      </c>
      <c r="AH367" s="164">
        <v>3.8900000000000002E-4</v>
      </c>
      <c r="AI367" s="164">
        <v>2.64524446176676E-3</v>
      </c>
      <c r="AJ367" s="164">
        <v>4.28497090318432E-4</v>
      </c>
    </row>
    <row r="368" spans="1:36">
      <c r="A368" s="3">
        <v>424</v>
      </c>
      <c r="B368" s="3">
        <v>7229</v>
      </c>
      <c r="C368" s="3" t="s">
        <v>211</v>
      </c>
      <c r="D368" s="3" t="s">
        <v>212</v>
      </c>
      <c r="E368" s="5" t="s">
        <v>134</v>
      </c>
      <c r="F368" s="3" t="s">
        <v>213</v>
      </c>
      <c r="G368" s="3" t="s">
        <v>214</v>
      </c>
      <c r="H368" s="3" t="s">
        <v>137</v>
      </c>
      <c r="I368" s="3" t="s">
        <v>156</v>
      </c>
      <c r="J368" s="3" t="s">
        <v>30</v>
      </c>
      <c r="K368" s="3" t="s">
        <v>30</v>
      </c>
      <c r="L368" s="3" t="s">
        <v>139</v>
      </c>
      <c r="M368" s="3" t="s">
        <v>31</v>
      </c>
      <c r="N368" s="3" t="s">
        <v>186</v>
      </c>
      <c r="O368" s="3" t="s">
        <v>141</v>
      </c>
      <c r="P368" s="3" t="s">
        <v>180</v>
      </c>
      <c r="Q368" s="3" t="s">
        <v>143</v>
      </c>
      <c r="R368" s="3" t="s">
        <v>144</v>
      </c>
      <c r="S368" s="3" t="s">
        <v>34</v>
      </c>
      <c r="T368" s="153">
        <v>7.165</v>
      </c>
      <c r="U368" s="3" t="s">
        <v>215</v>
      </c>
      <c r="V368" s="164">
        <v>5.79E-2</v>
      </c>
      <c r="W368" s="164">
        <v>4.99E-2</v>
      </c>
      <c r="X368" s="5" t="s">
        <v>146</v>
      </c>
      <c r="Y368" s="5" t="s">
        <v>141</v>
      </c>
      <c r="Z368" s="153">
        <v>287963</v>
      </c>
      <c r="AA368" s="162">
        <v>1</v>
      </c>
      <c r="AB368" s="172">
        <v>110.08</v>
      </c>
      <c r="AD368" s="153">
        <v>316.99</v>
      </c>
      <c r="AG368" s="3" t="s">
        <v>36</v>
      </c>
      <c r="AH368" s="164">
        <v>3.19E-4</v>
      </c>
      <c r="AI368" s="164">
        <v>1.28969448630571E-2</v>
      </c>
      <c r="AJ368" s="164">
        <v>2.0891465524990401E-3</v>
      </c>
    </row>
    <row r="369" spans="1:36">
      <c r="A369" s="3">
        <v>424</v>
      </c>
      <c r="B369" s="3">
        <v>7229</v>
      </c>
      <c r="C369" s="3" t="s">
        <v>216</v>
      </c>
      <c r="D369" s="3" t="s">
        <v>217</v>
      </c>
      <c r="E369" s="5" t="s">
        <v>134</v>
      </c>
      <c r="F369" s="3" t="s">
        <v>218</v>
      </c>
      <c r="G369" s="3" t="s">
        <v>219</v>
      </c>
      <c r="H369" s="3" t="s">
        <v>137</v>
      </c>
      <c r="I369" s="3" t="s">
        <v>156</v>
      </c>
      <c r="J369" s="3" t="s">
        <v>30</v>
      </c>
      <c r="K369" s="3" t="s">
        <v>30</v>
      </c>
      <c r="L369" s="3" t="s">
        <v>139</v>
      </c>
      <c r="M369" s="3" t="s">
        <v>31</v>
      </c>
      <c r="N369" s="3" t="s">
        <v>220</v>
      </c>
      <c r="O369" s="3" t="s">
        <v>141</v>
      </c>
      <c r="P369" s="3" t="s">
        <v>171</v>
      </c>
      <c r="Q369" s="3" t="s">
        <v>164</v>
      </c>
      <c r="R369" s="3" t="s">
        <v>144</v>
      </c>
      <c r="S369" s="3" t="s">
        <v>34</v>
      </c>
      <c r="T369" s="153">
        <v>5.5110000000000001</v>
      </c>
      <c r="U369" s="3" t="s">
        <v>221</v>
      </c>
      <c r="V369" s="164">
        <v>0.05</v>
      </c>
      <c r="W369" s="164">
        <v>5.1290000000000002E-2</v>
      </c>
      <c r="X369" s="5" t="s">
        <v>146</v>
      </c>
      <c r="Y369" s="5" t="s">
        <v>141</v>
      </c>
      <c r="Z369" s="153">
        <v>250000</v>
      </c>
      <c r="AA369" s="162">
        <v>1</v>
      </c>
      <c r="AB369" s="172">
        <v>100.11</v>
      </c>
      <c r="AD369" s="153">
        <v>250.27500000000001</v>
      </c>
      <c r="AG369" s="3" t="s">
        <v>36</v>
      </c>
      <c r="AH369" s="164">
        <v>5.3300000000000005E-4</v>
      </c>
      <c r="AI369" s="164">
        <v>1.01826121700703E-2</v>
      </c>
      <c r="AJ369" s="164">
        <v>1.6494580178808801E-3</v>
      </c>
    </row>
    <row r="370" spans="1:36">
      <c r="A370" s="3">
        <v>424</v>
      </c>
      <c r="B370" s="3">
        <v>7229</v>
      </c>
      <c r="C370" s="3" t="s">
        <v>216</v>
      </c>
      <c r="D370" s="3" t="s">
        <v>217</v>
      </c>
      <c r="E370" s="5" t="s">
        <v>134</v>
      </c>
      <c r="F370" s="3" t="s">
        <v>222</v>
      </c>
      <c r="G370" s="3" t="s">
        <v>223</v>
      </c>
      <c r="H370" s="3" t="s">
        <v>137</v>
      </c>
      <c r="I370" s="3" t="s">
        <v>156</v>
      </c>
      <c r="J370" s="3" t="s">
        <v>30</v>
      </c>
      <c r="K370" s="3" t="s">
        <v>224</v>
      </c>
      <c r="L370" s="3" t="s">
        <v>139</v>
      </c>
      <c r="M370" s="3" t="s">
        <v>31</v>
      </c>
      <c r="N370" s="3" t="s">
        <v>220</v>
      </c>
      <c r="O370" s="3" t="s">
        <v>141</v>
      </c>
      <c r="P370" s="3" t="s">
        <v>171</v>
      </c>
      <c r="Q370" s="3" t="s">
        <v>164</v>
      </c>
      <c r="R370" s="3" t="s">
        <v>144</v>
      </c>
      <c r="S370" s="3" t="s">
        <v>34</v>
      </c>
      <c r="T370" s="153">
        <v>2.8079999999999998</v>
      </c>
      <c r="U370" s="3" t="s">
        <v>225</v>
      </c>
      <c r="V370" s="164">
        <v>1.4999999999999999E-2</v>
      </c>
      <c r="W370" s="164">
        <v>5.0139999999999997E-2</v>
      </c>
      <c r="X370" s="5" t="s">
        <v>146</v>
      </c>
      <c r="Y370" s="5" t="s">
        <v>141</v>
      </c>
      <c r="Z370" s="153">
        <v>256031</v>
      </c>
      <c r="AA370" s="162">
        <v>1</v>
      </c>
      <c r="AB370" s="172">
        <v>90.97</v>
      </c>
      <c r="AD370" s="153">
        <v>232.911</v>
      </c>
      <c r="AG370" s="3" t="s">
        <v>36</v>
      </c>
      <c r="AH370" s="164">
        <v>2.1800000000000001E-4</v>
      </c>
      <c r="AI370" s="164">
        <v>9.4761620749812606E-3</v>
      </c>
      <c r="AJ370" s="164">
        <v>1.53502178539799E-3</v>
      </c>
    </row>
    <row r="371" spans="1:36">
      <c r="A371" s="3">
        <v>424</v>
      </c>
      <c r="B371" s="3">
        <v>7229</v>
      </c>
      <c r="C371" s="3" t="s">
        <v>226</v>
      </c>
      <c r="D371" s="3" t="s">
        <v>227</v>
      </c>
      <c r="E371" s="5" t="s">
        <v>134</v>
      </c>
      <c r="F371" s="3" t="s">
        <v>228</v>
      </c>
      <c r="G371" s="3" t="s">
        <v>229</v>
      </c>
      <c r="H371" s="3" t="s">
        <v>137</v>
      </c>
      <c r="I371" s="3" t="s">
        <v>156</v>
      </c>
      <c r="J371" s="3" t="s">
        <v>30</v>
      </c>
      <c r="K371" s="3" t="s">
        <v>30</v>
      </c>
      <c r="L371" s="3" t="s">
        <v>139</v>
      </c>
      <c r="M371" s="3" t="s">
        <v>31</v>
      </c>
      <c r="N371" s="3" t="s">
        <v>220</v>
      </c>
      <c r="O371" s="3" t="s">
        <v>141</v>
      </c>
      <c r="P371" s="3" t="s">
        <v>230</v>
      </c>
      <c r="Q371" s="3" t="s">
        <v>143</v>
      </c>
      <c r="R371" s="3" t="s">
        <v>144</v>
      </c>
      <c r="S371" s="3" t="s">
        <v>34</v>
      </c>
      <c r="T371" s="153">
        <v>2.4319999999999999</v>
      </c>
      <c r="U371" s="3" t="s">
        <v>231</v>
      </c>
      <c r="V371" s="164">
        <v>2.0500000000000001E-2</v>
      </c>
      <c r="W371" s="164">
        <v>5.0529999999999999E-2</v>
      </c>
      <c r="X371" s="5" t="s">
        <v>146</v>
      </c>
      <c r="Y371" s="5" t="s">
        <v>141</v>
      </c>
      <c r="Z371" s="153">
        <v>200000.03</v>
      </c>
      <c r="AA371" s="162">
        <v>1</v>
      </c>
      <c r="AB371" s="172">
        <v>93.47</v>
      </c>
      <c r="AD371" s="153">
        <v>186.94</v>
      </c>
      <c r="AG371" s="3" t="s">
        <v>36</v>
      </c>
      <c r="AH371" s="164">
        <v>2.2900000000000001E-4</v>
      </c>
      <c r="AI371" s="164">
        <v>7.6057848550736802E-3</v>
      </c>
      <c r="AJ371" s="164">
        <v>1.23204366442954E-3</v>
      </c>
    </row>
    <row r="372" spans="1:36">
      <c r="A372" s="3">
        <v>424</v>
      </c>
      <c r="B372" s="3">
        <v>7229</v>
      </c>
      <c r="C372" s="3" t="s">
        <v>232</v>
      </c>
      <c r="D372" s="3" t="s">
        <v>233</v>
      </c>
      <c r="E372" s="5" t="s">
        <v>134</v>
      </c>
      <c r="F372" s="3" t="s">
        <v>234</v>
      </c>
      <c r="G372" s="3" t="s">
        <v>235</v>
      </c>
      <c r="H372" s="3" t="s">
        <v>137</v>
      </c>
      <c r="I372" s="3" t="s">
        <v>138</v>
      </c>
      <c r="J372" s="3" t="s">
        <v>30</v>
      </c>
      <c r="K372" s="3" t="s">
        <v>30</v>
      </c>
      <c r="L372" s="3" t="s">
        <v>139</v>
      </c>
      <c r="M372" s="3" t="s">
        <v>31</v>
      </c>
      <c r="N372" s="3" t="s">
        <v>208</v>
      </c>
      <c r="O372" s="3" t="s">
        <v>141</v>
      </c>
      <c r="P372" s="3" t="s">
        <v>152</v>
      </c>
      <c r="Q372" s="3" t="s">
        <v>143</v>
      </c>
      <c r="R372" s="3" t="s">
        <v>144</v>
      </c>
      <c r="S372" s="3" t="s">
        <v>34</v>
      </c>
      <c r="T372" s="153">
        <v>0.79300000000000004</v>
      </c>
      <c r="U372" s="3" t="s">
        <v>236</v>
      </c>
      <c r="V372" s="164">
        <v>2.5700000000000001E-2</v>
      </c>
      <c r="W372" s="164">
        <v>4.0009999999999997E-2</v>
      </c>
      <c r="X372" s="5" t="s">
        <v>146</v>
      </c>
      <c r="Y372" s="5" t="s">
        <v>141</v>
      </c>
      <c r="Z372" s="153">
        <v>272152.59000000003</v>
      </c>
      <c r="AA372" s="162">
        <v>1</v>
      </c>
      <c r="AB372" s="172">
        <v>119.85</v>
      </c>
      <c r="AD372" s="153">
        <v>326.17500000000001</v>
      </c>
      <c r="AG372" s="3" t="s">
        <v>36</v>
      </c>
      <c r="AH372" s="164">
        <v>2.5799999999999998E-4</v>
      </c>
      <c r="AI372" s="164">
        <v>1.32706514579866E-2</v>
      </c>
      <c r="AJ372" s="164">
        <v>2.14968242767981E-3</v>
      </c>
    </row>
    <row r="373" spans="1:36">
      <c r="A373" s="3">
        <v>424</v>
      </c>
      <c r="B373" s="3">
        <v>7229</v>
      </c>
      <c r="C373" s="3" t="s">
        <v>232</v>
      </c>
      <c r="D373" s="3" t="s">
        <v>233</v>
      </c>
      <c r="E373" s="5" t="s">
        <v>134</v>
      </c>
      <c r="F373" s="3" t="s">
        <v>626</v>
      </c>
      <c r="G373" s="3" t="s">
        <v>627</v>
      </c>
      <c r="H373" s="3" t="s">
        <v>137</v>
      </c>
      <c r="I373" s="3" t="s">
        <v>156</v>
      </c>
      <c r="J373" s="3" t="s">
        <v>30</v>
      </c>
      <c r="K373" s="3" t="s">
        <v>30</v>
      </c>
      <c r="L373" s="3" t="s">
        <v>139</v>
      </c>
      <c r="M373" s="3" t="s">
        <v>31</v>
      </c>
      <c r="N373" s="3" t="s">
        <v>208</v>
      </c>
      <c r="O373" s="3" t="s">
        <v>141</v>
      </c>
      <c r="P373" s="3" t="s">
        <v>152</v>
      </c>
      <c r="Q373" s="3" t="s">
        <v>143</v>
      </c>
      <c r="R373" s="3" t="s">
        <v>144</v>
      </c>
      <c r="S373" s="3" t="s">
        <v>34</v>
      </c>
      <c r="T373" s="153">
        <v>2.5110000000000001</v>
      </c>
      <c r="U373" s="3" t="s">
        <v>628</v>
      </c>
      <c r="V373" s="164">
        <v>3.2500000000000001E-2</v>
      </c>
      <c r="W373" s="164">
        <v>5.1240000000000001E-2</v>
      </c>
      <c r="X373" s="5" t="s">
        <v>146</v>
      </c>
      <c r="Y373" s="5" t="s">
        <v>141</v>
      </c>
      <c r="Z373" s="153">
        <v>210000</v>
      </c>
      <c r="AA373" s="162">
        <v>1</v>
      </c>
      <c r="AB373" s="172">
        <v>95.69</v>
      </c>
      <c r="AD373" s="153">
        <v>200.94900000000001</v>
      </c>
      <c r="AG373" s="3" t="s">
        <v>36</v>
      </c>
      <c r="AH373" s="164">
        <v>8.7399999999999999E-4</v>
      </c>
      <c r="AI373" s="164">
        <v>8.1757496072857993E-3</v>
      </c>
      <c r="AJ373" s="164">
        <v>1.32437094889679E-3</v>
      </c>
    </row>
    <row r="374" spans="1:36">
      <c r="A374" s="3">
        <v>424</v>
      </c>
      <c r="B374" s="3">
        <v>7229</v>
      </c>
      <c r="C374" s="3" t="s">
        <v>232</v>
      </c>
      <c r="D374" s="3" t="s">
        <v>233</v>
      </c>
      <c r="E374" s="5" t="s">
        <v>134</v>
      </c>
      <c r="F374" s="3" t="s">
        <v>237</v>
      </c>
      <c r="G374" s="3" t="s">
        <v>238</v>
      </c>
      <c r="H374" s="3" t="s">
        <v>137</v>
      </c>
      <c r="I374" s="3" t="s">
        <v>138</v>
      </c>
      <c r="J374" s="3" t="s">
        <v>30</v>
      </c>
      <c r="K374" s="3" t="s">
        <v>30</v>
      </c>
      <c r="L374" s="3" t="s">
        <v>139</v>
      </c>
      <c r="M374" s="3" t="s">
        <v>31</v>
      </c>
      <c r="N374" s="3" t="s">
        <v>208</v>
      </c>
      <c r="O374" s="3" t="s">
        <v>141</v>
      </c>
      <c r="P374" s="3" t="s">
        <v>152</v>
      </c>
      <c r="Q374" s="3" t="s">
        <v>143</v>
      </c>
      <c r="R374" s="3" t="s">
        <v>144</v>
      </c>
      <c r="S374" s="3" t="s">
        <v>34</v>
      </c>
      <c r="T374" s="153">
        <v>4.226</v>
      </c>
      <c r="U374" s="3" t="s">
        <v>239</v>
      </c>
      <c r="V374" s="164">
        <v>1.54E-2</v>
      </c>
      <c r="W374" s="164">
        <v>3.075E-2</v>
      </c>
      <c r="X374" s="5" t="s">
        <v>146</v>
      </c>
      <c r="Y374" s="5" t="s">
        <v>141</v>
      </c>
      <c r="Z374" s="153">
        <v>228000</v>
      </c>
      <c r="AA374" s="162">
        <v>1</v>
      </c>
      <c r="AB374" s="172">
        <v>108.24</v>
      </c>
      <c r="AD374" s="153">
        <v>246.78700000000001</v>
      </c>
      <c r="AG374" s="3" t="s">
        <v>36</v>
      </c>
      <c r="AH374" s="164">
        <v>3.8200000000000002E-4</v>
      </c>
      <c r="AI374" s="164">
        <v>1.00407086050847E-2</v>
      </c>
      <c r="AJ374" s="164">
        <v>1.6264713844785601E-3</v>
      </c>
    </row>
    <row r="375" spans="1:36">
      <c r="A375" s="3">
        <v>424</v>
      </c>
      <c r="B375" s="3">
        <v>7229</v>
      </c>
      <c r="C375" s="3" t="s">
        <v>232</v>
      </c>
      <c r="D375" s="3" t="s">
        <v>233</v>
      </c>
      <c r="E375" s="5" t="s">
        <v>134</v>
      </c>
      <c r="F375" s="3" t="s">
        <v>240</v>
      </c>
      <c r="G375" s="3" t="s">
        <v>241</v>
      </c>
      <c r="H375" s="3" t="s">
        <v>137</v>
      </c>
      <c r="I375" s="3" t="s">
        <v>138</v>
      </c>
      <c r="J375" s="3" t="s">
        <v>30</v>
      </c>
      <c r="K375" s="3" t="s">
        <v>30</v>
      </c>
      <c r="L375" s="3" t="s">
        <v>139</v>
      </c>
      <c r="M375" s="3" t="s">
        <v>31</v>
      </c>
      <c r="N375" s="3" t="s">
        <v>208</v>
      </c>
      <c r="O375" s="3" t="s">
        <v>141</v>
      </c>
      <c r="P375" s="3" t="s">
        <v>152</v>
      </c>
      <c r="Q375" s="3" t="s">
        <v>143</v>
      </c>
      <c r="R375" s="3" t="s">
        <v>144</v>
      </c>
      <c r="S375" s="3" t="s">
        <v>34</v>
      </c>
      <c r="T375" s="153">
        <v>6.452</v>
      </c>
      <c r="U375" s="3" t="s">
        <v>242</v>
      </c>
      <c r="V375" s="164">
        <v>4.02E-2</v>
      </c>
      <c r="W375" s="164">
        <v>3.3029999999999997E-2</v>
      </c>
      <c r="X375" s="5" t="s">
        <v>146</v>
      </c>
      <c r="Y375" s="5" t="s">
        <v>141</v>
      </c>
      <c r="Z375" s="153">
        <v>199000</v>
      </c>
      <c r="AA375" s="162">
        <v>1</v>
      </c>
      <c r="AB375" s="172">
        <v>108.86</v>
      </c>
      <c r="AD375" s="153">
        <v>216.631</v>
      </c>
      <c r="AG375" s="3" t="s">
        <v>36</v>
      </c>
      <c r="AH375" s="164">
        <v>2.4699999999999999E-4</v>
      </c>
      <c r="AI375" s="164">
        <v>8.8137989414019107E-3</v>
      </c>
      <c r="AJ375" s="164">
        <v>1.42772709881035E-3</v>
      </c>
    </row>
    <row r="376" spans="1:36">
      <c r="A376" s="3">
        <v>424</v>
      </c>
      <c r="B376" s="3">
        <v>7229</v>
      </c>
      <c r="C376" s="3" t="s">
        <v>581</v>
      </c>
      <c r="D376" s="3" t="s">
        <v>582</v>
      </c>
      <c r="E376" s="5" t="s">
        <v>134</v>
      </c>
      <c r="F376" s="3" t="s">
        <v>583</v>
      </c>
      <c r="G376" s="3" t="s">
        <v>584</v>
      </c>
      <c r="H376" s="3" t="s">
        <v>137</v>
      </c>
      <c r="I376" s="3" t="s">
        <v>156</v>
      </c>
      <c r="J376" s="3" t="s">
        <v>30</v>
      </c>
      <c r="K376" s="3" t="s">
        <v>30</v>
      </c>
      <c r="L376" s="3" t="s">
        <v>139</v>
      </c>
      <c r="M376" s="3" t="s">
        <v>31</v>
      </c>
      <c r="N376" s="3" t="s">
        <v>162</v>
      </c>
      <c r="O376" s="3" t="s">
        <v>141</v>
      </c>
      <c r="P376" s="3" t="s">
        <v>209</v>
      </c>
      <c r="Q376" s="3" t="s">
        <v>164</v>
      </c>
      <c r="R376" s="3" t="s">
        <v>144</v>
      </c>
      <c r="S376" s="3" t="s">
        <v>34</v>
      </c>
      <c r="T376" s="153">
        <v>4.8499999999999996</v>
      </c>
      <c r="U376" s="3" t="s">
        <v>258</v>
      </c>
      <c r="V376" s="164">
        <v>5.3800000000000001E-2</v>
      </c>
      <c r="W376" s="164">
        <v>5.5210000000000002E-2</v>
      </c>
      <c r="X376" s="5" t="s">
        <v>146</v>
      </c>
      <c r="Y376" s="5" t="s">
        <v>141</v>
      </c>
      <c r="Z376" s="153">
        <v>220772</v>
      </c>
      <c r="AA376" s="162">
        <v>1</v>
      </c>
      <c r="AB376" s="172">
        <v>100.68</v>
      </c>
      <c r="AD376" s="153">
        <v>222.273</v>
      </c>
      <c r="AG376" s="3" t="s">
        <v>36</v>
      </c>
      <c r="AH376" s="164">
        <v>8.83E-4</v>
      </c>
      <c r="AI376" s="164">
        <v>9.0433415101709297E-3</v>
      </c>
      <c r="AJ376" s="164">
        <v>1.4649101736615999E-3</v>
      </c>
    </row>
    <row r="377" spans="1:36">
      <c r="A377" s="3">
        <v>424</v>
      </c>
      <c r="B377" s="3">
        <v>7229</v>
      </c>
      <c r="C377" s="3" t="s">
        <v>182</v>
      </c>
      <c r="D377" s="3" t="s">
        <v>183</v>
      </c>
      <c r="E377" s="5" t="s">
        <v>134</v>
      </c>
      <c r="F377" s="3" t="s">
        <v>243</v>
      </c>
      <c r="G377" s="3" t="s">
        <v>244</v>
      </c>
      <c r="H377" s="3" t="s">
        <v>137</v>
      </c>
      <c r="I377" s="3" t="s">
        <v>138</v>
      </c>
      <c r="J377" s="3" t="s">
        <v>30</v>
      </c>
      <c r="K377" s="3" t="s">
        <v>30</v>
      </c>
      <c r="L377" s="3" t="s">
        <v>139</v>
      </c>
      <c r="M377" s="3" t="s">
        <v>31</v>
      </c>
      <c r="N377" s="3" t="s">
        <v>186</v>
      </c>
      <c r="O377" s="3" t="s">
        <v>141</v>
      </c>
      <c r="P377" s="3" t="s">
        <v>180</v>
      </c>
      <c r="Q377" s="3" t="s">
        <v>143</v>
      </c>
      <c r="R377" s="3" t="s">
        <v>144</v>
      </c>
      <c r="S377" s="3" t="s">
        <v>34</v>
      </c>
      <c r="T377" s="153">
        <v>6.952</v>
      </c>
      <c r="U377" s="3" t="s">
        <v>245</v>
      </c>
      <c r="V377" s="164">
        <v>3.5999999999999997E-2</v>
      </c>
      <c r="W377" s="164">
        <v>2.989E-2</v>
      </c>
      <c r="X377" s="5" t="s">
        <v>146</v>
      </c>
      <c r="Y377" s="5" t="s">
        <v>141</v>
      </c>
      <c r="Z377" s="153">
        <v>143000</v>
      </c>
      <c r="AA377" s="162">
        <v>1</v>
      </c>
      <c r="AB377" s="172">
        <v>109.05</v>
      </c>
      <c r="AD377" s="153">
        <v>155.941</v>
      </c>
      <c r="AG377" s="3" t="s">
        <v>36</v>
      </c>
      <c r="AH377" s="164">
        <v>1.63E-4</v>
      </c>
      <c r="AI377" s="164">
        <v>6.3445882158386403E-3</v>
      </c>
      <c r="AJ377" s="164">
        <v>1.0277453101403299E-3</v>
      </c>
    </row>
    <row r="378" spans="1:36">
      <c r="A378" s="3">
        <v>424</v>
      </c>
      <c r="B378" s="3">
        <v>7229</v>
      </c>
      <c r="C378" s="3" t="s">
        <v>246</v>
      </c>
      <c r="D378" s="3" t="s">
        <v>247</v>
      </c>
      <c r="E378" s="5" t="s">
        <v>134</v>
      </c>
      <c r="F378" s="3" t="s">
        <v>248</v>
      </c>
      <c r="G378" s="3" t="s">
        <v>249</v>
      </c>
      <c r="H378" s="3" t="s">
        <v>137</v>
      </c>
      <c r="I378" s="3" t="s">
        <v>138</v>
      </c>
      <c r="J378" s="3" t="s">
        <v>30</v>
      </c>
      <c r="K378" s="3" t="s">
        <v>30</v>
      </c>
      <c r="L378" s="3" t="s">
        <v>139</v>
      </c>
      <c r="M378" s="3" t="s">
        <v>31</v>
      </c>
      <c r="N378" s="3" t="s">
        <v>186</v>
      </c>
      <c r="O378" s="3" t="s">
        <v>141</v>
      </c>
      <c r="P378" s="3" t="s">
        <v>230</v>
      </c>
      <c r="Q378" s="3" t="s">
        <v>143</v>
      </c>
      <c r="R378" s="3" t="s">
        <v>144</v>
      </c>
      <c r="S378" s="3" t="s">
        <v>34</v>
      </c>
      <c r="T378" s="153">
        <v>5.3049999999999997</v>
      </c>
      <c r="U378" s="3" t="s">
        <v>250</v>
      </c>
      <c r="V378" s="164">
        <v>3.6799999999999999E-2</v>
      </c>
      <c r="W378" s="164">
        <v>3.2320000000000002E-2</v>
      </c>
      <c r="X378" s="5" t="s">
        <v>146</v>
      </c>
      <c r="Y378" s="5" t="s">
        <v>141</v>
      </c>
      <c r="Z378" s="153">
        <v>248000</v>
      </c>
      <c r="AA378" s="162">
        <v>1</v>
      </c>
      <c r="AB378" s="172">
        <v>110.18</v>
      </c>
      <c r="AD378" s="153">
        <v>273.24599999999998</v>
      </c>
      <c r="AG378" s="3" t="s">
        <v>36</v>
      </c>
      <c r="AH378" s="164">
        <v>5.5900000000000004E-4</v>
      </c>
      <c r="AI378" s="164">
        <v>1.11172195307877E-2</v>
      </c>
      <c r="AJ378" s="164">
        <v>1.8008529231328999E-3</v>
      </c>
    </row>
    <row r="379" spans="1:36">
      <c r="A379" s="3">
        <v>424</v>
      </c>
      <c r="B379" s="3">
        <v>7229</v>
      </c>
      <c r="C379" s="3" t="s">
        <v>246</v>
      </c>
      <c r="D379" s="3" t="s">
        <v>247</v>
      </c>
      <c r="E379" s="5" t="s">
        <v>134</v>
      </c>
      <c r="F379" s="3" t="s">
        <v>251</v>
      </c>
      <c r="G379" s="3" t="s">
        <v>252</v>
      </c>
      <c r="H379" s="3" t="s">
        <v>137</v>
      </c>
      <c r="I379" s="3" t="s">
        <v>138</v>
      </c>
      <c r="J379" s="3" t="s">
        <v>30</v>
      </c>
      <c r="K379" s="3" t="s">
        <v>30</v>
      </c>
      <c r="L379" s="3" t="s">
        <v>139</v>
      </c>
      <c r="M379" s="3" t="s">
        <v>31</v>
      </c>
      <c r="N379" s="3" t="s">
        <v>186</v>
      </c>
      <c r="O379" s="3" t="s">
        <v>141</v>
      </c>
      <c r="P379" s="3" t="s">
        <v>230</v>
      </c>
      <c r="Q379" s="3" t="s">
        <v>143</v>
      </c>
      <c r="R379" s="3" t="s">
        <v>144</v>
      </c>
      <c r="S379" s="3" t="s">
        <v>34</v>
      </c>
      <c r="T379" s="153">
        <v>0.96499999999999997</v>
      </c>
      <c r="U379" s="3" t="s">
        <v>253</v>
      </c>
      <c r="V379" s="164">
        <v>3.4599999999999999E-2</v>
      </c>
      <c r="W379" s="164">
        <v>3.4209999999999997E-2</v>
      </c>
      <c r="X379" s="5" t="s">
        <v>146</v>
      </c>
      <c r="Y379" s="5" t="s">
        <v>141</v>
      </c>
      <c r="Z379" s="153">
        <v>0.91</v>
      </c>
      <c r="AA379" s="162">
        <v>1</v>
      </c>
      <c r="AB379" s="172">
        <v>120.85</v>
      </c>
      <c r="AD379" s="153">
        <v>1E-3</v>
      </c>
      <c r="AG379" s="3" t="s">
        <v>36</v>
      </c>
      <c r="AH379" s="164">
        <v>0</v>
      </c>
      <c r="AI379" s="164">
        <v>4.4743482149045003E-8</v>
      </c>
      <c r="AJ379" s="164">
        <v>7.2478941695903707E-9</v>
      </c>
    </row>
    <row r="380" spans="1:36">
      <c r="A380" s="3">
        <v>424</v>
      </c>
      <c r="B380" s="3">
        <v>7229</v>
      </c>
      <c r="C380" s="3" t="s">
        <v>254</v>
      </c>
      <c r="D380" s="3" t="s">
        <v>255</v>
      </c>
      <c r="E380" s="5" t="s">
        <v>134</v>
      </c>
      <c r="F380" s="3" t="s">
        <v>585</v>
      </c>
      <c r="G380" s="3" t="s">
        <v>586</v>
      </c>
      <c r="H380" s="3" t="s">
        <v>137</v>
      </c>
      <c r="I380" s="3" t="s">
        <v>156</v>
      </c>
      <c r="J380" s="3" t="s">
        <v>30</v>
      </c>
      <c r="K380" s="3" t="s">
        <v>30</v>
      </c>
      <c r="L380" s="3" t="s">
        <v>139</v>
      </c>
      <c r="M380" s="3" t="s">
        <v>31</v>
      </c>
      <c r="N380" s="3" t="s">
        <v>162</v>
      </c>
      <c r="O380" s="3" t="s">
        <v>141</v>
      </c>
      <c r="P380" s="3" t="s">
        <v>230</v>
      </c>
      <c r="Q380" s="3" t="s">
        <v>143</v>
      </c>
      <c r="R380" s="3" t="s">
        <v>144</v>
      </c>
      <c r="S380" s="3" t="s">
        <v>34</v>
      </c>
      <c r="T380" s="153">
        <v>1.6870000000000001</v>
      </c>
      <c r="U380" s="3" t="s">
        <v>587</v>
      </c>
      <c r="V380" s="164">
        <v>4.2999999999999997E-2</v>
      </c>
      <c r="W380" s="164">
        <v>5.1029999999999999E-2</v>
      </c>
      <c r="X380" s="5" t="s">
        <v>146</v>
      </c>
      <c r="Y380" s="5" t="s">
        <v>141</v>
      </c>
      <c r="Z380" s="153">
        <v>247817.95</v>
      </c>
      <c r="AA380" s="162">
        <v>1</v>
      </c>
      <c r="AB380" s="172">
        <v>99.73</v>
      </c>
      <c r="AD380" s="153">
        <v>247.149</v>
      </c>
      <c r="AG380" s="3" t="s">
        <v>36</v>
      </c>
      <c r="AH380" s="164">
        <v>3.5100000000000002E-4</v>
      </c>
      <c r="AI380" s="164">
        <v>1.0055422242066001E-2</v>
      </c>
      <c r="AJ380" s="164">
        <v>1.6288548128254E-3</v>
      </c>
    </row>
    <row r="381" spans="1:36">
      <c r="A381" s="3">
        <v>424</v>
      </c>
      <c r="B381" s="3">
        <v>7229</v>
      </c>
      <c r="C381" s="3" t="s">
        <v>254</v>
      </c>
      <c r="D381" s="3" t="s">
        <v>255</v>
      </c>
      <c r="E381" s="5" t="s">
        <v>134</v>
      </c>
      <c r="F381" s="3" t="s">
        <v>256</v>
      </c>
      <c r="G381" s="3" t="s">
        <v>257</v>
      </c>
      <c r="H381" s="3" t="s">
        <v>137</v>
      </c>
      <c r="I381" s="3" t="s">
        <v>138</v>
      </c>
      <c r="J381" s="3" t="s">
        <v>30</v>
      </c>
      <c r="K381" s="3" t="s">
        <v>30</v>
      </c>
      <c r="L381" s="3" t="s">
        <v>139</v>
      </c>
      <c r="M381" s="3" t="s">
        <v>31</v>
      </c>
      <c r="N381" s="3" t="s">
        <v>162</v>
      </c>
      <c r="O381" s="3" t="s">
        <v>141</v>
      </c>
      <c r="P381" s="3" t="s">
        <v>230</v>
      </c>
      <c r="Q381" s="3" t="s">
        <v>143</v>
      </c>
      <c r="R381" s="3" t="s">
        <v>144</v>
      </c>
      <c r="S381" s="3" t="s">
        <v>34</v>
      </c>
      <c r="T381" s="153">
        <v>4.6859999999999999</v>
      </c>
      <c r="U381" s="3" t="s">
        <v>258</v>
      </c>
      <c r="V381" s="164">
        <v>4.0800000000000003E-2</v>
      </c>
      <c r="W381" s="164">
        <v>3.4189999999999998E-2</v>
      </c>
      <c r="X381" s="5" t="s">
        <v>146</v>
      </c>
      <c r="Y381" s="5" t="s">
        <v>141</v>
      </c>
      <c r="Z381" s="153">
        <v>430000</v>
      </c>
      <c r="AA381" s="162">
        <v>1</v>
      </c>
      <c r="AB381" s="172">
        <v>111.71</v>
      </c>
      <c r="AD381" s="153">
        <v>480.35300000000001</v>
      </c>
      <c r="AG381" s="3" t="s">
        <v>36</v>
      </c>
      <c r="AH381" s="164">
        <v>4.95E-4</v>
      </c>
      <c r="AI381" s="164">
        <v>1.9543495370012098E-2</v>
      </c>
      <c r="AJ381" s="164">
        <v>3.1658060424058902E-3</v>
      </c>
    </row>
    <row r="382" spans="1:36">
      <c r="A382" s="3">
        <v>424</v>
      </c>
      <c r="B382" s="3">
        <v>7229</v>
      </c>
      <c r="C382" s="3" t="s">
        <v>259</v>
      </c>
      <c r="D382" s="3" t="s">
        <v>260</v>
      </c>
      <c r="E382" s="5" t="s">
        <v>134</v>
      </c>
      <c r="F382" s="3" t="s">
        <v>261</v>
      </c>
      <c r="G382" s="3" t="s">
        <v>262</v>
      </c>
      <c r="H382" s="3" t="s">
        <v>137</v>
      </c>
      <c r="I382" s="3" t="s">
        <v>156</v>
      </c>
      <c r="J382" s="3" t="s">
        <v>30</v>
      </c>
      <c r="K382" s="3" t="s">
        <v>30</v>
      </c>
      <c r="L382" s="3" t="s">
        <v>139</v>
      </c>
      <c r="M382" s="3" t="s">
        <v>31</v>
      </c>
      <c r="N382" s="3" t="s">
        <v>151</v>
      </c>
      <c r="O382" s="3" t="s">
        <v>141</v>
      </c>
      <c r="P382" s="3" t="s">
        <v>152</v>
      </c>
      <c r="Q382" s="3" t="s">
        <v>143</v>
      </c>
      <c r="R382" s="3" t="s">
        <v>144</v>
      </c>
      <c r="S382" s="3" t="s">
        <v>34</v>
      </c>
      <c r="T382" s="153">
        <v>5.7279999999999998</v>
      </c>
      <c r="U382" s="3" t="s">
        <v>263</v>
      </c>
      <c r="V382" s="164">
        <v>5.2499999999999998E-2</v>
      </c>
      <c r="W382" s="164">
        <v>5.339E-2</v>
      </c>
      <c r="X382" s="5" t="s">
        <v>146</v>
      </c>
      <c r="Y382" s="5" t="s">
        <v>141</v>
      </c>
      <c r="Z382" s="153">
        <v>300000</v>
      </c>
      <c r="AA382" s="162">
        <v>1</v>
      </c>
      <c r="AB382" s="172">
        <v>101.34</v>
      </c>
      <c r="AD382" s="153">
        <v>304.02</v>
      </c>
      <c r="AG382" s="3" t="s">
        <v>36</v>
      </c>
      <c r="AH382" s="164">
        <v>4.5600000000000003E-4</v>
      </c>
      <c r="AI382" s="164">
        <v>1.23692648164809E-2</v>
      </c>
      <c r="AJ382" s="164">
        <v>2.0036688706268901E-3</v>
      </c>
    </row>
    <row r="383" spans="1:36">
      <c r="A383" s="3">
        <v>424</v>
      </c>
      <c r="B383" s="3">
        <v>7229</v>
      </c>
      <c r="C383" s="3" t="s">
        <v>259</v>
      </c>
      <c r="D383" s="3" t="s">
        <v>260</v>
      </c>
      <c r="E383" s="5" t="s">
        <v>134</v>
      </c>
      <c r="F383" s="3" t="s">
        <v>264</v>
      </c>
      <c r="G383" s="3" t="s">
        <v>265</v>
      </c>
      <c r="H383" s="3" t="s">
        <v>137</v>
      </c>
      <c r="I383" s="3" t="s">
        <v>156</v>
      </c>
      <c r="J383" s="3" t="s">
        <v>30</v>
      </c>
      <c r="K383" s="3" t="s">
        <v>30</v>
      </c>
      <c r="L383" s="3" t="s">
        <v>139</v>
      </c>
      <c r="M383" s="3" t="s">
        <v>31</v>
      </c>
      <c r="N383" s="3" t="s">
        <v>151</v>
      </c>
      <c r="O383" s="3" t="s">
        <v>141</v>
      </c>
      <c r="P383" s="3" t="s">
        <v>152</v>
      </c>
      <c r="Q383" s="3" t="s">
        <v>143</v>
      </c>
      <c r="R383" s="3" t="s">
        <v>144</v>
      </c>
      <c r="S383" s="3" t="s">
        <v>34</v>
      </c>
      <c r="T383" s="153">
        <v>2.21</v>
      </c>
      <c r="U383" s="3" t="s">
        <v>266</v>
      </c>
      <c r="V383" s="164">
        <v>2.7E-2</v>
      </c>
      <c r="W383" s="164">
        <v>5.0229999999999997E-2</v>
      </c>
      <c r="X383" s="5" t="s">
        <v>146</v>
      </c>
      <c r="Y383" s="5" t="s">
        <v>141</v>
      </c>
      <c r="Z383" s="153">
        <v>157500</v>
      </c>
      <c r="AA383" s="162">
        <v>1</v>
      </c>
      <c r="AB383" s="172">
        <v>95.21</v>
      </c>
      <c r="AD383" s="153">
        <v>149.95599999999999</v>
      </c>
      <c r="AG383" s="3" t="s">
        <v>36</v>
      </c>
      <c r="AH383" s="164">
        <v>2.7500000000000002E-4</v>
      </c>
      <c r="AI383" s="164">
        <v>6.1010538204855297E-3</v>
      </c>
      <c r="AJ383" s="164">
        <v>9.8829573135487199E-4</v>
      </c>
    </row>
    <row r="384" spans="1:36">
      <c r="A384" s="3">
        <v>424</v>
      </c>
      <c r="B384" s="3">
        <v>7229</v>
      </c>
      <c r="C384" s="3" t="s">
        <v>267</v>
      </c>
      <c r="D384" s="3" t="s">
        <v>268</v>
      </c>
      <c r="E384" s="5" t="s">
        <v>134</v>
      </c>
      <c r="F384" s="3" t="s">
        <v>269</v>
      </c>
      <c r="G384" s="3" t="s">
        <v>270</v>
      </c>
      <c r="H384" s="3" t="s">
        <v>137</v>
      </c>
      <c r="I384" s="3" t="s">
        <v>138</v>
      </c>
      <c r="J384" s="3" t="s">
        <v>30</v>
      </c>
      <c r="K384" s="3" t="s">
        <v>30</v>
      </c>
      <c r="L384" s="3" t="s">
        <v>139</v>
      </c>
      <c r="M384" s="3" t="s">
        <v>31</v>
      </c>
      <c r="N384" s="3" t="s">
        <v>186</v>
      </c>
      <c r="O384" s="3" t="s">
        <v>141</v>
      </c>
      <c r="P384" s="3" t="s">
        <v>271</v>
      </c>
      <c r="Q384" s="3" t="s">
        <v>164</v>
      </c>
      <c r="R384" s="3" t="s">
        <v>144</v>
      </c>
      <c r="S384" s="3" t="s">
        <v>34</v>
      </c>
      <c r="T384" s="153">
        <v>3.51</v>
      </c>
      <c r="U384" s="3" t="s">
        <v>272</v>
      </c>
      <c r="V384" s="164">
        <v>1.17E-2</v>
      </c>
      <c r="W384" s="164">
        <v>2.8479999999999998E-2</v>
      </c>
      <c r="X384" s="5" t="s">
        <v>146</v>
      </c>
      <c r="Y384" s="5" t="s">
        <v>141</v>
      </c>
      <c r="Z384" s="153">
        <v>419160</v>
      </c>
      <c r="AA384" s="162">
        <v>1</v>
      </c>
      <c r="AB384" s="172">
        <v>111.54</v>
      </c>
      <c r="AD384" s="153">
        <v>467.53100000000001</v>
      </c>
      <c r="AG384" s="3" t="s">
        <v>36</v>
      </c>
      <c r="AH384" s="164">
        <v>6.0899999999999995E-4</v>
      </c>
      <c r="AI384" s="164">
        <v>1.9021826000089101E-2</v>
      </c>
      <c r="AJ384" s="164">
        <v>3.0813020162748098E-3</v>
      </c>
    </row>
    <row r="385" spans="1:36">
      <c r="A385" s="3">
        <v>424</v>
      </c>
      <c r="B385" s="3">
        <v>7229</v>
      </c>
      <c r="C385" s="3" t="s">
        <v>267</v>
      </c>
      <c r="D385" s="3" t="s">
        <v>268</v>
      </c>
      <c r="E385" s="5" t="s">
        <v>134</v>
      </c>
      <c r="F385" s="3" t="s">
        <v>275</v>
      </c>
      <c r="G385" s="3" t="s">
        <v>276</v>
      </c>
      <c r="H385" s="3" t="s">
        <v>137</v>
      </c>
      <c r="I385" s="3" t="s">
        <v>138</v>
      </c>
      <c r="J385" s="3" t="s">
        <v>30</v>
      </c>
      <c r="K385" s="3" t="s">
        <v>30</v>
      </c>
      <c r="L385" s="3" t="s">
        <v>139</v>
      </c>
      <c r="M385" s="3" t="s">
        <v>31</v>
      </c>
      <c r="N385" s="3" t="s">
        <v>186</v>
      </c>
      <c r="O385" s="3" t="s">
        <v>141</v>
      </c>
      <c r="P385" s="3" t="s">
        <v>142</v>
      </c>
      <c r="Q385" s="3" t="s">
        <v>143</v>
      </c>
      <c r="R385" s="3" t="s">
        <v>144</v>
      </c>
      <c r="S385" s="3" t="s">
        <v>34</v>
      </c>
      <c r="T385" s="153">
        <v>4.6689999999999996</v>
      </c>
      <c r="U385" s="3" t="s">
        <v>277</v>
      </c>
      <c r="V385" s="164">
        <v>1.8700000000000001E-2</v>
      </c>
      <c r="W385" s="164">
        <v>2.946E-2</v>
      </c>
      <c r="X385" s="5" t="s">
        <v>146</v>
      </c>
      <c r="Y385" s="5" t="s">
        <v>141</v>
      </c>
      <c r="Z385" s="153">
        <v>190909.09</v>
      </c>
      <c r="AA385" s="162">
        <v>1</v>
      </c>
      <c r="AB385" s="172">
        <v>109.28</v>
      </c>
      <c r="AD385" s="153">
        <v>208.625</v>
      </c>
      <c r="AG385" s="3" t="s">
        <v>36</v>
      </c>
      <c r="AH385" s="164">
        <v>1.95E-4</v>
      </c>
      <c r="AI385" s="164">
        <v>8.48807145070434E-3</v>
      </c>
      <c r="AJ385" s="164">
        <v>1.3749632488078401E-3</v>
      </c>
    </row>
    <row r="386" spans="1:36">
      <c r="A386" s="3">
        <v>424</v>
      </c>
      <c r="B386" s="3">
        <v>7229</v>
      </c>
      <c r="C386" s="3" t="s">
        <v>267</v>
      </c>
      <c r="D386" s="3" t="s">
        <v>268</v>
      </c>
      <c r="E386" s="5" t="s">
        <v>134</v>
      </c>
      <c r="F386" s="3" t="s">
        <v>278</v>
      </c>
      <c r="G386" s="3" t="s">
        <v>279</v>
      </c>
      <c r="H386" s="3" t="s">
        <v>137</v>
      </c>
      <c r="I386" s="3" t="s">
        <v>138</v>
      </c>
      <c r="J386" s="3" t="s">
        <v>30</v>
      </c>
      <c r="K386" s="3" t="s">
        <v>30</v>
      </c>
      <c r="L386" s="3" t="s">
        <v>139</v>
      </c>
      <c r="M386" s="3" t="s">
        <v>31</v>
      </c>
      <c r="N386" s="3" t="s">
        <v>186</v>
      </c>
      <c r="O386" s="3" t="s">
        <v>141</v>
      </c>
      <c r="P386" s="3" t="s">
        <v>271</v>
      </c>
      <c r="Q386" s="3" t="s">
        <v>164</v>
      </c>
      <c r="R386" s="3" t="s">
        <v>144</v>
      </c>
      <c r="S386" s="3" t="s">
        <v>34</v>
      </c>
      <c r="T386" s="153">
        <v>6.9960000000000004</v>
      </c>
      <c r="U386" s="3" t="s">
        <v>280</v>
      </c>
      <c r="V386" s="164">
        <v>3.0599999999999999E-2</v>
      </c>
      <c r="W386" s="164">
        <v>3.1600000000000003E-2</v>
      </c>
      <c r="X386" s="5" t="s">
        <v>146</v>
      </c>
      <c r="Y386" s="5" t="s">
        <v>141</v>
      </c>
      <c r="Z386" s="153">
        <v>370000</v>
      </c>
      <c r="AA386" s="162">
        <v>1</v>
      </c>
      <c r="AB386" s="172">
        <v>101.01</v>
      </c>
      <c r="AD386" s="153">
        <v>373.73700000000002</v>
      </c>
      <c r="AG386" s="3" t="s">
        <v>36</v>
      </c>
      <c r="AH386" s="164">
        <v>3.4200000000000002E-4</v>
      </c>
      <c r="AI386" s="164">
        <v>1.52057493741107E-2</v>
      </c>
      <c r="AJ386" s="164">
        <v>2.4631445059584301E-3</v>
      </c>
    </row>
    <row r="387" spans="1:36">
      <c r="A387" s="3">
        <v>424</v>
      </c>
      <c r="B387" s="3">
        <v>7229</v>
      </c>
      <c r="C387" s="3" t="s">
        <v>267</v>
      </c>
      <c r="D387" s="3" t="s">
        <v>268</v>
      </c>
      <c r="E387" s="5" t="s">
        <v>134</v>
      </c>
      <c r="F387" s="3" t="s">
        <v>674</v>
      </c>
      <c r="G387" s="3" t="s">
        <v>675</v>
      </c>
      <c r="H387" s="3" t="s">
        <v>137</v>
      </c>
      <c r="I387" s="3" t="s">
        <v>138</v>
      </c>
      <c r="J387" s="3" t="s">
        <v>30</v>
      </c>
      <c r="K387" s="3" t="s">
        <v>30</v>
      </c>
      <c r="L387" s="3" t="s">
        <v>139</v>
      </c>
      <c r="M387" s="3" t="s">
        <v>31</v>
      </c>
      <c r="N387" s="3" t="s">
        <v>186</v>
      </c>
      <c r="O387" s="3" t="s">
        <v>141</v>
      </c>
      <c r="P387" s="3" t="s">
        <v>142</v>
      </c>
      <c r="Q387" s="3" t="s">
        <v>143</v>
      </c>
      <c r="R387" s="3" t="s">
        <v>144</v>
      </c>
      <c r="S387" s="3" t="s">
        <v>34</v>
      </c>
      <c r="T387" s="153">
        <v>1.9359999999999999</v>
      </c>
      <c r="U387" s="3" t="s">
        <v>676</v>
      </c>
      <c r="V387" s="164">
        <v>3.3500000000000002E-2</v>
      </c>
      <c r="W387" s="164">
        <v>2.887E-2</v>
      </c>
      <c r="X387" s="5" t="s">
        <v>146</v>
      </c>
      <c r="Y387" s="5" t="s">
        <v>141</v>
      </c>
      <c r="Z387" s="153">
        <v>108680</v>
      </c>
      <c r="AA387" s="162">
        <v>1</v>
      </c>
      <c r="AB387" s="172">
        <v>119.82</v>
      </c>
      <c r="AD387" s="153">
        <v>130.22</v>
      </c>
      <c r="AG387" s="3" t="s">
        <v>36</v>
      </c>
      <c r="AH387" s="164">
        <v>1.8000000000000001E-4</v>
      </c>
      <c r="AI387" s="164">
        <v>5.2981064247277099E-3</v>
      </c>
      <c r="AJ387" s="164">
        <v>8.5822812220422704E-4</v>
      </c>
    </row>
    <row r="388" spans="1:36">
      <c r="A388" s="3">
        <v>424</v>
      </c>
      <c r="B388" s="3">
        <v>7229</v>
      </c>
      <c r="C388" s="3" t="s">
        <v>281</v>
      </c>
      <c r="D388" s="3" t="s">
        <v>282</v>
      </c>
      <c r="E388" s="5" t="s">
        <v>134</v>
      </c>
      <c r="F388" s="3" t="s">
        <v>283</v>
      </c>
      <c r="G388" s="3" t="s">
        <v>284</v>
      </c>
      <c r="H388" s="3" t="s">
        <v>137</v>
      </c>
      <c r="I388" s="3" t="s">
        <v>138</v>
      </c>
      <c r="J388" s="3" t="s">
        <v>30</v>
      </c>
      <c r="K388" s="3" t="s">
        <v>30</v>
      </c>
      <c r="L388" s="3" t="s">
        <v>139</v>
      </c>
      <c r="M388" s="3" t="s">
        <v>31</v>
      </c>
      <c r="N388" s="3" t="s">
        <v>285</v>
      </c>
      <c r="O388" s="3" t="s">
        <v>141</v>
      </c>
      <c r="P388" s="3" t="s">
        <v>286</v>
      </c>
      <c r="Q388" s="3" t="s">
        <v>143</v>
      </c>
      <c r="R388" s="3" t="s">
        <v>144</v>
      </c>
      <c r="S388" s="3" t="s">
        <v>34</v>
      </c>
      <c r="T388" s="153">
        <v>2.8420000000000001</v>
      </c>
      <c r="U388" s="3" t="s">
        <v>287</v>
      </c>
      <c r="V388" s="164">
        <v>2.52E-2</v>
      </c>
      <c r="W388" s="164">
        <v>2.5590000000000002E-2</v>
      </c>
      <c r="X388" s="5" t="s">
        <v>146</v>
      </c>
      <c r="Y388" s="5" t="s">
        <v>141</v>
      </c>
      <c r="Z388" s="153">
        <v>365201</v>
      </c>
      <c r="AA388" s="162">
        <v>1</v>
      </c>
      <c r="AB388" s="172">
        <v>100.78</v>
      </c>
      <c r="AD388" s="153">
        <v>368.05</v>
      </c>
      <c r="AG388" s="3" t="s">
        <v>36</v>
      </c>
      <c r="AH388" s="164">
        <v>2.1499999999999999E-4</v>
      </c>
      <c r="AI388" s="164">
        <v>1.4974352245607401E-2</v>
      </c>
      <c r="AJ388" s="164">
        <v>2.4256610152244601E-3</v>
      </c>
    </row>
    <row r="389" spans="1:36">
      <c r="A389" s="3">
        <v>424</v>
      </c>
      <c r="B389" s="3">
        <v>7229</v>
      </c>
      <c r="C389" s="3" t="s">
        <v>259</v>
      </c>
      <c r="D389" s="3" t="s">
        <v>260</v>
      </c>
      <c r="E389" s="5" t="s">
        <v>134</v>
      </c>
      <c r="F389" s="3" t="s">
        <v>288</v>
      </c>
      <c r="G389" s="3" t="s">
        <v>289</v>
      </c>
      <c r="H389" s="3" t="s">
        <v>137</v>
      </c>
      <c r="I389" s="3" t="s">
        <v>156</v>
      </c>
      <c r="J389" s="3" t="s">
        <v>30</v>
      </c>
      <c r="K389" s="3" t="s">
        <v>30</v>
      </c>
      <c r="L389" s="3" t="s">
        <v>139</v>
      </c>
      <c r="M389" s="3" t="s">
        <v>31</v>
      </c>
      <c r="N389" s="3" t="s">
        <v>151</v>
      </c>
      <c r="O389" s="3" t="s">
        <v>141</v>
      </c>
      <c r="P389" s="3" t="s">
        <v>152</v>
      </c>
      <c r="Q389" s="3" t="s">
        <v>143</v>
      </c>
      <c r="R389" s="3" t="s">
        <v>144</v>
      </c>
      <c r="S389" s="3" t="s">
        <v>34</v>
      </c>
      <c r="T389" s="153">
        <v>3.8719999999999999</v>
      </c>
      <c r="U389" s="3" t="s">
        <v>290</v>
      </c>
      <c r="V389" s="164">
        <v>5.7500000000000002E-2</v>
      </c>
      <c r="W389" s="164">
        <v>5.033E-2</v>
      </c>
      <c r="X389" s="5" t="s">
        <v>146</v>
      </c>
      <c r="Y389" s="5" t="s">
        <v>141</v>
      </c>
      <c r="Z389" s="153">
        <v>140252</v>
      </c>
      <c r="AA389" s="162">
        <v>1</v>
      </c>
      <c r="AB389" s="172">
        <v>103.14</v>
      </c>
      <c r="AD389" s="153">
        <v>144.65600000000001</v>
      </c>
      <c r="AG389" s="3" t="s">
        <v>36</v>
      </c>
      <c r="AH389" s="164">
        <v>2.6699999999999998E-4</v>
      </c>
      <c r="AI389" s="164">
        <v>5.8854262637095403E-3</v>
      </c>
      <c r="AJ389" s="164">
        <v>9.5336671741818896E-4</v>
      </c>
    </row>
    <row r="390" spans="1:36">
      <c r="A390" s="3">
        <v>424</v>
      </c>
      <c r="B390" s="3">
        <v>7229</v>
      </c>
      <c r="C390" s="3" t="s">
        <v>291</v>
      </c>
      <c r="D390" s="3" t="s">
        <v>292</v>
      </c>
      <c r="E390" s="5" t="s">
        <v>134</v>
      </c>
      <c r="F390" s="3" t="s">
        <v>293</v>
      </c>
      <c r="G390" s="3" t="s">
        <v>294</v>
      </c>
      <c r="H390" s="3" t="s">
        <v>137</v>
      </c>
      <c r="I390" s="3" t="s">
        <v>156</v>
      </c>
      <c r="J390" s="3" t="s">
        <v>30</v>
      </c>
      <c r="K390" s="3" t="s">
        <v>30</v>
      </c>
      <c r="L390" s="3" t="s">
        <v>139</v>
      </c>
      <c r="M390" s="3" t="s">
        <v>31</v>
      </c>
      <c r="N390" s="3" t="s">
        <v>186</v>
      </c>
      <c r="O390" s="3" t="s">
        <v>141</v>
      </c>
      <c r="P390" s="3" t="s">
        <v>180</v>
      </c>
      <c r="Q390" s="3" t="s">
        <v>143</v>
      </c>
      <c r="R390" s="3" t="s">
        <v>144</v>
      </c>
      <c r="S390" s="3" t="s">
        <v>34</v>
      </c>
      <c r="T390" s="153">
        <v>4.5410000000000004</v>
      </c>
      <c r="U390" s="3" t="s">
        <v>295</v>
      </c>
      <c r="V390" s="164">
        <v>2.5499999999999998E-2</v>
      </c>
      <c r="W390" s="164">
        <v>4.9320000000000003E-2</v>
      </c>
      <c r="X390" s="5" t="s">
        <v>146</v>
      </c>
      <c r="Y390" s="5" t="s">
        <v>141</v>
      </c>
      <c r="Z390" s="153">
        <v>194000</v>
      </c>
      <c r="AA390" s="162">
        <v>1</v>
      </c>
      <c r="AB390" s="172">
        <v>90.63</v>
      </c>
      <c r="AD390" s="153">
        <v>175.822</v>
      </c>
      <c r="AG390" s="3" t="s">
        <v>36</v>
      </c>
      <c r="AH390" s="164">
        <v>6.9999999999999994E-5</v>
      </c>
      <c r="AI390" s="164">
        <v>7.1534483008232203E-3</v>
      </c>
      <c r="AJ390" s="164">
        <v>1.1587707022733199E-3</v>
      </c>
    </row>
    <row r="391" spans="1:36">
      <c r="A391" s="3">
        <v>424</v>
      </c>
      <c r="B391" s="3">
        <v>7229</v>
      </c>
      <c r="C391" s="3" t="s">
        <v>291</v>
      </c>
      <c r="D391" s="3" t="s">
        <v>292</v>
      </c>
      <c r="E391" s="5" t="s">
        <v>134</v>
      </c>
      <c r="F391" s="3" t="s">
        <v>299</v>
      </c>
      <c r="G391" s="3" t="s">
        <v>300</v>
      </c>
      <c r="H391" s="3" t="s">
        <v>137</v>
      </c>
      <c r="I391" s="3" t="s">
        <v>138</v>
      </c>
      <c r="J391" s="3" t="s">
        <v>30</v>
      </c>
      <c r="K391" s="3" t="s">
        <v>30</v>
      </c>
      <c r="L391" s="3" t="s">
        <v>139</v>
      </c>
      <c r="M391" s="3" t="s">
        <v>31</v>
      </c>
      <c r="N391" s="3" t="s">
        <v>186</v>
      </c>
      <c r="O391" s="3" t="s">
        <v>141</v>
      </c>
      <c r="P391" s="3" t="s">
        <v>180</v>
      </c>
      <c r="Q391" s="3" t="s">
        <v>143</v>
      </c>
      <c r="R391" s="3" t="s">
        <v>144</v>
      </c>
      <c r="S391" s="3" t="s">
        <v>34</v>
      </c>
      <c r="T391" s="153">
        <v>4.1829999999999998</v>
      </c>
      <c r="U391" s="3" t="s">
        <v>301</v>
      </c>
      <c r="V391" s="164">
        <v>5.8999999999999999E-3</v>
      </c>
      <c r="W391" s="164">
        <v>2.921E-2</v>
      </c>
      <c r="X391" s="5" t="s">
        <v>146</v>
      </c>
      <c r="Y391" s="5" t="s">
        <v>141</v>
      </c>
      <c r="Z391" s="153">
        <v>224263</v>
      </c>
      <c r="AA391" s="162">
        <v>1</v>
      </c>
      <c r="AB391" s="172">
        <v>104.71</v>
      </c>
      <c r="AD391" s="153">
        <v>234.82599999999999</v>
      </c>
      <c r="AG391" s="3" t="s">
        <v>36</v>
      </c>
      <c r="AH391" s="164">
        <v>1.6000000000000001E-4</v>
      </c>
      <c r="AI391" s="164">
        <v>9.5540502231837594E-3</v>
      </c>
      <c r="AJ391" s="164">
        <v>1.5476387080898E-3</v>
      </c>
    </row>
    <row r="392" spans="1:36">
      <c r="A392" s="3">
        <v>424</v>
      </c>
      <c r="B392" s="3">
        <v>7229</v>
      </c>
      <c r="C392" s="3" t="s">
        <v>291</v>
      </c>
      <c r="D392" s="3" t="s">
        <v>292</v>
      </c>
      <c r="E392" s="5" t="s">
        <v>134</v>
      </c>
      <c r="F392" s="3" t="s">
        <v>302</v>
      </c>
      <c r="G392" s="3" t="s">
        <v>303</v>
      </c>
      <c r="H392" s="3" t="s">
        <v>137</v>
      </c>
      <c r="I392" s="3" t="s">
        <v>138</v>
      </c>
      <c r="J392" s="3" t="s">
        <v>30</v>
      </c>
      <c r="K392" s="3" t="s">
        <v>30</v>
      </c>
      <c r="L392" s="3" t="s">
        <v>139</v>
      </c>
      <c r="M392" s="3" t="s">
        <v>31</v>
      </c>
      <c r="N392" s="3" t="s">
        <v>186</v>
      </c>
      <c r="O392" s="3" t="s">
        <v>141</v>
      </c>
      <c r="P392" s="3" t="s">
        <v>180</v>
      </c>
      <c r="Q392" s="3" t="s">
        <v>143</v>
      </c>
      <c r="R392" s="3" t="s">
        <v>144</v>
      </c>
      <c r="S392" s="3" t="s">
        <v>34</v>
      </c>
      <c r="T392" s="153">
        <v>2.8519999999999999</v>
      </c>
      <c r="U392" s="3" t="s">
        <v>79</v>
      </c>
      <c r="V392" s="164">
        <v>3.3399999999999999E-2</v>
      </c>
      <c r="W392" s="164">
        <v>2.8539999999999999E-2</v>
      </c>
      <c r="X392" s="5" t="s">
        <v>146</v>
      </c>
      <c r="Y392" s="5" t="s">
        <v>141</v>
      </c>
      <c r="Z392" s="153">
        <v>234584</v>
      </c>
      <c r="AA392" s="162">
        <v>1</v>
      </c>
      <c r="AB392" s="172">
        <v>106.04</v>
      </c>
      <c r="AD392" s="153">
        <v>248.75299999999999</v>
      </c>
      <c r="AG392" s="3" t="s">
        <v>36</v>
      </c>
      <c r="AH392" s="164">
        <v>2.1800000000000001E-4</v>
      </c>
      <c r="AI392" s="164">
        <v>1.01206834004967E-2</v>
      </c>
      <c r="AJ392" s="164">
        <v>1.63942631837151E-3</v>
      </c>
    </row>
    <row r="393" spans="1:36">
      <c r="A393" s="3">
        <v>424</v>
      </c>
      <c r="B393" s="3">
        <v>7229</v>
      </c>
      <c r="C393" s="3" t="s">
        <v>291</v>
      </c>
      <c r="D393" s="3" t="s">
        <v>292</v>
      </c>
      <c r="E393" s="5" t="s">
        <v>134</v>
      </c>
      <c r="F393" s="3" t="s">
        <v>304</v>
      </c>
      <c r="G393" s="3" t="s">
        <v>305</v>
      </c>
      <c r="H393" s="3" t="s">
        <v>137</v>
      </c>
      <c r="I393" s="3" t="s">
        <v>138</v>
      </c>
      <c r="J393" s="3" t="s">
        <v>30</v>
      </c>
      <c r="K393" s="3" t="s">
        <v>30</v>
      </c>
      <c r="L393" s="3" t="s">
        <v>139</v>
      </c>
      <c r="M393" s="3" t="s">
        <v>31</v>
      </c>
      <c r="N393" s="3" t="s">
        <v>186</v>
      </c>
      <c r="O393" s="3" t="s">
        <v>141</v>
      </c>
      <c r="P393" s="3" t="s">
        <v>180</v>
      </c>
      <c r="Q393" s="3" t="s">
        <v>143</v>
      </c>
      <c r="R393" s="3" t="s">
        <v>144</v>
      </c>
      <c r="S393" s="3" t="s">
        <v>34</v>
      </c>
      <c r="T393" s="153">
        <v>0.48199999999999998</v>
      </c>
      <c r="U393" s="3" t="s">
        <v>306</v>
      </c>
      <c r="V393" s="164">
        <v>4.7500000000000001E-2</v>
      </c>
      <c r="W393" s="164">
        <v>5.2159999999999998E-2</v>
      </c>
      <c r="X393" s="5" t="s">
        <v>146</v>
      </c>
      <c r="Y393" s="5" t="s">
        <v>141</v>
      </c>
      <c r="Z393" s="153">
        <v>197492.06</v>
      </c>
      <c r="AA393" s="162">
        <v>1</v>
      </c>
      <c r="AB393" s="172">
        <v>143.80000000000001</v>
      </c>
      <c r="AD393" s="153">
        <v>283.99400000000003</v>
      </c>
      <c r="AG393" s="3" t="s">
        <v>36</v>
      </c>
      <c r="AH393" s="164">
        <v>4.1300000000000001E-4</v>
      </c>
      <c r="AI393" s="164">
        <v>1.1554476104869401E-2</v>
      </c>
      <c r="AJ393" s="164">
        <v>1.8716831138486001E-3</v>
      </c>
    </row>
    <row r="394" spans="1:36">
      <c r="A394" s="3">
        <v>424</v>
      </c>
      <c r="B394" s="3">
        <v>7229</v>
      </c>
      <c r="C394" s="3" t="s">
        <v>307</v>
      </c>
      <c r="D394" s="3" t="s">
        <v>308</v>
      </c>
      <c r="E394" s="5" t="s">
        <v>134</v>
      </c>
      <c r="F394" s="3" t="s">
        <v>309</v>
      </c>
      <c r="G394" s="3" t="s">
        <v>310</v>
      </c>
      <c r="H394" s="3" t="s">
        <v>137</v>
      </c>
      <c r="I394" s="3" t="s">
        <v>138</v>
      </c>
      <c r="J394" s="3" t="s">
        <v>30</v>
      </c>
      <c r="K394" s="3" t="s">
        <v>30</v>
      </c>
      <c r="L394" s="3" t="s">
        <v>139</v>
      </c>
      <c r="M394" s="3" t="s">
        <v>31</v>
      </c>
      <c r="N394" s="3" t="s">
        <v>285</v>
      </c>
      <c r="O394" s="3" t="s">
        <v>141</v>
      </c>
      <c r="P394" s="3" t="s">
        <v>286</v>
      </c>
      <c r="Q394" s="3" t="s">
        <v>143</v>
      </c>
      <c r="R394" s="3" t="s">
        <v>144</v>
      </c>
      <c r="S394" s="3" t="s">
        <v>34</v>
      </c>
      <c r="T394" s="153">
        <v>4.633</v>
      </c>
      <c r="U394" s="3" t="s">
        <v>311</v>
      </c>
      <c r="V394" s="164">
        <v>2.47E-2</v>
      </c>
      <c r="W394" s="164">
        <v>2.5909999999999999E-2</v>
      </c>
      <c r="X394" s="5" t="s">
        <v>146</v>
      </c>
      <c r="Y394" s="5" t="s">
        <v>141</v>
      </c>
      <c r="Z394" s="153">
        <v>322068.11</v>
      </c>
      <c r="AA394" s="162">
        <v>1</v>
      </c>
      <c r="AB394" s="172">
        <v>105.47</v>
      </c>
      <c r="AD394" s="153">
        <v>339.685</v>
      </c>
      <c r="AG394" s="3" t="s">
        <v>36</v>
      </c>
      <c r="AH394" s="164">
        <v>1.2400000000000001E-4</v>
      </c>
      <c r="AI394" s="164">
        <v>1.3820329694083901E-2</v>
      </c>
      <c r="AJ394" s="164">
        <v>2.2387235458763998E-3</v>
      </c>
    </row>
    <row r="395" spans="1:36">
      <c r="A395" s="3">
        <v>424</v>
      </c>
      <c r="B395" s="3">
        <v>7229</v>
      </c>
      <c r="C395" s="3" t="s">
        <v>307</v>
      </c>
      <c r="D395" s="3" t="s">
        <v>308</v>
      </c>
      <c r="E395" s="5" t="s">
        <v>134</v>
      </c>
      <c r="F395" s="3" t="s">
        <v>588</v>
      </c>
      <c r="G395" s="3" t="s">
        <v>589</v>
      </c>
      <c r="H395" s="3" t="s">
        <v>137</v>
      </c>
      <c r="I395" s="3" t="s">
        <v>138</v>
      </c>
      <c r="J395" s="3" t="s">
        <v>30</v>
      </c>
      <c r="K395" s="3" t="s">
        <v>30</v>
      </c>
      <c r="L395" s="3" t="s">
        <v>139</v>
      </c>
      <c r="M395" s="3" t="s">
        <v>31</v>
      </c>
      <c r="N395" s="3" t="s">
        <v>285</v>
      </c>
      <c r="O395" s="3" t="s">
        <v>141</v>
      </c>
      <c r="P395" s="3" t="s">
        <v>286</v>
      </c>
      <c r="Q395" s="3" t="s">
        <v>143</v>
      </c>
      <c r="R395" s="3" t="s">
        <v>144</v>
      </c>
      <c r="S395" s="3" t="s">
        <v>34</v>
      </c>
      <c r="T395" s="153">
        <v>4.5570000000000004</v>
      </c>
      <c r="U395" s="3" t="s">
        <v>311</v>
      </c>
      <c r="V395" s="164">
        <v>2.4E-2</v>
      </c>
      <c r="W395" s="164">
        <v>2.545E-2</v>
      </c>
      <c r="X395" s="5" t="s">
        <v>146</v>
      </c>
      <c r="Y395" s="5" t="s">
        <v>141</v>
      </c>
      <c r="Z395" s="153">
        <v>300000</v>
      </c>
      <c r="AA395" s="162">
        <v>1</v>
      </c>
      <c r="AB395" s="172">
        <v>104.06</v>
      </c>
      <c r="AD395" s="153">
        <v>312.18</v>
      </c>
      <c r="AG395" s="3" t="s">
        <v>36</v>
      </c>
      <c r="AH395" s="164">
        <v>1.36E-4</v>
      </c>
      <c r="AI395" s="164">
        <v>1.2701260082919E-2</v>
      </c>
      <c r="AJ395" s="164">
        <v>2.05744802326262E-3</v>
      </c>
    </row>
    <row r="396" spans="1:36">
      <c r="A396" s="3">
        <v>424</v>
      </c>
      <c r="B396" s="3">
        <v>7229</v>
      </c>
      <c r="C396" s="3" t="s">
        <v>312</v>
      </c>
      <c r="D396" s="3" t="s">
        <v>313</v>
      </c>
      <c r="E396" s="5" t="s">
        <v>134</v>
      </c>
      <c r="F396" s="3" t="s">
        <v>314</v>
      </c>
      <c r="G396" s="3" t="s">
        <v>315</v>
      </c>
      <c r="H396" s="3" t="s">
        <v>137</v>
      </c>
      <c r="I396" s="3" t="s">
        <v>138</v>
      </c>
      <c r="J396" s="3" t="s">
        <v>30</v>
      </c>
      <c r="K396" s="3" t="s">
        <v>30</v>
      </c>
      <c r="L396" s="3" t="s">
        <v>139</v>
      </c>
      <c r="M396" s="3" t="s">
        <v>31</v>
      </c>
      <c r="N396" s="3" t="s">
        <v>199</v>
      </c>
      <c r="O396" s="3" t="s">
        <v>141</v>
      </c>
      <c r="P396" s="3" t="s">
        <v>316</v>
      </c>
      <c r="Q396" s="3" t="s">
        <v>143</v>
      </c>
      <c r="R396" s="3" t="s">
        <v>144</v>
      </c>
      <c r="S396" s="3" t="s">
        <v>34</v>
      </c>
      <c r="T396" s="153">
        <v>0.23599999999999999</v>
      </c>
      <c r="U396" s="3" t="s">
        <v>317</v>
      </c>
      <c r="V396" s="164">
        <v>4.9500000000000002E-2</v>
      </c>
      <c r="W396" s="164">
        <v>6.7369999999999999E-2</v>
      </c>
      <c r="X396" s="5" t="s">
        <v>146</v>
      </c>
      <c r="Y396" s="5" t="s">
        <v>318</v>
      </c>
      <c r="Z396" s="153">
        <v>0.12</v>
      </c>
      <c r="AA396" s="162">
        <v>1</v>
      </c>
      <c r="AB396" s="172">
        <v>148.12</v>
      </c>
      <c r="AD396" s="153">
        <v>0</v>
      </c>
      <c r="AG396" s="3" t="s">
        <v>36</v>
      </c>
      <c r="AH396" s="164">
        <v>0</v>
      </c>
      <c r="AI396" s="164">
        <v>7.2316380683527004E-9</v>
      </c>
      <c r="AJ396" s="164">
        <v>1.1714364835889302E-9</v>
      </c>
    </row>
    <row r="397" spans="1:36">
      <c r="A397" s="3">
        <v>424</v>
      </c>
      <c r="B397" s="3">
        <v>7229</v>
      </c>
      <c r="C397" s="3" t="s">
        <v>307</v>
      </c>
      <c r="D397" s="3" t="s">
        <v>308</v>
      </c>
      <c r="E397" s="5" t="s">
        <v>134</v>
      </c>
      <c r="F397" s="3" t="s">
        <v>319</v>
      </c>
      <c r="G397" s="3" t="s">
        <v>320</v>
      </c>
      <c r="H397" s="3" t="s">
        <v>137</v>
      </c>
      <c r="I397" s="3" t="s">
        <v>138</v>
      </c>
      <c r="J397" s="3" t="s">
        <v>30</v>
      </c>
      <c r="K397" s="3" t="s">
        <v>30</v>
      </c>
      <c r="L397" s="3" t="s">
        <v>139</v>
      </c>
      <c r="M397" s="3" t="s">
        <v>31</v>
      </c>
      <c r="N397" s="3" t="s">
        <v>285</v>
      </c>
      <c r="O397" s="3" t="s">
        <v>141</v>
      </c>
      <c r="P397" s="3" t="s">
        <v>142</v>
      </c>
      <c r="Q397" s="3" t="s">
        <v>143</v>
      </c>
      <c r="R397" s="3" t="s">
        <v>144</v>
      </c>
      <c r="S397" s="3" t="s">
        <v>34</v>
      </c>
      <c r="T397" s="153">
        <v>2.9740000000000002</v>
      </c>
      <c r="U397" s="3" t="s">
        <v>321</v>
      </c>
      <c r="V397" s="164">
        <v>3.1699999999999999E-2</v>
      </c>
      <c r="W397" s="164">
        <v>2.8660000000000001E-2</v>
      </c>
      <c r="X397" s="5" t="s">
        <v>146</v>
      </c>
      <c r="Y397" s="5" t="s">
        <v>141</v>
      </c>
      <c r="Z397" s="153">
        <v>200000</v>
      </c>
      <c r="AA397" s="162">
        <v>1</v>
      </c>
      <c r="AB397" s="172">
        <v>114.09</v>
      </c>
      <c r="AD397" s="153">
        <v>228.18</v>
      </c>
      <c r="AG397" s="3" t="s">
        <v>36</v>
      </c>
      <c r="AH397" s="164">
        <v>2.3699999999999999E-4</v>
      </c>
      <c r="AI397" s="164">
        <v>9.2836617519394208E-3</v>
      </c>
      <c r="AJ397" s="164">
        <v>1.50383909907126E-3</v>
      </c>
    </row>
    <row r="398" spans="1:36">
      <c r="A398" s="3">
        <v>424</v>
      </c>
      <c r="B398" s="3">
        <v>7229</v>
      </c>
      <c r="C398" s="3" t="s">
        <v>322</v>
      </c>
      <c r="D398" s="3" t="s">
        <v>323</v>
      </c>
      <c r="E398" s="5" t="s">
        <v>134</v>
      </c>
      <c r="F398" s="3" t="s">
        <v>324</v>
      </c>
      <c r="G398" s="3" t="s">
        <v>325</v>
      </c>
      <c r="H398" s="3" t="s">
        <v>137</v>
      </c>
      <c r="I398" s="3" t="s">
        <v>138</v>
      </c>
      <c r="J398" s="3" t="s">
        <v>30</v>
      </c>
      <c r="K398" s="3" t="s">
        <v>30</v>
      </c>
      <c r="L398" s="3" t="s">
        <v>139</v>
      </c>
      <c r="M398" s="3" t="s">
        <v>31</v>
      </c>
      <c r="N398" s="3" t="s">
        <v>151</v>
      </c>
      <c r="O398" s="3" t="s">
        <v>141</v>
      </c>
      <c r="P398" s="3" t="s">
        <v>209</v>
      </c>
      <c r="Q398" s="3" t="s">
        <v>164</v>
      </c>
      <c r="R398" s="3" t="s">
        <v>144</v>
      </c>
      <c r="S398" s="3" t="s">
        <v>34</v>
      </c>
      <c r="T398" s="153">
        <v>3.2109999999999999</v>
      </c>
      <c r="U398" s="3" t="s">
        <v>326</v>
      </c>
      <c r="V398" s="164">
        <v>1.7999999999999999E-2</v>
      </c>
      <c r="W398" s="164">
        <v>3.2000000000000001E-2</v>
      </c>
      <c r="X398" s="5" t="s">
        <v>146</v>
      </c>
      <c r="Y398" s="5" t="s">
        <v>141</v>
      </c>
      <c r="Z398" s="153">
        <v>101344.08</v>
      </c>
      <c r="AA398" s="162">
        <v>1</v>
      </c>
      <c r="AB398" s="172">
        <v>113.57</v>
      </c>
      <c r="AD398" s="153">
        <v>115.096</v>
      </c>
      <c r="AG398" s="3" t="s">
        <v>36</v>
      </c>
      <c r="AH398" s="164">
        <v>1.15E-4</v>
      </c>
      <c r="AI398" s="164">
        <v>4.6827798742045202E-3</v>
      </c>
      <c r="AJ398" s="164">
        <v>7.5855278394881104E-4</v>
      </c>
    </row>
    <row r="399" spans="1:36">
      <c r="A399" s="3">
        <v>424</v>
      </c>
      <c r="B399" s="3">
        <v>7229</v>
      </c>
      <c r="C399" s="3" t="s">
        <v>322</v>
      </c>
      <c r="D399" s="3" t="s">
        <v>323</v>
      </c>
      <c r="E399" s="5" t="s">
        <v>134</v>
      </c>
      <c r="F399" s="3" t="s">
        <v>327</v>
      </c>
      <c r="G399" s="3" t="s">
        <v>328</v>
      </c>
      <c r="H399" s="3" t="s">
        <v>137</v>
      </c>
      <c r="I399" s="3" t="s">
        <v>138</v>
      </c>
      <c r="J399" s="3" t="s">
        <v>30</v>
      </c>
      <c r="K399" s="3" t="s">
        <v>30</v>
      </c>
      <c r="L399" s="3" t="s">
        <v>139</v>
      </c>
      <c r="M399" s="3" t="s">
        <v>31</v>
      </c>
      <c r="N399" s="3" t="s">
        <v>151</v>
      </c>
      <c r="O399" s="3" t="s">
        <v>141</v>
      </c>
      <c r="P399" s="3" t="s">
        <v>329</v>
      </c>
      <c r="Q399" s="3" t="s">
        <v>143</v>
      </c>
      <c r="R399" s="3" t="s">
        <v>144</v>
      </c>
      <c r="S399" s="3" t="s">
        <v>34</v>
      </c>
      <c r="T399" s="153">
        <v>5.5270000000000001</v>
      </c>
      <c r="U399" s="3" t="s">
        <v>330</v>
      </c>
      <c r="V399" s="164">
        <v>3.3000000000000002E-2</v>
      </c>
      <c r="W399" s="164">
        <v>3.5090000000000003E-2</v>
      </c>
      <c r="X399" s="5" t="s">
        <v>146</v>
      </c>
      <c r="Y399" s="5" t="s">
        <v>141</v>
      </c>
      <c r="Z399" s="153">
        <v>261625</v>
      </c>
      <c r="AA399" s="162">
        <v>1</v>
      </c>
      <c r="AB399" s="172">
        <v>108.72</v>
      </c>
      <c r="AD399" s="153">
        <v>284.43900000000002</v>
      </c>
      <c r="AG399" s="3" t="s">
        <v>36</v>
      </c>
      <c r="AH399" s="164">
        <v>2.2100000000000001E-4</v>
      </c>
      <c r="AI399" s="164">
        <v>1.1572586028404599E-2</v>
      </c>
      <c r="AJ399" s="164">
        <v>1.8746166988737E-3</v>
      </c>
    </row>
    <row r="400" spans="1:36">
      <c r="A400" s="3">
        <v>424</v>
      </c>
      <c r="B400" s="3">
        <v>7229</v>
      </c>
      <c r="C400" s="3" t="s">
        <v>331</v>
      </c>
      <c r="D400" s="3" t="s">
        <v>332</v>
      </c>
      <c r="E400" s="5" t="s">
        <v>134</v>
      </c>
      <c r="F400" s="3" t="s">
        <v>333</v>
      </c>
      <c r="G400" s="3" t="s">
        <v>334</v>
      </c>
      <c r="H400" s="3" t="s">
        <v>137</v>
      </c>
      <c r="I400" s="3" t="s">
        <v>138</v>
      </c>
      <c r="J400" s="3" t="s">
        <v>30</v>
      </c>
      <c r="K400" s="3" t="s">
        <v>30</v>
      </c>
      <c r="L400" s="3" t="s">
        <v>139</v>
      </c>
      <c r="M400" s="3" t="s">
        <v>31</v>
      </c>
      <c r="N400" s="3" t="s">
        <v>186</v>
      </c>
      <c r="O400" s="3" t="s">
        <v>141</v>
      </c>
      <c r="P400" s="3" t="s">
        <v>329</v>
      </c>
      <c r="Q400" s="3" t="s">
        <v>143</v>
      </c>
      <c r="R400" s="3" t="s">
        <v>144</v>
      </c>
      <c r="S400" s="3" t="s">
        <v>34</v>
      </c>
      <c r="T400" s="153">
        <v>1.6659999999999999</v>
      </c>
      <c r="U400" s="3" t="s">
        <v>165</v>
      </c>
      <c r="V400" s="164">
        <v>3.6499999999999998E-2</v>
      </c>
      <c r="W400" s="164">
        <v>3.1359999999999999E-2</v>
      </c>
      <c r="X400" s="5" t="s">
        <v>146</v>
      </c>
      <c r="Y400" s="5" t="s">
        <v>141</v>
      </c>
      <c r="Z400" s="153">
        <v>224000</v>
      </c>
      <c r="AA400" s="162">
        <v>1</v>
      </c>
      <c r="AB400" s="172">
        <v>112.18</v>
      </c>
      <c r="AD400" s="153">
        <v>251.28299999999999</v>
      </c>
      <c r="AG400" s="3" t="s">
        <v>36</v>
      </c>
      <c r="AH400" s="164">
        <v>8.5899999999999995E-4</v>
      </c>
      <c r="AI400" s="164">
        <v>1.02236314871809E-2</v>
      </c>
      <c r="AJ400" s="164">
        <v>1.65610264308766E-3</v>
      </c>
    </row>
    <row r="401" spans="1:36">
      <c r="A401" s="3">
        <v>424</v>
      </c>
      <c r="B401" s="3">
        <v>7229</v>
      </c>
      <c r="C401" s="3" t="s">
        <v>331</v>
      </c>
      <c r="D401" s="3" t="s">
        <v>332</v>
      </c>
      <c r="E401" s="5" t="s">
        <v>134</v>
      </c>
      <c r="F401" s="3" t="s">
        <v>335</v>
      </c>
      <c r="G401" s="3" t="s">
        <v>336</v>
      </c>
      <c r="H401" s="3" t="s">
        <v>137</v>
      </c>
      <c r="I401" s="3" t="s">
        <v>138</v>
      </c>
      <c r="J401" s="3" t="s">
        <v>30</v>
      </c>
      <c r="K401" s="3" t="s">
        <v>30</v>
      </c>
      <c r="L401" s="3" t="s">
        <v>139</v>
      </c>
      <c r="M401" s="3" t="s">
        <v>31</v>
      </c>
      <c r="N401" s="3" t="s">
        <v>186</v>
      </c>
      <c r="O401" s="3" t="s">
        <v>141</v>
      </c>
      <c r="P401" s="3" t="s">
        <v>230</v>
      </c>
      <c r="Q401" s="3" t="s">
        <v>143</v>
      </c>
      <c r="R401" s="3" t="s">
        <v>144</v>
      </c>
      <c r="S401" s="3" t="s">
        <v>34</v>
      </c>
      <c r="T401" s="153">
        <v>1.996</v>
      </c>
      <c r="U401" s="3" t="s">
        <v>337</v>
      </c>
      <c r="V401" s="164">
        <v>1.7999999999999999E-2</v>
      </c>
      <c r="W401" s="164">
        <v>3.0210000000000001E-2</v>
      </c>
      <c r="X401" s="5" t="s">
        <v>146</v>
      </c>
      <c r="Y401" s="5" t="s">
        <v>141</v>
      </c>
      <c r="Z401" s="153">
        <v>126972.36</v>
      </c>
      <c r="AA401" s="162">
        <v>1</v>
      </c>
      <c r="AB401" s="172">
        <v>116.94</v>
      </c>
      <c r="AD401" s="153">
        <v>148.48099999999999</v>
      </c>
      <c r="AG401" s="3" t="s">
        <v>36</v>
      </c>
      <c r="AH401" s="164">
        <v>1.7200000000000001E-4</v>
      </c>
      <c r="AI401" s="164">
        <v>6.04107203161873E-3</v>
      </c>
      <c r="AJ401" s="164">
        <v>9.7857941878981298E-4</v>
      </c>
    </row>
    <row r="402" spans="1:36">
      <c r="A402" s="3">
        <v>424</v>
      </c>
      <c r="B402" s="3">
        <v>7229</v>
      </c>
      <c r="C402" s="3" t="s">
        <v>338</v>
      </c>
      <c r="D402" s="3" t="s">
        <v>339</v>
      </c>
      <c r="E402" s="5" t="s">
        <v>134</v>
      </c>
      <c r="F402" s="3" t="s">
        <v>590</v>
      </c>
      <c r="G402" s="3" t="s">
        <v>591</v>
      </c>
      <c r="H402" s="3" t="s">
        <v>137</v>
      </c>
      <c r="I402" s="3" t="s">
        <v>156</v>
      </c>
      <c r="J402" s="3" t="s">
        <v>30</v>
      </c>
      <c r="K402" s="3" t="s">
        <v>30</v>
      </c>
      <c r="L402" s="3" t="s">
        <v>139</v>
      </c>
      <c r="M402" s="3" t="s">
        <v>31</v>
      </c>
      <c r="N402" s="3" t="s">
        <v>170</v>
      </c>
      <c r="O402" s="3" t="s">
        <v>141</v>
      </c>
      <c r="P402" s="3" t="s">
        <v>142</v>
      </c>
      <c r="Q402" s="3" t="s">
        <v>143</v>
      </c>
      <c r="R402" s="3" t="s">
        <v>144</v>
      </c>
      <c r="S402" s="3" t="s">
        <v>34</v>
      </c>
      <c r="T402" s="153">
        <v>5.6509999999999998</v>
      </c>
      <c r="U402" s="3" t="s">
        <v>592</v>
      </c>
      <c r="V402" s="164">
        <v>3.0499999999999999E-2</v>
      </c>
      <c r="W402" s="164">
        <v>4.6489999999999997E-2</v>
      </c>
      <c r="X402" s="5" t="s">
        <v>146</v>
      </c>
      <c r="Y402" s="5" t="s">
        <v>141</v>
      </c>
      <c r="Z402" s="153">
        <v>166845</v>
      </c>
      <c r="AA402" s="162">
        <v>1</v>
      </c>
      <c r="AB402" s="172">
        <v>92.49</v>
      </c>
      <c r="AD402" s="153">
        <v>154.315</v>
      </c>
      <c r="AG402" s="3" t="s">
        <v>36</v>
      </c>
      <c r="AH402" s="164">
        <v>2.4399999999999999E-4</v>
      </c>
      <c r="AI402" s="164">
        <v>6.2784105130715097E-3</v>
      </c>
      <c r="AJ402" s="164">
        <v>1.0170253356769001E-3</v>
      </c>
    </row>
    <row r="403" spans="1:36">
      <c r="A403" s="3">
        <v>424</v>
      </c>
      <c r="B403" s="3">
        <v>7229</v>
      </c>
      <c r="C403" s="3" t="s">
        <v>338</v>
      </c>
      <c r="D403" s="3" t="s">
        <v>339</v>
      </c>
      <c r="E403" s="5" t="s">
        <v>134</v>
      </c>
      <c r="F403" s="3" t="s">
        <v>340</v>
      </c>
      <c r="G403" s="3" t="s">
        <v>341</v>
      </c>
      <c r="H403" s="3" t="s">
        <v>137</v>
      </c>
      <c r="I403" s="3" t="s">
        <v>156</v>
      </c>
      <c r="J403" s="3" t="s">
        <v>30</v>
      </c>
      <c r="K403" s="3" t="s">
        <v>30</v>
      </c>
      <c r="L403" s="3" t="s">
        <v>139</v>
      </c>
      <c r="M403" s="3" t="s">
        <v>31</v>
      </c>
      <c r="N403" s="3" t="s">
        <v>170</v>
      </c>
      <c r="O403" s="3" t="s">
        <v>141</v>
      </c>
      <c r="P403" s="3" t="s">
        <v>152</v>
      </c>
      <c r="Q403" s="3" t="s">
        <v>143</v>
      </c>
      <c r="R403" s="3" t="s">
        <v>144</v>
      </c>
      <c r="S403" s="3" t="s">
        <v>34</v>
      </c>
      <c r="T403" s="153">
        <v>7.4459999999999997</v>
      </c>
      <c r="U403" s="3" t="s">
        <v>342</v>
      </c>
      <c r="V403" s="164">
        <v>5.8500000000000003E-2</v>
      </c>
      <c r="W403" s="164">
        <v>5.2249999999999998E-2</v>
      </c>
      <c r="X403" s="5" t="s">
        <v>146</v>
      </c>
      <c r="Y403" s="5" t="s">
        <v>141</v>
      </c>
      <c r="Z403" s="153">
        <v>480240</v>
      </c>
      <c r="AA403" s="162">
        <v>1</v>
      </c>
      <c r="AB403" s="172">
        <v>107.8</v>
      </c>
      <c r="AD403" s="153">
        <v>517.69899999999996</v>
      </c>
      <c r="AG403" s="3" t="s">
        <v>36</v>
      </c>
      <c r="AH403" s="164">
        <v>4.8000000000000001E-4</v>
      </c>
      <c r="AI403" s="164">
        <v>2.1062931921693399E-2</v>
      </c>
      <c r="AJ403" s="164">
        <v>3.4119360885053198E-3</v>
      </c>
    </row>
    <row r="404" spans="1:36">
      <c r="A404" s="3">
        <v>424</v>
      </c>
      <c r="B404" s="3">
        <v>7229</v>
      </c>
      <c r="C404" s="3" t="s">
        <v>343</v>
      </c>
      <c r="D404" s="3" t="s">
        <v>344</v>
      </c>
      <c r="E404" s="5" t="s">
        <v>134</v>
      </c>
      <c r="F404" s="3" t="s">
        <v>345</v>
      </c>
      <c r="G404" s="3" t="s">
        <v>346</v>
      </c>
      <c r="H404" s="3" t="s">
        <v>137</v>
      </c>
      <c r="I404" s="3" t="s">
        <v>138</v>
      </c>
      <c r="J404" s="3" t="s">
        <v>30</v>
      </c>
      <c r="K404" s="3" t="s">
        <v>30</v>
      </c>
      <c r="L404" s="3" t="s">
        <v>139</v>
      </c>
      <c r="M404" s="3" t="s">
        <v>31</v>
      </c>
      <c r="N404" s="3" t="s">
        <v>186</v>
      </c>
      <c r="O404" s="3" t="s">
        <v>141</v>
      </c>
      <c r="P404" s="3" t="s">
        <v>171</v>
      </c>
      <c r="Q404" s="3" t="s">
        <v>164</v>
      </c>
      <c r="R404" s="3" t="s">
        <v>144</v>
      </c>
      <c r="S404" s="3" t="s">
        <v>34</v>
      </c>
      <c r="T404" s="153">
        <v>4.843</v>
      </c>
      <c r="U404" s="3" t="s">
        <v>347</v>
      </c>
      <c r="V404" s="164">
        <v>3.1800000000000002E-2</v>
      </c>
      <c r="W404" s="164">
        <v>3.2800000000000003E-2</v>
      </c>
      <c r="X404" s="5" t="s">
        <v>146</v>
      </c>
      <c r="Y404" s="5" t="s">
        <v>141</v>
      </c>
      <c r="Z404" s="153">
        <v>210000</v>
      </c>
      <c r="AA404" s="162">
        <v>1</v>
      </c>
      <c r="AB404" s="172">
        <v>103.74</v>
      </c>
      <c r="AD404" s="153">
        <v>217.85400000000001</v>
      </c>
      <c r="AG404" s="3" t="s">
        <v>36</v>
      </c>
      <c r="AH404" s="164">
        <v>9.41E-4</v>
      </c>
      <c r="AI404" s="164">
        <v>8.8635412713954295E-3</v>
      </c>
      <c r="AJ404" s="164">
        <v>1.4357847448903101E-3</v>
      </c>
    </row>
    <row r="405" spans="1:36">
      <c r="A405" s="3">
        <v>424</v>
      </c>
      <c r="B405" s="3">
        <v>7229</v>
      </c>
      <c r="C405" s="3" t="s">
        <v>348</v>
      </c>
      <c r="D405" s="3" t="s">
        <v>349</v>
      </c>
      <c r="E405" s="5" t="s">
        <v>134</v>
      </c>
      <c r="F405" s="3" t="s">
        <v>350</v>
      </c>
      <c r="G405" s="3" t="s">
        <v>351</v>
      </c>
      <c r="H405" s="3" t="s">
        <v>137</v>
      </c>
      <c r="I405" s="3" t="s">
        <v>138</v>
      </c>
      <c r="J405" s="3" t="s">
        <v>30</v>
      </c>
      <c r="K405" s="3" t="s">
        <v>30</v>
      </c>
      <c r="L405" s="3" t="s">
        <v>139</v>
      </c>
      <c r="M405" s="3" t="s">
        <v>31</v>
      </c>
      <c r="N405" s="3" t="s">
        <v>151</v>
      </c>
      <c r="O405" s="3" t="s">
        <v>141</v>
      </c>
      <c r="P405" s="3" t="s">
        <v>286</v>
      </c>
      <c r="Q405" s="3" t="s">
        <v>143</v>
      </c>
      <c r="R405" s="3" t="s">
        <v>144</v>
      </c>
      <c r="S405" s="3" t="s">
        <v>34</v>
      </c>
      <c r="T405" s="153">
        <v>0.4</v>
      </c>
      <c r="U405" s="3" t="s">
        <v>352</v>
      </c>
      <c r="V405" s="164">
        <v>4.4999999999999998E-2</v>
      </c>
      <c r="W405" s="164">
        <v>5.4760000000000003E-2</v>
      </c>
      <c r="X405" s="5" t="s">
        <v>146</v>
      </c>
      <c r="Y405" s="5" t="s">
        <v>141</v>
      </c>
      <c r="Z405" s="153">
        <v>55145.5</v>
      </c>
      <c r="AA405" s="162">
        <v>1</v>
      </c>
      <c r="AB405" s="172">
        <v>120.41</v>
      </c>
      <c r="AD405" s="153">
        <v>66.400999999999996</v>
      </c>
      <c r="AG405" s="3" t="s">
        <v>36</v>
      </c>
      <c r="AH405" s="164">
        <v>3.6999999999999998E-5</v>
      </c>
      <c r="AI405" s="164">
        <v>2.7015584488709402E-3</v>
      </c>
      <c r="AJ405" s="164">
        <v>4.37619264078605E-4</v>
      </c>
    </row>
    <row r="406" spans="1:36">
      <c r="A406" s="3">
        <v>424</v>
      </c>
      <c r="B406" s="3">
        <v>7229</v>
      </c>
      <c r="C406" s="3" t="s">
        <v>348</v>
      </c>
      <c r="D406" s="3" t="s">
        <v>349</v>
      </c>
      <c r="E406" s="5" t="s">
        <v>134</v>
      </c>
      <c r="F406" s="3" t="s">
        <v>353</v>
      </c>
      <c r="G406" s="3" t="s">
        <v>354</v>
      </c>
      <c r="H406" s="3" t="s">
        <v>137</v>
      </c>
      <c r="I406" s="3" t="s">
        <v>138</v>
      </c>
      <c r="J406" s="3" t="s">
        <v>30</v>
      </c>
      <c r="K406" s="3" t="s">
        <v>30</v>
      </c>
      <c r="L406" s="3" t="s">
        <v>139</v>
      </c>
      <c r="M406" s="3" t="s">
        <v>31</v>
      </c>
      <c r="N406" s="3" t="s">
        <v>151</v>
      </c>
      <c r="O406" s="3" t="s">
        <v>141</v>
      </c>
      <c r="P406" s="3" t="s">
        <v>286</v>
      </c>
      <c r="Q406" s="3" t="s">
        <v>143</v>
      </c>
      <c r="R406" s="3" t="s">
        <v>144</v>
      </c>
      <c r="S406" s="3" t="s">
        <v>34</v>
      </c>
      <c r="T406" s="153">
        <v>6.8730000000000002</v>
      </c>
      <c r="U406" s="3" t="s">
        <v>355</v>
      </c>
      <c r="V406" s="164">
        <v>0.03</v>
      </c>
      <c r="W406" s="164">
        <v>2.632E-2</v>
      </c>
      <c r="X406" s="5" t="s">
        <v>146</v>
      </c>
      <c r="Y406" s="5" t="s">
        <v>141</v>
      </c>
      <c r="Z406" s="153">
        <v>280000</v>
      </c>
      <c r="AA406" s="162">
        <v>1</v>
      </c>
      <c r="AB406" s="172">
        <v>111.48</v>
      </c>
      <c r="AD406" s="153">
        <v>312.14400000000001</v>
      </c>
      <c r="AG406" s="3" t="s">
        <v>36</v>
      </c>
      <c r="AH406" s="164">
        <v>6.8999999999999997E-5</v>
      </c>
      <c r="AI406" s="164">
        <v>1.2699795397920001E-2</v>
      </c>
      <c r="AJ406" s="164">
        <v>2.0572107622951101E-3</v>
      </c>
    </row>
    <row r="407" spans="1:36">
      <c r="A407" s="3">
        <v>424</v>
      </c>
      <c r="B407" s="3">
        <v>7229</v>
      </c>
      <c r="C407" s="3" t="s">
        <v>348</v>
      </c>
      <c r="D407" s="3" t="s">
        <v>349</v>
      </c>
      <c r="E407" s="5" t="s">
        <v>134</v>
      </c>
      <c r="F407" s="3" t="s">
        <v>578</v>
      </c>
      <c r="G407" s="3" t="s">
        <v>579</v>
      </c>
      <c r="H407" s="3" t="s">
        <v>137</v>
      </c>
      <c r="I407" s="3" t="s">
        <v>138</v>
      </c>
      <c r="J407" s="3" t="s">
        <v>30</v>
      </c>
      <c r="K407" s="3" t="s">
        <v>30</v>
      </c>
      <c r="L407" s="3" t="s">
        <v>139</v>
      </c>
      <c r="M407" s="3" t="s">
        <v>31</v>
      </c>
      <c r="N407" s="3" t="s">
        <v>151</v>
      </c>
      <c r="O407" s="3" t="s">
        <v>141</v>
      </c>
      <c r="P407" s="3" t="s">
        <v>286</v>
      </c>
      <c r="Q407" s="3" t="s">
        <v>143</v>
      </c>
      <c r="R407" s="3" t="s">
        <v>144</v>
      </c>
      <c r="S407" s="3" t="s">
        <v>34</v>
      </c>
      <c r="T407" s="153">
        <v>9.7940000000000005</v>
      </c>
      <c r="U407" s="3" t="s">
        <v>580</v>
      </c>
      <c r="V407" s="164">
        <v>3.2000000000000001E-2</v>
      </c>
      <c r="W407" s="164">
        <v>2.8170000000000001E-2</v>
      </c>
      <c r="X407" s="5" t="s">
        <v>146</v>
      </c>
      <c r="Y407" s="5" t="s">
        <v>141</v>
      </c>
      <c r="Z407" s="153">
        <v>280000</v>
      </c>
      <c r="AA407" s="162">
        <v>1</v>
      </c>
      <c r="AB407" s="172">
        <v>112.97</v>
      </c>
      <c r="AD407" s="153">
        <v>316.31599999999997</v>
      </c>
      <c r="AG407" s="3" t="s">
        <v>36</v>
      </c>
      <c r="AH407" s="164">
        <v>5.7000000000000003E-5</v>
      </c>
      <c r="AI407" s="164">
        <v>1.2869536115025299E-2</v>
      </c>
      <c r="AJ407" s="164">
        <v>2.08470667219662E-3</v>
      </c>
    </row>
    <row r="408" spans="1:36">
      <c r="A408" s="3">
        <v>424</v>
      </c>
      <c r="B408" s="3">
        <v>7229</v>
      </c>
      <c r="C408" s="3" t="s">
        <v>348</v>
      </c>
      <c r="D408" s="3" t="s">
        <v>349</v>
      </c>
      <c r="E408" s="5" t="s">
        <v>134</v>
      </c>
      <c r="F408" s="3" t="s">
        <v>356</v>
      </c>
      <c r="G408" s="3" t="s">
        <v>357</v>
      </c>
      <c r="H408" s="3" t="s">
        <v>137</v>
      </c>
      <c r="I408" s="3" t="s">
        <v>138</v>
      </c>
      <c r="J408" s="3" t="s">
        <v>30</v>
      </c>
      <c r="K408" s="3" t="s">
        <v>30</v>
      </c>
      <c r="L408" s="3" t="s">
        <v>139</v>
      </c>
      <c r="M408" s="3" t="s">
        <v>31</v>
      </c>
      <c r="N408" s="3" t="s">
        <v>151</v>
      </c>
      <c r="O408" s="3" t="s">
        <v>141</v>
      </c>
      <c r="P408" s="3" t="s">
        <v>286</v>
      </c>
      <c r="Q408" s="3" t="s">
        <v>143</v>
      </c>
      <c r="R408" s="3" t="s">
        <v>144</v>
      </c>
      <c r="S408" s="3" t="s">
        <v>34</v>
      </c>
      <c r="T408" s="153">
        <v>7.569</v>
      </c>
      <c r="U408" s="3" t="s">
        <v>358</v>
      </c>
      <c r="V408" s="164">
        <v>2.9899999999999999E-2</v>
      </c>
      <c r="W408" s="164">
        <v>2.7519999999999999E-2</v>
      </c>
      <c r="X408" s="5" t="s">
        <v>146</v>
      </c>
      <c r="Y408" s="5" t="s">
        <v>141</v>
      </c>
      <c r="Z408" s="153">
        <v>332055</v>
      </c>
      <c r="AA408" s="162">
        <v>1</v>
      </c>
      <c r="AB408" s="172">
        <v>105.38</v>
      </c>
      <c r="AD408" s="153">
        <v>349.92</v>
      </c>
      <c r="AG408" s="3" t="s">
        <v>36</v>
      </c>
      <c r="AH408" s="164">
        <v>8.5800000000000004E-4</v>
      </c>
      <c r="AI408" s="164">
        <v>1.42367202478035E-2</v>
      </c>
      <c r="AJ408" s="164">
        <v>2.3061736977560299E-3</v>
      </c>
    </row>
    <row r="409" spans="1:36">
      <c r="A409" s="3">
        <v>424</v>
      </c>
      <c r="B409" s="3">
        <v>7229</v>
      </c>
      <c r="C409" s="3" t="s">
        <v>359</v>
      </c>
      <c r="D409" s="3" t="s">
        <v>360</v>
      </c>
      <c r="E409" s="5" t="s">
        <v>134</v>
      </c>
      <c r="F409" s="3" t="s">
        <v>361</v>
      </c>
      <c r="G409" s="3" t="s">
        <v>362</v>
      </c>
      <c r="H409" s="3" t="s">
        <v>137</v>
      </c>
      <c r="I409" s="3" t="s">
        <v>138</v>
      </c>
      <c r="J409" s="3" t="s">
        <v>30</v>
      </c>
      <c r="K409" s="3" t="s">
        <v>30</v>
      </c>
      <c r="L409" s="3" t="s">
        <v>139</v>
      </c>
      <c r="M409" s="3" t="s">
        <v>31</v>
      </c>
      <c r="N409" s="3" t="s">
        <v>285</v>
      </c>
      <c r="O409" s="3" t="s">
        <v>141</v>
      </c>
      <c r="P409" s="3" t="s">
        <v>142</v>
      </c>
      <c r="Q409" s="3" t="s">
        <v>143</v>
      </c>
      <c r="R409" s="3" t="s">
        <v>144</v>
      </c>
      <c r="S409" s="3" t="s">
        <v>34</v>
      </c>
      <c r="T409" s="153">
        <v>3.6120000000000001</v>
      </c>
      <c r="U409" s="3" t="s">
        <v>363</v>
      </c>
      <c r="V409" s="164">
        <v>2.5899999999999999E-2</v>
      </c>
      <c r="W409" s="164">
        <v>2.6800000000000001E-2</v>
      </c>
      <c r="X409" s="5" t="s">
        <v>146</v>
      </c>
      <c r="Y409" s="5" t="s">
        <v>141</v>
      </c>
      <c r="Z409" s="153">
        <v>327000</v>
      </c>
      <c r="AA409" s="162">
        <v>1</v>
      </c>
      <c r="AB409" s="172">
        <v>107.69</v>
      </c>
      <c r="AD409" s="153">
        <v>352.14600000000002</v>
      </c>
      <c r="AG409" s="3" t="s">
        <v>36</v>
      </c>
      <c r="AH409" s="164">
        <v>4.7899999999999999E-4</v>
      </c>
      <c r="AI409" s="164">
        <v>1.4327316751674E-2</v>
      </c>
      <c r="AJ409" s="164">
        <v>2.3208492178686899E-3</v>
      </c>
    </row>
    <row r="410" spans="1:36">
      <c r="A410" s="3">
        <v>424</v>
      </c>
      <c r="B410" s="3">
        <v>7229</v>
      </c>
      <c r="C410" s="3" t="s">
        <v>364</v>
      </c>
      <c r="D410" s="3" t="s">
        <v>365</v>
      </c>
      <c r="E410" s="5" t="s">
        <v>366</v>
      </c>
      <c r="F410" s="3" t="s">
        <v>367</v>
      </c>
      <c r="G410" s="3" t="s">
        <v>368</v>
      </c>
      <c r="H410" s="3" t="s">
        <v>137</v>
      </c>
      <c r="I410" s="3" t="s">
        <v>156</v>
      </c>
      <c r="J410" s="3" t="s">
        <v>30</v>
      </c>
      <c r="K410" s="3" t="s">
        <v>30</v>
      </c>
      <c r="L410" s="3" t="s">
        <v>139</v>
      </c>
      <c r="M410" s="3" t="s">
        <v>31</v>
      </c>
      <c r="N410" s="3" t="s">
        <v>369</v>
      </c>
      <c r="O410" s="3" t="s">
        <v>141</v>
      </c>
      <c r="P410" s="3" t="s">
        <v>180</v>
      </c>
      <c r="Q410" s="3" t="s">
        <v>143</v>
      </c>
      <c r="R410" s="3" t="s">
        <v>144</v>
      </c>
      <c r="S410" s="3" t="s">
        <v>34</v>
      </c>
      <c r="T410" s="153">
        <v>2.8519999999999999</v>
      </c>
      <c r="U410" s="3" t="s">
        <v>370</v>
      </c>
      <c r="V410" s="164">
        <v>2.24E-2</v>
      </c>
      <c r="W410" s="164">
        <v>4.6460000000000001E-2</v>
      </c>
      <c r="X410" s="5" t="s">
        <v>146</v>
      </c>
      <c r="Y410" s="5" t="s">
        <v>141</v>
      </c>
      <c r="Z410" s="153">
        <v>156927.28</v>
      </c>
      <c r="AA410" s="162">
        <v>1</v>
      </c>
      <c r="AB410" s="172">
        <v>94.99</v>
      </c>
      <c r="AD410" s="153">
        <v>149.065</v>
      </c>
      <c r="AG410" s="3" t="s">
        <v>36</v>
      </c>
      <c r="AH410" s="164">
        <v>2.9399999999999999E-4</v>
      </c>
      <c r="AI410" s="164">
        <v>6.0648221221604702E-3</v>
      </c>
      <c r="AJ410" s="164">
        <v>9.8242664154711405E-4</v>
      </c>
    </row>
    <row r="411" spans="1:36">
      <c r="A411" s="3">
        <v>424</v>
      </c>
      <c r="B411" s="3">
        <v>7229</v>
      </c>
      <c r="C411" s="3" t="s">
        <v>595</v>
      </c>
      <c r="D411" s="3" t="s">
        <v>596</v>
      </c>
      <c r="E411" s="5" t="s">
        <v>134</v>
      </c>
      <c r="F411" s="3" t="s">
        <v>597</v>
      </c>
      <c r="G411" s="3" t="s">
        <v>598</v>
      </c>
      <c r="H411" s="3" t="s">
        <v>137</v>
      </c>
      <c r="I411" s="3" t="s">
        <v>156</v>
      </c>
      <c r="J411" s="3" t="s">
        <v>30</v>
      </c>
      <c r="K411" s="3" t="s">
        <v>30</v>
      </c>
      <c r="L411" s="3" t="s">
        <v>139</v>
      </c>
      <c r="M411" s="3" t="s">
        <v>31</v>
      </c>
      <c r="N411" s="3" t="s">
        <v>170</v>
      </c>
      <c r="O411" s="3" t="s">
        <v>141</v>
      </c>
      <c r="P411" s="3" t="s">
        <v>142</v>
      </c>
      <c r="Q411" s="3" t="s">
        <v>143</v>
      </c>
      <c r="R411" s="3" t="s">
        <v>144</v>
      </c>
      <c r="S411" s="3" t="s">
        <v>34</v>
      </c>
      <c r="T411" s="153">
        <v>4.431</v>
      </c>
      <c r="U411" s="3" t="s">
        <v>599</v>
      </c>
      <c r="V411" s="164">
        <v>5.2499999999999998E-2</v>
      </c>
      <c r="W411" s="164">
        <v>4.6510000000000003E-2</v>
      </c>
      <c r="X411" s="5" t="s">
        <v>146</v>
      </c>
      <c r="Y411" s="5" t="s">
        <v>141</v>
      </c>
      <c r="Z411" s="153">
        <v>169722</v>
      </c>
      <c r="AA411" s="162">
        <v>1</v>
      </c>
      <c r="AB411" s="172">
        <v>105.15</v>
      </c>
      <c r="AD411" s="153">
        <v>178.46299999999999</v>
      </c>
      <c r="AG411" s="3" t="s">
        <v>36</v>
      </c>
      <c r="AH411" s="164">
        <v>2.0000000000000001E-4</v>
      </c>
      <c r="AI411" s="164">
        <v>7.2608781852729802E-3</v>
      </c>
      <c r="AJ411" s="164">
        <v>1.17617302314208E-3</v>
      </c>
    </row>
    <row r="412" spans="1:36">
      <c r="A412" s="3">
        <v>424</v>
      </c>
      <c r="B412" s="3">
        <v>7229</v>
      </c>
      <c r="C412" s="3" t="s">
        <v>371</v>
      </c>
      <c r="D412" s="3" t="s">
        <v>372</v>
      </c>
      <c r="E412" s="5" t="s">
        <v>134</v>
      </c>
      <c r="F412" s="3" t="s">
        <v>373</v>
      </c>
      <c r="G412" s="3" t="s">
        <v>374</v>
      </c>
      <c r="H412" s="3" t="s">
        <v>137</v>
      </c>
      <c r="I412" s="3" t="s">
        <v>156</v>
      </c>
      <c r="J412" s="3" t="s">
        <v>30</v>
      </c>
      <c r="K412" s="3" t="s">
        <v>30</v>
      </c>
      <c r="L412" s="3" t="s">
        <v>139</v>
      </c>
      <c r="M412" s="3" t="s">
        <v>31</v>
      </c>
      <c r="N412" s="3" t="s">
        <v>170</v>
      </c>
      <c r="O412" s="3" t="s">
        <v>141</v>
      </c>
      <c r="P412" s="3" t="s">
        <v>142</v>
      </c>
      <c r="Q412" s="3" t="s">
        <v>143</v>
      </c>
      <c r="R412" s="3" t="s">
        <v>144</v>
      </c>
      <c r="S412" s="3" t="s">
        <v>34</v>
      </c>
      <c r="T412" s="153">
        <v>8.4480000000000004</v>
      </c>
      <c r="U412" s="3" t="s">
        <v>375</v>
      </c>
      <c r="V412" s="164">
        <v>5.5100000000000003E-2</v>
      </c>
      <c r="W412" s="164">
        <v>5.0360000000000002E-2</v>
      </c>
      <c r="X412" s="5" t="s">
        <v>146</v>
      </c>
      <c r="Y412" s="5" t="s">
        <v>141</v>
      </c>
      <c r="Z412" s="153">
        <v>175000</v>
      </c>
      <c r="AA412" s="162">
        <v>1</v>
      </c>
      <c r="AB412" s="172">
        <v>104.55</v>
      </c>
      <c r="AD412" s="153">
        <v>182.96299999999999</v>
      </c>
      <c r="AG412" s="3" t="s">
        <v>36</v>
      </c>
      <c r="AH412" s="164">
        <v>3.5E-4</v>
      </c>
      <c r="AI412" s="164">
        <v>7.4439563646647999E-3</v>
      </c>
      <c r="AJ412" s="164">
        <v>1.2058294380043199E-3</v>
      </c>
    </row>
    <row r="413" spans="1:36">
      <c r="A413" s="3">
        <v>424</v>
      </c>
      <c r="B413" s="3">
        <v>7229</v>
      </c>
      <c r="C413" s="3" t="s">
        <v>371</v>
      </c>
      <c r="D413" s="3" t="s">
        <v>372</v>
      </c>
      <c r="E413" s="5" t="s">
        <v>134</v>
      </c>
      <c r="F413" s="3" t="s">
        <v>376</v>
      </c>
      <c r="G413" s="3" t="s">
        <v>377</v>
      </c>
      <c r="H413" s="3" t="s">
        <v>137</v>
      </c>
      <c r="I413" s="3" t="s">
        <v>156</v>
      </c>
      <c r="J413" s="3" t="s">
        <v>30</v>
      </c>
      <c r="K413" s="3" t="s">
        <v>30</v>
      </c>
      <c r="L413" s="3" t="s">
        <v>139</v>
      </c>
      <c r="M413" s="3" t="s">
        <v>31</v>
      </c>
      <c r="N413" s="3" t="s">
        <v>378</v>
      </c>
      <c r="O413" s="3" t="s">
        <v>141</v>
      </c>
      <c r="P413" s="3" t="s">
        <v>142</v>
      </c>
      <c r="Q413" s="3" t="s">
        <v>143</v>
      </c>
      <c r="R413" s="3" t="s">
        <v>144</v>
      </c>
      <c r="S413" s="3" t="s">
        <v>34</v>
      </c>
      <c r="T413" s="153">
        <v>7.1269999999999998</v>
      </c>
      <c r="U413" s="3" t="s">
        <v>379</v>
      </c>
      <c r="V413" s="164">
        <v>5.3100000000000001E-2</v>
      </c>
      <c r="W413" s="164">
        <v>4.8730000000000002E-2</v>
      </c>
      <c r="X413" s="5" t="s">
        <v>146</v>
      </c>
      <c r="Y413" s="5" t="s">
        <v>141</v>
      </c>
      <c r="Z413" s="153">
        <v>294997</v>
      </c>
      <c r="AA413" s="162">
        <v>1</v>
      </c>
      <c r="AB413" s="172">
        <v>104.46</v>
      </c>
      <c r="AD413" s="153">
        <v>308.154</v>
      </c>
      <c r="AG413" s="3" t="s">
        <v>36</v>
      </c>
      <c r="AH413" s="164">
        <v>2.32E-4</v>
      </c>
      <c r="AI413" s="164">
        <v>1.2537454033452499E-2</v>
      </c>
      <c r="AJ413" s="164">
        <v>2.0309134565760899E-3</v>
      </c>
    </row>
    <row r="414" spans="1:36">
      <c r="A414" s="3">
        <v>424</v>
      </c>
      <c r="B414" s="3">
        <v>7229</v>
      </c>
      <c r="C414" s="3" t="s">
        <v>380</v>
      </c>
      <c r="D414" s="3" t="s">
        <v>381</v>
      </c>
      <c r="E414" s="5" t="s">
        <v>134</v>
      </c>
      <c r="F414" s="3" t="s">
        <v>382</v>
      </c>
      <c r="G414" s="3" t="s">
        <v>383</v>
      </c>
      <c r="H414" s="3" t="s">
        <v>137</v>
      </c>
      <c r="I414" s="3" t="s">
        <v>138</v>
      </c>
      <c r="J414" s="3" t="s">
        <v>30</v>
      </c>
      <c r="K414" s="3" t="s">
        <v>30</v>
      </c>
      <c r="L414" s="3" t="s">
        <v>139</v>
      </c>
      <c r="M414" s="3" t="s">
        <v>31</v>
      </c>
      <c r="N414" s="3" t="s">
        <v>285</v>
      </c>
      <c r="O414" s="3" t="s">
        <v>141</v>
      </c>
      <c r="P414" s="3" t="s">
        <v>286</v>
      </c>
      <c r="Q414" s="3" t="s">
        <v>143</v>
      </c>
      <c r="R414" s="3" t="s">
        <v>144</v>
      </c>
      <c r="S414" s="3" t="s">
        <v>34</v>
      </c>
      <c r="T414" s="153">
        <v>0.73199999999999998</v>
      </c>
      <c r="U414" s="3" t="s">
        <v>384</v>
      </c>
      <c r="V414" s="164">
        <v>8.3000000000000001E-3</v>
      </c>
      <c r="W414" s="164">
        <v>3.2770000000000001E-2</v>
      </c>
      <c r="X414" s="5" t="s">
        <v>146</v>
      </c>
      <c r="Y414" s="5" t="s">
        <v>141</v>
      </c>
      <c r="Z414" s="153">
        <v>85685</v>
      </c>
      <c r="AA414" s="162">
        <v>1</v>
      </c>
      <c r="AB414" s="172">
        <v>116.83</v>
      </c>
      <c r="AD414" s="153">
        <v>100.10599999999999</v>
      </c>
      <c r="AG414" s="3" t="s">
        <v>36</v>
      </c>
      <c r="AH414" s="164">
        <v>5.5999999999999999E-5</v>
      </c>
      <c r="AI414" s="164">
        <v>4.0728733981689903E-3</v>
      </c>
      <c r="AJ414" s="164">
        <v>6.59755431142697E-4</v>
      </c>
    </row>
    <row r="415" spans="1:36">
      <c r="A415" s="3">
        <v>424</v>
      </c>
      <c r="B415" s="3">
        <v>7229</v>
      </c>
      <c r="C415" s="3" t="s">
        <v>380</v>
      </c>
      <c r="D415" s="3" t="s">
        <v>381</v>
      </c>
      <c r="E415" s="5" t="s">
        <v>134</v>
      </c>
      <c r="F415" s="3" t="s">
        <v>385</v>
      </c>
      <c r="G415" s="3" t="s">
        <v>386</v>
      </c>
      <c r="H415" s="3" t="s">
        <v>137</v>
      </c>
      <c r="I415" s="3" t="s">
        <v>138</v>
      </c>
      <c r="J415" s="3" t="s">
        <v>30</v>
      </c>
      <c r="K415" s="3" t="s">
        <v>30</v>
      </c>
      <c r="L415" s="3" t="s">
        <v>139</v>
      </c>
      <c r="M415" s="3" t="s">
        <v>31</v>
      </c>
      <c r="N415" s="3" t="s">
        <v>285</v>
      </c>
      <c r="O415" s="3" t="s">
        <v>141</v>
      </c>
      <c r="P415" s="3" t="s">
        <v>286</v>
      </c>
      <c r="Q415" s="3" t="s">
        <v>143</v>
      </c>
      <c r="R415" s="3" t="s">
        <v>144</v>
      </c>
      <c r="S415" s="3" t="s">
        <v>34</v>
      </c>
      <c r="T415" s="153">
        <v>4.13</v>
      </c>
      <c r="U415" s="3" t="s">
        <v>387</v>
      </c>
      <c r="V415" s="164">
        <v>2.0199999999999999E-2</v>
      </c>
      <c r="W415" s="164">
        <v>2.5430000000000001E-2</v>
      </c>
      <c r="X415" s="5" t="s">
        <v>146</v>
      </c>
      <c r="Y415" s="5" t="s">
        <v>141</v>
      </c>
      <c r="Z415" s="153">
        <v>213000</v>
      </c>
      <c r="AA415" s="162">
        <v>1</v>
      </c>
      <c r="AB415" s="172">
        <v>105.02</v>
      </c>
      <c r="AD415" s="153">
        <v>223.69300000000001</v>
      </c>
      <c r="AG415" s="3" t="s">
        <v>36</v>
      </c>
      <c r="AH415" s="164">
        <v>6.0000000000000002E-5</v>
      </c>
      <c r="AI415" s="164">
        <v>9.1010887668151602E-3</v>
      </c>
      <c r="AJ415" s="164">
        <v>1.47426451947106E-3</v>
      </c>
    </row>
    <row r="416" spans="1:36">
      <c r="A416" s="3">
        <v>424</v>
      </c>
      <c r="B416" s="3">
        <v>7229</v>
      </c>
      <c r="C416" s="3" t="s">
        <v>380</v>
      </c>
      <c r="D416" s="3" t="s">
        <v>381</v>
      </c>
      <c r="E416" s="5" t="s">
        <v>134</v>
      </c>
      <c r="F416" s="3" t="s">
        <v>388</v>
      </c>
      <c r="G416" s="3" t="s">
        <v>389</v>
      </c>
      <c r="H416" s="3" t="s">
        <v>137</v>
      </c>
      <c r="I416" s="3" t="s">
        <v>138</v>
      </c>
      <c r="J416" s="3" t="s">
        <v>30</v>
      </c>
      <c r="K416" s="3" t="s">
        <v>30</v>
      </c>
      <c r="L416" s="3" t="s">
        <v>139</v>
      </c>
      <c r="M416" s="3" t="s">
        <v>31</v>
      </c>
      <c r="N416" s="3" t="s">
        <v>285</v>
      </c>
      <c r="O416" s="3" t="s">
        <v>141</v>
      </c>
      <c r="P416" s="3" t="s">
        <v>286</v>
      </c>
      <c r="Q416" s="3" t="s">
        <v>143</v>
      </c>
      <c r="R416" s="3" t="s">
        <v>144</v>
      </c>
      <c r="S416" s="3" t="s">
        <v>34</v>
      </c>
      <c r="T416" s="153">
        <v>4.1289999999999996</v>
      </c>
      <c r="U416" s="3" t="s">
        <v>390</v>
      </c>
      <c r="V416" s="164">
        <v>1E-3</v>
      </c>
      <c r="W416" s="164">
        <v>2.5350000000000001E-2</v>
      </c>
      <c r="X416" s="5" t="s">
        <v>146</v>
      </c>
      <c r="Y416" s="5" t="s">
        <v>141</v>
      </c>
      <c r="Z416" s="153">
        <v>300000</v>
      </c>
      <c r="AA416" s="162">
        <v>1</v>
      </c>
      <c r="AB416" s="172">
        <v>104.89</v>
      </c>
      <c r="AD416" s="153">
        <v>314.67</v>
      </c>
      <c r="AG416" s="3" t="s">
        <v>36</v>
      </c>
      <c r="AH416" s="164">
        <v>6.9999999999999994E-5</v>
      </c>
      <c r="AI416" s="164">
        <v>1.28025674620158E-2</v>
      </c>
      <c r="AJ416" s="164">
        <v>2.07385857351544E-3</v>
      </c>
    </row>
    <row r="417" spans="1:36">
      <c r="A417" s="3">
        <v>424</v>
      </c>
      <c r="B417" s="3">
        <v>7229</v>
      </c>
      <c r="C417" s="3" t="s">
        <v>380</v>
      </c>
      <c r="D417" s="3" t="s">
        <v>381</v>
      </c>
      <c r="E417" s="5" t="s">
        <v>134</v>
      </c>
      <c r="F417" s="3" t="s">
        <v>391</v>
      </c>
      <c r="G417" s="3" t="s">
        <v>392</v>
      </c>
      <c r="H417" s="3" t="s">
        <v>137</v>
      </c>
      <c r="I417" s="3" t="s">
        <v>138</v>
      </c>
      <c r="J417" s="3" t="s">
        <v>30</v>
      </c>
      <c r="K417" s="3" t="s">
        <v>30</v>
      </c>
      <c r="L417" s="3" t="s">
        <v>139</v>
      </c>
      <c r="M417" s="3" t="s">
        <v>31</v>
      </c>
      <c r="N417" s="3" t="s">
        <v>285</v>
      </c>
      <c r="O417" s="3" t="s">
        <v>141</v>
      </c>
      <c r="P417" s="3" t="s">
        <v>393</v>
      </c>
      <c r="Q417" s="3" t="s">
        <v>164</v>
      </c>
      <c r="R417" s="3" t="s">
        <v>144</v>
      </c>
      <c r="S417" s="3" t="s">
        <v>34</v>
      </c>
      <c r="T417" s="153">
        <v>6.6959999999999997</v>
      </c>
      <c r="U417" s="3" t="s">
        <v>394</v>
      </c>
      <c r="V417" s="164">
        <v>2.5999999999999999E-2</v>
      </c>
      <c r="W417" s="164">
        <v>2.554E-2</v>
      </c>
      <c r="X417" s="5" t="s">
        <v>146</v>
      </c>
      <c r="Y417" s="5" t="s">
        <v>141</v>
      </c>
      <c r="Z417" s="153">
        <v>360000</v>
      </c>
      <c r="AA417" s="162">
        <v>1</v>
      </c>
      <c r="AB417" s="172">
        <v>101.17</v>
      </c>
      <c r="AD417" s="153">
        <v>364.21199999999999</v>
      </c>
      <c r="AG417" s="3" t="s">
        <v>36</v>
      </c>
      <c r="AH417" s="164">
        <v>1.9599999999999999E-4</v>
      </c>
      <c r="AI417" s="164">
        <v>1.48182181347943E-2</v>
      </c>
      <c r="AJ417" s="164">
        <v>2.40036920830459E-3</v>
      </c>
    </row>
    <row r="418" spans="1:36">
      <c r="A418" s="3">
        <v>424</v>
      </c>
      <c r="B418" s="3">
        <v>7229</v>
      </c>
      <c r="C418" s="3" t="s">
        <v>380</v>
      </c>
      <c r="D418" s="3" t="s">
        <v>381</v>
      </c>
      <c r="E418" s="5" t="s">
        <v>134</v>
      </c>
      <c r="F418" s="3" t="s">
        <v>395</v>
      </c>
      <c r="G418" s="3" t="s">
        <v>396</v>
      </c>
      <c r="H418" s="3" t="s">
        <v>137</v>
      </c>
      <c r="I418" s="3" t="s">
        <v>138</v>
      </c>
      <c r="J418" s="3" t="s">
        <v>30</v>
      </c>
      <c r="K418" s="3" t="s">
        <v>30</v>
      </c>
      <c r="L418" s="3" t="s">
        <v>139</v>
      </c>
      <c r="M418" s="3" t="s">
        <v>31</v>
      </c>
      <c r="N418" s="3" t="s">
        <v>285</v>
      </c>
      <c r="O418" s="3" t="s">
        <v>141</v>
      </c>
      <c r="P418" s="3" t="s">
        <v>142</v>
      </c>
      <c r="Q418" s="3" t="s">
        <v>143</v>
      </c>
      <c r="R418" s="3" t="s">
        <v>144</v>
      </c>
      <c r="S418" s="3" t="s">
        <v>34</v>
      </c>
      <c r="T418" s="153">
        <v>4.968</v>
      </c>
      <c r="U418" s="3" t="s">
        <v>397</v>
      </c>
      <c r="V418" s="164">
        <v>3.1E-2</v>
      </c>
      <c r="W418" s="164">
        <v>2.972E-2</v>
      </c>
      <c r="X418" s="5" t="s">
        <v>146</v>
      </c>
      <c r="Y418" s="5" t="s">
        <v>141</v>
      </c>
      <c r="Z418" s="153">
        <v>150000</v>
      </c>
      <c r="AA418" s="162">
        <v>1</v>
      </c>
      <c r="AB418" s="172">
        <v>105.8</v>
      </c>
      <c r="AD418" s="153">
        <v>158.69999999999999</v>
      </c>
      <c r="AG418" s="3" t="s">
        <v>36</v>
      </c>
      <c r="AH418" s="164">
        <v>9.7999999999999997E-5</v>
      </c>
      <c r="AI418" s="164">
        <v>6.4568197038863398E-3</v>
      </c>
      <c r="AJ418" s="164">
        <v>1.04592543177583E-3</v>
      </c>
    </row>
    <row r="419" spans="1:36">
      <c r="A419" s="3">
        <v>424</v>
      </c>
      <c r="B419" s="3">
        <v>7229</v>
      </c>
      <c r="C419" s="3" t="s">
        <v>398</v>
      </c>
      <c r="D419" s="3" t="s">
        <v>399</v>
      </c>
      <c r="E419" s="5" t="s">
        <v>134</v>
      </c>
      <c r="F419" s="3" t="s">
        <v>400</v>
      </c>
      <c r="G419" s="3" t="s">
        <v>401</v>
      </c>
      <c r="H419" s="3" t="s">
        <v>137</v>
      </c>
      <c r="I419" s="3" t="s">
        <v>138</v>
      </c>
      <c r="J419" s="3" t="s">
        <v>30</v>
      </c>
      <c r="K419" s="3" t="s">
        <v>30</v>
      </c>
      <c r="L419" s="3" t="s">
        <v>139</v>
      </c>
      <c r="M419" s="3" t="s">
        <v>31</v>
      </c>
      <c r="N419" s="3" t="s">
        <v>186</v>
      </c>
      <c r="O419" s="3" t="s">
        <v>141</v>
      </c>
      <c r="P419" s="3" t="s">
        <v>180</v>
      </c>
      <c r="Q419" s="3" t="s">
        <v>143</v>
      </c>
      <c r="R419" s="3" t="s">
        <v>144</v>
      </c>
      <c r="S419" s="3" t="s">
        <v>34</v>
      </c>
      <c r="T419" s="153">
        <v>5.1689999999999996</v>
      </c>
      <c r="U419" s="3" t="s">
        <v>402</v>
      </c>
      <c r="V419" s="164">
        <v>3.5000000000000001E-3</v>
      </c>
      <c r="W419" s="164">
        <v>2.9669999999999998E-2</v>
      </c>
      <c r="X419" s="5" t="s">
        <v>146</v>
      </c>
      <c r="Y419" s="5" t="s">
        <v>141</v>
      </c>
      <c r="Z419" s="153">
        <v>189473.68</v>
      </c>
      <c r="AA419" s="162">
        <v>1</v>
      </c>
      <c r="AB419" s="172">
        <v>101.29</v>
      </c>
      <c r="AD419" s="153">
        <v>191.91800000000001</v>
      </c>
      <c r="AG419" s="3" t="s">
        <v>36</v>
      </c>
      <c r="AH419" s="164">
        <v>5.3999999999999998E-5</v>
      </c>
      <c r="AI419" s="164">
        <v>7.8083126447883403E-3</v>
      </c>
      <c r="AJ419" s="164">
        <v>1.26485067711048E-3</v>
      </c>
    </row>
    <row r="420" spans="1:36">
      <c r="A420" s="3">
        <v>424</v>
      </c>
      <c r="B420" s="3">
        <v>7229</v>
      </c>
      <c r="C420" s="3" t="s">
        <v>403</v>
      </c>
      <c r="D420" s="3" t="s">
        <v>404</v>
      </c>
      <c r="E420" s="5" t="s">
        <v>134</v>
      </c>
      <c r="F420" s="3" t="s">
        <v>405</v>
      </c>
      <c r="G420" s="3" t="s">
        <v>406</v>
      </c>
      <c r="H420" s="3" t="s">
        <v>137</v>
      </c>
      <c r="I420" s="3" t="s">
        <v>156</v>
      </c>
      <c r="J420" s="3" t="s">
        <v>30</v>
      </c>
      <c r="K420" s="3" t="s">
        <v>30</v>
      </c>
      <c r="L420" s="3" t="s">
        <v>139</v>
      </c>
      <c r="M420" s="3" t="s">
        <v>31</v>
      </c>
      <c r="N420" s="3" t="s">
        <v>170</v>
      </c>
      <c r="O420" s="3" t="s">
        <v>141</v>
      </c>
      <c r="P420" s="3" t="s">
        <v>163</v>
      </c>
      <c r="Q420" s="3" t="s">
        <v>164</v>
      </c>
      <c r="R420" s="3" t="s">
        <v>144</v>
      </c>
      <c r="S420" s="3" t="s">
        <v>34</v>
      </c>
      <c r="T420" s="153">
        <v>6.5819999999999999</v>
      </c>
      <c r="U420" s="3" t="s">
        <v>250</v>
      </c>
      <c r="V420" s="164">
        <v>6.0699999999999997E-2</v>
      </c>
      <c r="W420" s="164">
        <v>4.9540000000000001E-2</v>
      </c>
      <c r="X420" s="5" t="s">
        <v>146</v>
      </c>
      <c r="Y420" s="5" t="s">
        <v>141</v>
      </c>
      <c r="Z420" s="153">
        <v>142642</v>
      </c>
      <c r="AA420" s="162">
        <v>1</v>
      </c>
      <c r="AB420" s="172">
        <v>109.46</v>
      </c>
      <c r="AD420" s="153">
        <v>156.136</v>
      </c>
      <c r="AG420" s="3" t="s">
        <v>36</v>
      </c>
      <c r="AH420" s="164">
        <v>2.2699999999999999E-4</v>
      </c>
      <c r="AI420" s="164">
        <v>6.35249886559825E-3</v>
      </c>
      <c r="AJ420" s="164">
        <v>1.0290267381722199E-3</v>
      </c>
    </row>
    <row r="421" spans="1:36">
      <c r="A421" s="3">
        <v>424</v>
      </c>
      <c r="B421" s="3">
        <v>7229</v>
      </c>
      <c r="C421" s="3" t="s">
        <v>403</v>
      </c>
      <c r="D421" s="3" t="s">
        <v>404</v>
      </c>
      <c r="E421" s="5" t="s">
        <v>134</v>
      </c>
      <c r="F421" s="3" t="s">
        <v>642</v>
      </c>
      <c r="G421" s="3" t="s">
        <v>643</v>
      </c>
      <c r="H421" s="3" t="s">
        <v>137</v>
      </c>
      <c r="I421" s="3" t="s">
        <v>156</v>
      </c>
      <c r="J421" s="3" t="s">
        <v>30</v>
      </c>
      <c r="K421" s="3" t="s">
        <v>30</v>
      </c>
      <c r="L421" s="3" t="s">
        <v>139</v>
      </c>
      <c r="M421" s="3" t="s">
        <v>31</v>
      </c>
      <c r="N421" s="3" t="s">
        <v>170</v>
      </c>
      <c r="O421" s="3" t="s">
        <v>141</v>
      </c>
      <c r="P421" s="3" t="s">
        <v>163</v>
      </c>
      <c r="Q421" s="3" t="s">
        <v>164</v>
      </c>
      <c r="R421" s="3" t="s">
        <v>144</v>
      </c>
      <c r="S421" s="3" t="s">
        <v>34</v>
      </c>
      <c r="T421" s="153">
        <v>1.196</v>
      </c>
      <c r="U421" s="3" t="s">
        <v>641</v>
      </c>
      <c r="V421" s="164">
        <v>4.1000000000000002E-2</v>
      </c>
      <c r="W421" s="164">
        <v>4.9340000000000002E-2</v>
      </c>
      <c r="X421" s="5" t="s">
        <v>146</v>
      </c>
      <c r="Y421" s="5" t="s">
        <v>141</v>
      </c>
      <c r="Z421" s="153">
        <v>200000</v>
      </c>
      <c r="AA421" s="162">
        <v>1</v>
      </c>
      <c r="AB421" s="172">
        <v>102.14</v>
      </c>
      <c r="AD421" s="153">
        <v>204.28</v>
      </c>
      <c r="AG421" s="3" t="s">
        <v>36</v>
      </c>
      <c r="AH421" s="164">
        <v>2.7999999999999998E-4</v>
      </c>
      <c r="AI421" s="164">
        <v>8.3112736553869002E-3</v>
      </c>
      <c r="AJ421" s="164">
        <v>1.3463241789739499E-3</v>
      </c>
    </row>
    <row r="422" spans="1:36">
      <c r="A422" s="3">
        <v>424</v>
      </c>
      <c r="B422" s="3">
        <v>7229</v>
      </c>
      <c r="C422" s="3" t="s">
        <v>403</v>
      </c>
      <c r="D422" s="3" t="s">
        <v>404</v>
      </c>
      <c r="E422" s="5" t="s">
        <v>134</v>
      </c>
      <c r="F422" s="3" t="s">
        <v>407</v>
      </c>
      <c r="G422" s="3" t="s">
        <v>408</v>
      </c>
      <c r="H422" s="3" t="s">
        <v>137</v>
      </c>
      <c r="I422" s="3" t="s">
        <v>156</v>
      </c>
      <c r="J422" s="3" t="s">
        <v>30</v>
      </c>
      <c r="K422" s="3" t="s">
        <v>30</v>
      </c>
      <c r="L422" s="3" t="s">
        <v>139</v>
      </c>
      <c r="M422" s="3" t="s">
        <v>31</v>
      </c>
      <c r="N422" s="3" t="s">
        <v>170</v>
      </c>
      <c r="O422" s="3" t="s">
        <v>141</v>
      </c>
      <c r="P422" s="3" t="s">
        <v>152</v>
      </c>
      <c r="Q422" s="3" t="s">
        <v>143</v>
      </c>
      <c r="R422" s="3" t="s">
        <v>144</v>
      </c>
      <c r="S422" s="3" t="s">
        <v>34</v>
      </c>
      <c r="T422" s="153">
        <v>5.931</v>
      </c>
      <c r="U422" s="3" t="s">
        <v>258</v>
      </c>
      <c r="V422" s="164">
        <v>6.0699999999999997E-2</v>
      </c>
      <c r="W422" s="164">
        <v>4.929E-2</v>
      </c>
      <c r="X422" s="5" t="s">
        <v>146</v>
      </c>
      <c r="Y422" s="5" t="s">
        <v>141</v>
      </c>
      <c r="Z422" s="153">
        <v>141724</v>
      </c>
      <c r="AA422" s="162">
        <v>1</v>
      </c>
      <c r="AB422" s="172">
        <v>108.82</v>
      </c>
      <c r="AD422" s="153">
        <v>154.22399999999999</v>
      </c>
      <c r="AG422" s="3" t="s">
        <v>36</v>
      </c>
      <c r="AH422" s="164">
        <v>2.2499999999999999E-4</v>
      </c>
      <c r="AI422" s="164">
        <v>6.2747128466258701E-3</v>
      </c>
      <c r="AJ422" s="164">
        <v>1.0164263591604301E-3</v>
      </c>
    </row>
    <row r="423" spans="1:36">
      <c r="A423" s="3">
        <v>424</v>
      </c>
      <c r="B423" s="3">
        <v>7229</v>
      </c>
      <c r="C423" s="3" t="s">
        <v>409</v>
      </c>
      <c r="D423" s="3" t="s">
        <v>410</v>
      </c>
      <c r="E423" s="5" t="s">
        <v>134</v>
      </c>
      <c r="F423" s="3" t="s">
        <v>600</v>
      </c>
      <c r="G423" s="3" t="s">
        <v>601</v>
      </c>
      <c r="H423" s="3" t="s">
        <v>137</v>
      </c>
      <c r="I423" s="3" t="s">
        <v>156</v>
      </c>
      <c r="J423" s="3" t="s">
        <v>30</v>
      </c>
      <c r="K423" s="3" t="s">
        <v>30</v>
      </c>
      <c r="L423" s="3" t="s">
        <v>139</v>
      </c>
      <c r="M423" s="3" t="s">
        <v>31</v>
      </c>
      <c r="N423" s="3" t="s">
        <v>186</v>
      </c>
      <c r="O423" s="3" t="s">
        <v>141</v>
      </c>
      <c r="P423" s="3" t="s">
        <v>171</v>
      </c>
      <c r="Q423" s="3" t="s">
        <v>164</v>
      </c>
      <c r="R423" s="3" t="s">
        <v>144</v>
      </c>
      <c r="S423" s="3" t="s">
        <v>34</v>
      </c>
      <c r="T423" s="153">
        <v>4.6219999999999999</v>
      </c>
      <c r="U423" s="3" t="s">
        <v>347</v>
      </c>
      <c r="V423" s="164">
        <v>5.4800000000000001E-2</v>
      </c>
      <c r="W423" s="164">
        <v>4.7289999999999999E-2</v>
      </c>
      <c r="X423" s="5" t="s">
        <v>146</v>
      </c>
      <c r="Y423" s="5" t="s">
        <v>141</v>
      </c>
      <c r="Z423" s="153">
        <v>223000</v>
      </c>
      <c r="AA423" s="162">
        <v>1</v>
      </c>
      <c r="AB423" s="172">
        <v>105.18</v>
      </c>
      <c r="AD423" s="153">
        <v>234.55099999999999</v>
      </c>
      <c r="AG423" s="3" t="s">
        <v>36</v>
      </c>
      <c r="AH423" s="164">
        <v>7.4299999999999995E-4</v>
      </c>
      <c r="AI423" s="164">
        <v>9.5428865853442093E-3</v>
      </c>
      <c r="AJ423" s="164">
        <v>1.5458303359711699E-3</v>
      </c>
    </row>
    <row r="424" spans="1:36">
      <c r="A424" s="3">
        <v>424</v>
      </c>
      <c r="B424" s="3">
        <v>7229</v>
      </c>
      <c r="C424" s="3" t="s">
        <v>409</v>
      </c>
      <c r="D424" s="3" t="s">
        <v>410</v>
      </c>
      <c r="E424" s="5" t="s">
        <v>134</v>
      </c>
      <c r="F424" s="3" t="s">
        <v>411</v>
      </c>
      <c r="G424" s="3" t="s">
        <v>412</v>
      </c>
      <c r="H424" s="3" t="s">
        <v>137</v>
      </c>
      <c r="I424" s="3" t="s">
        <v>156</v>
      </c>
      <c r="J424" s="3" t="s">
        <v>30</v>
      </c>
      <c r="K424" s="3" t="s">
        <v>30</v>
      </c>
      <c r="L424" s="3" t="s">
        <v>139</v>
      </c>
      <c r="M424" s="3" t="s">
        <v>31</v>
      </c>
      <c r="N424" s="3" t="s">
        <v>186</v>
      </c>
      <c r="O424" s="3" t="s">
        <v>141</v>
      </c>
      <c r="P424" s="3" t="s">
        <v>171</v>
      </c>
      <c r="Q424" s="3" t="s">
        <v>164</v>
      </c>
      <c r="R424" s="3" t="s">
        <v>144</v>
      </c>
      <c r="S424" s="3" t="s">
        <v>34</v>
      </c>
      <c r="T424" s="153">
        <v>6.2949999999999999</v>
      </c>
      <c r="U424" s="3" t="s">
        <v>301</v>
      </c>
      <c r="V424" s="164">
        <v>5.2900000000000003E-2</v>
      </c>
      <c r="W424" s="164">
        <v>5.1069999999999997E-2</v>
      </c>
      <c r="X424" s="5" t="s">
        <v>146</v>
      </c>
      <c r="Y424" s="5" t="s">
        <v>141</v>
      </c>
      <c r="Z424" s="153">
        <v>224000</v>
      </c>
      <c r="AA424" s="162">
        <v>1</v>
      </c>
      <c r="AB424" s="172">
        <v>102.93</v>
      </c>
      <c r="AD424" s="153">
        <v>230.56299999999999</v>
      </c>
      <c r="AG424" s="3" t="s">
        <v>36</v>
      </c>
      <c r="AH424" s="164">
        <v>4.08E-4</v>
      </c>
      <c r="AI424" s="164">
        <v>9.3806238988726406E-3</v>
      </c>
      <c r="AJ424" s="164">
        <v>1.51954577512046E-3</v>
      </c>
    </row>
    <row r="425" spans="1:36">
      <c r="A425" s="3">
        <v>424</v>
      </c>
      <c r="B425" s="3">
        <v>7229</v>
      </c>
      <c r="C425" s="3" t="s">
        <v>413</v>
      </c>
      <c r="D425" s="3" t="s">
        <v>414</v>
      </c>
      <c r="E425" s="5" t="s">
        <v>134</v>
      </c>
      <c r="F425" s="3" t="s">
        <v>415</v>
      </c>
      <c r="G425" s="3" t="s">
        <v>416</v>
      </c>
      <c r="H425" s="3" t="s">
        <v>137</v>
      </c>
      <c r="I425" s="3" t="s">
        <v>138</v>
      </c>
      <c r="J425" s="3" t="s">
        <v>30</v>
      </c>
      <c r="K425" s="3" t="s">
        <v>30</v>
      </c>
      <c r="L425" s="3" t="s">
        <v>139</v>
      </c>
      <c r="M425" s="3" t="s">
        <v>31</v>
      </c>
      <c r="N425" s="3" t="s">
        <v>186</v>
      </c>
      <c r="O425" s="3" t="s">
        <v>141</v>
      </c>
      <c r="P425" s="3" t="s">
        <v>152</v>
      </c>
      <c r="Q425" s="3" t="s">
        <v>143</v>
      </c>
      <c r="R425" s="3" t="s">
        <v>144</v>
      </c>
      <c r="S425" s="3" t="s">
        <v>34</v>
      </c>
      <c r="T425" s="153">
        <v>5.0469999999999997</v>
      </c>
      <c r="U425" s="3" t="s">
        <v>417</v>
      </c>
      <c r="V425" s="164">
        <v>9.7000000000000003E-3</v>
      </c>
      <c r="W425" s="164">
        <v>3.1480000000000001E-2</v>
      </c>
      <c r="X425" s="5" t="s">
        <v>146</v>
      </c>
      <c r="Y425" s="5" t="s">
        <v>141</v>
      </c>
      <c r="Z425" s="153">
        <v>207058.82</v>
      </c>
      <c r="AA425" s="162">
        <v>1</v>
      </c>
      <c r="AB425" s="172">
        <v>104.98</v>
      </c>
      <c r="AD425" s="153">
        <v>217.37</v>
      </c>
      <c r="AG425" s="3" t="s">
        <v>36</v>
      </c>
      <c r="AH425" s="164">
        <v>3.4400000000000001E-4</v>
      </c>
      <c r="AI425" s="164">
        <v>8.8438636042070598E-3</v>
      </c>
      <c r="AJ425" s="164">
        <v>1.4325972046624199E-3</v>
      </c>
    </row>
    <row r="426" spans="1:36">
      <c r="A426" s="3">
        <v>424</v>
      </c>
      <c r="B426" s="3">
        <v>7229</v>
      </c>
      <c r="C426" s="3" t="s">
        <v>418</v>
      </c>
      <c r="D426" s="3" t="s">
        <v>419</v>
      </c>
      <c r="E426" s="5" t="s">
        <v>134</v>
      </c>
      <c r="F426" s="3" t="s">
        <v>605</v>
      </c>
      <c r="G426" s="3" t="s">
        <v>606</v>
      </c>
      <c r="H426" s="3" t="s">
        <v>137</v>
      </c>
      <c r="I426" s="3" t="s">
        <v>138</v>
      </c>
      <c r="J426" s="3" t="s">
        <v>30</v>
      </c>
      <c r="K426" s="3" t="s">
        <v>30</v>
      </c>
      <c r="L426" s="3" t="s">
        <v>139</v>
      </c>
      <c r="M426" s="3" t="s">
        <v>31</v>
      </c>
      <c r="N426" s="3" t="s">
        <v>285</v>
      </c>
      <c r="O426" s="3" t="s">
        <v>141</v>
      </c>
      <c r="P426" s="3" t="s">
        <v>286</v>
      </c>
      <c r="Q426" s="3" t="s">
        <v>143</v>
      </c>
      <c r="R426" s="3" t="s">
        <v>144</v>
      </c>
      <c r="S426" s="3" t="s">
        <v>34</v>
      </c>
      <c r="T426" s="153">
        <v>4.7160000000000002</v>
      </c>
      <c r="U426" s="3" t="s">
        <v>607</v>
      </c>
      <c r="V426" s="164">
        <v>2E-3</v>
      </c>
      <c r="W426" s="164">
        <v>2.564E-2</v>
      </c>
      <c r="X426" s="5" t="s">
        <v>146</v>
      </c>
      <c r="Y426" s="5" t="s">
        <v>141</v>
      </c>
      <c r="Z426" s="153">
        <v>143000</v>
      </c>
      <c r="AA426" s="162">
        <v>1</v>
      </c>
      <c r="AB426" s="172">
        <v>106.44</v>
      </c>
      <c r="AD426" s="153">
        <v>152.209</v>
      </c>
      <c r="AG426" s="3" t="s">
        <v>36</v>
      </c>
      <c r="AH426" s="164">
        <v>4.1E-5</v>
      </c>
      <c r="AI426" s="164">
        <v>6.1927369985682202E-3</v>
      </c>
      <c r="AJ426" s="164">
        <v>1.0031472793336699E-3</v>
      </c>
    </row>
    <row r="427" spans="1:36">
      <c r="A427" s="3">
        <v>424</v>
      </c>
      <c r="B427" s="3">
        <v>7229</v>
      </c>
      <c r="C427" s="3" t="s">
        <v>418</v>
      </c>
      <c r="D427" s="3" t="s">
        <v>419</v>
      </c>
      <c r="E427" s="5" t="s">
        <v>134</v>
      </c>
      <c r="F427" s="3" t="s">
        <v>420</v>
      </c>
      <c r="G427" s="3" t="s">
        <v>421</v>
      </c>
      <c r="H427" s="3" t="s">
        <v>137</v>
      </c>
      <c r="I427" s="3" t="s">
        <v>138</v>
      </c>
      <c r="J427" s="3" t="s">
        <v>30</v>
      </c>
      <c r="K427" s="3" t="s">
        <v>30</v>
      </c>
      <c r="L427" s="3" t="s">
        <v>139</v>
      </c>
      <c r="M427" s="3" t="s">
        <v>31</v>
      </c>
      <c r="N427" s="3" t="s">
        <v>285</v>
      </c>
      <c r="O427" s="3" t="s">
        <v>141</v>
      </c>
      <c r="P427" s="3" t="s">
        <v>142</v>
      </c>
      <c r="Q427" s="3" t="s">
        <v>143</v>
      </c>
      <c r="R427" s="3" t="s">
        <v>144</v>
      </c>
      <c r="S427" s="3" t="s">
        <v>34</v>
      </c>
      <c r="T427" s="153">
        <v>3.5310000000000001</v>
      </c>
      <c r="U427" s="3" t="s">
        <v>422</v>
      </c>
      <c r="V427" s="164">
        <v>3.3599999999999998E-2</v>
      </c>
      <c r="W427" s="164">
        <v>2.955E-2</v>
      </c>
      <c r="X427" s="5" t="s">
        <v>146</v>
      </c>
      <c r="Y427" s="5" t="s">
        <v>141</v>
      </c>
      <c r="Z427" s="153">
        <v>200000</v>
      </c>
      <c r="AA427" s="162">
        <v>1</v>
      </c>
      <c r="AB427" s="172">
        <v>108.97</v>
      </c>
      <c r="AD427" s="153">
        <v>217.94</v>
      </c>
      <c r="AG427" s="3" t="s">
        <v>36</v>
      </c>
      <c r="AH427" s="164">
        <v>1.7100000000000001E-4</v>
      </c>
      <c r="AI427" s="164">
        <v>8.8670402411152403E-3</v>
      </c>
      <c r="AJ427" s="164">
        <v>1.4363515349793601E-3</v>
      </c>
    </row>
    <row r="428" spans="1:36">
      <c r="A428" s="3">
        <v>424</v>
      </c>
      <c r="B428" s="3">
        <v>7229</v>
      </c>
      <c r="C428" s="3" t="s">
        <v>418</v>
      </c>
      <c r="D428" s="3" t="s">
        <v>419</v>
      </c>
      <c r="E428" s="5" t="s">
        <v>134</v>
      </c>
      <c r="F428" s="3" t="s">
        <v>423</v>
      </c>
      <c r="G428" s="3" t="s">
        <v>424</v>
      </c>
      <c r="H428" s="3" t="s">
        <v>137</v>
      </c>
      <c r="I428" s="3" t="s">
        <v>138</v>
      </c>
      <c r="J428" s="3" t="s">
        <v>30</v>
      </c>
      <c r="K428" s="3" t="s">
        <v>30</v>
      </c>
      <c r="L428" s="3" t="s">
        <v>139</v>
      </c>
      <c r="M428" s="3" t="s">
        <v>31</v>
      </c>
      <c r="N428" s="3" t="s">
        <v>285</v>
      </c>
      <c r="O428" s="3" t="s">
        <v>141</v>
      </c>
      <c r="P428" s="3" t="s">
        <v>142</v>
      </c>
      <c r="Q428" s="3" t="s">
        <v>143</v>
      </c>
      <c r="R428" s="3" t="s">
        <v>144</v>
      </c>
      <c r="S428" s="3" t="s">
        <v>34</v>
      </c>
      <c r="T428" s="153">
        <v>4.6829999999999998</v>
      </c>
      <c r="U428" s="3" t="s">
        <v>425</v>
      </c>
      <c r="V428" s="164">
        <v>3.3500000000000002E-2</v>
      </c>
      <c r="W428" s="164">
        <v>3.0839999999999999E-2</v>
      </c>
      <c r="X428" s="5" t="s">
        <v>146</v>
      </c>
      <c r="Y428" s="5" t="s">
        <v>141</v>
      </c>
      <c r="Z428" s="153">
        <v>210000</v>
      </c>
      <c r="AA428" s="162">
        <v>1</v>
      </c>
      <c r="AB428" s="172">
        <v>106.95</v>
      </c>
      <c r="AD428" s="153">
        <v>224.595</v>
      </c>
      <c r="AG428" s="3" t="s">
        <v>36</v>
      </c>
      <c r="AH428" s="164">
        <v>1.3899999999999999E-4</v>
      </c>
      <c r="AI428" s="164">
        <v>9.1378035374565392E-3</v>
      </c>
      <c r="AJ428" s="164">
        <v>1.4802118610566599E-3</v>
      </c>
    </row>
    <row r="429" spans="1:36">
      <c r="A429" s="3">
        <v>424</v>
      </c>
      <c r="B429" s="3">
        <v>7229</v>
      </c>
      <c r="C429" s="3" t="s">
        <v>418</v>
      </c>
      <c r="D429" s="3" t="s">
        <v>419</v>
      </c>
      <c r="E429" s="5" t="s">
        <v>134</v>
      </c>
      <c r="F429" s="3" t="s">
        <v>426</v>
      </c>
      <c r="G429" s="3" t="s">
        <v>427</v>
      </c>
      <c r="H429" s="3" t="s">
        <v>137</v>
      </c>
      <c r="I429" s="3" t="s">
        <v>138</v>
      </c>
      <c r="J429" s="3" t="s">
        <v>30</v>
      </c>
      <c r="K429" s="3" t="s">
        <v>30</v>
      </c>
      <c r="L429" s="3" t="s">
        <v>139</v>
      </c>
      <c r="M429" s="3" t="s">
        <v>31</v>
      </c>
      <c r="N429" s="3" t="s">
        <v>285</v>
      </c>
      <c r="O429" s="3" t="s">
        <v>141</v>
      </c>
      <c r="P429" s="3" t="s">
        <v>286</v>
      </c>
      <c r="Q429" s="3" t="s">
        <v>143</v>
      </c>
      <c r="R429" s="3" t="s">
        <v>144</v>
      </c>
      <c r="S429" s="3" t="s">
        <v>34</v>
      </c>
      <c r="T429" s="153">
        <v>4.3650000000000002</v>
      </c>
      <c r="U429" s="3" t="s">
        <v>428</v>
      </c>
      <c r="V429" s="164">
        <v>2.2013000000000001E-2</v>
      </c>
      <c r="W429" s="164">
        <v>2.4549999999999999E-2</v>
      </c>
      <c r="X429" s="5" t="s">
        <v>146</v>
      </c>
      <c r="Y429" s="5" t="s">
        <v>141</v>
      </c>
      <c r="Z429" s="153">
        <v>300000</v>
      </c>
      <c r="AA429" s="162">
        <v>1</v>
      </c>
      <c r="AB429" s="172">
        <v>125.71</v>
      </c>
      <c r="AD429" s="153">
        <v>377.13</v>
      </c>
      <c r="AG429" s="3" t="s">
        <v>36</v>
      </c>
      <c r="AH429" s="164">
        <v>4.2700000000000002E-4</v>
      </c>
      <c r="AI429" s="164">
        <v>1.53437959352656E-2</v>
      </c>
      <c r="AJ429" s="164">
        <v>2.4855063521463001E-3</v>
      </c>
    </row>
    <row r="430" spans="1:36">
      <c r="A430" s="3">
        <v>424</v>
      </c>
      <c r="B430" s="3">
        <v>7229</v>
      </c>
      <c r="C430" s="3" t="s">
        <v>429</v>
      </c>
      <c r="D430" s="3" t="s">
        <v>430</v>
      </c>
      <c r="E430" s="5" t="s">
        <v>134</v>
      </c>
      <c r="F430" s="3" t="s">
        <v>434</v>
      </c>
      <c r="G430" s="3" t="s">
        <v>435</v>
      </c>
      <c r="H430" s="3" t="s">
        <v>137</v>
      </c>
      <c r="I430" s="3" t="s">
        <v>138</v>
      </c>
      <c r="J430" s="3" t="s">
        <v>30</v>
      </c>
      <c r="K430" s="3" t="s">
        <v>30</v>
      </c>
      <c r="L430" s="3" t="s">
        <v>139</v>
      </c>
      <c r="M430" s="3" t="s">
        <v>31</v>
      </c>
      <c r="N430" s="3" t="s">
        <v>186</v>
      </c>
      <c r="O430" s="3" t="s">
        <v>141</v>
      </c>
      <c r="P430" s="3" t="s">
        <v>180</v>
      </c>
      <c r="Q430" s="3" t="s">
        <v>143</v>
      </c>
      <c r="R430" s="3" t="s">
        <v>144</v>
      </c>
      <c r="S430" s="3" t="s">
        <v>34</v>
      </c>
      <c r="T430" s="153">
        <v>5.3339999999999996</v>
      </c>
      <c r="U430" s="3" t="s">
        <v>436</v>
      </c>
      <c r="V430" s="164">
        <v>3.61E-2</v>
      </c>
      <c r="W430" s="164">
        <v>2.9340000000000001E-2</v>
      </c>
      <c r="X430" s="5" t="s">
        <v>146</v>
      </c>
      <c r="Y430" s="5" t="s">
        <v>141</v>
      </c>
      <c r="Z430" s="153">
        <v>317362.40000000002</v>
      </c>
      <c r="AA430" s="162">
        <v>1</v>
      </c>
      <c r="AB430" s="172">
        <v>113.95</v>
      </c>
      <c r="AD430" s="153">
        <v>361.63400000000001</v>
      </c>
      <c r="AG430" s="3" t="s">
        <v>36</v>
      </c>
      <c r="AH430" s="164">
        <v>1.44E-4</v>
      </c>
      <c r="AI430" s="164">
        <v>1.4713348918442601E-2</v>
      </c>
      <c r="AJ430" s="164">
        <v>2.3833816841947499E-3</v>
      </c>
    </row>
    <row r="431" spans="1:36">
      <c r="A431" s="3">
        <v>424</v>
      </c>
      <c r="B431" s="3">
        <v>7229</v>
      </c>
      <c r="C431" s="3" t="s">
        <v>677</v>
      </c>
      <c r="D431" s="3" t="s">
        <v>678</v>
      </c>
      <c r="E431" s="5" t="s">
        <v>134</v>
      </c>
      <c r="F431" s="3" t="s">
        <v>679</v>
      </c>
      <c r="G431" s="3" t="s">
        <v>680</v>
      </c>
      <c r="H431" s="3" t="s">
        <v>137</v>
      </c>
      <c r="I431" s="3" t="s">
        <v>138</v>
      </c>
      <c r="J431" s="3" t="s">
        <v>30</v>
      </c>
      <c r="K431" s="3" t="s">
        <v>30</v>
      </c>
      <c r="L431" s="3" t="s">
        <v>139</v>
      </c>
      <c r="M431" s="3" t="s">
        <v>31</v>
      </c>
      <c r="N431" s="3" t="s">
        <v>186</v>
      </c>
      <c r="O431" s="3" t="s">
        <v>141</v>
      </c>
      <c r="P431" s="3" t="s">
        <v>271</v>
      </c>
      <c r="Q431" s="3" t="s">
        <v>164</v>
      </c>
      <c r="R431" s="3" t="s">
        <v>144</v>
      </c>
      <c r="S431" s="3" t="s">
        <v>34</v>
      </c>
      <c r="T431" s="153">
        <v>1.988</v>
      </c>
      <c r="U431" s="3" t="s">
        <v>337</v>
      </c>
      <c r="V431" s="164">
        <v>2.75E-2</v>
      </c>
      <c r="W431" s="164">
        <v>2.8729999999999999E-2</v>
      </c>
      <c r="X431" s="5" t="s">
        <v>146</v>
      </c>
      <c r="Y431" s="5" t="s">
        <v>141</v>
      </c>
      <c r="Z431" s="153">
        <v>160000</v>
      </c>
      <c r="AA431" s="162">
        <v>1</v>
      </c>
      <c r="AB431" s="172">
        <v>118.55</v>
      </c>
      <c r="AD431" s="153">
        <v>189.68</v>
      </c>
      <c r="AG431" s="3" t="s">
        <v>36</v>
      </c>
      <c r="AH431" s="164">
        <v>2.8600000000000001E-4</v>
      </c>
      <c r="AI431" s="164">
        <v>7.7172625169071299E-3</v>
      </c>
      <c r="AJ431" s="164">
        <v>1.2501016754835499E-3</v>
      </c>
    </row>
    <row r="432" spans="1:36">
      <c r="A432" s="3">
        <v>424</v>
      </c>
      <c r="B432" s="3">
        <v>7229</v>
      </c>
      <c r="C432" s="3" t="s">
        <v>443</v>
      </c>
      <c r="D432" s="3" t="s">
        <v>444</v>
      </c>
      <c r="E432" s="5" t="s">
        <v>134</v>
      </c>
      <c r="F432" s="3" t="s">
        <v>445</v>
      </c>
      <c r="G432" s="3" t="s">
        <v>446</v>
      </c>
      <c r="H432" s="3" t="s">
        <v>137</v>
      </c>
      <c r="I432" s="3" t="s">
        <v>156</v>
      </c>
      <c r="J432" s="3" t="s">
        <v>30</v>
      </c>
      <c r="K432" s="3" t="s">
        <v>30</v>
      </c>
      <c r="L432" s="3" t="s">
        <v>139</v>
      </c>
      <c r="M432" s="3" t="s">
        <v>31</v>
      </c>
      <c r="N432" s="3" t="s">
        <v>447</v>
      </c>
      <c r="O432" s="3" t="s">
        <v>141</v>
      </c>
      <c r="P432" s="3" t="s">
        <v>209</v>
      </c>
      <c r="Q432" s="3" t="s">
        <v>164</v>
      </c>
      <c r="R432" s="3" t="s">
        <v>144</v>
      </c>
      <c r="S432" s="3" t="s">
        <v>34</v>
      </c>
      <c r="T432" s="153">
        <v>0.96699999999999997</v>
      </c>
      <c r="U432" s="3" t="s">
        <v>448</v>
      </c>
      <c r="V432" s="164">
        <v>0.114</v>
      </c>
      <c r="W432" s="164">
        <v>1E-4</v>
      </c>
      <c r="X432" s="5" t="s">
        <v>146</v>
      </c>
      <c r="Y432" s="5" t="s">
        <v>141</v>
      </c>
      <c r="Z432" s="153">
        <v>164835.4</v>
      </c>
      <c r="AA432" s="162">
        <v>1</v>
      </c>
      <c r="AB432" s="172">
        <v>100.46</v>
      </c>
      <c r="AD432" s="153">
        <v>165.59399999999999</v>
      </c>
      <c r="AG432" s="3" t="s">
        <v>36</v>
      </c>
      <c r="AH432" s="164">
        <v>6.8199999999999999E-4</v>
      </c>
      <c r="AI432" s="164">
        <v>6.7372923498905399E-3</v>
      </c>
      <c r="AJ432" s="164">
        <v>1.09135855316168E-3</v>
      </c>
    </row>
    <row r="433" spans="1:36">
      <c r="A433" s="3">
        <v>424</v>
      </c>
      <c r="B433" s="3">
        <v>7229</v>
      </c>
      <c r="C433" s="3" t="s">
        <v>443</v>
      </c>
      <c r="D433" s="3" t="s">
        <v>444</v>
      </c>
      <c r="E433" s="5" t="s">
        <v>134</v>
      </c>
      <c r="F433" s="3" t="s">
        <v>452</v>
      </c>
      <c r="G433" s="3" t="s">
        <v>453</v>
      </c>
      <c r="H433" s="3" t="s">
        <v>137</v>
      </c>
      <c r="I433" s="3" t="s">
        <v>156</v>
      </c>
      <c r="J433" s="3" t="s">
        <v>30</v>
      </c>
      <c r="K433" s="3" t="s">
        <v>30</v>
      </c>
      <c r="L433" s="3" t="s">
        <v>139</v>
      </c>
      <c r="M433" s="3" t="s">
        <v>31</v>
      </c>
      <c r="N433" s="3" t="s">
        <v>447</v>
      </c>
      <c r="O433" s="3" t="s">
        <v>141</v>
      </c>
      <c r="P433" s="3" t="s">
        <v>209</v>
      </c>
      <c r="Q433" s="3" t="s">
        <v>164</v>
      </c>
      <c r="R433" s="3" t="s">
        <v>144</v>
      </c>
      <c r="S433" s="3" t="s">
        <v>34</v>
      </c>
      <c r="T433" s="153">
        <v>2.8410000000000002</v>
      </c>
      <c r="U433" s="3" t="s">
        <v>454</v>
      </c>
      <c r="V433" s="164">
        <v>6.4000000000000001E-2</v>
      </c>
      <c r="W433" s="164">
        <v>5.8369999999999998E-2</v>
      </c>
      <c r="X433" s="5" t="s">
        <v>146</v>
      </c>
      <c r="Y433" s="5" t="s">
        <v>141</v>
      </c>
      <c r="Z433" s="153">
        <v>139000</v>
      </c>
      <c r="AA433" s="162">
        <v>1</v>
      </c>
      <c r="AB433" s="172">
        <v>104.05</v>
      </c>
      <c r="AD433" s="153">
        <v>144.63</v>
      </c>
      <c r="AG433" s="3" t="s">
        <v>36</v>
      </c>
      <c r="AH433" s="164">
        <v>4.0099999999999999E-4</v>
      </c>
      <c r="AI433" s="164">
        <v>5.8843516406000603E-3</v>
      </c>
      <c r="AJ433" s="164">
        <v>9.5319264168256001E-4</v>
      </c>
    </row>
    <row r="434" spans="1:36">
      <c r="A434" s="3">
        <v>424</v>
      </c>
      <c r="B434" s="3">
        <v>7229</v>
      </c>
      <c r="C434" s="3" t="s">
        <v>455</v>
      </c>
      <c r="D434" s="3" t="s">
        <v>456</v>
      </c>
      <c r="E434" s="5" t="s">
        <v>134</v>
      </c>
      <c r="F434" s="3" t="s">
        <v>457</v>
      </c>
      <c r="G434" s="3" t="s">
        <v>458</v>
      </c>
      <c r="H434" s="3" t="s">
        <v>137</v>
      </c>
      <c r="I434" s="3" t="s">
        <v>138</v>
      </c>
      <c r="J434" s="3" t="s">
        <v>30</v>
      </c>
      <c r="K434" s="3" t="s">
        <v>30</v>
      </c>
      <c r="L434" s="3" t="s">
        <v>139</v>
      </c>
      <c r="M434" s="3" t="s">
        <v>31</v>
      </c>
      <c r="N434" s="3" t="s">
        <v>162</v>
      </c>
      <c r="O434" s="3" t="s">
        <v>141</v>
      </c>
      <c r="P434" s="3" t="s">
        <v>459</v>
      </c>
      <c r="Q434" s="3" t="s">
        <v>164</v>
      </c>
      <c r="R434" s="3" t="s">
        <v>144</v>
      </c>
      <c r="S434" s="3" t="s">
        <v>34</v>
      </c>
      <c r="T434" s="153">
        <v>3.2679999999999998</v>
      </c>
      <c r="U434" s="3" t="s">
        <v>460</v>
      </c>
      <c r="V434" s="164">
        <v>2.07E-2</v>
      </c>
      <c r="W434" s="164">
        <v>4.1239999999999999E-2</v>
      </c>
      <c r="X434" s="5" t="s">
        <v>146</v>
      </c>
      <c r="Y434" s="5" t="s">
        <v>141</v>
      </c>
      <c r="Z434" s="153">
        <v>239917.08</v>
      </c>
      <c r="AA434" s="162">
        <v>1</v>
      </c>
      <c r="AB434" s="172">
        <v>109.03</v>
      </c>
      <c r="AD434" s="153">
        <v>261.58199999999999</v>
      </c>
      <c r="AG434" s="3" t="s">
        <v>36</v>
      </c>
      <c r="AH434" s="164">
        <v>5.7499999999999999E-4</v>
      </c>
      <c r="AI434" s="164">
        <v>1.06426287302556E-2</v>
      </c>
      <c r="AJ434" s="164">
        <v>1.7239750466042101E-3</v>
      </c>
    </row>
    <row r="435" spans="1:36">
      <c r="A435" s="3">
        <v>424</v>
      </c>
      <c r="B435" s="3">
        <v>7229</v>
      </c>
      <c r="C435" s="3" t="s">
        <v>461</v>
      </c>
      <c r="D435" s="3" t="s">
        <v>462</v>
      </c>
      <c r="E435" s="5" t="s">
        <v>134</v>
      </c>
      <c r="F435" s="3" t="s">
        <v>463</v>
      </c>
      <c r="G435" s="3" t="s">
        <v>464</v>
      </c>
      <c r="H435" s="3" t="s">
        <v>137</v>
      </c>
      <c r="I435" s="3" t="s">
        <v>138</v>
      </c>
      <c r="J435" s="3" t="s">
        <v>30</v>
      </c>
      <c r="K435" s="3" t="s">
        <v>30</v>
      </c>
      <c r="L435" s="3" t="s">
        <v>139</v>
      </c>
      <c r="M435" s="3" t="s">
        <v>31</v>
      </c>
      <c r="N435" s="3" t="s">
        <v>465</v>
      </c>
      <c r="O435" s="3" t="s">
        <v>141</v>
      </c>
      <c r="P435" s="3" t="s">
        <v>286</v>
      </c>
      <c r="Q435" s="3" t="s">
        <v>143</v>
      </c>
      <c r="R435" s="3" t="s">
        <v>144</v>
      </c>
      <c r="S435" s="3" t="s">
        <v>34</v>
      </c>
      <c r="T435" s="153">
        <v>11.507999999999999</v>
      </c>
      <c r="U435" s="3" t="s">
        <v>466</v>
      </c>
      <c r="V435" s="164">
        <v>2.07E-2</v>
      </c>
      <c r="W435" s="164">
        <v>2.7050000000000001E-2</v>
      </c>
      <c r="X435" s="5" t="s">
        <v>146</v>
      </c>
      <c r="Y435" s="5" t="s">
        <v>141</v>
      </c>
      <c r="Z435" s="153">
        <v>139489.35999999999</v>
      </c>
      <c r="AA435" s="162">
        <v>1</v>
      </c>
      <c r="AB435" s="172">
        <v>109.4</v>
      </c>
      <c r="AD435" s="153">
        <v>152.601</v>
      </c>
      <c r="AG435" s="3" t="s">
        <v>36</v>
      </c>
      <c r="AH435" s="164">
        <v>2.5999999999999998E-5</v>
      </c>
      <c r="AI435" s="164">
        <v>6.2086922939808597E-3</v>
      </c>
      <c r="AJ435" s="164">
        <v>1.00573184108526E-3</v>
      </c>
    </row>
    <row r="436" spans="1:36">
      <c r="A436" s="3">
        <v>424</v>
      </c>
      <c r="B436" s="3">
        <v>7229</v>
      </c>
      <c r="C436" s="3" t="s">
        <v>467</v>
      </c>
      <c r="D436" s="3" t="s">
        <v>468</v>
      </c>
      <c r="E436" s="5" t="s">
        <v>366</v>
      </c>
      <c r="F436" s="3" t="s">
        <v>469</v>
      </c>
      <c r="G436" s="3" t="s">
        <v>470</v>
      </c>
      <c r="H436" s="3" t="s">
        <v>137</v>
      </c>
      <c r="I436" s="3" t="s">
        <v>156</v>
      </c>
      <c r="J436" s="3" t="s">
        <v>30</v>
      </c>
      <c r="K436" s="3" t="s">
        <v>30</v>
      </c>
      <c r="L436" s="3" t="s">
        <v>139</v>
      </c>
      <c r="M436" s="3" t="s">
        <v>31</v>
      </c>
      <c r="N436" s="3" t="s">
        <v>369</v>
      </c>
      <c r="O436" s="3" t="s">
        <v>141</v>
      </c>
      <c r="P436" s="3" t="s">
        <v>471</v>
      </c>
      <c r="Q436" s="3" t="s">
        <v>143</v>
      </c>
      <c r="R436" s="3" t="s">
        <v>144</v>
      </c>
      <c r="S436" s="3" t="s">
        <v>34</v>
      </c>
      <c r="T436" s="153">
        <v>3.746</v>
      </c>
      <c r="U436" s="3" t="s">
        <v>472</v>
      </c>
      <c r="V436" s="164">
        <v>0.06</v>
      </c>
      <c r="W436" s="164">
        <v>5.5539999999999999E-2</v>
      </c>
      <c r="X436" s="5" t="s">
        <v>146</v>
      </c>
      <c r="Y436" s="5" t="s">
        <v>141</v>
      </c>
      <c r="Z436" s="153">
        <v>175000</v>
      </c>
      <c r="AA436" s="162">
        <v>1</v>
      </c>
      <c r="AB436" s="172">
        <v>103.52</v>
      </c>
      <c r="AD436" s="153">
        <v>181.16</v>
      </c>
      <c r="AG436" s="3" t="s">
        <v>36</v>
      </c>
      <c r="AH436" s="164">
        <v>1.75E-4</v>
      </c>
      <c r="AI436" s="164">
        <v>7.3706204004791998E-3</v>
      </c>
      <c r="AJ436" s="164">
        <v>1.1939499131727099E-3</v>
      </c>
    </row>
    <row r="437" spans="1:36">
      <c r="A437" s="3">
        <v>424</v>
      </c>
      <c r="B437" s="3">
        <v>7229</v>
      </c>
      <c r="C437" s="3" t="s">
        <v>467</v>
      </c>
      <c r="D437" s="3" t="s">
        <v>468</v>
      </c>
      <c r="E437" s="5" t="s">
        <v>366</v>
      </c>
      <c r="F437" s="3" t="s">
        <v>473</v>
      </c>
      <c r="G437" s="3" t="s">
        <v>474</v>
      </c>
      <c r="H437" s="3" t="s">
        <v>137</v>
      </c>
      <c r="I437" s="3" t="s">
        <v>156</v>
      </c>
      <c r="J437" s="3" t="s">
        <v>30</v>
      </c>
      <c r="K437" s="3" t="s">
        <v>30</v>
      </c>
      <c r="L437" s="3" t="s">
        <v>139</v>
      </c>
      <c r="M437" s="3" t="s">
        <v>31</v>
      </c>
      <c r="N437" s="3" t="s">
        <v>369</v>
      </c>
      <c r="O437" s="3" t="s">
        <v>141</v>
      </c>
      <c r="P437" s="3" t="s">
        <v>329</v>
      </c>
      <c r="Q437" s="3" t="s">
        <v>143</v>
      </c>
      <c r="R437" s="3" t="s">
        <v>144</v>
      </c>
      <c r="S437" s="3" t="s">
        <v>34</v>
      </c>
      <c r="T437" s="153">
        <v>2.9580000000000002</v>
      </c>
      <c r="U437" s="3" t="s">
        <v>475</v>
      </c>
      <c r="V437" s="164">
        <v>6.7000000000000004E-2</v>
      </c>
      <c r="W437" s="164">
        <v>5.1299999999999998E-2</v>
      </c>
      <c r="X437" s="5" t="s">
        <v>146</v>
      </c>
      <c r="Y437" s="5" t="s">
        <v>141</v>
      </c>
      <c r="Z437" s="153">
        <v>67000</v>
      </c>
      <c r="AA437" s="162">
        <v>1</v>
      </c>
      <c r="AB437" s="172">
        <v>104.89</v>
      </c>
      <c r="AD437" s="153">
        <v>70.275999999999996</v>
      </c>
      <c r="AG437" s="3" t="s">
        <v>36</v>
      </c>
      <c r="AH437" s="164">
        <v>7.3999999999999996E-5</v>
      </c>
      <c r="AI437" s="164">
        <v>2.85924006651687E-3</v>
      </c>
      <c r="AJ437" s="164">
        <v>4.6316174808511498E-4</v>
      </c>
    </row>
    <row r="438" spans="1:36">
      <c r="A438" s="3">
        <v>424</v>
      </c>
      <c r="B438" s="3">
        <v>7229</v>
      </c>
      <c r="C438" s="3" t="s">
        <v>476</v>
      </c>
      <c r="D438" s="3" t="s">
        <v>477</v>
      </c>
      <c r="E438" s="5" t="s">
        <v>134</v>
      </c>
      <c r="F438" s="3" t="s">
        <v>478</v>
      </c>
      <c r="G438" s="3" t="s">
        <v>479</v>
      </c>
      <c r="H438" s="3" t="s">
        <v>137</v>
      </c>
      <c r="I438" s="3" t="s">
        <v>156</v>
      </c>
      <c r="J438" s="3" t="s">
        <v>30</v>
      </c>
      <c r="K438" s="3" t="s">
        <v>30</v>
      </c>
      <c r="L438" s="3" t="s">
        <v>139</v>
      </c>
      <c r="M438" s="3" t="s">
        <v>31</v>
      </c>
      <c r="N438" s="3" t="s">
        <v>480</v>
      </c>
      <c r="O438" s="3" t="s">
        <v>141</v>
      </c>
      <c r="P438" s="3" t="s">
        <v>481</v>
      </c>
      <c r="Q438" s="3" t="s">
        <v>481</v>
      </c>
      <c r="R438" s="3" t="s">
        <v>481</v>
      </c>
      <c r="S438" s="3" t="s">
        <v>34</v>
      </c>
      <c r="T438" s="153">
        <v>3.6760000000000002</v>
      </c>
      <c r="U438" s="3" t="s">
        <v>482</v>
      </c>
      <c r="V438" s="164">
        <v>5.8999999999999997E-2</v>
      </c>
      <c r="W438" s="164">
        <v>5.3530000000000001E-2</v>
      </c>
      <c r="X438" s="5" t="s">
        <v>146</v>
      </c>
      <c r="Y438" s="5" t="s">
        <v>141</v>
      </c>
      <c r="Z438" s="153">
        <v>207000</v>
      </c>
      <c r="AA438" s="162">
        <v>1</v>
      </c>
      <c r="AB438" s="172">
        <v>102.31</v>
      </c>
      <c r="AD438" s="153">
        <v>211.78200000000001</v>
      </c>
      <c r="AG438" s="3" t="s">
        <v>36</v>
      </c>
      <c r="AH438" s="164">
        <v>4.26E-4</v>
      </c>
      <c r="AI438" s="164">
        <v>8.6164855291905908E-3</v>
      </c>
      <c r="AJ438" s="164">
        <v>1.3957647511954601E-3</v>
      </c>
    </row>
    <row r="439" spans="1:36">
      <c r="A439" s="3">
        <v>424</v>
      </c>
      <c r="B439" s="3">
        <v>7229</v>
      </c>
      <c r="C439" s="3" t="s">
        <v>483</v>
      </c>
      <c r="D439" s="3" t="s">
        <v>484</v>
      </c>
      <c r="E439" s="5" t="s">
        <v>134</v>
      </c>
      <c r="F439" s="3" t="s">
        <v>485</v>
      </c>
      <c r="G439" s="3" t="s">
        <v>486</v>
      </c>
      <c r="H439" s="3" t="s">
        <v>137</v>
      </c>
      <c r="I439" s="3" t="s">
        <v>156</v>
      </c>
      <c r="J439" s="3" t="s">
        <v>30</v>
      </c>
      <c r="K439" s="3" t="s">
        <v>30</v>
      </c>
      <c r="L439" s="3" t="s">
        <v>139</v>
      </c>
      <c r="M439" s="3" t="s">
        <v>31</v>
      </c>
      <c r="N439" s="3" t="s">
        <v>220</v>
      </c>
      <c r="O439" s="3" t="s">
        <v>141</v>
      </c>
      <c r="P439" s="3" t="s">
        <v>209</v>
      </c>
      <c r="Q439" s="3" t="s">
        <v>164</v>
      </c>
      <c r="R439" s="3" t="s">
        <v>144</v>
      </c>
      <c r="S439" s="3" t="s">
        <v>34</v>
      </c>
      <c r="T439" s="153">
        <v>2.992</v>
      </c>
      <c r="U439" s="3" t="s">
        <v>472</v>
      </c>
      <c r="V439" s="164">
        <v>6.9500000000000006E-2</v>
      </c>
      <c r="W439" s="164">
        <v>5.3469999999999997E-2</v>
      </c>
      <c r="X439" s="5" t="s">
        <v>146</v>
      </c>
      <c r="Y439" s="5" t="s">
        <v>141</v>
      </c>
      <c r="Z439" s="153">
        <v>133000</v>
      </c>
      <c r="AA439" s="162">
        <v>1</v>
      </c>
      <c r="AB439" s="172">
        <v>106.87</v>
      </c>
      <c r="AD439" s="153">
        <v>142.137</v>
      </c>
      <c r="AG439" s="3" t="s">
        <v>36</v>
      </c>
      <c r="AH439" s="164">
        <v>1.66E-4</v>
      </c>
      <c r="AI439" s="164">
        <v>5.7829466158365699E-3</v>
      </c>
      <c r="AJ439" s="164">
        <v>9.3676627403191002E-4</v>
      </c>
    </row>
    <row r="440" spans="1:36">
      <c r="A440" s="3">
        <v>424</v>
      </c>
      <c r="B440" s="3">
        <v>7229</v>
      </c>
      <c r="C440" s="3" t="s">
        <v>483</v>
      </c>
      <c r="D440" s="3" t="s">
        <v>484</v>
      </c>
      <c r="E440" s="5" t="s">
        <v>134</v>
      </c>
      <c r="F440" s="3" t="s">
        <v>487</v>
      </c>
      <c r="G440" s="3" t="s">
        <v>488</v>
      </c>
      <c r="H440" s="3" t="s">
        <v>137</v>
      </c>
      <c r="I440" s="3" t="s">
        <v>156</v>
      </c>
      <c r="J440" s="3" t="s">
        <v>30</v>
      </c>
      <c r="K440" s="3" t="s">
        <v>30</v>
      </c>
      <c r="L440" s="3" t="s">
        <v>139</v>
      </c>
      <c r="M440" s="3" t="s">
        <v>31</v>
      </c>
      <c r="N440" s="3" t="s">
        <v>220</v>
      </c>
      <c r="O440" s="3" t="s">
        <v>141</v>
      </c>
      <c r="P440" s="3" t="s">
        <v>209</v>
      </c>
      <c r="Q440" s="3" t="s">
        <v>164</v>
      </c>
      <c r="R440" s="3" t="s">
        <v>144</v>
      </c>
      <c r="S440" s="3" t="s">
        <v>34</v>
      </c>
      <c r="T440" s="153">
        <v>5.5030000000000001</v>
      </c>
      <c r="U440" s="3" t="s">
        <v>489</v>
      </c>
      <c r="V440" s="164">
        <v>6.6900000000000001E-2</v>
      </c>
      <c r="W440" s="164">
        <v>5.6550000000000003E-2</v>
      </c>
      <c r="X440" s="5" t="s">
        <v>146</v>
      </c>
      <c r="Y440" s="5" t="s">
        <v>141</v>
      </c>
      <c r="Z440" s="153">
        <v>114372</v>
      </c>
      <c r="AA440" s="162">
        <v>1</v>
      </c>
      <c r="AB440" s="172">
        <v>107.94</v>
      </c>
      <c r="AD440" s="153">
        <v>123.453</v>
      </c>
      <c r="AG440" s="3" t="s">
        <v>36</v>
      </c>
      <c r="AH440" s="164">
        <v>1.5100000000000001E-4</v>
      </c>
      <c r="AI440" s="164">
        <v>5.0227765985936699E-3</v>
      </c>
      <c r="AJ440" s="164">
        <v>8.1362807442734997E-4</v>
      </c>
    </row>
    <row r="441" spans="1:36">
      <c r="A441" s="3">
        <v>424</v>
      </c>
      <c r="B441" s="3">
        <v>7229</v>
      </c>
      <c r="C441" s="3" t="s">
        <v>490</v>
      </c>
      <c r="D441" s="3" t="s">
        <v>491</v>
      </c>
      <c r="E441" s="5" t="s">
        <v>492</v>
      </c>
      <c r="F441" s="3" t="s">
        <v>493</v>
      </c>
      <c r="G441" s="3" t="s">
        <v>494</v>
      </c>
      <c r="H441" s="3" t="s">
        <v>137</v>
      </c>
      <c r="I441" s="3" t="s">
        <v>156</v>
      </c>
      <c r="J441" s="3" t="s">
        <v>30</v>
      </c>
      <c r="K441" s="3" t="s">
        <v>30</v>
      </c>
      <c r="L441" s="3" t="s">
        <v>139</v>
      </c>
      <c r="M441" s="3" t="s">
        <v>31</v>
      </c>
      <c r="N441" s="3" t="s">
        <v>208</v>
      </c>
      <c r="O441" s="3" t="s">
        <v>141</v>
      </c>
      <c r="P441" s="3" t="s">
        <v>180</v>
      </c>
      <c r="Q441" s="3" t="s">
        <v>143</v>
      </c>
      <c r="R441" s="3" t="s">
        <v>144</v>
      </c>
      <c r="S441" s="3" t="s">
        <v>34</v>
      </c>
      <c r="T441" s="153">
        <v>3.2290000000000001</v>
      </c>
      <c r="U441" s="3" t="s">
        <v>495</v>
      </c>
      <c r="V441" s="164">
        <v>6.25E-2</v>
      </c>
      <c r="W441" s="164">
        <v>5.2150000000000002E-2</v>
      </c>
      <c r="X441" s="5" t="s">
        <v>146</v>
      </c>
      <c r="Y441" s="5" t="s">
        <v>141</v>
      </c>
      <c r="Z441" s="153">
        <v>215398</v>
      </c>
      <c r="AA441" s="162">
        <v>1</v>
      </c>
      <c r="AB441" s="172">
        <v>106.47</v>
      </c>
      <c r="AD441" s="153">
        <v>229.334</v>
      </c>
      <c r="AG441" s="3" t="s">
        <v>36</v>
      </c>
      <c r="AH441" s="164">
        <v>3.9199999999999999E-4</v>
      </c>
      <c r="AI441" s="164">
        <v>9.3306232391309907E-3</v>
      </c>
      <c r="AJ441" s="164">
        <v>1.51144628279642E-3</v>
      </c>
    </row>
    <row r="442" spans="1:36">
      <c r="A442" s="3">
        <v>424</v>
      </c>
      <c r="B442" s="3">
        <v>7229</v>
      </c>
      <c r="C442" s="3" t="s">
        <v>490</v>
      </c>
      <c r="D442" s="3" t="s">
        <v>491</v>
      </c>
      <c r="E442" s="5" t="s">
        <v>492</v>
      </c>
      <c r="F442" s="3" t="s">
        <v>496</v>
      </c>
      <c r="G442" s="3" t="s">
        <v>497</v>
      </c>
      <c r="H442" s="3" t="s">
        <v>137</v>
      </c>
      <c r="I442" s="3" t="s">
        <v>156</v>
      </c>
      <c r="J442" s="3" t="s">
        <v>30</v>
      </c>
      <c r="K442" s="3" t="s">
        <v>30</v>
      </c>
      <c r="L442" s="3" t="s">
        <v>139</v>
      </c>
      <c r="M442" s="3" t="s">
        <v>498</v>
      </c>
      <c r="N442" s="3" t="s">
        <v>208</v>
      </c>
      <c r="O442" s="3" t="s">
        <v>141</v>
      </c>
      <c r="P442" s="3" t="s">
        <v>142</v>
      </c>
      <c r="Q442" s="3" t="s">
        <v>143</v>
      </c>
      <c r="R442" s="3" t="s">
        <v>144</v>
      </c>
      <c r="S442" s="3" t="s">
        <v>34</v>
      </c>
      <c r="T442" s="153">
        <v>4.1349999999999998</v>
      </c>
      <c r="U442" s="3" t="s">
        <v>472</v>
      </c>
      <c r="V442" s="164">
        <v>2.9000000000000001E-2</v>
      </c>
      <c r="W442" s="164">
        <v>5.738E-2</v>
      </c>
      <c r="X442" s="5" t="s">
        <v>146</v>
      </c>
      <c r="Y442" s="5" t="s">
        <v>141</v>
      </c>
      <c r="Z442" s="153">
        <v>224000</v>
      </c>
      <c r="AA442" s="162">
        <v>1</v>
      </c>
      <c r="AB442" s="172">
        <v>102.45</v>
      </c>
      <c r="AD442" s="153">
        <v>229.488</v>
      </c>
      <c r="AG442" s="3" t="s">
        <v>36</v>
      </c>
      <c r="AH442" s="164">
        <v>6.4000000000000005E-4</v>
      </c>
      <c r="AI442" s="164">
        <v>9.3368786402361001E-3</v>
      </c>
      <c r="AJ442" s="164">
        <v>1.5124595808908099E-3</v>
      </c>
    </row>
    <row r="443" spans="1:36">
      <c r="A443" s="3">
        <v>424</v>
      </c>
      <c r="B443" s="3">
        <v>7229</v>
      </c>
      <c r="C443" s="3" t="s">
        <v>499</v>
      </c>
      <c r="D443" s="3" t="s">
        <v>500</v>
      </c>
      <c r="E443" s="5" t="s">
        <v>492</v>
      </c>
      <c r="F443" s="3" t="s">
        <v>501</v>
      </c>
      <c r="G443" s="3" t="s">
        <v>502</v>
      </c>
      <c r="H443" s="3" t="s">
        <v>137</v>
      </c>
      <c r="I443" s="3" t="s">
        <v>156</v>
      </c>
      <c r="J443" s="3" t="s">
        <v>30</v>
      </c>
      <c r="K443" s="3" t="s">
        <v>224</v>
      </c>
      <c r="L443" s="3" t="s">
        <v>139</v>
      </c>
      <c r="M443" s="3" t="s">
        <v>31</v>
      </c>
      <c r="N443" s="3" t="s">
        <v>208</v>
      </c>
      <c r="O443" s="3" t="s">
        <v>141</v>
      </c>
      <c r="P443" s="3" t="s">
        <v>180</v>
      </c>
      <c r="Q443" s="3" t="s">
        <v>143</v>
      </c>
      <c r="R443" s="3" t="s">
        <v>144</v>
      </c>
      <c r="S443" s="3" t="s">
        <v>34</v>
      </c>
      <c r="T443" s="153">
        <v>1.1879999999999999</v>
      </c>
      <c r="U443" s="3" t="s">
        <v>337</v>
      </c>
      <c r="V443" s="164">
        <v>3.49E-2</v>
      </c>
      <c r="W443" s="164">
        <v>5.4760000000000003E-2</v>
      </c>
      <c r="X443" s="5" t="s">
        <v>146</v>
      </c>
      <c r="Y443" s="5" t="s">
        <v>141</v>
      </c>
      <c r="Z443" s="153">
        <v>326575</v>
      </c>
      <c r="AA443" s="162">
        <v>1</v>
      </c>
      <c r="AB443" s="172">
        <v>98.69</v>
      </c>
      <c r="AD443" s="153">
        <v>322.29700000000003</v>
      </c>
      <c r="AG443" s="3" t="s">
        <v>36</v>
      </c>
      <c r="AH443" s="164">
        <v>3.4499999999999998E-4</v>
      </c>
      <c r="AI443" s="164">
        <v>1.31128718624754E-2</v>
      </c>
      <c r="AJ443" s="164">
        <v>2.1241240724633602E-3</v>
      </c>
    </row>
    <row r="444" spans="1:36">
      <c r="A444" s="3">
        <v>424</v>
      </c>
      <c r="B444" s="3">
        <v>7229</v>
      </c>
      <c r="C444" s="3" t="s">
        <v>499</v>
      </c>
      <c r="D444" s="3" t="s">
        <v>500</v>
      </c>
      <c r="E444" s="5" t="s">
        <v>492</v>
      </c>
      <c r="F444" s="3" t="s">
        <v>503</v>
      </c>
      <c r="G444" s="3" t="s">
        <v>504</v>
      </c>
      <c r="H444" s="3" t="s">
        <v>137</v>
      </c>
      <c r="I444" s="3" t="s">
        <v>156</v>
      </c>
      <c r="J444" s="3" t="s">
        <v>30</v>
      </c>
      <c r="K444" s="3" t="s">
        <v>224</v>
      </c>
      <c r="L444" s="3" t="s">
        <v>139</v>
      </c>
      <c r="M444" s="3" t="s">
        <v>31</v>
      </c>
      <c r="N444" s="3" t="s">
        <v>208</v>
      </c>
      <c r="O444" s="3" t="s">
        <v>141</v>
      </c>
      <c r="P444" s="3" t="s">
        <v>180</v>
      </c>
      <c r="Q444" s="3" t="s">
        <v>143</v>
      </c>
      <c r="R444" s="3" t="s">
        <v>144</v>
      </c>
      <c r="S444" s="3" t="s">
        <v>34</v>
      </c>
      <c r="T444" s="153">
        <v>3.6960000000000002</v>
      </c>
      <c r="U444" s="3" t="s">
        <v>505</v>
      </c>
      <c r="V444" s="164">
        <v>6.7400000000000002E-2</v>
      </c>
      <c r="W444" s="164">
        <v>5.6890000000000003E-2</v>
      </c>
      <c r="X444" s="5" t="s">
        <v>146</v>
      </c>
      <c r="Y444" s="5" t="s">
        <v>141</v>
      </c>
      <c r="Z444" s="153">
        <v>138000</v>
      </c>
      <c r="AA444" s="162">
        <v>1</v>
      </c>
      <c r="AB444" s="172">
        <v>105.95</v>
      </c>
      <c r="AD444" s="153">
        <v>146.21100000000001</v>
      </c>
      <c r="AG444" s="3" t="s">
        <v>36</v>
      </c>
      <c r="AH444" s="164">
        <v>4.84E-4</v>
      </c>
      <c r="AI444" s="164">
        <v>5.9486960663196302E-3</v>
      </c>
      <c r="AJ444" s="164">
        <v>9.6361564779694903E-4</v>
      </c>
    </row>
    <row r="445" spans="1:36">
      <c r="A445" s="3">
        <v>424</v>
      </c>
      <c r="B445" s="3">
        <v>7229</v>
      </c>
      <c r="C445" s="3" t="s">
        <v>608</v>
      </c>
      <c r="D445" s="3" t="s">
        <v>609</v>
      </c>
      <c r="E445" s="5" t="s">
        <v>134</v>
      </c>
      <c r="F445" s="3" t="s">
        <v>610</v>
      </c>
      <c r="G445" s="3" t="s">
        <v>611</v>
      </c>
      <c r="H445" s="3" t="s">
        <v>137</v>
      </c>
      <c r="I445" s="3" t="s">
        <v>156</v>
      </c>
      <c r="J445" s="3" t="s">
        <v>30</v>
      </c>
      <c r="K445" s="3" t="s">
        <v>30</v>
      </c>
      <c r="L445" s="3" t="s">
        <v>139</v>
      </c>
      <c r="M445" s="3" t="s">
        <v>31</v>
      </c>
      <c r="N445" s="3" t="s">
        <v>612</v>
      </c>
      <c r="O445" s="3" t="s">
        <v>141</v>
      </c>
      <c r="P445" s="3" t="s">
        <v>142</v>
      </c>
      <c r="Q445" s="3" t="s">
        <v>143</v>
      </c>
      <c r="R445" s="3" t="s">
        <v>144</v>
      </c>
      <c r="S445" s="3" t="s">
        <v>34</v>
      </c>
      <c r="T445" s="153">
        <v>2.5470000000000002</v>
      </c>
      <c r="U445" s="3" t="s">
        <v>613</v>
      </c>
      <c r="V445" s="164">
        <v>4.7300000000000002E-2</v>
      </c>
      <c r="W445" s="164">
        <v>4.7289999999999999E-2</v>
      </c>
      <c r="X445" s="5" t="s">
        <v>146</v>
      </c>
      <c r="Y445" s="5" t="s">
        <v>141</v>
      </c>
      <c r="Z445" s="153">
        <v>285000</v>
      </c>
      <c r="AA445" s="162">
        <v>1</v>
      </c>
      <c r="AB445" s="172">
        <v>101.31</v>
      </c>
      <c r="AD445" s="153">
        <v>288.733</v>
      </c>
      <c r="AG445" s="3" t="s">
        <v>36</v>
      </c>
      <c r="AH445" s="164">
        <v>6.0599999999999998E-4</v>
      </c>
      <c r="AI445" s="164">
        <v>1.17473229487843E-2</v>
      </c>
      <c r="AJ445" s="164">
        <v>1.9029219322977101E-3</v>
      </c>
    </row>
    <row r="446" spans="1:36">
      <c r="A446" s="3">
        <v>424</v>
      </c>
      <c r="B446" s="3">
        <v>7229</v>
      </c>
      <c r="C446" s="3" t="s">
        <v>506</v>
      </c>
      <c r="D446" s="3" t="s">
        <v>507</v>
      </c>
      <c r="E446" s="5" t="s">
        <v>134</v>
      </c>
      <c r="F446" s="3" t="s">
        <v>508</v>
      </c>
      <c r="G446" s="3" t="s">
        <v>509</v>
      </c>
      <c r="H446" s="3" t="s">
        <v>137</v>
      </c>
      <c r="I446" s="3" t="s">
        <v>138</v>
      </c>
      <c r="J446" s="3" t="s">
        <v>30</v>
      </c>
      <c r="K446" s="3" t="s">
        <v>30</v>
      </c>
      <c r="L446" s="3" t="s">
        <v>139</v>
      </c>
      <c r="M446" s="3" t="s">
        <v>31</v>
      </c>
      <c r="N446" s="3" t="s">
        <v>186</v>
      </c>
      <c r="O446" s="3" t="s">
        <v>141</v>
      </c>
      <c r="P446" s="3" t="s">
        <v>510</v>
      </c>
      <c r="Q446" s="3" t="s">
        <v>164</v>
      </c>
      <c r="R446" s="3" t="s">
        <v>144</v>
      </c>
      <c r="S446" s="3" t="s">
        <v>34</v>
      </c>
      <c r="T446" s="153">
        <v>1.6930000000000001</v>
      </c>
      <c r="U446" s="3" t="s">
        <v>511</v>
      </c>
      <c r="V446" s="164">
        <v>1.77E-2</v>
      </c>
      <c r="W446" s="164">
        <v>2.93E-2</v>
      </c>
      <c r="X446" s="5" t="s">
        <v>146</v>
      </c>
      <c r="Y446" s="5" t="s">
        <v>141</v>
      </c>
      <c r="Z446" s="153">
        <v>150000</v>
      </c>
      <c r="AA446" s="162">
        <v>1</v>
      </c>
      <c r="AB446" s="172">
        <v>116.94</v>
      </c>
      <c r="AD446" s="153">
        <v>175.41</v>
      </c>
      <c r="AG446" s="3" t="s">
        <v>36</v>
      </c>
      <c r="AH446" s="164">
        <v>6.2000000000000003E-5</v>
      </c>
      <c r="AI446" s="164">
        <v>7.1366776575847697E-3</v>
      </c>
      <c r="AJ446" s="164">
        <v>1.1560540641953299E-3</v>
      </c>
    </row>
    <row r="447" spans="1:36">
      <c r="A447" s="3">
        <v>424</v>
      </c>
      <c r="B447" s="3">
        <v>7229</v>
      </c>
      <c r="C447" s="3" t="s">
        <v>506</v>
      </c>
      <c r="D447" s="3" t="s">
        <v>507</v>
      </c>
      <c r="E447" s="5" t="s">
        <v>134</v>
      </c>
      <c r="F447" s="3" t="s">
        <v>512</v>
      </c>
      <c r="G447" s="3" t="s">
        <v>513</v>
      </c>
      <c r="H447" s="3" t="s">
        <v>137</v>
      </c>
      <c r="I447" s="3" t="s">
        <v>138</v>
      </c>
      <c r="J447" s="3" t="s">
        <v>30</v>
      </c>
      <c r="K447" s="3" t="s">
        <v>30</v>
      </c>
      <c r="L447" s="3" t="s">
        <v>139</v>
      </c>
      <c r="M447" s="3" t="s">
        <v>31</v>
      </c>
      <c r="N447" s="3" t="s">
        <v>186</v>
      </c>
      <c r="O447" s="3" t="s">
        <v>141</v>
      </c>
      <c r="P447" s="3" t="s">
        <v>514</v>
      </c>
      <c r="Q447" s="3" t="s">
        <v>143</v>
      </c>
      <c r="R447" s="3" t="s">
        <v>144</v>
      </c>
      <c r="S447" s="3" t="s">
        <v>34</v>
      </c>
      <c r="T447" s="153">
        <v>6.157</v>
      </c>
      <c r="U447" s="3" t="s">
        <v>515</v>
      </c>
      <c r="V447" s="164">
        <v>8.9999999999999993E-3</v>
      </c>
      <c r="W447" s="164">
        <v>2.7810000000000001E-2</v>
      </c>
      <c r="X447" s="5" t="s">
        <v>146</v>
      </c>
      <c r="Y447" s="5" t="s">
        <v>141</v>
      </c>
      <c r="Z447" s="153">
        <v>210612.24</v>
      </c>
      <c r="AA447" s="162">
        <v>1</v>
      </c>
      <c r="AB447" s="172">
        <v>104.46</v>
      </c>
      <c r="AD447" s="153">
        <v>220.006</v>
      </c>
      <c r="AG447" s="3" t="s">
        <v>36</v>
      </c>
      <c r="AH447" s="164">
        <v>7.7999999999999999E-5</v>
      </c>
      <c r="AI447" s="164">
        <v>8.9510784105684797E-3</v>
      </c>
      <c r="AJ447" s="164">
        <v>1.4499646855243699E-3</v>
      </c>
    </row>
    <row r="448" spans="1:36">
      <c r="A448" s="3">
        <v>424</v>
      </c>
      <c r="B448" s="3">
        <v>7229</v>
      </c>
      <c r="C448" s="3" t="s">
        <v>506</v>
      </c>
      <c r="D448" s="3" t="s">
        <v>507</v>
      </c>
      <c r="E448" s="5" t="s">
        <v>134</v>
      </c>
      <c r="F448" s="3" t="s">
        <v>516</v>
      </c>
      <c r="G448" s="3" t="s">
        <v>517</v>
      </c>
      <c r="H448" s="3" t="s">
        <v>137</v>
      </c>
      <c r="I448" s="3" t="s">
        <v>138</v>
      </c>
      <c r="J448" s="3" t="s">
        <v>30</v>
      </c>
      <c r="K448" s="3" t="s">
        <v>30</v>
      </c>
      <c r="L448" s="3" t="s">
        <v>139</v>
      </c>
      <c r="M448" s="3" t="s">
        <v>31</v>
      </c>
      <c r="N448" s="3" t="s">
        <v>186</v>
      </c>
      <c r="O448" s="3" t="s">
        <v>141</v>
      </c>
      <c r="P448" s="3" t="s">
        <v>514</v>
      </c>
      <c r="Q448" s="3" t="s">
        <v>143</v>
      </c>
      <c r="R448" s="3" t="s">
        <v>144</v>
      </c>
      <c r="S448" s="3" t="s">
        <v>34</v>
      </c>
      <c r="T448" s="153">
        <v>9.6180000000000003</v>
      </c>
      <c r="U448" s="3" t="s">
        <v>518</v>
      </c>
      <c r="V448" s="164">
        <v>1.6899999999999998E-2</v>
      </c>
      <c r="W448" s="164">
        <v>2.9430000000000001E-2</v>
      </c>
      <c r="X448" s="5" t="s">
        <v>146</v>
      </c>
      <c r="Y448" s="5" t="s">
        <v>141</v>
      </c>
      <c r="Z448" s="153">
        <v>226074</v>
      </c>
      <c r="AA448" s="162">
        <v>1</v>
      </c>
      <c r="AB448" s="172">
        <v>104.3</v>
      </c>
      <c r="AD448" s="153">
        <v>235.79499999999999</v>
      </c>
      <c r="AG448" s="3" t="s">
        <v>36</v>
      </c>
      <c r="AH448" s="164">
        <v>5.1999999999999997E-5</v>
      </c>
      <c r="AI448" s="164">
        <v>9.5934907197168604E-3</v>
      </c>
      <c r="AJ448" s="164">
        <v>1.55402758376818E-3</v>
      </c>
    </row>
    <row r="449" spans="1:36">
      <c r="A449" s="3">
        <v>424</v>
      </c>
      <c r="B449" s="3">
        <v>7229</v>
      </c>
      <c r="C449" s="3" t="s">
        <v>506</v>
      </c>
      <c r="D449" s="3" t="s">
        <v>507</v>
      </c>
      <c r="E449" s="5" t="s">
        <v>134</v>
      </c>
      <c r="F449" s="3" t="s">
        <v>519</v>
      </c>
      <c r="G449" s="3" t="s">
        <v>520</v>
      </c>
      <c r="H449" s="3" t="s">
        <v>137</v>
      </c>
      <c r="I449" s="3" t="s">
        <v>138</v>
      </c>
      <c r="J449" s="3" t="s">
        <v>30</v>
      </c>
      <c r="K449" s="3" t="s">
        <v>30</v>
      </c>
      <c r="L449" s="3" t="s">
        <v>139</v>
      </c>
      <c r="M449" s="3" t="s">
        <v>31</v>
      </c>
      <c r="N449" s="3" t="s">
        <v>186</v>
      </c>
      <c r="O449" s="3" t="s">
        <v>141</v>
      </c>
      <c r="P449" s="3" t="s">
        <v>510</v>
      </c>
      <c r="Q449" s="3" t="s">
        <v>164</v>
      </c>
      <c r="R449" s="3" t="s">
        <v>144</v>
      </c>
      <c r="S449" s="3" t="s">
        <v>34</v>
      </c>
      <c r="T449" s="153">
        <v>11.696</v>
      </c>
      <c r="U449" s="3" t="s">
        <v>521</v>
      </c>
      <c r="V449" s="164">
        <v>3.6700000000000003E-2</v>
      </c>
      <c r="W449" s="164">
        <v>3.0839999999999999E-2</v>
      </c>
      <c r="X449" s="5" t="s">
        <v>146</v>
      </c>
      <c r="Y449" s="5" t="s">
        <v>141</v>
      </c>
      <c r="Z449" s="153">
        <v>146000</v>
      </c>
      <c r="AA449" s="162">
        <v>1</v>
      </c>
      <c r="AB449" s="172">
        <v>112.94</v>
      </c>
      <c r="AD449" s="153">
        <v>164.892</v>
      </c>
      <c r="AG449" s="3" t="s">
        <v>36</v>
      </c>
      <c r="AH449" s="164">
        <v>2.9E-5</v>
      </c>
      <c r="AI449" s="164">
        <v>6.7087617979906004E-3</v>
      </c>
      <c r="AJ449" s="164">
        <v>1.08673695442062E-3</v>
      </c>
    </row>
    <row r="450" spans="1:36">
      <c r="A450" s="3">
        <v>424</v>
      </c>
      <c r="B450" s="3">
        <v>7229</v>
      </c>
      <c r="C450" s="3" t="s">
        <v>522</v>
      </c>
      <c r="D450" s="3" t="s">
        <v>523</v>
      </c>
      <c r="E450" s="5" t="s">
        <v>134</v>
      </c>
      <c r="F450" s="3" t="s">
        <v>524</v>
      </c>
      <c r="G450" s="3" t="s">
        <v>525</v>
      </c>
      <c r="H450" s="3" t="s">
        <v>137</v>
      </c>
      <c r="I450" s="3" t="s">
        <v>138</v>
      </c>
      <c r="J450" s="3" t="s">
        <v>30</v>
      </c>
      <c r="K450" s="3" t="s">
        <v>30</v>
      </c>
      <c r="L450" s="3" t="s">
        <v>139</v>
      </c>
      <c r="M450" s="3" t="s">
        <v>31</v>
      </c>
      <c r="N450" s="3" t="s">
        <v>285</v>
      </c>
      <c r="O450" s="3" t="s">
        <v>141</v>
      </c>
      <c r="P450" s="3" t="s">
        <v>142</v>
      </c>
      <c r="Q450" s="3" t="s">
        <v>143</v>
      </c>
      <c r="R450" s="3" t="s">
        <v>144</v>
      </c>
      <c r="S450" s="3" t="s">
        <v>34</v>
      </c>
      <c r="T450" s="153">
        <v>10.029</v>
      </c>
      <c r="U450" s="3" t="s">
        <v>526</v>
      </c>
      <c r="V450" s="164">
        <v>3.1899999999999998E-2</v>
      </c>
      <c r="W450" s="164">
        <v>3.2599999999999997E-2</v>
      </c>
      <c r="X450" s="5" t="s">
        <v>146</v>
      </c>
      <c r="Y450" s="5" t="s">
        <v>141</v>
      </c>
      <c r="Z450" s="153">
        <v>220000</v>
      </c>
      <c r="AA450" s="162">
        <v>1</v>
      </c>
      <c r="AB450" s="172">
        <v>100.37</v>
      </c>
      <c r="AD450" s="153">
        <v>220.81399999999999</v>
      </c>
      <c r="AG450" s="3" t="s">
        <v>36</v>
      </c>
      <c r="AH450" s="164">
        <v>2.32E-4</v>
      </c>
      <c r="AI450" s="164">
        <v>8.9839709268680398E-3</v>
      </c>
      <c r="AJ450" s="164">
        <v>1.4552928688856201E-3</v>
      </c>
    </row>
    <row r="451" spans="1:36">
      <c r="A451" s="3">
        <v>424</v>
      </c>
      <c r="B451" s="3">
        <v>7229</v>
      </c>
      <c r="C451" s="3" t="s">
        <v>522</v>
      </c>
      <c r="D451" s="3" t="s">
        <v>523</v>
      </c>
      <c r="E451" s="5" t="s">
        <v>134</v>
      </c>
      <c r="F451" s="3" t="s">
        <v>527</v>
      </c>
      <c r="G451" s="3" t="s">
        <v>528</v>
      </c>
      <c r="H451" s="3" t="s">
        <v>137</v>
      </c>
      <c r="I451" s="3" t="s">
        <v>138</v>
      </c>
      <c r="J451" s="3" t="s">
        <v>30</v>
      </c>
      <c r="K451" s="3" t="s">
        <v>30</v>
      </c>
      <c r="L451" s="3" t="s">
        <v>139</v>
      </c>
      <c r="M451" s="3" t="s">
        <v>31</v>
      </c>
      <c r="N451" s="3" t="s">
        <v>285</v>
      </c>
      <c r="O451" s="3" t="s">
        <v>141</v>
      </c>
      <c r="P451" s="3" t="s">
        <v>142</v>
      </c>
      <c r="Q451" s="3" t="s">
        <v>143</v>
      </c>
      <c r="R451" s="3" t="s">
        <v>144</v>
      </c>
      <c r="S451" s="3" t="s">
        <v>34</v>
      </c>
      <c r="T451" s="153">
        <v>3.8340000000000001</v>
      </c>
      <c r="U451" s="3" t="s">
        <v>529</v>
      </c>
      <c r="V451" s="164">
        <v>3.7100000000000001E-2</v>
      </c>
      <c r="W451" s="164">
        <v>2.98E-2</v>
      </c>
      <c r="X451" s="5" t="s">
        <v>146</v>
      </c>
      <c r="Y451" s="5" t="s">
        <v>141</v>
      </c>
      <c r="Z451" s="153">
        <v>300000</v>
      </c>
      <c r="AA451" s="162">
        <v>1</v>
      </c>
      <c r="AB451" s="172">
        <v>112.43</v>
      </c>
      <c r="AD451" s="153">
        <v>337.29</v>
      </c>
      <c r="AG451" s="3" t="s">
        <v>36</v>
      </c>
      <c r="AH451" s="164">
        <v>7.8100000000000001E-4</v>
      </c>
      <c r="AI451" s="164">
        <v>1.3722877869715299E-2</v>
      </c>
      <c r="AJ451" s="164">
        <v>2.22293754810126E-3</v>
      </c>
    </row>
    <row r="452" spans="1:36">
      <c r="A452" s="3">
        <v>424</v>
      </c>
      <c r="B452" s="3">
        <v>7229</v>
      </c>
      <c r="C452" s="3" t="s">
        <v>522</v>
      </c>
      <c r="D452" s="3" t="s">
        <v>523</v>
      </c>
      <c r="E452" s="5" t="s">
        <v>134</v>
      </c>
      <c r="F452" s="3" t="s">
        <v>530</v>
      </c>
      <c r="G452" s="3" t="s">
        <v>531</v>
      </c>
      <c r="H452" s="3" t="s">
        <v>137</v>
      </c>
      <c r="I452" s="3" t="s">
        <v>138</v>
      </c>
      <c r="J452" s="3" t="s">
        <v>30</v>
      </c>
      <c r="K452" s="3" t="s">
        <v>30</v>
      </c>
      <c r="L452" s="3" t="s">
        <v>139</v>
      </c>
      <c r="M452" s="3" t="s">
        <v>31</v>
      </c>
      <c r="N452" s="3" t="s">
        <v>285</v>
      </c>
      <c r="O452" s="3" t="s">
        <v>141</v>
      </c>
      <c r="P452" s="3" t="s">
        <v>142</v>
      </c>
      <c r="Q452" s="3" t="s">
        <v>143</v>
      </c>
      <c r="R452" s="3" t="s">
        <v>144</v>
      </c>
      <c r="S452" s="3" t="s">
        <v>34</v>
      </c>
      <c r="T452" s="153">
        <v>6.2939999999999996</v>
      </c>
      <c r="U452" s="3" t="s">
        <v>532</v>
      </c>
      <c r="V452" s="164">
        <v>3.4500000000000003E-2</v>
      </c>
      <c r="W452" s="164">
        <v>2.9739999999999999E-2</v>
      </c>
      <c r="X452" s="5" t="s">
        <v>146</v>
      </c>
      <c r="Y452" s="5" t="s">
        <v>141</v>
      </c>
      <c r="Z452" s="153">
        <v>220000</v>
      </c>
      <c r="AA452" s="162">
        <v>1</v>
      </c>
      <c r="AB452" s="172">
        <v>108.65</v>
      </c>
      <c r="AD452" s="153">
        <v>239.03</v>
      </c>
      <c r="AG452" s="3" t="s">
        <v>36</v>
      </c>
      <c r="AH452" s="164">
        <v>1.4899999999999999E-4</v>
      </c>
      <c r="AI452" s="164">
        <v>9.7251015363576093E-3</v>
      </c>
      <c r="AJ452" s="164">
        <v>1.5753469184459799E-3</v>
      </c>
    </row>
    <row r="453" spans="1:36">
      <c r="A453" s="3">
        <v>424</v>
      </c>
      <c r="B453" s="3">
        <v>7229</v>
      </c>
      <c r="C453" s="3" t="s">
        <v>644</v>
      </c>
      <c r="D453" s="3" t="s">
        <v>645</v>
      </c>
      <c r="E453" s="5" t="s">
        <v>134</v>
      </c>
      <c r="F453" s="3" t="s">
        <v>646</v>
      </c>
      <c r="G453" s="3" t="s">
        <v>647</v>
      </c>
      <c r="H453" s="3" t="s">
        <v>137</v>
      </c>
      <c r="I453" s="3" t="s">
        <v>156</v>
      </c>
      <c r="J453" s="3" t="s">
        <v>30</v>
      </c>
      <c r="K453" s="3" t="s">
        <v>30</v>
      </c>
      <c r="L453" s="3" t="s">
        <v>139</v>
      </c>
      <c r="M453" s="3" t="s">
        <v>31</v>
      </c>
      <c r="N453" s="3" t="s">
        <v>612</v>
      </c>
      <c r="O453" s="3" t="s">
        <v>141</v>
      </c>
      <c r="P453" s="3" t="s">
        <v>142</v>
      </c>
      <c r="Q453" s="3" t="s">
        <v>143</v>
      </c>
      <c r="R453" s="3" t="s">
        <v>144</v>
      </c>
      <c r="S453" s="3" t="s">
        <v>34</v>
      </c>
      <c r="T453" s="153">
        <v>1.357</v>
      </c>
      <c r="U453" s="3" t="s">
        <v>648</v>
      </c>
      <c r="V453" s="164">
        <v>0.04</v>
      </c>
      <c r="W453" s="164">
        <v>4.7350000000000003E-2</v>
      </c>
      <c r="X453" s="5" t="s">
        <v>146</v>
      </c>
      <c r="Y453" s="5" t="s">
        <v>141</v>
      </c>
      <c r="Z453" s="153">
        <v>215052.6</v>
      </c>
      <c r="AA453" s="162">
        <v>1</v>
      </c>
      <c r="AB453" s="172">
        <v>100.15</v>
      </c>
      <c r="AD453" s="153">
        <v>215.375</v>
      </c>
      <c r="AG453" s="3" t="s">
        <v>36</v>
      </c>
      <c r="AH453" s="164">
        <v>4.2099999999999999E-4</v>
      </c>
      <c r="AI453" s="164">
        <v>8.7626887136078493E-3</v>
      </c>
      <c r="AJ453" s="164">
        <v>1.4194478700994299E-3</v>
      </c>
    </row>
    <row r="454" spans="1:36">
      <c r="A454" s="3">
        <v>424</v>
      </c>
      <c r="B454" s="3">
        <v>7229</v>
      </c>
      <c r="C454" s="3" t="s">
        <v>533</v>
      </c>
      <c r="D454" s="3" t="s">
        <v>534</v>
      </c>
      <c r="E454" s="5" t="s">
        <v>134</v>
      </c>
      <c r="F454" s="3" t="s">
        <v>535</v>
      </c>
      <c r="G454" s="3" t="s">
        <v>536</v>
      </c>
      <c r="H454" s="3" t="s">
        <v>137</v>
      </c>
      <c r="I454" s="3" t="s">
        <v>156</v>
      </c>
      <c r="J454" s="3" t="s">
        <v>30</v>
      </c>
      <c r="K454" s="3" t="s">
        <v>30</v>
      </c>
      <c r="L454" s="3" t="s">
        <v>139</v>
      </c>
      <c r="M454" s="3" t="s">
        <v>31</v>
      </c>
      <c r="N454" s="3" t="s">
        <v>208</v>
      </c>
      <c r="O454" s="3" t="s">
        <v>141</v>
      </c>
      <c r="P454" s="3" t="s">
        <v>171</v>
      </c>
      <c r="Q454" s="3" t="s">
        <v>164</v>
      </c>
      <c r="R454" s="3" t="s">
        <v>144</v>
      </c>
      <c r="S454" s="3" t="s">
        <v>34</v>
      </c>
      <c r="T454" s="153">
        <v>5.5339999999999998</v>
      </c>
      <c r="U454" s="3" t="s">
        <v>330</v>
      </c>
      <c r="V454" s="164">
        <v>5.5899999999999998E-2</v>
      </c>
      <c r="W454" s="164">
        <v>5.425E-2</v>
      </c>
      <c r="X454" s="5" t="s">
        <v>146</v>
      </c>
      <c r="Y454" s="5" t="s">
        <v>141</v>
      </c>
      <c r="Z454" s="153">
        <v>191000</v>
      </c>
      <c r="AA454" s="162">
        <v>1</v>
      </c>
      <c r="AB454" s="172">
        <v>101.35</v>
      </c>
      <c r="AD454" s="153">
        <v>193.578</v>
      </c>
      <c r="AG454" s="3" t="s">
        <v>36</v>
      </c>
      <c r="AH454" s="164">
        <v>8.5400000000000005E-4</v>
      </c>
      <c r="AI454" s="164">
        <v>7.8758756965895509E-3</v>
      </c>
      <c r="AJ454" s="164">
        <v>1.27579506109022E-3</v>
      </c>
    </row>
    <row r="455" spans="1:36">
      <c r="A455" s="3">
        <v>424</v>
      </c>
      <c r="B455" s="3">
        <v>7229</v>
      </c>
      <c r="C455" s="3" t="s">
        <v>533</v>
      </c>
      <c r="D455" s="3" t="s">
        <v>534</v>
      </c>
      <c r="E455" s="5" t="s">
        <v>134</v>
      </c>
      <c r="F455" s="3" t="s">
        <v>537</v>
      </c>
      <c r="G455" s="3" t="s">
        <v>538</v>
      </c>
      <c r="H455" s="3" t="s">
        <v>137</v>
      </c>
      <c r="I455" s="3" t="s">
        <v>156</v>
      </c>
      <c r="J455" s="3" t="s">
        <v>30</v>
      </c>
      <c r="K455" s="3" t="s">
        <v>30</v>
      </c>
      <c r="L455" s="3" t="s">
        <v>139</v>
      </c>
      <c r="M455" s="3" t="s">
        <v>31</v>
      </c>
      <c r="N455" s="3" t="s">
        <v>208</v>
      </c>
      <c r="O455" s="3" t="s">
        <v>141</v>
      </c>
      <c r="P455" s="3" t="s">
        <v>171</v>
      </c>
      <c r="Q455" s="3" t="s">
        <v>164</v>
      </c>
      <c r="R455" s="3" t="s">
        <v>144</v>
      </c>
      <c r="S455" s="3" t="s">
        <v>34</v>
      </c>
      <c r="T455" s="153">
        <v>1.37</v>
      </c>
      <c r="U455" s="3" t="s">
        <v>539</v>
      </c>
      <c r="V455" s="164">
        <v>2.6499999999999999E-2</v>
      </c>
      <c r="W455" s="164">
        <v>4.9149999999999999E-2</v>
      </c>
      <c r="X455" s="5" t="s">
        <v>146</v>
      </c>
      <c r="Y455" s="5" t="s">
        <v>141</v>
      </c>
      <c r="Z455" s="153">
        <v>188571.42</v>
      </c>
      <c r="AA455" s="162">
        <v>1</v>
      </c>
      <c r="AB455" s="172">
        <v>97.33</v>
      </c>
      <c r="AD455" s="153">
        <v>183.53700000000001</v>
      </c>
      <c r="AG455" s="3" t="s">
        <v>36</v>
      </c>
      <c r="AH455" s="164">
        <v>4.6000000000000001E-4</v>
      </c>
      <c r="AI455" s="164">
        <v>7.4673125199575504E-3</v>
      </c>
      <c r="AJ455" s="164">
        <v>1.2096128480931099E-3</v>
      </c>
    </row>
    <row r="456" spans="1:36">
      <c r="A456" s="3">
        <v>424</v>
      </c>
      <c r="B456" s="3">
        <v>7229</v>
      </c>
      <c r="C456" s="3" t="s">
        <v>540</v>
      </c>
      <c r="D456" s="3" t="s">
        <v>541</v>
      </c>
      <c r="E456" s="5" t="s">
        <v>134</v>
      </c>
      <c r="F456" s="3" t="s">
        <v>542</v>
      </c>
      <c r="G456" s="3" t="s">
        <v>543</v>
      </c>
      <c r="H456" s="3" t="s">
        <v>137</v>
      </c>
      <c r="I456" s="3" t="s">
        <v>156</v>
      </c>
      <c r="J456" s="3" t="s">
        <v>30</v>
      </c>
      <c r="K456" s="3" t="s">
        <v>30</v>
      </c>
      <c r="L456" s="3" t="s">
        <v>139</v>
      </c>
      <c r="M456" s="3" t="s">
        <v>31</v>
      </c>
      <c r="N456" s="3" t="s">
        <v>544</v>
      </c>
      <c r="O456" s="3" t="s">
        <v>141</v>
      </c>
      <c r="P456" s="3" t="s">
        <v>171</v>
      </c>
      <c r="Q456" s="3" t="s">
        <v>164</v>
      </c>
      <c r="R456" s="3" t="s">
        <v>144</v>
      </c>
      <c r="S456" s="3" t="s">
        <v>34</v>
      </c>
      <c r="T456" s="153">
        <v>3.734</v>
      </c>
      <c r="U456" s="3" t="s">
        <v>545</v>
      </c>
      <c r="V456" s="164">
        <v>6.3299999999999995E-2</v>
      </c>
      <c r="W456" s="164">
        <v>5.2850000000000001E-2</v>
      </c>
      <c r="X456" s="5" t="s">
        <v>146</v>
      </c>
      <c r="Y456" s="5" t="s">
        <v>141</v>
      </c>
      <c r="Z456" s="153">
        <v>220000</v>
      </c>
      <c r="AA456" s="162">
        <v>1</v>
      </c>
      <c r="AB456" s="172">
        <v>104.74</v>
      </c>
      <c r="AD456" s="153">
        <v>230.428</v>
      </c>
      <c r="AG456" s="3" t="s">
        <v>36</v>
      </c>
      <c r="AH456" s="164">
        <v>3.3500000000000001E-4</v>
      </c>
      <c r="AI456" s="164">
        <v>9.37512319298754E-3</v>
      </c>
      <c r="AJ456" s="164">
        <v>1.5186547283758099E-3</v>
      </c>
    </row>
    <row r="457" spans="1:36">
      <c r="A457" s="3">
        <v>424</v>
      </c>
      <c r="B457" s="3">
        <v>7229</v>
      </c>
      <c r="C457" s="3" t="s">
        <v>546</v>
      </c>
      <c r="D457" s="3" t="s">
        <v>547</v>
      </c>
      <c r="E457" s="5" t="s">
        <v>134</v>
      </c>
      <c r="F457" s="3" t="s">
        <v>548</v>
      </c>
      <c r="G457" s="3" t="s">
        <v>549</v>
      </c>
      <c r="H457" s="3" t="s">
        <v>137</v>
      </c>
      <c r="I457" s="3" t="s">
        <v>138</v>
      </c>
      <c r="J457" s="3" t="s">
        <v>30</v>
      </c>
      <c r="K457" s="3" t="s">
        <v>30</v>
      </c>
      <c r="L457" s="3" t="s">
        <v>139</v>
      </c>
      <c r="M457" s="3" t="s">
        <v>31</v>
      </c>
      <c r="N457" s="3" t="s">
        <v>199</v>
      </c>
      <c r="O457" s="3" t="s">
        <v>141</v>
      </c>
      <c r="P457" s="3" t="s">
        <v>481</v>
      </c>
      <c r="Q457" s="3" t="s">
        <v>481</v>
      </c>
      <c r="R457" s="3" t="s">
        <v>481</v>
      </c>
      <c r="S457" s="3" t="s">
        <v>34</v>
      </c>
      <c r="T457" s="153">
        <v>6.4660000000000002</v>
      </c>
      <c r="U457" s="3" t="s">
        <v>550</v>
      </c>
      <c r="V457" s="164">
        <v>4.1000000000000002E-2</v>
      </c>
      <c r="W457" s="164">
        <v>3.7850000000000002E-2</v>
      </c>
      <c r="X457" s="5" t="s">
        <v>146</v>
      </c>
      <c r="Y457" s="5" t="s">
        <v>141</v>
      </c>
      <c r="Z457" s="153">
        <v>438000</v>
      </c>
      <c r="AA457" s="162">
        <v>1</v>
      </c>
      <c r="AB457" s="172">
        <v>104.73</v>
      </c>
      <c r="AD457" s="153">
        <v>458.71699999999998</v>
      </c>
      <c r="AG457" s="3" t="s">
        <v>36</v>
      </c>
      <c r="AH457" s="164">
        <v>1.5640000000000001E-3</v>
      </c>
      <c r="AI457" s="164">
        <v>1.86632359598961E-2</v>
      </c>
      <c r="AJ457" s="164">
        <v>3.0232148371649998E-3</v>
      </c>
    </row>
    <row r="458" spans="1:36">
      <c r="A458" s="3">
        <v>424</v>
      </c>
      <c r="B458" s="3">
        <v>7229</v>
      </c>
      <c r="C458" s="3" t="s">
        <v>551</v>
      </c>
      <c r="D458" s="3" t="s">
        <v>552</v>
      </c>
      <c r="E458" s="5" t="s">
        <v>134</v>
      </c>
      <c r="F458" s="3" t="s">
        <v>553</v>
      </c>
      <c r="G458" s="3" t="s">
        <v>554</v>
      </c>
      <c r="H458" s="3" t="s">
        <v>137</v>
      </c>
      <c r="I458" s="3" t="s">
        <v>156</v>
      </c>
      <c r="J458" s="3" t="s">
        <v>30</v>
      </c>
      <c r="K458" s="3" t="s">
        <v>30</v>
      </c>
      <c r="L458" s="3" t="s">
        <v>139</v>
      </c>
      <c r="M458" s="3" t="s">
        <v>31</v>
      </c>
      <c r="N458" s="3" t="s">
        <v>555</v>
      </c>
      <c r="O458" s="3" t="s">
        <v>141</v>
      </c>
      <c r="P458" s="3" t="s">
        <v>142</v>
      </c>
      <c r="Q458" s="3" t="s">
        <v>143</v>
      </c>
      <c r="R458" s="3" t="s">
        <v>144</v>
      </c>
      <c r="S458" s="3" t="s">
        <v>34</v>
      </c>
      <c r="T458" s="153">
        <v>3.399</v>
      </c>
      <c r="U458" s="3" t="s">
        <v>556</v>
      </c>
      <c r="V458" s="164">
        <v>5.04E-2</v>
      </c>
      <c r="W458" s="164">
        <v>4.922E-2</v>
      </c>
      <c r="X458" s="5" t="s">
        <v>146</v>
      </c>
      <c r="Y458" s="5" t="s">
        <v>141</v>
      </c>
      <c r="Z458" s="153">
        <v>220000</v>
      </c>
      <c r="AA458" s="162">
        <v>1</v>
      </c>
      <c r="AB458" s="172">
        <v>101.51</v>
      </c>
      <c r="AD458" s="153">
        <v>223.322</v>
      </c>
      <c r="AG458" s="3" t="s">
        <v>36</v>
      </c>
      <c r="AH458" s="164">
        <v>4.44E-4</v>
      </c>
      <c r="AI458" s="164">
        <v>9.08601064846443E-3</v>
      </c>
      <c r="AJ458" s="164">
        <v>1.4718220496221901E-3</v>
      </c>
    </row>
    <row r="459" spans="1:36">
      <c r="A459" s="3">
        <v>424</v>
      </c>
      <c r="B459" s="3">
        <v>7229</v>
      </c>
      <c r="C459" s="3" t="s">
        <v>681</v>
      </c>
      <c r="D459" s="3" t="s">
        <v>682</v>
      </c>
      <c r="E459" s="5" t="s">
        <v>134</v>
      </c>
      <c r="F459" s="3" t="s">
        <v>683</v>
      </c>
      <c r="G459" s="3" t="s">
        <v>684</v>
      </c>
      <c r="H459" s="3" t="s">
        <v>137</v>
      </c>
      <c r="I459" s="3" t="s">
        <v>138</v>
      </c>
      <c r="J459" s="3" t="s">
        <v>30</v>
      </c>
      <c r="K459" s="3" t="s">
        <v>30</v>
      </c>
      <c r="L459" s="3" t="s">
        <v>139</v>
      </c>
      <c r="M459" s="3" t="s">
        <v>31</v>
      </c>
      <c r="N459" s="3" t="s">
        <v>186</v>
      </c>
      <c r="O459" s="3" t="s">
        <v>141</v>
      </c>
      <c r="P459" s="3" t="s">
        <v>142</v>
      </c>
      <c r="Q459" s="3" t="s">
        <v>143</v>
      </c>
      <c r="R459" s="3" t="s">
        <v>144</v>
      </c>
      <c r="S459" s="3" t="s">
        <v>34</v>
      </c>
      <c r="T459" s="153">
        <v>0.63900000000000001</v>
      </c>
      <c r="U459" s="3" t="s">
        <v>685</v>
      </c>
      <c r="V459" s="164">
        <v>2.1499999999999998E-2</v>
      </c>
      <c r="W459" s="164">
        <v>3.5860000000000003E-2</v>
      </c>
      <c r="X459" s="5" t="s">
        <v>146</v>
      </c>
      <c r="Y459" s="5" t="s">
        <v>141</v>
      </c>
      <c r="Z459" s="153">
        <v>89500</v>
      </c>
      <c r="AA459" s="162">
        <v>1</v>
      </c>
      <c r="AB459" s="172">
        <v>120.13</v>
      </c>
      <c r="AD459" s="153">
        <v>107.51600000000001</v>
      </c>
      <c r="AG459" s="3" t="s">
        <v>36</v>
      </c>
      <c r="AH459" s="164">
        <v>6.3999999999999997E-5</v>
      </c>
      <c r="AI459" s="164">
        <v>4.37437736086919E-3</v>
      </c>
      <c r="AJ459" s="164">
        <v>7.0859536733907497E-4</v>
      </c>
    </row>
    <row r="460" spans="1:36">
      <c r="A460" s="3">
        <v>424</v>
      </c>
      <c r="B460" s="3">
        <v>7229</v>
      </c>
      <c r="C460" s="3" t="s">
        <v>614</v>
      </c>
      <c r="D460" s="3" t="s">
        <v>615</v>
      </c>
      <c r="E460" s="5" t="s">
        <v>134</v>
      </c>
      <c r="F460" s="3" t="s">
        <v>616</v>
      </c>
      <c r="G460" s="3" t="s">
        <v>617</v>
      </c>
      <c r="H460" s="3" t="s">
        <v>137</v>
      </c>
      <c r="I460" s="3" t="s">
        <v>138</v>
      </c>
      <c r="J460" s="3" t="s">
        <v>30</v>
      </c>
      <c r="K460" s="3" t="s">
        <v>30</v>
      </c>
      <c r="L460" s="3" t="s">
        <v>139</v>
      </c>
      <c r="M460" s="3" t="s">
        <v>31</v>
      </c>
      <c r="N460" s="3" t="s">
        <v>186</v>
      </c>
      <c r="O460" s="3" t="s">
        <v>141</v>
      </c>
      <c r="P460" s="3" t="s">
        <v>180</v>
      </c>
      <c r="Q460" s="3" t="s">
        <v>143</v>
      </c>
      <c r="R460" s="3" t="s">
        <v>144</v>
      </c>
      <c r="S460" s="3" t="s">
        <v>34</v>
      </c>
      <c r="T460" s="153">
        <v>5.8140000000000001</v>
      </c>
      <c r="U460" s="3" t="s">
        <v>618</v>
      </c>
      <c r="V460" s="164">
        <v>2.5000000000000001E-2</v>
      </c>
      <c r="W460" s="164">
        <v>2.9170000000000001E-2</v>
      </c>
      <c r="X460" s="5" t="s">
        <v>146</v>
      </c>
      <c r="Y460" s="5" t="s">
        <v>141</v>
      </c>
      <c r="Z460" s="153">
        <v>82000</v>
      </c>
      <c r="AA460" s="162">
        <v>1</v>
      </c>
      <c r="AB460" s="172">
        <v>116.08</v>
      </c>
      <c r="AD460" s="153">
        <v>95.186000000000007</v>
      </c>
      <c r="AG460" s="3" t="s">
        <v>36</v>
      </c>
      <c r="AH460" s="164">
        <v>6.0999999999999999E-5</v>
      </c>
      <c r="AI460" s="164">
        <v>3.8726922344438802E-3</v>
      </c>
      <c r="AJ460" s="164">
        <v>6.2732854302987597E-4</v>
      </c>
    </row>
    <row r="461" spans="1:36">
      <c r="A461" s="3">
        <v>424</v>
      </c>
      <c r="B461" s="3">
        <v>7229</v>
      </c>
      <c r="C461" s="3" t="s">
        <v>561</v>
      </c>
      <c r="D461" s="3" t="s">
        <v>562</v>
      </c>
      <c r="E461" s="5" t="s">
        <v>492</v>
      </c>
      <c r="F461" s="3" t="s">
        <v>563</v>
      </c>
      <c r="G461" s="3" t="s">
        <v>564</v>
      </c>
      <c r="H461" s="3" t="s">
        <v>137</v>
      </c>
      <c r="I461" s="3" t="s">
        <v>565</v>
      </c>
      <c r="J461" s="3" t="s">
        <v>30</v>
      </c>
      <c r="K461" s="3" t="s">
        <v>566</v>
      </c>
      <c r="L461" s="3" t="s">
        <v>139</v>
      </c>
      <c r="M461" s="3" t="s">
        <v>31</v>
      </c>
      <c r="N461" s="3" t="s">
        <v>208</v>
      </c>
      <c r="O461" s="3" t="s">
        <v>141</v>
      </c>
      <c r="P461" s="3" t="s">
        <v>271</v>
      </c>
      <c r="Q461" s="3" t="s">
        <v>164</v>
      </c>
      <c r="R461" s="3" t="s">
        <v>144</v>
      </c>
      <c r="S461" s="3" t="s">
        <v>34</v>
      </c>
      <c r="T461" s="153">
        <v>2.3410000000000002</v>
      </c>
      <c r="U461" s="3" t="s">
        <v>567</v>
      </c>
      <c r="V461" s="164">
        <v>4.2999999999999997E-2</v>
      </c>
      <c r="W461" s="164">
        <v>7.3359999999999995E-2</v>
      </c>
      <c r="X461" s="5" t="s">
        <v>146</v>
      </c>
      <c r="Y461" s="5" t="s">
        <v>141</v>
      </c>
      <c r="Z461" s="153">
        <v>0.24</v>
      </c>
      <c r="AA461" s="162">
        <v>1</v>
      </c>
      <c r="AB461" s="172">
        <v>88.55</v>
      </c>
      <c r="AD461" s="153">
        <v>0</v>
      </c>
      <c r="AG461" s="3" t="s">
        <v>36</v>
      </c>
      <c r="AH461" s="164">
        <v>0</v>
      </c>
      <c r="AI461" s="164">
        <v>8.6465237773782315E-9</v>
      </c>
      <c r="AJ461" s="164">
        <v>1.4006305782041502E-9</v>
      </c>
    </row>
    <row r="462" spans="1:36">
      <c r="A462" s="3">
        <v>424</v>
      </c>
      <c r="B462" s="3">
        <v>7229</v>
      </c>
      <c r="C462" s="3" t="s">
        <v>619</v>
      </c>
      <c r="D462" s="3" t="s">
        <v>620</v>
      </c>
      <c r="E462" s="5" t="s">
        <v>134</v>
      </c>
      <c r="F462" s="3" t="s">
        <v>621</v>
      </c>
      <c r="G462" s="3" t="s">
        <v>622</v>
      </c>
      <c r="H462" s="3" t="s">
        <v>137</v>
      </c>
      <c r="I462" s="3" t="s">
        <v>156</v>
      </c>
      <c r="J462" s="3" t="s">
        <v>30</v>
      </c>
      <c r="K462" s="3" t="s">
        <v>30</v>
      </c>
      <c r="L462" s="3" t="s">
        <v>139</v>
      </c>
      <c r="M462" s="3" t="s">
        <v>31</v>
      </c>
      <c r="N462" s="3" t="s">
        <v>555</v>
      </c>
      <c r="O462" s="3" t="s">
        <v>141</v>
      </c>
      <c r="P462" s="3" t="s">
        <v>163</v>
      </c>
      <c r="Q462" s="3" t="s">
        <v>164</v>
      </c>
      <c r="R462" s="3" t="s">
        <v>144</v>
      </c>
      <c r="S462" s="3" t="s">
        <v>34</v>
      </c>
      <c r="T462" s="153">
        <v>4.532</v>
      </c>
      <c r="U462" s="3" t="s">
        <v>295</v>
      </c>
      <c r="V462" s="164">
        <v>5.8500000000000003E-2</v>
      </c>
      <c r="W462" s="164">
        <v>4.8800000000000003E-2</v>
      </c>
      <c r="X462" s="5" t="s">
        <v>146</v>
      </c>
      <c r="Y462" s="5" t="s">
        <v>141</v>
      </c>
      <c r="Z462" s="153">
        <v>116000</v>
      </c>
      <c r="AA462" s="162">
        <v>1</v>
      </c>
      <c r="AB462" s="172">
        <v>105.82</v>
      </c>
      <c r="AD462" s="153">
        <v>122.751</v>
      </c>
      <c r="AG462" s="3" t="s">
        <v>36</v>
      </c>
      <c r="AH462" s="164">
        <v>7.4799999999999997E-4</v>
      </c>
      <c r="AI462" s="164">
        <v>4.9942178124492299E-3</v>
      </c>
      <c r="AJ462" s="164">
        <v>8.0900190208570404E-4</v>
      </c>
    </row>
    <row r="463" spans="1:36">
      <c r="A463" s="3">
        <v>424</v>
      </c>
      <c r="B463" s="3">
        <v>9817</v>
      </c>
      <c r="C463" s="3" t="s">
        <v>166</v>
      </c>
      <c r="D463" s="3" t="s">
        <v>167</v>
      </c>
      <c r="E463" s="5" t="s">
        <v>134</v>
      </c>
      <c r="F463" s="3" t="s">
        <v>173</v>
      </c>
      <c r="G463" s="3" t="s">
        <v>174</v>
      </c>
      <c r="H463" s="3" t="s">
        <v>137</v>
      </c>
      <c r="I463" s="3" t="s">
        <v>156</v>
      </c>
      <c r="J463" s="3" t="s">
        <v>30</v>
      </c>
      <c r="K463" s="3" t="s">
        <v>30</v>
      </c>
      <c r="L463" s="3" t="s">
        <v>139</v>
      </c>
      <c r="M463" s="3" t="s">
        <v>31</v>
      </c>
      <c r="N463" s="3" t="s">
        <v>170</v>
      </c>
      <c r="O463" s="3" t="s">
        <v>141</v>
      </c>
      <c r="P463" s="3" t="s">
        <v>171</v>
      </c>
      <c r="Q463" s="3" t="s">
        <v>164</v>
      </c>
      <c r="R463" s="3" t="s">
        <v>144</v>
      </c>
      <c r="S463" s="3" t="s">
        <v>34</v>
      </c>
      <c r="T463" s="153">
        <v>3.0779999999999998</v>
      </c>
      <c r="U463" s="3" t="s">
        <v>175</v>
      </c>
      <c r="V463" s="164">
        <v>2.18E-2</v>
      </c>
      <c r="W463" s="164">
        <v>4.58E-2</v>
      </c>
      <c r="X463" s="5" t="s">
        <v>146</v>
      </c>
      <c r="Y463" s="5" t="s">
        <v>141</v>
      </c>
      <c r="Z463" s="153">
        <v>2364</v>
      </c>
      <c r="AA463" s="162">
        <v>1</v>
      </c>
      <c r="AB463" s="172">
        <v>93.75</v>
      </c>
      <c r="AD463" s="153">
        <v>2.2160000000000002</v>
      </c>
      <c r="AG463" s="3" t="s">
        <v>36</v>
      </c>
      <c r="AH463" s="164">
        <v>1.4E-5</v>
      </c>
      <c r="AI463" s="164">
        <v>1.72225195243331E-2</v>
      </c>
      <c r="AJ463" s="164">
        <v>1.1488298605530399E-3</v>
      </c>
    </row>
    <row r="464" spans="1:36">
      <c r="A464" s="3">
        <v>424</v>
      </c>
      <c r="B464" s="3">
        <v>9817</v>
      </c>
      <c r="C464" s="3" t="s">
        <v>187</v>
      </c>
      <c r="D464" s="3" t="s">
        <v>188</v>
      </c>
      <c r="E464" s="5" t="s">
        <v>134</v>
      </c>
      <c r="F464" s="3" t="s">
        <v>623</v>
      </c>
      <c r="G464" s="3" t="s">
        <v>624</v>
      </c>
      <c r="H464" s="3" t="s">
        <v>137</v>
      </c>
      <c r="I464" s="3" t="s">
        <v>156</v>
      </c>
      <c r="J464" s="3" t="s">
        <v>30</v>
      </c>
      <c r="K464" s="3" t="s">
        <v>30</v>
      </c>
      <c r="L464" s="3" t="s">
        <v>139</v>
      </c>
      <c r="M464" s="3" t="s">
        <v>31</v>
      </c>
      <c r="N464" s="3" t="s">
        <v>186</v>
      </c>
      <c r="O464" s="3" t="s">
        <v>141</v>
      </c>
      <c r="P464" s="3" t="s">
        <v>142</v>
      </c>
      <c r="Q464" s="3" t="s">
        <v>143</v>
      </c>
      <c r="R464" s="3" t="s">
        <v>144</v>
      </c>
      <c r="S464" s="3" t="s">
        <v>34</v>
      </c>
      <c r="T464" s="153">
        <v>0.877</v>
      </c>
      <c r="U464" s="3" t="s">
        <v>625</v>
      </c>
      <c r="V464" s="164">
        <v>3.85E-2</v>
      </c>
      <c r="W464" s="164">
        <v>5.1330000000000001E-2</v>
      </c>
      <c r="X464" s="5" t="s">
        <v>146</v>
      </c>
      <c r="Y464" s="5" t="s">
        <v>141</v>
      </c>
      <c r="Z464" s="153">
        <v>1626.47</v>
      </c>
      <c r="AA464" s="162">
        <v>1</v>
      </c>
      <c r="AB464" s="172">
        <v>101.2</v>
      </c>
      <c r="AD464" s="153">
        <v>1.6459999999999999</v>
      </c>
      <c r="AG464" s="3" t="s">
        <v>36</v>
      </c>
      <c r="AH464" s="164">
        <v>5.0000000000000004E-6</v>
      </c>
      <c r="AI464" s="164">
        <v>1.2791000233146501E-2</v>
      </c>
      <c r="AJ464" s="164">
        <v>8.5322492991911196E-4</v>
      </c>
    </row>
    <row r="465" spans="1:36">
      <c r="A465" s="3">
        <v>424</v>
      </c>
      <c r="B465" s="3">
        <v>9817</v>
      </c>
      <c r="C465" s="3" t="s">
        <v>187</v>
      </c>
      <c r="D465" s="3" t="s">
        <v>188</v>
      </c>
      <c r="E465" s="5" t="s">
        <v>134</v>
      </c>
      <c r="F465" s="3" t="s">
        <v>192</v>
      </c>
      <c r="G465" s="3" t="s">
        <v>193</v>
      </c>
      <c r="H465" s="3" t="s">
        <v>137</v>
      </c>
      <c r="I465" s="3" t="s">
        <v>156</v>
      </c>
      <c r="J465" s="3" t="s">
        <v>30</v>
      </c>
      <c r="K465" s="3" t="s">
        <v>30</v>
      </c>
      <c r="L465" s="3" t="s">
        <v>139</v>
      </c>
      <c r="M465" s="3" t="s">
        <v>31</v>
      </c>
      <c r="N465" s="3" t="s">
        <v>186</v>
      </c>
      <c r="O465" s="3" t="s">
        <v>141</v>
      </c>
      <c r="P465" s="3" t="s">
        <v>142</v>
      </c>
      <c r="Q465" s="3" t="s">
        <v>143</v>
      </c>
      <c r="R465" s="3" t="s">
        <v>144</v>
      </c>
      <c r="S465" s="3" t="s">
        <v>34</v>
      </c>
      <c r="T465" s="153">
        <v>5.6870000000000003</v>
      </c>
      <c r="U465" s="3" t="s">
        <v>194</v>
      </c>
      <c r="V465" s="164">
        <v>4.9399999999999999E-2</v>
      </c>
      <c r="W465" s="164">
        <v>5.142E-2</v>
      </c>
      <c r="X465" s="5" t="s">
        <v>146</v>
      </c>
      <c r="Y465" s="5" t="s">
        <v>141</v>
      </c>
      <c r="Z465" s="153">
        <v>6538</v>
      </c>
      <c r="AA465" s="162">
        <v>1</v>
      </c>
      <c r="AB465" s="172">
        <v>101.81</v>
      </c>
      <c r="AD465" s="153">
        <v>6.6559999999999997</v>
      </c>
      <c r="AG465" s="3" t="s">
        <v>36</v>
      </c>
      <c r="AH465" s="164">
        <v>3.9999999999999998E-6</v>
      </c>
      <c r="AI465" s="164">
        <v>5.1726523506398697E-2</v>
      </c>
      <c r="AJ465" s="164">
        <v>3.45042284334707E-3</v>
      </c>
    </row>
    <row r="466" spans="1:36">
      <c r="A466" s="3">
        <v>424</v>
      </c>
      <c r="B466" s="3">
        <v>9817</v>
      </c>
      <c r="C466" s="3" t="s">
        <v>195</v>
      </c>
      <c r="D466" s="3" t="s">
        <v>196</v>
      </c>
      <c r="E466" s="5" t="s">
        <v>134</v>
      </c>
      <c r="F466" s="3" t="s">
        <v>197</v>
      </c>
      <c r="G466" s="3" t="s">
        <v>198</v>
      </c>
      <c r="H466" s="3" t="s">
        <v>137</v>
      </c>
      <c r="I466" s="3" t="s">
        <v>156</v>
      </c>
      <c r="J466" s="3" t="s">
        <v>30</v>
      </c>
      <c r="K466" s="3" t="s">
        <v>30</v>
      </c>
      <c r="L466" s="3" t="s">
        <v>139</v>
      </c>
      <c r="M466" s="3" t="s">
        <v>31</v>
      </c>
      <c r="N466" s="3" t="s">
        <v>199</v>
      </c>
      <c r="O466" s="3" t="s">
        <v>141</v>
      </c>
      <c r="P466" s="3" t="s">
        <v>152</v>
      </c>
      <c r="Q466" s="3" t="s">
        <v>143</v>
      </c>
      <c r="R466" s="3" t="s">
        <v>144</v>
      </c>
      <c r="S466" s="3" t="s">
        <v>34</v>
      </c>
      <c r="T466" s="153">
        <v>2.5489999999999999</v>
      </c>
      <c r="U466" s="3" t="s">
        <v>200</v>
      </c>
      <c r="V466" s="164">
        <v>0.04</v>
      </c>
      <c r="W466" s="164">
        <v>4.802E-2</v>
      </c>
      <c r="X466" s="5" t="s">
        <v>146</v>
      </c>
      <c r="Y466" s="5" t="s">
        <v>141</v>
      </c>
      <c r="Z466" s="153">
        <v>2358.75</v>
      </c>
      <c r="AA466" s="162">
        <v>1</v>
      </c>
      <c r="AB466" s="172">
        <v>99.07</v>
      </c>
      <c r="AD466" s="153">
        <v>2.3370000000000002</v>
      </c>
      <c r="AG466" s="3" t="s">
        <v>36</v>
      </c>
      <c r="AH466" s="164">
        <v>3.9999999999999998E-6</v>
      </c>
      <c r="AI466" s="164">
        <v>1.8159421672324899E-2</v>
      </c>
      <c r="AJ466" s="164">
        <v>1.2113260105796699E-3</v>
      </c>
    </row>
    <row r="467" spans="1:36">
      <c r="A467" s="3">
        <v>424</v>
      </c>
      <c r="B467" s="3">
        <v>9817</v>
      </c>
      <c r="C467" s="3" t="s">
        <v>232</v>
      </c>
      <c r="D467" s="3" t="s">
        <v>233</v>
      </c>
      <c r="E467" s="5" t="s">
        <v>134</v>
      </c>
      <c r="F467" s="3" t="s">
        <v>626</v>
      </c>
      <c r="G467" s="3" t="s">
        <v>627</v>
      </c>
      <c r="H467" s="3" t="s">
        <v>137</v>
      </c>
      <c r="I467" s="3" t="s">
        <v>156</v>
      </c>
      <c r="J467" s="3" t="s">
        <v>30</v>
      </c>
      <c r="K467" s="3" t="s">
        <v>30</v>
      </c>
      <c r="L467" s="3" t="s">
        <v>139</v>
      </c>
      <c r="M467" s="3" t="s">
        <v>31</v>
      </c>
      <c r="N467" s="3" t="s">
        <v>208</v>
      </c>
      <c r="O467" s="3" t="s">
        <v>141</v>
      </c>
      <c r="P467" s="3" t="s">
        <v>152</v>
      </c>
      <c r="Q467" s="3" t="s">
        <v>143</v>
      </c>
      <c r="R467" s="3" t="s">
        <v>144</v>
      </c>
      <c r="S467" s="3" t="s">
        <v>34</v>
      </c>
      <c r="T467" s="153">
        <v>2.5110000000000001</v>
      </c>
      <c r="U467" s="3" t="s">
        <v>628</v>
      </c>
      <c r="V467" s="164">
        <v>3.2500000000000001E-2</v>
      </c>
      <c r="W467" s="164">
        <v>5.1240000000000001E-2</v>
      </c>
      <c r="X467" s="5" t="s">
        <v>146</v>
      </c>
      <c r="Y467" s="5" t="s">
        <v>141</v>
      </c>
      <c r="Z467" s="153">
        <v>1750</v>
      </c>
      <c r="AA467" s="162">
        <v>1</v>
      </c>
      <c r="AB467" s="172">
        <v>95.69</v>
      </c>
      <c r="AD467" s="153">
        <v>1.675</v>
      </c>
      <c r="AG467" s="3" t="s">
        <v>36</v>
      </c>
      <c r="AH467" s="164">
        <v>6.9999999999999999E-6</v>
      </c>
      <c r="AI467" s="164">
        <v>1.30131531336537E-2</v>
      </c>
      <c r="AJ467" s="164">
        <v>8.6804366102001605E-4</v>
      </c>
    </row>
    <row r="468" spans="1:36">
      <c r="A468" s="3">
        <v>424</v>
      </c>
      <c r="B468" s="3">
        <v>9817</v>
      </c>
      <c r="C468" s="3" t="s">
        <v>581</v>
      </c>
      <c r="D468" s="3" t="s">
        <v>582</v>
      </c>
      <c r="E468" s="5" t="s">
        <v>134</v>
      </c>
      <c r="F468" s="3" t="s">
        <v>583</v>
      </c>
      <c r="G468" s="3" t="s">
        <v>584</v>
      </c>
      <c r="H468" s="3" t="s">
        <v>137</v>
      </c>
      <c r="I468" s="3" t="s">
        <v>156</v>
      </c>
      <c r="J468" s="3" t="s">
        <v>30</v>
      </c>
      <c r="K468" s="3" t="s">
        <v>30</v>
      </c>
      <c r="L468" s="3" t="s">
        <v>139</v>
      </c>
      <c r="M468" s="3" t="s">
        <v>31</v>
      </c>
      <c r="N468" s="3" t="s">
        <v>162</v>
      </c>
      <c r="O468" s="3" t="s">
        <v>141</v>
      </c>
      <c r="P468" s="3" t="s">
        <v>209</v>
      </c>
      <c r="Q468" s="3" t="s">
        <v>164</v>
      </c>
      <c r="R468" s="3" t="s">
        <v>144</v>
      </c>
      <c r="S468" s="3" t="s">
        <v>34</v>
      </c>
      <c r="T468" s="153">
        <v>4.8499999999999996</v>
      </c>
      <c r="U468" s="3" t="s">
        <v>258</v>
      </c>
      <c r="V468" s="164">
        <v>5.3800000000000001E-2</v>
      </c>
      <c r="W468" s="164">
        <v>5.5210000000000002E-2</v>
      </c>
      <c r="X468" s="5" t="s">
        <v>146</v>
      </c>
      <c r="Y468" s="5" t="s">
        <v>141</v>
      </c>
      <c r="Z468" s="153">
        <v>7021</v>
      </c>
      <c r="AA468" s="162">
        <v>1</v>
      </c>
      <c r="AB468" s="172">
        <v>100.68</v>
      </c>
      <c r="AD468" s="153">
        <v>7.069</v>
      </c>
      <c r="AG468" s="3" t="s">
        <v>36</v>
      </c>
      <c r="AH468" s="164">
        <v>2.8E-5</v>
      </c>
      <c r="AI468" s="164">
        <v>5.4931330348782302E-2</v>
      </c>
      <c r="AJ468" s="164">
        <v>3.6641997993048302E-3</v>
      </c>
    </row>
    <row r="469" spans="1:36">
      <c r="A469" s="3">
        <v>424</v>
      </c>
      <c r="B469" s="3">
        <v>9817</v>
      </c>
      <c r="C469" s="3" t="s">
        <v>254</v>
      </c>
      <c r="D469" s="3" t="s">
        <v>255</v>
      </c>
      <c r="E469" s="5" t="s">
        <v>134</v>
      </c>
      <c r="F469" s="3" t="s">
        <v>256</v>
      </c>
      <c r="G469" s="3" t="s">
        <v>257</v>
      </c>
      <c r="H469" s="3" t="s">
        <v>137</v>
      </c>
      <c r="I469" s="3" t="s">
        <v>138</v>
      </c>
      <c r="J469" s="3" t="s">
        <v>30</v>
      </c>
      <c r="K469" s="3" t="s">
        <v>30</v>
      </c>
      <c r="L469" s="3" t="s">
        <v>139</v>
      </c>
      <c r="M469" s="3" t="s">
        <v>31</v>
      </c>
      <c r="N469" s="3" t="s">
        <v>162</v>
      </c>
      <c r="O469" s="3" t="s">
        <v>141</v>
      </c>
      <c r="P469" s="3" t="s">
        <v>230</v>
      </c>
      <c r="Q469" s="3" t="s">
        <v>143</v>
      </c>
      <c r="R469" s="3" t="s">
        <v>144</v>
      </c>
      <c r="S469" s="3" t="s">
        <v>34</v>
      </c>
      <c r="T469" s="153">
        <v>4.6859999999999999</v>
      </c>
      <c r="U469" s="3" t="s">
        <v>258</v>
      </c>
      <c r="V469" s="164">
        <v>4.0800000000000003E-2</v>
      </c>
      <c r="W469" s="164">
        <v>3.4189999999999998E-2</v>
      </c>
      <c r="X469" s="5" t="s">
        <v>146</v>
      </c>
      <c r="Y469" s="5" t="s">
        <v>141</v>
      </c>
      <c r="Z469" s="153">
        <v>4600</v>
      </c>
      <c r="AA469" s="162">
        <v>1</v>
      </c>
      <c r="AB469" s="172">
        <v>111.71</v>
      </c>
      <c r="AD469" s="153">
        <v>5.1390000000000002</v>
      </c>
      <c r="AG469" s="3" t="s">
        <v>36</v>
      </c>
      <c r="AH469" s="164">
        <v>5.0000000000000004E-6</v>
      </c>
      <c r="AI469" s="164">
        <v>3.9932621400523102E-2</v>
      </c>
      <c r="AJ469" s="164">
        <v>2.6637094421791299E-3</v>
      </c>
    </row>
    <row r="470" spans="1:36">
      <c r="A470" s="3">
        <v>424</v>
      </c>
      <c r="B470" s="3">
        <v>9817</v>
      </c>
      <c r="C470" s="3" t="s">
        <v>259</v>
      </c>
      <c r="D470" s="3" t="s">
        <v>260</v>
      </c>
      <c r="E470" s="5" t="s">
        <v>134</v>
      </c>
      <c r="F470" s="3" t="s">
        <v>264</v>
      </c>
      <c r="G470" s="3" t="s">
        <v>265</v>
      </c>
      <c r="H470" s="3" t="s">
        <v>137</v>
      </c>
      <c r="I470" s="3" t="s">
        <v>156</v>
      </c>
      <c r="J470" s="3" t="s">
        <v>30</v>
      </c>
      <c r="K470" s="3" t="s">
        <v>30</v>
      </c>
      <c r="L470" s="3" t="s">
        <v>139</v>
      </c>
      <c r="M470" s="3" t="s">
        <v>31</v>
      </c>
      <c r="N470" s="3" t="s">
        <v>151</v>
      </c>
      <c r="O470" s="3" t="s">
        <v>141</v>
      </c>
      <c r="P470" s="3" t="s">
        <v>152</v>
      </c>
      <c r="Q470" s="3" t="s">
        <v>143</v>
      </c>
      <c r="R470" s="3" t="s">
        <v>144</v>
      </c>
      <c r="S470" s="3" t="s">
        <v>34</v>
      </c>
      <c r="T470" s="153">
        <v>2.21</v>
      </c>
      <c r="U470" s="3" t="s">
        <v>266</v>
      </c>
      <c r="V470" s="164">
        <v>2.7E-2</v>
      </c>
      <c r="W470" s="164">
        <v>5.0229999999999997E-2</v>
      </c>
      <c r="X470" s="5" t="s">
        <v>146</v>
      </c>
      <c r="Y470" s="5" t="s">
        <v>141</v>
      </c>
      <c r="Z470" s="153">
        <v>1312.5</v>
      </c>
      <c r="AA470" s="162">
        <v>1</v>
      </c>
      <c r="AB470" s="172">
        <v>95.21</v>
      </c>
      <c r="AD470" s="153">
        <v>1.25</v>
      </c>
      <c r="AG470" s="3" t="s">
        <v>36</v>
      </c>
      <c r="AH470" s="164">
        <v>1.9999999999999999E-6</v>
      </c>
      <c r="AI470" s="164">
        <v>9.7109074343335391E-3</v>
      </c>
      <c r="AJ470" s="164">
        <v>6.4776703651673998E-4</v>
      </c>
    </row>
    <row r="471" spans="1:36">
      <c r="A471" s="3">
        <v>424</v>
      </c>
      <c r="B471" s="3">
        <v>9817</v>
      </c>
      <c r="C471" s="3" t="s">
        <v>267</v>
      </c>
      <c r="D471" s="3" t="s">
        <v>268</v>
      </c>
      <c r="E471" s="5" t="s">
        <v>134</v>
      </c>
      <c r="F471" s="3" t="s">
        <v>674</v>
      </c>
      <c r="G471" s="3" t="s">
        <v>675</v>
      </c>
      <c r="H471" s="3" t="s">
        <v>137</v>
      </c>
      <c r="I471" s="3" t="s">
        <v>138</v>
      </c>
      <c r="J471" s="3" t="s">
        <v>30</v>
      </c>
      <c r="K471" s="3" t="s">
        <v>30</v>
      </c>
      <c r="L471" s="3" t="s">
        <v>139</v>
      </c>
      <c r="M471" s="3" t="s">
        <v>31</v>
      </c>
      <c r="N471" s="3" t="s">
        <v>186</v>
      </c>
      <c r="O471" s="3" t="s">
        <v>141</v>
      </c>
      <c r="P471" s="3" t="s">
        <v>142</v>
      </c>
      <c r="Q471" s="3" t="s">
        <v>143</v>
      </c>
      <c r="R471" s="3" t="s">
        <v>144</v>
      </c>
      <c r="S471" s="3" t="s">
        <v>34</v>
      </c>
      <c r="T471" s="153">
        <v>1.9359999999999999</v>
      </c>
      <c r="U471" s="3" t="s">
        <v>676</v>
      </c>
      <c r="V471" s="164">
        <v>3.3500000000000002E-2</v>
      </c>
      <c r="W471" s="164">
        <v>2.887E-2</v>
      </c>
      <c r="X471" s="5" t="s">
        <v>146</v>
      </c>
      <c r="Y471" s="5" t="s">
        <v>141</v>
      </c>
      <c r="Z471" s="153">
        <v>5122.1099999999997</v>
      </c>
      <c r="AA471" s="162">
        <v>1</v>
      </c>
      <c r="AB471" s="172">
        <v>119.82</v>
      </c>
      <c r="AD471" s="153">
        <v>6.1369999999999996</v>
      </c>
      <c r="AG471" s="3" t="s">
        <v>36</v>
      </c>
      <c r="AH471" s="164">
        <v>7.9999999999999996E-6</v>
      </c>
      <c r="AI471" s="164">
        <v>4.7693166035362701E-2</v>
      </c>
      <c r="AJ471" s="164">
        <v>3.1813773361282099E-3</v>
      </c>
    </row>
    <row r="472" spans="1:36">
      <c r="A472" s="3">
        <v>424</v>
      </c>
      <c r="B472" s="3">
        <v>9817</v>
      </c>
      <c r="C472" s="3" t="s">
        <v>291</v>
      </c>
      <c r="D472" s="3" t="s">
        <v>292</v>
      </c>
      <c r="E472" s="5" t="s">
        <v>134</v>
      </c>
      <c r="F472" s="3" t="s">
        <v>296</v>
      </c>
      <c r="G472" s="3" t="s">
        <v>297</v>
      </c>
      <c r="H472" s="3" t="s">
        <v>137</v>
      </c>
      <c r="I472" s="3" t="s">
        <v>138</v>
      </c>
      <c r="J472" s="3" t="s">
        <v>30</v>
      </c>
      <c r="K472" s="3" t="s">
        <v>30</v>
      </c>
      <c r="L472" s="3" t="s">
        <v>139</v>
      </c>
      <c r="M472" s="3" t="s">
        <v>31</v>
      </c>
      <c r="N472" s="3" t="s">
        <v>186</v>
      </c>
      <c r="O472" s="3" t="s">
        <v>141</v>
      </c>
      <c r="P472" s="3" t="s">
        <v>180</v>
      </c>
      <c r="Q472" s="3" t="s">
        <v>143</v>
      </c>
      <c r="R472" s="3" t="s">
        <v>144</v>
      </c>
      <c r="S472" s="3" t="s">
        <v>34</v>
      </c>
      <c r="T472" s="153">
        <v>3.726</v>
      </c>
      <c r="U472" s="3" t="s">
        <v>298</v>
      </c>
      <c r="V472" s="164">
        <v>5.0000000000000001E-3</v>
      </c>
      <c r="W472" s="164">
        <v>2.9350000000000001E-2</v>
      </c>
      <c r="X472" s="5" t="s">
        <v>146</v>
      </c>
      <c r="Y472" s="5" t="s">
        <v>141</v>
      </c>
      <c r="Z472" s="153">
        <v>10322.26</v>
      </c>
      <c r="AA472" s="162">
        <v>1</v>
      </c>
      <c r="AB472" s="172">
        <v>108.26</v>
      </c>
      <c r="AD472" s="153">
        <v>11.175000000000001</v>
      </c>
      <c r="AG472" s="3" t="s">
        <v>36</v>
      </c>
      <c r="AH472" s="164">
        <v>7.9999999999999996E-6</v>
      </c>
      <c r="AI472" s="164">
        <v>8.6840187785431802E-2</v>
      </c>
      <c r="AJ472" s="164">
        <v>5.7926832762757998E-3</v>
      </c>
    </row>
    <row r="473" spans="1:36">
      <c r="A473" s="3">
        <v>424</v>
      </c>
      <c r="B473" s="3">
        <v>9817</v>
      </c>
      <c r="C473" s="3" t="s">
        <v>291</v>
      </c>
      <c r="D473" s="3" t="s">
        <v>292</v>
      </c>
      <c r="E473" s="5" t="s">
        <v>134</v>
      </c>
      <c r="F473" s="3" t="s">
        <v>299</v>
      </c>
      <c r="G473" s="3" t="s">
        <v>300</v>
      </c>
      <c r="H473" s="3" t="s">
        <v>137</v>
      </c>
      <c r="I473" s="3" t="s">
        <v>138</v>
      </c>
      <c r="J473" s="3" t="s">
        <v>30</v>
      </c>
      <c r="K473" s="3" t="s">
        <v>30</v>
      </c>
      <c r="L473" s="3" t="s">
        <v>139</v>
      </c>
      <c r="M473" s="3" t="s">
        <v>31</v>
      </c>
      <c r="N473" s="3" t="s">
        <v>186</v>
      </c>
      <c r="O473" s="3" t="s">
        <v>141</v>
      </c>
      <c r="P473" s="3" t="s">
        <v>180</v>
      </c>
      <c r="Q473" s="3" t="s">
        <v>143</v>
      </c>
      <c r="R473" s="3" t="s">
        <v>144</v>
      </c>
      <c r="S473" s="3" t="s">
        <v>34</v>
      </c>
      <c r="T473" s="153">
        <v>4.1829999999999998</v>
      </c>
      <c r="U473" s="3" t="s">
        <v>301</v>
      </c>
      <c r="V473" s="164">
        <v>5.8999999999999999E-3</v>
      </c>
      <c r="W473" s="164">
        <v>2.921E-2</v>
      </c>
      <c r="X473" s="5" t="s">
        <v>146</v>
      </c>
      <c r="Y473" s="5" t="s">
        <v>141</v>
      </c>
      <c r="Z473" s="153">
        <v>1557</v>
      </c>
      <c r="AA473" s="162">
        <v>1</v>
      </c>
      <c r="AB473" s="172">
        <v>104.71</v>
      </c>
      <c r="AD473" s="153">
        <v>1.63</v>
      </c>
      <c r="AG473" s="3" t="s">
        <v>36</v>
      </c>
      <c r="AH473" s="164">
        <v>9.9999999999999995E-7</v>
      </c>
      <c r="AI473" s="164">
        <v>1.2669360948425299E-2</v>
      </c>
      <c r="AJ473" s="164">
        <v>8.4511096945551602E-4</v>
      </c>
    </row>
    <row r="474" spans="1:36">
      <c r="A474" s="3">
        <v>424</v>
      </c>
      <c r="B474" s="3">
        <v>9817</v>
      </c>
      <c r="C474" s="3" t="s">
        <v>291</v>
      </c>
      <c r="D474" s="3" t="s">
        <v>292</v>
      </c>
      <c r="E474" s="5" t="s">
        <v>134</v>
      </c>
      <c r="F474" s="3" t="s">
        <v>304</v>
      </c>
      <c r="G474" s="3" t="s">
        <v>305</v>
      </c>
      <c r="H474" s="3" t="s">
        <v>137</v>
      </c>
      <c r="I474" s="3" t="s">
        <v>138</v>
      </c>
      <c r="J474" s="3" t="s">
        <v>30</v>
      </c>
      <c r="K474" s="3" t="s">
        <v>30</v>
      </c>
      <c r="L474" s="3" t="s">
        <v>139</v>
      </c>
      <c r="M474" s="3" t="s">
        <v>31</v>
      </c>
      <c r="N474" s="3" t="s">
        <v>186</v>
      </c>
      <c r="O474" s="3" t="s">
        <v>141</v>
      </c>
      <c r="P474" s="3" t="s">
        <v>180</v>
      </c>
      <c r="Q474" s="3" t="s">
        <v>143</v>
      </c>
      <c r="R474" s="3" t="s">
        <v>144</v>
      </c>
      <c r="S474" s="3" t="s">
        <v>34</v>
      </c>
      <c r="T474" s="153">
        <v>0.48199999999999998</v>
      </c>
      <c r="U474" s="3" t="s">
        <v>306</v>
      </c>
      <c r="V474" s="164">
        <v>4.7500000000000001E-2</v>
      </c>
      <c r="W474" s="164">
        <v>5.2159999999999998E-2</v>
      </c>
      <c r="X474" s="5" t="s">
        <v>146</v>
      </c>
      <c r="Y474" s="5" t="s">
        <v>141</v>
      </c>
      <c r="Z474" s="153">
        <v>456.34</v>
      </c>
      <c r="AA474" s="162">
        <v>1</v>
      </c>
      <c r="AB474" s="172">
        <v>143.80000000000001</v>
      </c>
      <c r="AD474" s="153">
        <v>0.65600000000000003</v>
      </c>
      <c r="AG474" s="3" t="s">
        <v>36</v>
      </c>
      <c r="AH474" s="164">
        <v>9.9999999999999995E-7</v>
      </c>
      <c r="AI474" s="164">
        <v>5.0994737583294801E-3</v>
      </c>
      <c r="AJ474" s="164">
        <v>3.4016089912967701E-4</v>
      </c>
    </row>
    <row r="475" spans="1:36">
      <c r="A475" s="3">
        <v>424</v>
      </c>
      <c r="B475" s="3">
        <v>9817</v>
      </c>
      <c r="C475" s="3" t="s">
        <v>635</v>
      </c>
      <c r="D475" s="3" t="s">
        <v>636</v>
      </c>
      <c r="E475" s="5" t="s">
        <v>134</v>
      </c>
      <c r="F475" s="3" t="s">
        <v>637</v>
      </c>
      <c r="G475" s="3" t="s">
        <v>638</v>
      </c>
      <c r="H475" s="3" t="s">
        <v>137</v>
      </c>
      <c r="I475" s="3" t="s">
        <v>138</v>
      </c>
      <c r="J475" s="3" t="s">
        <v>30</v>
      </c>
      <c r="K475" s="3" t="s">
        <v>30</v>
      </c>
      <c r="L475" s="3" t="s">
        <v>139</v>
      </c>
      <c r="M475" s="3" t="s">
        <v>31</v>
      </c>
      <c r="N475" s="3" t="s">
        <v>199</v>
      </c>
      <c r="O475" s="3" t="s">
        <v>141</v>
      </c>
      <c r="P475" s="3" t="s">
        <v>152</v>
      </c>
      <c r="Q475" s="3" t="s">
        <v>143</v>
      </c>
      <c r="R475" s="3" t="s">
        <v>144</v>
      </c>
      <c r="S475" s="3" t="s">
        <v>34</v>
      </c>
      <c r="T475" s="153">
        <v>4.28</v>
      </c>
      <c r="U475" s="3" t="s">
        <v>402</v>
      </c>
      <c r="V475" s="164">
        <v>7.4999999999999997E-3</v>
      </c>
      <c r="W475" s="164">
        <v>3.0939999999999999E-2</v>
      </c>
      <c r="X475" s="5" t="s">
        <v>146</v>
      </c>
      <c r="Y475" s="5" t="s">
        <v>141</v>
      </c>
      <c r="Z475" s="153">
        <v>1100.44</v>
      </c>
      <c r="AA475" s="162">
        <v>1</v>
      </c>
      <c r="AB475" s="172">
        <v>104.35</v>
      </c>
      <c r="AD475" s="153">
        <v>1.1479999999999999</v>
      </c>
      <c r="AG475" s="3" t="s">
        <v>36</v>
      </c>
      <c r="AH475" s="164">
        <v>9.9999999999999995E-7</v>
      </c>
      <c r="AI475" s="164">
        <v>8.9235314534100892E-3</v>
      </c>
      <c r="AJ475" s="164">
        <v>5.9524504418634403E-4</v>
      </c>
    </row>
    <row r="476" spans="1:36">
      <c r="A476" s="3">
        <v>424</v>
      </c>
      <c r="B476" s="3">
        <v>9817</v>
      </c>
      <c r="C476" s="3" t="s">
        <v>322</v>
      </c>
      <c r="D476" s="3" t="s">
        <v>323</v>
      </c>
      <c r="E476" s="5" t="s">
        <v>134</v>
      </c>
      <c r="F476" s="3" t="s">
        <v>324</v>
      </c>
      <c r="G476" s="3" t="s">
        <v>325</v>
      </c>
      <c r="H476" s="3" t="s">
        <v>137</v>
      </c>
      <c r="I476" s="3" t="s">
        <v>138</v>
      </c>
      <c r="J476" s="3" t="s">
        <v>30</v>
      </c>
      <c r="K476" s="3" t="s">
        <v>30</v>
      </c>
      <c r="L476" s="3" t="s">
        <v>139</v>
      </c>
      <c r="M476" s="3" t="s">
        <v>31</v>
      </c>
      <c r="N476" s="3" t="s">
        <v>151</v>
      </c>
      <c r="O476" s="3" t="s">
        <v>141</v>
      </c>
      <c r="P476" s="3" t="s">
        <v>209</v>
      </c>
      <c r="Q476" s="3" t="s">
        <v>164</v>
      </c>
      <c r="R476" s="3" t="s">
        <v>144</v>
      </c>
      <c r="S476" s="3" t="s">
        <v>34</v>
      </c>
      <c r="T476" s="153">
        <v>3.2109999999999999</v>
      </c>
      <c r="U476" s="3" t="s">
        <v>326</v>
      </c>
      <c r="V476" s="164">
        <v>1.7999999999999999E-2</v>
      </c>
      <c r="W476" s="164">
        <v>3.2000000000000001E-2</v>
      </c>
      <c r="X476" s="5" t="s">
        <v>146</v>
      </c>
      <c r="Y476" s="5" t="s">
        <v>141</v>
      </c>
      <c r="Z476" s="153">
        <v>6054.89</v>
      </c>
      <c r="AA476" s="162">
        <v>1</v>
      </c>
      <c r="AB476" s="172">
        <v>113.57</v>
      </c>
      <c r="AD476" s="153">
        <v>6.8769999999999998</v>
      </c>
      <c r="AG476" s="3" t="s">
        <v>36</v>
      </c>
      <c r="AH476" s="164">
        <v>6.9999999999999999E-6</v>
      </c>
      <c r="AI476" s="164">
        <v>5.3437707764612201E-2</v>
      </c>
      <c r="AJ476" s="164">
        <v>3.5645675577697499E-3</v>
      </c>
    </row>
    <row r="477" spans="1:36">
      <c r="A477" s="3">
        <v>424</v>
      </c>
      <c r="B477" s="3">
        <v>9817</v>
      </c>
      <c r="C477" s="3" t="s">
        <v>338</v>
      </c>
      <c r="D477" s="3" t="s">
        <v>339</v>
      </c>
      <c r="E477" s="5" t="s">
        <v>134</v>
      </c>
      <c r="F477" s="3" t="s">
        <v>686</v>
      </c>
      <c r="G477" s="3" t="s">
        <v>687</v>
      </c>
      <c r="H477" s="3" t="s">
        <v>137</v>
      </c>
      <c r="I477" s="3" t="s">
        <v>156</v>
      </c>
      <c r="J477" s="3" t="s">
        <v>30</v>
      </c>
      <c r="K477" s="3" t="s">
        <v>30</v>
      </c>
      <c r="L477" s="3" t="s">
        <v>139</v>
      </c>
      <c r="M477" s="3" t="s">
        <v>31</v>
      </c>
      <c r="N477" s="3" t="s">
        <v>170</v>
      </c>
      <c r="O477" s="3" t="s">
        <v>141</v>
      </c>
      <c r="P477" s="3" t="s">
        <v>142</v>
      </c>
      <c r="Q477" s="3" t="s">
        <v>143</v>
      </c>
      <c r="R477" s="3" t="s">
        <v>144</v>
      </c>
      <c r="S477" s="3" t="s">
        <v>34</v>
      </c>
      <c r="T477" s="153">
        <v>2.19</v>
      </c>
      <c r="U477" s="3" t="s">
        <v>337</v>
      </c>
      <c r="V477" s="164">
        <v>1.7899999999999999E-2</v>
      </c>
      <c r="W477" s="164">
        <v>4.4639999999999999E-2</v>
      </c>
      <c r="X477" s="5" t="s">
        <v>146</v>
      </c>
      <c r="Y477" s="5" t="s">
        <v>141</v>
      </c>
      <c r="Z477" s="153">
        <v>6000</v>
      </c>
      <c r="AA477" s="162">
        <v>1</v>
      </c>
      <c r="AB477" s="172">
        <v>94.94</v>
      </c>
      <c r="AD477" s="153">
        <v>5.6959999999999997</v>
      </c>
      <c r="AG477" s="3" t="s">
        <v>36</v>
      </c>
      <c r="AH477" s="164">
        <v>1.7E-5</v>
      </c>
      <c r="AI477" s="164">
        <v>4.4266829201764599E-2</v>
      </c>
      <c r="AJ477" s="164">
        <v>2.9528232002952498E-3</v>
      </c>
    </row>
    <row r="478" spans="1:36">
      <c r="A478" s="3">
        <v>424</v>
      </c>
      <c r="B478" s="3">
        <v>9817</v>
      </c>
      <c r="C478" s="3" t="s">
        <v>338</v>
      </c>
      <c r="D478" s="3" t="s">
        <v>339</v>
      </c>
      <c r="E478" s="5" t="s">
        <v>134</v>
      </c>
      <c r="F478" s="3" t="s">
        <v>590</v>
      </c>
      <c r="G478" s="3" t="s">
        <v>591</v>
      </c>
      <c r="H478" s="3" t="s">
        <v>137</v>
      </c>
      <c r="I478" s="3" t="s">
        <v>156</v>
      </c>
      <c r="J478" s="3" t="s">
        <v>30</v>
      </c>
      <c r="K478" s="3" t="s">
        <v>30</v>
      </c>
      <c r="L478" s="3" t="s">
        <v>139</v>
      </c>
      <c r="M478" s="3" t="s">
        <v>31</v>
      </c>
      <c r="N478" s="3" t="s">
        <v>170</v>
      </c>
      <c r="O478" s="3" t="s">
        <v>141</v>
      </c>
      <c r="P478" s="3" t="s">
        <v>142</v>
      </c>
      <c r="Q478" s="3" t="s">
        <v>143</v>
      </c>
      <c r="R478" s="3" t="s">
        <v>144</v>
      </c>
      <c r="S478" s="3" t="s">
        <v>34</v>
      </c>
      <c r="T478" s="153">
        <v>5.6509999999999998</v>
      </c>
      <c r="U478" s="3" t="s">
        <v>592</v>
      </c>
      <c r="V478" s="164">
        <v>3.0499999999999999E-2</v>
      </c>
      <c r="W478" s="164">
        <v>4.6489999999999997E-2</v>
      </c>
      <c r="X478" s="5" t="s">
        <v>146</v>
      </c>
      <c r="Y478" s="5" t="s">
        <v>141</v>
      </c>
      <c r="Z478" s="153">
        <v>1546</v>
      </c>
      <c r="AA478" s="162">
        <v>1</v>
      </c>
      <c r="AB478" s="172">
        <v>92.49</v>
      </c>
      <c r="AD478" s="153">
        <v>1.43</v>
      </c>
      <c r="AG478" s="3" t="s">
        <v>36</v>
      </c>
      <c r="AH478" s="164">
        <v>1.9999999999999999E-6</v>
      </c>
      <c r="AI478" s="164">
        <v>1.1111743460464301E-2</v>
      </c>
      <c r="AJ478" s="164">
        <v>7.4120994156229498E-4</v>
      </c>
    </row>
    <row r="479" spans="1:36">
      <c r="A479" s="3">
        <v>424</v>
      </c>
      <c r="B479" s="3">
        <v>9817</v>
      </c>
      <c r="C479" s="3" t="s">
        <v>338</v>
      </c>
      <c r="D479" s="3" t="s">
        <v>339</v>
      </c>
      <c r="E479" s="5" t="s">
        <v>134</v>
      </c>
      <c r="F479" s="3" t="s">
        <v>593</v>
      </c>
      <c r="G479" s="3" t="s">
        <v>594</v>
      </c>
      <c r="H479" s="3" t="s">
        <v>137</v>
      </c>
      <c r="I479" s="3" t="s">
        <v>156</v>
      </c>
      <c r="J479" s="3" t="s">
        <v>30</v>
      </c>
      <c r="K479" s="3" t="s">
        <v>30</v>
      </c>
      <c r="L479" s="3" t="s">
        <v>139</v>
      </c>
      <c r="M479" s="3" t="s">
        <v>31</v>
      </c>
      <c r="N479" s="3" t="s">
        <v>170</v>
      </c>
      <c r="O479" s="3" t="s">
        <v>141</v>
      </c>
      <c r="P479" s="3" t="s">
        <v>142</v>
      </c>
      <c r="Q479" s="3" t="s">
        <v>143</v>
      </c>
      <c r="R479" s="3" t="s">
        <v>144</v>
      </c>
      <c r="S479" s="3" t="s">
        <v>34</v>
      </c>
      <c r="T479" s="153">
        <v>6.5369999999999999</v>
      </c>
      <c r="U479" s="3" t="s">
        <v>258</v>
      </c>
      <c r="V479" s="164">
        <v>2.63E-2</v>
      </c>
      <c r="W479" s="164">
        <v>4.7480000000000001E-2</v>
      </c>
      <c r="X479" s="5" t="s">
        <v>146</v>
      </c>
      <c r="Y479" s="5" t="s">
        <v>141</v>
      </c>
      <c r="Z479" s="153">
        <v>1016</v>
      </c>
      <c r="AA479" s="162">
        <v>1</v>
      </c>
      <c r="AB479" s="172">
        <v>88.14</v>
      </c>
      <c r="AD479" s="153">
        <v>0.89600000000000002</v>
      </c>
      <c r="AG479" s="3" t="s">
        <v>36</v>
      </c>
      <c r="AH479" s="164">
        <v>9.9999999999999995E-7</v>
      </c>
      <c r="AI479" s="164">
        <v>6.95896562575842E-3</v>
      </c>
      <c r="AJ479" s="164">
        <v>4.6419848722703398E-4</v>
      </c>
    </row>
    <row r="480" spans="1:36">
      <c r="A480" s="3">
        <v>424</v>
      </c>
      <c r="B480" s="3">
        <v>9817</v>
      </c>
      <c r="C480" s="3" t="s">
        <v>409</v>
      </c>
      <c r="D480" s="3" t="s">
        <v>410</v>
      </c>
      <c r="E480" s="5" t="s">
        <v>134</v>
      </c>
      <c r="F480" s="3" t="s">
        <v>411</v>
      </c>
      <c r="G480" s="3" t="s">
        <v>412</v>
      </c>
      <c r="H480" s="3" t="s">
        <v>137</v>
      </c>
      <c r="I480" s="3" t="s">
        <v>156</v>
      </c>
      <c r="J480" s="3" t="s">
        <v>30</v>
      </c>
      <c r="K480" s="3" t="s">
        <v>30</v>
      </c>
      <c r="L480" s="3" t="s">
        <v>139</v>
      </c>
      <c r="M480" s="3" t="s">
        <v>31</v>
      </c>
      <c r="N480" s="3" t="s">
        <v>186</v>
      </c>
      <c r="O480" s="3" t="s">
        <v>141</v>
      </c>
      <c r="P480" s="3" t="s">
        <v>171</v>
      </c>
      <c r="Q480" s="3" t="s">
        <v>164</v>
      </c>
      <c r="R480" s="3" t="s">
        <v>144</v>
      </c>
      <c r="S480" s="3" t="s">
        <v>34</v>
      </c>
      <c r="T480" s="153">
        <v>6.2949999999999999</v>
      </c>
      <c r="U480" s="3" t="s">
        <v>301</v>
      </c>
      <c r="V480" s="164">
        <v>5.2900000000000003E-2</v>
      </c>
      <c r="W480" s="164">
        <v>5.1069999999999997E-2</v>
      </c>
      <c r="X480" s="5" t="s">
        <v>146</v>
      </c>
      <c r="Y480" s="5" t="s">
        <v>141</v>
      </c>
      <c r="Z480" s="153">
        <v>4900</v>
      </c>
      <c r="AA480" s="162">
        <v>1</v>
      </c>
      <c r="AB480" s="172">
        <v>102.93</v>
      </c>
      <c r="AD480" s="153">
        <v>5.0439999999999996</v>
      </c>
      <c r="AG480" s="3" t="s">
        <v>36</v>
      </c>
      <c r="AH480" s="164">
        <v>9.0000000000000002E-6</v>
      </c>
      <c r="AI480" s="164">
        <v>3.9193675261067297E-2</v>
      </c>
      <c r="AJ480" s="164">
        <v>2.6144179671921102E-3</v>
      </c>
    </row>
    <row r="481" spans="1:36">
      <c r="A481" s="3">
        <v>424</v>
      </c>
      <c r="B481" s="3">
        <v>9817</v>
      </c>
      <c r="C481" s="3" t="s">
        <v>418</v>
      </c>
      <c r="D481" s="3" t="s">
        <v>419</v>
      </c>
      <c r="E481" s="5" t="s">
        <v>134</v>
      </c>
      <c r="F481" s="3" t="s">
        <v>688</v>
      </c>
      <c r="G481" s="3" t="s">
        <v>689</v>
      </c>
      <c r="H481" s="3" t="s">
        <v>137</v>
      </c>
      <c r="I481" s="3" t="s">
        <v>138</v>
      </c>
      <c r="J481" s="3" t="s">
        <v>30</v>
      </c>
      <c r="K481" s="3" t="s">
        <v>30</v>
      </c>
      <c r="L481" s="3" t="s">
        <v>139</v>
      </c>
      <c r="M481" s="3" t="s">
        <v>31</v>
      </c>
      <c r="N481" s="3" t="s">
        <v>285</v>
      </c>
      <c r="O481" s="3" t="s">
        <v>141</v>
      </c>
      <c r="P481" s="3" t="s">
        <v>286</v>
      </c>
      <c r="Q481" s="3" t="s">
        <v>143</v>
      </c>
      <c r="R481" s="3" t="s">
        <v>144</v>
      </c>
      <c r="S481" s="3" t="s">
        <v>34</v>
      </c>
      <c r="T481" s="153">
        <v>0.71199999999999997</v>
      </c>
      <c r="U481" s="3" t="s">
        <v>690</v>
      </c>
      <c r="V481" s="164">
        <v>3.8E-3</v>
      </c>
      <c r="W481" s="164">
        <v>3.2919999999999998E-2</v>
      </c>
      <c r="X481" s="5" t="s">
        <v>146</v>
      </c>
      <c r="Y481" s="5" t="s">
        <v>141</v>
      </c>
      <c r="Z481" s="153">
        <v>7012</v>
      </c>
      <c r="AA481" s="162">
        <v>1</v>
      </c>
      <c r="AB481" s="172">
        <v>114.65</v>
      </c>
      <c r="AD481" s="153">
        <v>8.0389999999999997</v>
      </c>
      <c r="AG481" s="3" t="s">
        <v>36</v>
      </c>
      <c r="AH481" s="164">
        <v>1.9999999999999999E-6</v>
      </c>
      <c r="AI481" s="164">
        <v>6.2473221823418301E-2</v>
      </c>
      <c r="AJ481" s="164">
        <v>4.1672824126745304E-3</v>
      </c>
    </row>
    <row r="482" spans="1:36">
      <c r="A482" s="3">
        <v>424</v>
      </c>
      <c r="B482" s="3">
        <v>9817</v>
      </c>
      <c r="C482" s="3" t="s">
        <v>429</v>
      </c>
      <c r="D482" s="3" t="s">
        <v>430</v>
      </c>
      <c r="E482" s="5" t="s">
        <v>134</v>
      </c>
      <c r="F482" s="3" t="s">
        <v>437</v>
      </c>
      <c r="G482" s="3" t="s">
        <v>438</v>
      </c>
      <c r="H482" s="3" t="s">
        <v>137</v>
      </c>
      <c r="I482" s="3" t="s">
        <v>138</v>
      </c>
      <c r="J482" s="3" t="s">
        <v>30</v>
      </c>
      <c r="K482" s="3" t="s">
        <v>30</v>
      </c>
      <c r="L482" s="3" t="s">
        <v>139</v>
      </c>
      <c r="M482" s="3" t="s">
        <v>31</v>
      </c>
      <c r="N482" s="3" t="s">
        <v>186</v>
      </c>
      <c r="O482" s="3" t="s">
        <v>141</v>
      </c>
      <c r="P482" s="3" t="s">
        <v>180</v>
      </c>
      <c r="Q482" s="3" t="s">
        <v>143</v>
      </c>
      <c r="R482" s="3" t="s">
        <v>144</v>
      </c>
      <c r="S482" s="3" t="s">
        <v>34</v>
      </c>
      <c r="T482" s="153">
        <v>0.54500000000000004</v>
      </c>
      <c r="U482" s="3" t="s">
        <v>439</v>
      </c>
      <c r="V482" s="164">
        <v>2.1499999999999998E-2</v>
      </c>
      <c r="W482" s="164">
        <v>5.0410000000000003E-2</v>
      </c>
      <c r="X482" s="5" t="s">
        <v>146</v>
      </c>
      <c r="Y482" s="5" t="s">
        <v>141</v>
      </c>
      <c r="Z482" s="153">
        <v>1794.36</v>
      </c>
      <c r="AA482" s="162">
        <v>1</v>
      </c>
      <c r="AB482" s="172">
        <v>120.11</v>
      </c>
      <c r="AD482" s="153">
        <v>2.1549999999999998</v>
      </c>
      <c r="AG482" s="3" t="s">
        <v>36</v>
      </c>
      <c r="AH482" s="164">
        <v>3.0000000000000001E-6</v>
      </c>
      <c r="AI482" s="164">
        <v>1.67481438919642E-2</v>
      </c>
      <c r="AJ482" s="164">
        <v>1.1171865872901499E-3</v>
      </c>
    </row>
    <row r="483" spans="1:36">
      <c r="A483" s="3">
        <v>424</v>
      </c>
      <c r="B483" s="3">
        <v>9817</v>
      </c>
      <c r="C483" s="3" t="s">
        <v>429</v>
      </c>
      <c r="D483" s="3" t="s">
        <v>430</v>
      </c>
      <c r="E483" s="5" t="s">
        <v>134</v>
      </c>
      <c r="F483" s="3" t="s">
        <v>691</v>
      </c>
      <c r="G483" s="3" t="s">
        <v>692</v>
      </c>
      <c r="H483" s="3" t="s">
        <v>137</v>
      </c>
      <c r="I483" s="3" t="s">
        <v>138</v>
      </c>
      <c r="J483" s="3" t="s">
        <v>30</v>
      </c>
      <c r="K483" s="3" t="s">
        <v>30</v>
      </c>
      <c r="L483" s="3" t="s">
        <v>139</v>
      </c>
      <c r="M483" s="3" t="s">
        <v>31</v>
      </c>
      <c r="N483" s="3" t="s">
        <v>186</v>
      </c>
      <c r="O483" s="3" t="s">
        <v>141</v>
      </c>
      <c r="P483" s="3" t="s">
        <v>180</v>
      </c>
      <c r="Q483" s="3" t="s">
        <v>143</v>
      </c>
      <c r="R483" s="3" t="s">
        <v>144</v>
      </c>
      <c r="S483" s="3" t="s">
        <v>34</v>
      </c>
      <c r="T483" s="153">
        <v>1.4490000000000001</v>
      </c>
      <c r="U483" s="3" t="s">
        <v>693</v>
      </c>
      <c r="V483" s="164">
        <v>2.35E-2</v>
      </c>
      <c r="W483" s="164">
        <v>3.0159999999999999E-2</v>
      </c>
      <c r="X483" s="5" t="s">
        <v>146</v>
      </c>
      <c r="Y483" s="5" t="s">
        <v>141</v>
      </c>
      <c r="Z483" s="153">
        <v>12683.96</v>
      </c>
      <c r="AA483" s="162">
        <v>1</v>
      </c>
      <c r="AB483" s="172">
        <v>119</v>
      </c>
      <c r="AC483" s="153">
        <v>0.36699999999999999</v>
      </c>
      <c r="AD483" s="153">
        <v>15.461</v>
      </c>
      <c r="AG483" s="3" t="s">
        <v>36</v>
      </c>
      <c r="AH483" s="164">
        <v>1.4E-5</v>
      </c>
      <c r="AI483" s="164">
        <v>0.120145635925319</v>
      </c>
      <c r="AJ483" s="164">
        <v>8.0143264736107899E-3</v>
      </c>
    </row>
    <row r="484" spans="1:36">
      <c r="A484" s="3">
        <v>424</v>
      </c>
      <c r="B484" s="3">
        <v>9817</v>
      </c>
      <c r="C484" s="3" t="s">
        <v>677</v>
      </c>
      <c r="D484" s="3" t="s">
        <v>678</v>
      </c>
      <c r="E484" s="5" t="s">
        <v>134</v>
      </c>
      <c r="F484" s="3" t="s">
        <v>679</v>
      </c>
      <c r="G484" s="3" t="s">
        <v>680</v>
      </c>
      <c r="H484" s="3" t="s">
        <v>137</v>
      </c>
      <c r="I484" s="3" t="s">
        <v>138</v>
      </c>
      <c r="J484" s="3" t="s">
        <v>30</v>
      </c>
      <c r="K484" s="3" t="s">
        <v>30</v>
      </c>
      <c r="L484" s="3" t="s">
        <v>139</v>
      </c>
      <c r="M484" s="3" t="s">
        <v>31</v>
      </c>
      <c r="N484" s="3" t="s">
        <v>186</v>
      </c>
      <c r="O484" s="3" t="s">
        <v>141</v>
      </c>
      <c r="P484" s="3" t="s">
        <v>271</v>
      </c>
      <c r="Q484" s="3" t="s">
        <v>164</v>
      </c>
      <c r="R484" s="3" t="s">
        <v>144</v>
      </c>
      <c r="S484" s="3" t="s">
        <v>34</v>
      </c>
      <c r="T484" s="153">
        <v>1.988</v>
      </c>
      <c r="U484" s="3" t="s">
        <v>337</v>
      </c>
      <c r="V484" s="164">
        <v>2.75E-2</v>
      </c>
      <c r="W484" s="164">
        <v>2.8729999999999999E-2</v>
      </c>
      <c r="X484" s="5" t="s">
        <v>146</v>
      </c>
      <c r="Y484" s="5" t="s">
        <v>141</v>
      </c>
      <c r="Z484" s="153">
        <v>4000</v>
      </c>
      <c r="AA484" s="162">
        <v>1</v>
      </c>
      <c r="AB484" s="172">
        <v>118.55</v>
      </c>
      <c r="AD484" s="153">
        <v>4.742</v>
      </c>
      <c r="AG484" s="3" t="s">
        <v>36</v>
      </c>
      <c r="AH484" s="164">
        <v>6.9999999999999999E-6</v>
      </c>
      <c r="AI484" s="164">
        <v>3.6850169242814403E-2</v>
      </c>
      <c r="AJ484" s="164">
        <v>2.4580941675093199E-3</v>
      </c>
    </row>
    <row r="485" spans="1:36">
      <c r="A485" s="3">
        <v>424</v>
      </c>
      <c r="B485" s="3">
        <v>9817</v>
      </c>
      <c r="C485" s="3" t="s">
        <v>443</v>
      </c>
      <c r="D485" s="3" t="s">
        <v>444</v>
      </c>
      <c r="E485" s="5" t="s">
        <v>134</v>
      </c>
      <c r="F485" s="3" t="s">
        <v>445</v>
      </c>
      <c r="G485" s="3" t="s">
        <v>446</v>
      </c>
      <c r="H485" s="3" t="s">
        <v>137</v>
      </c>
      <c r="I485" s="3" t="s">
        <v>156</v>
      </c>
      <c r="J485" s="3" t="s">
        <v>30</v>
      </c>
      <c r="K485" s="3" t="s">
        <v>30</v>
      </c>
      <c r="L485" s="3" t="s">
        <v>139</v>
      </c>
      <c r="M485" s="3" t="s">
        <v>31</v>
      </c>
      <c r="N485" s="3" t="s">
        <v>447</v>
      </c>
      <c r="O485" s="3" t="s">
        <v>141</v>
      </c>
      <c r="P485" s="3" t="s">
        <v>209</v>
      </c>
      <c r="Q485" s="3" t="s">
        <v>164</v>
      </c>
      <c r="R485" s="3" t="s">
        <v>144</v>
      </c>
      <c r="S485" s="3" t="s">
        <v>34</v>
      </c>
      <c r="T485" s="153">
        <v>0.96699999999999997</v>
      </c>
      <c r="U485" s="3" t="s">
        <v>448</v>
      </c>
      <c r="V485" s="164">
        <v>0.114</v>
      </c>
      <c r="W485" s="164">
        <v>1E-4</v>
      </c>
      <c r="X485" s="5" t="s">
        <v>146</v>
      </c>
      <c r="Y485" s="5" t="s">
        <v>141</v>
      </c>
      <c r="Z485" s="153">
        <v>1010.14</v>
      </c>
      <c r="AA485" s="162">
        <v>1</v>
      </c>
      <c r="AB485" s="172">
        <v>100.46</v>
      </c>
      <c r="AD485" s="153">
        <v>1.0149999999999999</v>
      </c>
      <c r="AG485" s="3" t="s">
        <v>36</v>
      </c>
      <c r="AH485" s="164">
        <v>3.9999999999999998E-6</v>
      </c>
      <c r="AI485" s="164">
        <v>7.8859256804613299E-3</v>
      </c>
      <c r="AJ485" s="164">
        <v>5.2603144894195603E-4</v>
      </c>
    </row>
    <row r="486" spans="1:36">
      <c r="A486" s="3">
        <v>424</v>
      </c>
      <c r="B486" s="3">
        <v>9817</v>
      </c>
      <c r="C486" s="3" t="s">
        <v>455</v>
      </c>
      <c r="D486" s="3" t="s">
        <v>456</v>
      </c>
      <c r="E486" s="5" t="s">
        <v>134</v>
      </c>
      <c r="F486" s="3" t="s">
        <v>457</v>
      </c>
      <c r="G486" s="3" t="s">
        <v>458</v>
      </c>
      <c r="H486" s="3" t="s">
        <v>137</v>
      </c>
      <c r="I486" s="3" t="s">
        <v>138</v>
      </c>
      <c r="J486" s="3" t="s">
        <v>30</v>
      </c>
      <c r="K486" s="3" t="s">
        <v>30</v>
      </c>
      <c r="L486" s="3" t="s">
        <v>139</v>
      </c>
      <c r="M486" s="3" t="s">
        <v>31</v>
      </c>
      <c r="N486" s="3" t="s">
        <v>162</v>
      </c>
      <c r="O486" s="3" t="s">
        <v>141</v>
      </c>
      <c r="P486" s="3" t="s">
        <v>459</v>
      </c>
      <c r="Q486" s="3" t="s">
        <v>164</v>
      </c>
      <c r="R486" s="3" t="s">
        <v>144</v>
      </c>
      <c r="S486" s="3" t="s">
        <v>34</v>
      </c>
      <c r="T486" s="153">
        <v>3.2679999999999998</v>
      </c>
      <c r="U486" s="3" t="s">
        <v>460</v>
      </c>
      <c r="V486" s="164">
        <v>2.07E-2</v>
      </c>
      <c r="W486" s="164">
        <v>4.1239999999999999E-2</v>
      </c>
      <c r="X486" s="5" t="s">
        <v>146</v>
      </c>
      <c r="Y486" s="5" t="s">
        <v>141</v>
      </c>
      <c r="Z486" s="153">
        <v>1841.06</v>
      </c>
      <c r="AA486" s="162">
        <v>1</v>
      </c>
      <c r="AB486" s="172">
        <v>109.03</v>
      </c>
      <c r="AD486" s="153">
        <v>2.0070000000000001</v>
      </c>
      <c r="AG486" s="3" t="s">
        <v>36</v>
      </c>
      <c r="AH486" s="164">
        <v>3.9999999999999998E-6</v>
      </c>
      <c r="AI486" s="164">
        <v>1.55988252068131E-2</v>
      </c>
      <c r="AJ486" s="164">
        <v>1.0405211712383501E-3</v>
      </c>
    </row>
    <row r="487" spans="1:36">
      <c r="A487" s="3">
        <v>424</v>
      </c>
      <c r="B487" s="3">
        <v>9817</v>
      </c>
      <c r="C487" s="3" t="s">
        <v>467</v>
      </c>
      <c r="D487" s="3" t="s">
        <v>468</v>
      </c>
      <c r="E487" s="5" t="s">
        <v>366</v>
      </c>
      <c r="F487" s="3" t="s">
        <v>469</v>
      </c>
      <c r="G487" s="3" t="s">
        <v>470</v>
      </c>
      <c r="H487" s="3" t="s">
        <v>137</v>
      </c>
      <c r="I487" s="3" t="s">
        <v>156</v>
      </c>
      <c r="J487" s="3" t="s">
        <v>30</v>
      </c>
      <c r="K487" s="3" t="s">
        <v>30</v>
      </c>
      <c r="L487" s="3" t="s">
        <v>139</v>
      </c>
      <c r="M487" s="3" t="s">
        <v>31</v>
      </c>
      <c r="N487" s="3" t="s">
        <v>369</v>
      </c>
      <c r="O487" s="3" t="s">
        <v>141</v>
      </c>
      <c r="P487" s="3" t="s">
        <v>471</v>
      </c>
      <c r="Q487" s="3" t="s">
        <v>143</v>
      </c>
      <c r="R487" s="3" t="s">
        <v>144</v>
      </c>
      <c r="S487" s="3" t="s">
        <v>34</v>
      </c>
      <c r="T487" s="153">
        <v>3.746</v>
      </c>
      <c r="U487" s="3" t="s">
        <v>472</v>
      </c>
      <c r="V487" s="164">
        <v>0.06</v>
      </c>
      <c r="W487" s="164">
        <v>5.5539999999999999E-2</v>
      </c>
      <c r="X487" s="5" t="s">
        <v>146</v>
      </c>
      <c r="Y487" s="5" t="s">
        <v>141</v>
      </c>
      <c r="Z487" s="153">
        <v>6910</v>
      </c>
      <c r="AA487" s="162">
        <v>1</v>
      </c>
      <c r="AB487" s="172">
        <v>103.52</v>
      </c>
      <c r="AD487" s="153">
        <v>7.1529999999999996</v>
      </c>
      <c r="AG487" s="3" t="s">
        <v>36</v>
      </c>
      <c r="AH487" s="164">
        <v>6.9999999999999999E-6</v>
      </c>
      <c r="AI487" s="164">
        <v>5.55878974764056E-2</v>
      </c>
      <c r="AJ487" s="164">
        <v>3.7079961741967602E-3</v>
      </c>
    </row>
    <row r="488" spans="1:36">
      <c r="A488" s="3">
        <v>424</v>
      </c>
      <c r="B488" s="3">
        <v>9817</v>
      </c>
      <c r="C488" s="3" t="s">
        <v>490</v>
      </c>
      <c r="D488" s="3" t="s">
        <v>491</v>
      </c>
      <c r="E488" s="5" t="s">
        <v>492</v>
      </c>
      <c r="F488" s="3" t="s">
        <v>496</v>
      </c>
      <c r="G488" s="3" t="s">
        <v>497</v>
      </c>
      <c r="H488" s="3" t="s">
        <v>137</v>
      </c>
      <c r="I488" s="3" t="s">
        <v>156</v>
      </c>
      <c r="J488" s="3" t="s">
        <v>30</v>
      </c>
      <c r="K488" s="3" t="s">
        <v>30</v>
      </c>
      <c r="L488" s="3" t="s">
        <v>139</v>
      </c>
      <c r="M488" s="3" t="s">
        <v>498</v>
      </c>
      <c r="N488" s="3" t="s">
        <v>208</v>
      </c>
      <c r="O488" s="3" t="s">
        <v>141</v>
      </c>
      <c r="P488" s="3" t="s">
        <v>142</v>
      </c>
      <c r="Q488" s="3" t="s">
        <v>143</v>
      </c>
      <c r="R488" s="3" t="s">
        <v>144</v>
      </c>
      <c r="S488" s="3" t="s">
        <v>34</v>
      </c>
      <c r="T488" s="153">
        <v>4.1349999999999998</v>
      </c>
      <c r="U488" s="3" t="s">
        <v>472</v>
      </c>
      <c r="V488" s="164">
        <v>2.9000000000000001E-2</v>
      </c>
      <c r="W488" s="164">
        <v>5.738E-2</v>
      </c>
      <c r="X488" s="5" t="s">
        <v>146</v>
      </c>
      <c r="Y488" s="5" t="s">
        <v>141</v>
      </c>
      <c r="Z488" s="153">
        <v>4900</v>
      </c>
      <c r="AA488" s="162">
        <v>1</v>
      </c>
      <c r="AB488" s="172">
        <v>102.45</v>
      </c>
      <c r="AD488" s="153">
        <v>5.0199999999999996</v>
      </c>
      <c r="AG488" s="3" t="s">
        <v>36</v>
      </c>
      <c r="AH488" s="164">
        <v>1.4E-5</v>
      </c>
      <c r="AI488" s="164">
        <v>3.9010900908348897E-2</v>
      </c>
      <c r="AJ488" s="164">
        <v>2.6022259859985598E-3</v>
      </c>
    </row>
    <row r="489" spans="1:36">
      <c r="A489" s="3">
        <v>424</v>
      </c>
      <c r="B489" s="3">
        <v>9817</v>
      </c>
      <c r="C489" s="3" t="s">
        <v>506</v>
      </c>
      <c r="D489" s="3" t="s">
        <v>507</v>
      </c>
      <c r="E489" s="5" t="s">
        <v>134</v>
      </c>
      <c r="F489" s="3" t="s">
        <v>516</v>
      </c>
      <c r="G489" s="3" t="s">
        <v>517</v>
      </c>
      <c r="H489" s="3" t="s">
        <v>137</v>
      </c>
      <c r="I489" s="3" t="s">
        <v>138</v>
      </c>
      <c r="J489" s="3" t="s">
        <v>30</v>
      </c>
      <c r="K489" s="3" t="s">
        <v>30</v>
      </c>
      <c r="L489" s="3" t="s">
        <v>139</v>
      </c>
      <c r="M489" s="3" t="s">
        <v>31</v>
      </c>
      <c r="N489" s="3" t="s">
        <v>186</v>
      </c>
      <c r="O489" s="3" t="s">
        <v>141</v>
      </c>
      <c r="P489" s="3" t="s">
        <v>514</v>
      </c>
      <c r="Q489" s="3" t="s">
        <v>143</v>
      </c>
      <c r="R489" s="3" t="s">
        <v>144</v>
      </c>
      <c r="S489" s="3" t="s">
        <v>34</v>
      </c>
      <c r="T489" s="153">
        <v>9.6180000000000003</v>
      </c>
      <c r="U489" s="3" t="s">
        <v>518</v>
      </c>
      <c r="V489" s="164">
        <v>1.6899999999999998E-2</v>
      </c>
      <c r="W489" s="164">
        <v>2.9430000000000001E-2</v>
      </c>
      <c r="X489" s="5" t="s">
        <v>146</v>
      </c>
      <c r="Y489" s="5" t="s">
        <v>141</v>
      </c>
      <c r="Z489" s="153">
        <v>2131</v>
      </c>
      <c r="AA489" s="162">
        <v>1</v>
      </c>
      <c r="AB489" s="172">
        <v>104.3</v>
      </c>
      <c r="AD489" s="153">
        <v>2.2229999999999999</v>
      </c>
      <c r="AG489" s="3" t="s">
        <v>36</v>
      </c>
      <c r="AH489" s="164">
        <v>0</v>
      </c>
      <c r="AI489" s="164">
        <v>1.72721219347668E-2</v>
      </c>
      <c r="AJ489" s="164">
        <v>1.15213859422474E-3</v>
      </c>
    </row>
    <row r="490" spans="1:36">
      <c r="A490" s="3">
        <v>424</v>
      </c>
      <c r="B490" s="3">
        <v>9817</v>
      </c>
      <c r="C490" s="3" t="s">
        <v>522</v>
      </c>
      <c r="D490" s="3" t="s">
        <v>523</v>
      </c>
      <c r="E490" s="5" t="s">
        <v>134</v>
      </c>
      <c r="F490" s="3" t="s">
        <v>694</v>
      </c>
      <c r="G490" s="3" t="s">
        <v>695</v>
      </c>
      <c r="H490" s="3" t="s">
        <v>137</v>
      </c>
      <c r="I490" s="3" t="s">
        <v>138</v>
      </c>
      <c r="J490" s="3" t="s">
        <v>30</v>
      </c>
      <c r="K490" s="3" t="s">
        <v>30</v>
      </c>
      <c r="L490" s="3" t="s">
        <v>139</v>
      </c>
      <c r="M490" s="3" t="s">
        <v>31</v>
      </c>
      <c r="N490" s="3" t="s">
        <v>285</v>
      </c>
      <c r="O490" s="3" t="s">
        <v>141</v>
      </c>
      <c r="P490" s="3" t="s">
        <v>286</v>
      </c>
      <c r="Q490" s="3" t="s">
        <v>143</v>
      </c>
      <c r="R490" s="3" t="s">
        <v>144</v>
      </c>
      <c r="S490" s="3" t="s">
        <v>34</v>
      </c>
      <c r="T490" s="153">
        <v>2.5369999999999999</v>
      </c>
      <c r="U490" s="3" t="s">
        <v>696</v>
      </c>
      <c r="V490" s="164">
        <v>1.7500000000000002E-2</v>
      </c>
      <c r="W490" s="164">
        <v>2.5860000000000001E-2</v>
      </c>
      <c r="X490" s="5" t="s">
        <v>146</v>
      </c>
      <c r="Y490" s="5" t="s">
        <v>141</v>
      </c>
      <c r="Z490" s="153">
        <v>3868.11</v>
      </c>
      <c r="AA490" s="162">
        <v>1</v>
      </c>
      <c r="AB490" s="172">
        <v>117.2</v>
      </c>
      <c r="AD490" s="153">
        <v>4.5330000000000004</v>
      </c>
      <c r="AG490" s="3" t="s">
        <v>36</v>
      </c>
      <c r="AH490" s="164">
        <v>1.9999999999999999E-6</v>
      </c>
      <c r="AI490" s="164">
        <v>3.5229328458792099E-2</v>
      </c>
      <c r="AJ490" s="164">
        <v>2.3499758234275399E-3</v>
      </c>
    </row>
    <row r="491" spans="1:36">
      <c r="A491" s="3">
        <v>424</v>
      </c>
      <c r="B491" s="3">
        <v>9817</v>
      </c>
      <c r="C491" s="3" t="s">
        <v>644</v>
      </c>
      <c r="D491" s="3" t="s">
        <v>645</v>
      </c>
      <c r="E491" s="5" t="s">
        <v>134</v>
      </c>
      <c r="F491" s="3" t="s">
        <v>646</v>
      </c>
      <c r="G491" s="3" t="s">
        <v>647</v>
      </c>
      <c r="H491" s="3" t="s">
        <v>137</v>
      </c>
      <c r="I491" s="3" t="s">
        <v>156</v>
      </c>
      <c r="J491" s="3" t="s">
        <v>30</v>
      </c>
      <c r="K491" s="3" t="s">
        <v>30</v>
      </c>
      <c r="L491" s="3" t="s">
        <v>139</v>
      </c>
      <c r="M491" s="3" t="s">
        <v>31</v>
      </c>
      <c r="N491" s="3" t="s">
        <v>612</v>
      </c>
      <c r="O491" s="3" t="s">
        <v>141</v>
      </c>
      <c r="P491" s="3" t="s">
        <v>142</v>
      </c>
      <c r="Q491" s="3" t="s">
        <v>143</v>
      </c>
      <c r="R491" s="3" t="s">
        <v>144</v>
      </c>
      <c r="S491" s="3" t="s">
        <v>34</v>
      </c>
      <c r="T491" s="153">
        <v>1.357</v>
      </c>
      <c r="U491" s="3" t="s">
        <v>648</v>
      </c>
      <c r="V491" s="164">
        <v>0.04</v>
      </c>
      <c r="W491" s="164">
        <v>4.7350000000000003E-2</v>
      </c>
      <c r="X491" s="5" t="s">
        <v>146</v>
      </c>
      <c r="Y491" s="5" t="s">
        <v>141</v>
      </c>
      <c r="Z491" s="153">
        <v>1500</v>
      </c>
      <c r="AA491" s="162">
        <v>1</v>
      </c>
      <c r="AB491" s="172">
        <v>100.15</v>
      </c>
      <c r="AD491" s="153">
        <v>1.502</v>
      </c>
      <c r="AG491" s="3" t="s">
        <v>36</v>
      </c>
      <c r="AH491" s="164">
        <v>3.0000000000000001E-6</v>
      </c>
      <c r="AI491" s="164">
        <v>1.16740123882366E-2</v>
      </c>
      <c r="AJ491" s="164">
        <v>7.7871614574881399E-4</v>
      </c>
    </row>
    <row r="492" spans="1:36">
      <c r="A492" s="3">
        <v>424</v>
      </c>
      <c r="B492" s="3">
        <v>9817</v>
      </c>
      <c r="C492" s="3" t="s">
        <v>546</v>
      </c>
      <c r="D492" s="3" t="s">
        <v>547</v>
      </c>
      <c r="E492" s="5" t="s">
        <v>134</v>
      </c>
      <c r="F492" s="3" t="s">
        <v>548</v>
      </c>
      <c r="G492" s="3" t="s">
        <v>549</v>
      </c>
      <c r="H492" s="3" t="s">
        <v>137</v>
      </c>
      <c r="I492" s="3" t="s">
        <v>138</v>
      </c>
      <c r="J492" s="3" t="s">
        <v>30</v>
      </c>
      <c r="K492" s="3" t="s">
        <v>30</v>
      </c>
      <c r="L492" s="3" t="s">
        <v>139</v>
      </c>
      <c r="M492" s="3" t="s">
        <v>31</v>
      </c>
      <c r="N492" s="3" t="s">
        <v>199</v>
      </c>
      <c r="O492" s="3" t="s">
        <v>141</v>
      </c>
      <c r="P492" s="3" t="s">
        <v>481</v>
      </c>
      <c r="Q492" s="3" t="s">
        <v>481</v>
      </c>
      <c r="R492" s="3" t="s">
        <v>481</v>
      </c>
      <c r="S492" s="3" t="s">
        <v>34</v>
      </c>
      <c r="T492" s="153">
        <v>6.4660000000000002</v>
      </c>
      <c r="U492" s="3" t="s">
        <v>550</v>
      </c>
      <c r="V492" s="164">
        <v>4.1000000000000002E-2</v>
      </c>
      <c r="W492" s="164">
        <v>3.7850000000000002E-2</v>
      </c>
      <c r="X492" s="5" t="s">
        <v>146</v>
      </c>
      <c r="Y492" s="5" t="s">
        <v>141</v>
      </c>
      <c r="Z492" s="153">
        <v>5000</v>
      </c>
      <c r="AA492" s="162">
        <v>1</v>
      </c>
      <c r="AB492" s="172">
        <v>104.73</v>
      </c>
      <c r="AD492" s="153">
        <v>5.2370000000000001</v>
      </c>
      <c r="AG492" s="3" t="s">
        <v>36</v>
      </c>
      <c r="AH492" s="164">
        <v>1.8E-5</v>
      </c>
      <c r="AI492" s="164">
        <v>4.0692937840573103E-2</v>
      </c>
      <c r="AJ492" s="164">
        <v>2.7144264251713502E-3</v>
      </c>
    </row>
    <row r="493" spans="1:36">
      <c r="A493" s="3">
        <v>424</v>
      </c>
      <c r="B493" s="3">
        <v>9817</v>
      </c>
      <c r="C493" s="3" t="s">
        <v>697</v>
      </c>
      <c r="D493" s="3" t="s">
        <v>698</v>
      </c>
      <c r="E493" s="5" t="s">
        <v>134</v>
      </c>
      <c r="F493" s="3" t="s">
        <v>699</v>
      </c>
      <c r="G493" s="3" t="s">
        <v>700</v>
      </c>
      <c r="H493" s="3" t="s">
        <v>137</v>
      </c>
      <c r="I493" s="3" t="s">
        <v>138</v>
      </c>
      <c r="J493" s="3" t="s">
        <v>30</v>
      </c>
      <c r="K493" s="3" t="s">
        <v>30</v>
      </c>
      <c r="L493" s="3" t="s">
        <v>139</v>
      </c>
      <c r="M493" s="3" t="s">
        <v>31</v>
      </c>
      <c r="N493" s="3" t="s">
        <v>199</v>
      </c>
      <c r="O493" s="3" t="s">
        <v>141</v>
      </c>
      <c r="P493" s="3" t="s">
        <v>152</v>
      </c>
      <c r="Q493" s="3" t="s">
        <v>143</v>
      </c>
      <c r="R493" s="3" t="s">
        <v>144</v>
      </c>
      <c r="S493" s="3" t="s">
        <v>34</v>
      </c>
      <c r="T493" s="153">
        <v>3.4039999999999999</v>
      </c>
      <c r="U493" s="3" t="s">
        <v>592</v>
      </c>
      <c r="V493" s="164">
        <v>7.4999999999999997E-3</v>
      </c>
      <c r="W493" s="164">
        <v>3.083E-2</v>
      </c>
      <c r="X493" s="5" t="s">
        <v>146</v>
      </c>
      <c r="Y493" s="5" t="s">
        <v>141</v>
      </c>
      <c r="Z493" s="153">
        <v>858.38</v>
      </c>
      <c r="AA493" s="162">
        <v>1</v>
      </c>
      <c r="AB493" s="172">
        <v>107.17</v>
      </c>
      <c r="AD493" s="153">
        <v>0.92</v>
      </c>
      <c r="AG493" s="3" t="s">
        <v>36</v>
      </c>
      <c r="AH493" s="164">
        <v>9.9999999999999995E-7</v>
      </c>
      <c r="AI493" s="164">
        <v>7.1487606739643996E-3</v>
      </c>
      <c r="AJ493" s="164">
        <v>4.7685878460431802E-4</v>
      </c>
    </row>
    <row r="494" spans="1:36">
      <c r="A494" s="3">
        <v>969</v>
      </c>
      <c r="B494" s="3">
        <v>969</v>
      </c>
      <c r="C494" s="3" t="s">
        <v>132</v>
      </c>
      <c r="D494" s="3" t="s">
        <v>133</v>
      </c>
      <c r="E494" s="5" t="s">
        <v>134</v>
      </c>
      <c r="F494" s="3" t="s">
        <v>135</v>
      </c>
      <c r="G494" s="3" t="s">
        <v>136</v>
      </c>
      <c r="H494" s="3" t="s">
        <v>137</v>
      </c>
      <c r="I494" s="3" t="s">
        <v>138</v>
      </c>
      <c r="J494" s="3" t="s">
        <v>30</v>
      </c>
      <c r="K494" s="3" t="s">
        <v>30</v>
      </c>
      <c r="L494" s="3" t="s">
        <v>139</v>
      </c>
      <c r="M494" s="3" t="s">
        <v>31</v>
      </c>
      <c r="N494" s="3" t="s">
        <v>140</v>
      </c>
      <c r="O494" s="3" t="s">
        <v>141</v>
      </c>
      <c r="P494" s="3" t="s">
        <v>142</v>
      </c>
      <c r="Q494" s="3" t="s">
        <v>143</v>
      </c>
      <c r="R494" s="3" t="s">
        <v>144</v>
      </c>
      <c r="S494" s="3" t="s">
        <v>34</v>
      </c>
      <c r="T494" s="153">
        <v>4.7809999999999997</v>
      </c>
      <c r="U494" s="3" t="s">
        <v>145</v>
      </c>
      <c r="V494" s="164">
        <v>5.1499999999999997E-2</v>
      </c>
      <c r="W494" s="164">
        <v>4.1050000000000003E-2</v>
      </c>
      <c r="X494" s="5" t="s">
        <v>146</v>
      </c>
      <c r="Y494" s="5" t="s">
        <v>141</v>
      </c>
      <c r="Z494" s="153">
        <v>0.14000000000000001</v>
      </c>
      <c r="AA494" s="162">
        <v>1</v>
      </c>
      <c r="AB494" s="172">
        <v>153.07</v>
      </c>
      <c r="AD494" s="153">
        <v>0</v>
      </c>
      <c r="AG494" s="3" t="s">
        <v>36</v>
      </c>
      <c r="AH494" s="164">
        <v>0</v>
      </c>
      <c r="AI494" s="164">
        <v>2.2495725192496598E-8</v>
      </c>
      <c r="AJ494" s="164">
        <v>2.8231090164034104E-9</v>
      </c>
    </row>
    <row r="495" spans="1:36">
      <c r="A495" s="3">
        <v>969</v>
      </c>
      <c r="B495" s="3">
        <v>969</v>
      </c>
      <c r="C495" s="3" t="s">
        <v>147</v>
      </c>
      <c r="D495" s="3" t="s">
        <v>148</v>
      </c>
      <c r="E495" s="5" t="s">
        <v>134</v>
      </c>
      <c r="F495" s="3" t="s">
        <v>149</v>
      </c>
      <c r="G495" s="3" t="s">
        <v>150</v>
      </c>
      <c r="H495" s="3" t="s">
        <v>137</v>
      </c>
      <c r="I495" s="3" t="s">
        <v>138</v>
      </c>
      <c r="J495" s="3" t="s">
        <v>30</v>
      </c>
      <c r="K495" s="3" t="s">
        <v>30</v>
      </c>
      <c r="L495" s="3" t="s">
        <v>139</v>
      </c>
      <c r="M495" s="3" t="s">
        <v>31</v>
      </c>
      <c r="N495" s="3" t="s">
        <v>151</v>
      </c>
      <c r="O495" s="3" t="s">
        <v>141</v>
      </c>
      <c r="P495" s="3" t="s">
        <v>152</v>
      </c>
      <c r="Q495" s="3" t="s">
        <v>143</v>
      </c>
      <c r="R495" s="3" t="s">
        <v>144</v>
      </c>
      <c r="S495" s="3" t="s">
        <v>34</v>
      </c>
      <c r="T495" s="153">
        <v>2.3959999999999999</v>
      </c>
      <c r="U495" s="3" t="s">
        <v>153</v>
      </c>
      <c r="V495" s="164">
        <v>2.75E-2</v>
      </c>
      <c r="W495" s="164">
        <v>3.0259999999999999E-2</v>
      </c>
      <c r="X495" s="5" t="s">
        <v>146</v>
      </c>
      <c r="Y495" s="5" t="s">
        <v>141</v>
      </c>
      <c r="Z495" s="153">
        <v>29981.73</v>
      </c>
      <c r="AA495" s="162">
        <v>1</v>
      </c>
      <c r="AB495" s="172">
        <v>117.38</v>
      </c>
      <c r="AD495" s="153">
        <v>35.192999999999998</v>
      </c>
      <c r="AG495" s="3" t="s">
        <v>36</v>
      </c>
      <c r="AH495" s="164">
        <v>4.0000000000000003E-5</v>
      </c>
      <c r="AI495" s="164">
        <v>3.6943043741342199E-3</v>
      </c>
      <c r="AJ495" s="164">
        <v>4.6361803848117799E-4</v>
      </c>
    </row>
    <row r="496" spans="1:36">
      <c r="A496" s="3">
        <v>969</v>
      </c>
      <c r="B496" s="3">
        <v>969</v>
      </c>
      <c r="C496" s="3" t="s">
        <v>147</v>
      </c>
      <c r="D496" s="3" t="s">
        <v>148</v>
      </c>
      <c r="E496" s="5" t="s">
        <v>134</v>
      </c>
      <c r="F496" s="3" t="s">
        <v>154</v>
      </c>
      <c r="G496" s="3" t="s">
        <v>155</v>
      </c>
      <c r="H496" s="3" t="s">
        <v>137</v>
      </c>
      <c r="I496" s="3" t="s">
        <v>156</v>
      </c>
      <c r="J496" s="3" t="s">
        <v>30</v>
      </c>
      <c r="K496" s="3" t="s">
        <v>30</v>
      </c>
      <c r="L496" s="3" t="s">
        <v>139</v>
      </c>
      <c r="M496" s="3" t="s">
        <v>31</v>
      </c>
      <c r="N496" s="3" t="s">
        <v>151</v>
      </c>
      <c r="O496" s="3" t="s">
        <v>141</v>
      </c>
      <c r="P496" s="3" t="s">
        <v>152</v>
      </c>
      <c r="Q496" s="3" t="s">
        <v>143</v>
      </c>
      <c r="R496" s="3" t="s">
        <v>144</v>
      </c>
      <c r="S496" s="3" t="s">
        <v>34</v>
      </c>
      <c r="T496" s="153">
        <v>2.7879999999999998</v>
      </c>
      <c r="U496" s="3" t="s">
        <v>157</v>
      </c>
      <c r="V496" s="164">
        <v>2.5000000000000001E-2</v>
      </c>
      <c r="W496" s="164">
        <v>4.9959999999999997E-2</v>
      </c>
      <c r="X496" s="5" t="s">
        <v>146</v>
      </c>
      <c r="Y496" s="5" t="s">
        <v>141</v>
      </c>
      <c r="Z496" s="153">
        <v>77043.72</v>
      </c>
      <c r="AA496" s="162">
        <v>1</v>
      </c>
      <c r="AB496" s="172">
        <v>93.71</v>
      </c>
      <c r="AD496" s="153">
        <v>72.197999999999993</v>
      </c>
      <c r="AG496" s="3" t="s">
        <v>36</v>
      </c>
      <c r="AH496" s="164">
        <v>1.16E-4</v>
      </c>
      <c r="AI496" s="164">
        <v>7.5788805501148197E-3</v>
      </c>
      <c r="AJ496" s="164">
        <v>9.5111430425946796E-4</v>
      </c>
    </row>
    <row r="497" spans="1:36">
      <c r="A497" s="3">
        <v>969</v>
      </c>
      <c r="B497" s="3">
        <v>969</v>
      </c>
      <c r="C497" s="3" t="s">
        <v>158</v>
      </c>
      <c r="D497" s="3" t="s">
        <v>159</v>
      </c>
      <c r="E497" s="5" t="s">
        <v>134</v>
      </c>
      <c r="F497" s="3" t="s">
        <v>160</v>
      </c>
      <c r="G497" s="3" t="s">
        <v>161</v>
      </c>
      <c r="H497" s="3" t="s">
        <v>137</v>
      </c>
      <c r="I497" s="3" t="s">
        <v>156</v>
      </c>
      <c r="J497" s="3" t="s">
        <v>30</v>
      </c>
      <c r="K497" s="3" t="s">
        <v>30</v>
      </c>
      <c r="L497" s="3" t="s">
        <v>139</v>
      </c>
      <c r="M497" s="3" t="s">
        <v>31</v>
      </c>
      <c r="N497" s="3" t="s">
        <v>162</v>
      </c>
      <c r="O497" s="3" t="s">
        <v>141</v>
      </c>
      <c r="P497" s="3" t="s">
        <v>163</v>
      </c>
      <c r="Q497" s="3" t="s">
        <v>164</v>
      </c>
      <c r="R497" s="3" t="s">
        <v>144</v>
      </c>
      <c r="S497" s="3" t="s">
        <v>34</v>
      </c>
      <c r="T497" s="153">
        <v>1.6819999999999999</v>
      </c>
      <c r="U497" s="3" t="s">
        <v>165</v>
      </c>
      <c r="V497" s="164">
        <v>2.5499999999999998E-2</v>
      </c>
      <c r="W497" s="164">
        <v>5.1679999999999997E-2</v>
      </c>
      <c r="X497" s="5" t="s">
        <v>146</v>
      </c>
      <c r="Y497" s="5" t="s">
        <v>141</v>
      </c>
      <c r="Z497" s="153">
        <v>65005.45</v>
      </c>
      <c r="AA497" s="162">
        <v>1</v>
      </c>
      <c r="AB497" s="172">
        <v>96.49</v>
      </c>
      <c r="AD497" s="153">
        <v>62.723999999999997</v>
      </c>
      <c r="AG497" s="3" t="s">
        <v>36</v>
      </c>
      <c r="AH497" s="164">
        <v>9.8999999999999994E-5</v>
      </c>
      <c r="AI497" s="164">
        <v>6.5843658777410196E-3</v>
      </c>
      <c r="AJ497" s="164">
        <v>8.2630733251265801E-4</v>
      </c>
    </row>
    <row r="498" spans="1:36">
      <c r="A498" s="3">
        <v>969</v>
      </c>
      <c r="B498" s="3">
        <v>969</v>
      </c>
      <c r="C498" s="3" t="s">
        <v>166</v>
      </c>
      <c r="D498" s="3" t="s">
        <v>167</v>
      </c>
      <c r="E498" s="5" t="s">
        <v>134</v>
      </c>
      <c r="F498" s="3" t="s">
        <v>168</v>
      </c>
      <c r="G498" s="3" t="s">
        <v>169</v>
      </c>
      <c r="H498" s="3" t="s">
        <v>137</v>
      </c>
      <c r="I498" s="3" t="s">
        <v>156</v>
      </c>
      <c r="J498" s="3" t="s">
        <v>30</v>
      </c>
      <c r="K498" s="3" t="s">
        <v>30</v>
      </c>
      <c r="L498" s="3" t="s">
        <v>139</v>
      </c>
      <c r="M498" s="3" t="s">
        <v>31</v>
      </c>
      <c r="N498" s="3" t="s">
        <v>170</v>
      </c>
      <c r="O498" s="3" t="s">
        <v>141</v>
      </c>
      <c r="P498" s="3" t="s">
        <v>171</v>
      </c>
      <c r="Q498" s="3" t="s">
        <v>164</v>
      </c>
      <c r="R498" s="3" t="s">
        <v>144</v>
      </c>
      <c r="S498" s="3" t="s">
        <v>34</v>
      </c>
      <c r="T498" s="153">
        <v>5.9370000000000003</v>
      </c>
      <c r="U498" s="3" t="s">
        <v>172</v>
      </c>
      <c r="V498" s="164">
        <v>5.1299999999999998E-2</v>
      </c>
      <c r="W498" s="164">
        <v>5.1470000000000002E-2</v>
      </c>
      <c r="X498" s="5" t="s">
        <v>146</v>
      </c>
      <c r="Y498" s="5" t="s">
        <v>141</v>
      </c>
      <c r="Z498" s="153">
        <v>105000</v>
      </c>
      <c r="AA498" s="162">
        <v>1</v>
      </c>
      <c r="AB498" s="172">
        <v>100.43</v>
      </c>
      <c r="AD498" s="153">
        <v>105.45099999999999</v>
      </c>
      <c r="AG498" s="3" t="s">
        <v>36</v>
      </c>
      <c r="AH498" s="164">
        <v>3.0800000000000001E-4</v>
      </c>
      <c r="AI498" s="164">
        <v>1.10696691762712E-2</v>
      </c>
      <c r="AJ498" s="164">
        <v>1.3891920617237E-3</v>
      </c>
    </row>
    <row r="499" spans="1:36">
      <c r="A499" s="3">
        <v>969</v>
      </c>
      <c r="B499" s="3">
        <v>969</v>
      </c>
      <c r="C499" s="3" t="s">
        <v>166</v>
      </c>
      <c r="D499" s="3" t="s">
        <v>167</v>
      </c>
      <c r="E499" s="5" t="s">
        <v>134</v>
      </c>
      <c r="F499" s="3" t="s">
        <v>173</v>
      </c>
      <c r="G499" s="3" t="s">
        <v>174</v>
      </c>
      <c r="H499" s="3" t="s">
        <v>137</v>
      </c>
      <c r="I499" s="3" t="s">
        <v>156</v>
      </c>
      <c r="J499" s="3" t="s">
        <v>30</v>
      </c>
      <c r="K499" s="3" t="s">
        <v>30</v>
      </c>
      <c r="L499" s="3" t="s">
        <v>139</v>
      </c>
      <c r="M499" s="3" t="s">
        <v>31</v>
      </c>
      <c r="N499" s="3" t="s">
        <v>170</v>
      </c>
      <c r="O499" s="3" t="s">
        <v>141</v>
      </c>
      <c r="P499" s="3" t="s">
        <v>171</v>
      </c>
      <c r="Q499" s="3" t="s">
        <v>164</v>
      </c>
      <c r="R499" s="3" t="s">
        <v>144</v>
      </c>
      <c r="S499" s="3" t="s">
        <v>34</v>
      </c>
      <c r="T499" s="153">
        <v>3.0779999999999998</v>
      </c>
      <c r="U499" s="3" t="s">
        <v>175</v>
      </c>
      <c r="V499" s="164">
        <v>2.18E-2</v>
      </c>
      <c r="W499" s="164">
        <v>4.58E-2</v>
      </c>
      <c r="X499" s="5" t="s">
        <v>146</v>
      </c>
      <c r="Y499" s="5" t="s">
        <v>141</v>
      </c>
      <c r="Z499" s="153">
        <v>281740</v>
      </c>
      <c r="AA499" s="162">
        <v>1</v>
      </c>
      <c r="AB499" s="172">
        <v>93.75</v>
      </c>
      <c r="AD499" s="153">
        <v>264.13099999999997</v>
      </c>
      <c r="AG499" s="3" t="s">
        <v>36</v>
      </c>
      <c r="AH499" s="164">
        <v>1.714E-3</v>
      </c>
      <c r="AI499" s="164">
        <v>2.7726922391952399E-2</v>
      </c>
      <c r="AJ499" s="164">
        <v>3.47959996541687E-3</v>
      </c>
    </row>
    <row r="500" spans="1:36">
      <c r="A500" s="3">
        <v>969</v>
      </c>
      <c r="B500" s="3">
        <v>969</v>
      </c>
      <c r="C500" s="3" t="s">
        <v>176</v>
      </c>
      <c r="D500" s="3" t="s">
        <v>177</v>
      </c>
      <c r="E500" s="5" t="s">
        <v>134</v>
      </c>
      <c r="F500" s="3" t="s">
        <v>178</v>
      </c>
      <c r="G500" s="3" t="s">
        <v>179</v>
      </c>
      <c r="H500" s="3" t="s">
        <v>137</v>
      </c>
      <c r="I500" s="3" t="s">
        <v>156</v>
      </c>
      <c r="J500" s="3" t="s">
        <v>30</v>
      </c>
      <c r="K500" s="3" t="s">
        <v>30</v>
      </c>
      <c r="L500" s="3" t="s">
        <v>139</v>
      </c>
      <c r="M500" s="3" t="s">
        <v>31</v>
      </c>
      <c r="N500" s="3" t="s">
        <v>140</v>
      </c>
      <c r="O500" s="3" t="s">
        <v>141</v>
      </c>
      <c r="P500" s="3" t="s">
        <v>180</v>
      </c>
      <c r="Q500" s="3" t="s">
        <v>143</v>
      </c>
      <c r="R500" s="3" t="s">
        <v>144</v>
      </c>
      <c r="S500" s="3" t="s">
        <v>34</v>
      </c>
      <c r="T500" s="153">
        <v>7.07</v>
      </c>
      <c r="U500" s="3" t="s">
        <v>181</v>
      </c>
      <c r="V500" s="164">
        <v>2.4E-2</v>
      </c>
      <c r="W500" s="164">
        <v>4.6629999999999998E-2</v>
      </c>
      <c r="X500" s="5" t="s">
        <v>146</v>
      </c>
      <c r="Y500" s="5" t="s">
        <v>141</v>
      </c>
      <c r="Z500" s="153">
        <v>100000</v>
      </c>
      <c r="AA500" s="162">
        <v>1</v>
      </c>
      <c r="AB500" s="172">
        <v>86.13</v>
      </c>
      <c r="AD500" s="153">
        <v>86.13</v>
      </c>
      <c r="AG500" s="3" t="s">
        <v>36</v>
      </c>
      <c r="AH500" s="164">
        <v>6.3999999999999997E-5</v>
      </c>
      <c r="AI500" s="164">
        <v>9.0414134095032697E-3</v>
      </c>
      <c r="AJ500" s="164">
        <v>1.1346553844778101E-3</v>
      </c>
    </row>
    <row r="501" spans="1:36">
      <c r="A501" s="3">
        <v>969</v>
      </c>
      <c r="B501" s="3">
        <v>969</v>
      </c>
      <c r="C501" s="3" t="s">
        <v>182</v>
      </c>
      <c r="D501" s="3" t="s">
        <v>183</v>
      </c>
      <c r="E501" s="5" t="s">
        <v>134</v>
      </c>
      <c r="F501" s="3" t="s">
        <v>184</v>
      </c>
      <c r="G501" s="3" t="s">
        <v>185</v>
      </c>
      <c r="H501" s="3" t="s">
        <v>137</v>
      </c>
      <c r="I501" s="3" t="s">
        <v>138</v>
      </c>
      <c r="J501" s="3" t="s">
        <v>30</v>
      </c>
      <c r="K501" s="3" t="s">
        <v>30</v>
      </c>
      <c r="L501" s="3" t="s">
        <v>139</v>
      </c>
      <c r="M501" s="3" t="s">
        <v>31</v>
      </c>
      <c r="N501" s="3" t="s">
        <v>186</v>
      </c>
      <c r="O501" s="3" t="s">
        <v>141</v>
      </c>
      <c r="P501" s="3" t="s">
        <v>180</v>
      </c>
      <c r="Q501" s="3" t="s">
        <v>143</v>
      </c>
      <c r="R501" s="3" t="s">
        <v>144</v>
      </c>
      <c r="S501" s="3" t="s">
        <v>34</v>
      </c>
      <c r="T501" s="153">
        <v>1.7490000000000001</v>
      </c>
      <c r="U501" s="3" t="s">
        <v>117</v>
      </c>
      <c r="V501" s="164">
        <v>2.3400000000000001E-2</v>
      </c>
      <c r="W501" s="164">
        <v>2.9860000000000001E-2</v>
      </c>
      <c r="X501" s="5" t="s">
        <v>146</v>
      </c>
      <c r="Y501" s="5" t="s">
        <v>141</v>
      </c>
      <c r="Z501" s="153">
        <v>51000.02</v>
      </c>
      <c r="AA501" s="162">
        <v>1</v>
      </c>
      <c r="AB501" s="172">
        <v>118.73</v>
      </c>
      <c r="AD501" s="153">
        <v>60.552</v>
      </c>
      <c r="AG501" s="3" t="s">
        <v>36</v>
      </c>
      <c r="AH501" s="164">
        <v>3.1000000000000001E-5</v>
      </c>
      <c r="AI501" s="164">
        <v>6.3564215940284203E-3</v>
      </c>
      <c r="AJ501" s="164">
        <v>7.9770138373438395E-4</v>
      </c>
    </row>
    <row r="502" spans="1:36">
      <c r="A502" s="3">
        <v>969</v>
      </c>
      <c r="B502" s="3">
        <v>969</v>
      </c>
      <c r="C502" s="3" t="s">
        <v>187</v>
      </c>
      <c r="D502" s="3" t="s">
        <v>188</v>
      </c>
      <c r="E502" s="5" t="s">
        <v>134</v>
      </c>
      <c r="F502" s="3" t="s">
        <v>189</v>
      </c>
      <c r="G502" s="3" t="s">
        <v>190</v>
      </c>
      <c r="H502" s="3" t="s">
        <v>137</v>
      </c>
      <c r="I502" s="3" t="s">
        <v>156</v>
      </c>
      <c r="J502" s="3" t="s">
        <v>30</v>
      </c>
      <c r="K502" s="3" t="s">
        <v>30</v>
      </c>
      <c r="L502" s="3" t="s">
        <v>139</v>
      </c>
      <c r="M502" s="3" t="s">
        <v>31</v>
      </c>
      <c r="N502" s="3" t="s">
        <v>186</v>
      </c>
      <c r="O502" s="3" t="s">
        <v>141</v>
      </c>
      <c r="P502" s="3" t="s">
        <v>142</v>
      </c>
      <c r="Q502" s="3" t="s">
        <v>143</v>
      </c>
      <c r="R502" s="3" t="s">
        <v>144</v>
      </c>
      <c r="S502" s="3" t="s">
        <v>34</v>
      </c>
      <c r="T502" s="153">
        <v>3.4430000000000001</v>
      </c>
      <c r="U502" s="3" t="s">
        <v>191</v>
      </c>
      <c r="V502" s="164">
        <v>2.41E-2</v>
      </c>
      <c r="W502" s="164">
        <v>4.8230000000000002E-2</v>
      </c>
      <c r="X502" s="5" t="s">
        <v>146</v>
      </c>
      <c r="Y502" s="5" t="s">
        <v>141</v>
      </c>
      <c r="Z502" s="153">
        <v>62222.22</v>
      </c>
      <c r="AA502" s="162">
        <v>1</v>
      </c>
      <c r="AB502" s="172">
        <v>93.59</v>
      </c>
      <c r="AD502" s="153">
        <v>58.234000000000002</v>
      </c>
      <c r="AG502" s="3" t="s">
        <v>36</v>
      </c>
      <c r="AH502" s="164">
        <v>3.0000000000000001E-5</v>
      </c>
      <c r="AI502" s="164">
        <v>6.1130342561465604E-3</v>
      </c>
      <c r="AJ502" s="164">
        <v>7.6715740339264803E-4</v>
      </c>
    </row>
    <row r="503" spans="1:36">
      <c r="A503" s="3">
        <v>969</v>
      </c>
      <c r="B503" s="3">
        <v>969</v>
      </c>
      <c r="C503" s="3" t="s">
        <v>187</v>
      </c>
      <c r="D503" s="3" t="s">
        <v>188</v>
      </c>
      <c r="E503" s="5" t="s">
        <v>134</v>
      </c>
      <c r="F503" s="3" t="s">
        <v>192</v>
      </c>
      <c r="G503" s="3" t="s">
        <v>193</v>
      </c>
      <c r="H503" s="3" t="s">
        <v>137</v>
      </c>
      <c r="I503" s="3" t="s">
        <v>156</v>
      </c>
      <c r="J503" s="3" t="s">
        <v>30</v>
      </c>
      <c r="K503" s="3" t="s">
        <v>30</v>
      </c>
      <c r="L503" s="3" t="s">
        <v>139</v>
      </c>
      <c r="M503" s="3" t="s">
        <v>31</v>
      </c>
      <c r="N503" s="3" t="s">
        <v>186</v>
      </c>
      <c r="O503" s="3" t="s">
        <v>141</v>
      </c>
      <c r="P503" s="3" t="s">
        <v>142</v>
      </c>
      <c r="Q503" s="3" t="s">
        <v>143</v>
      </c>
      <c r="R503" s="3" t="s">
        <v>144</v>
      </c>
      <c r="S503" s="3" t="s">
        <v>34</v>
      </c>
      <c r="T503" s="153">
        <v>5.6870000000000003</v>
      </c>
      <c r="U503" s="3" t="s">
        <v>194</v>
      </c>
      <c r="V503" s="164">
        <v>4.9399999999999999E-2</v>
      </c>
      <c r="W503" s="164">
        <v>5.142E-2</v>
      </c>
      <c r="X503" s="5" t="s">
        <v>146</v>
      </c>
      <c r="Y503" s="5" t="s">
        <v>141</v>
      </c>
      <c r="Z503" s="153">
        <v>106811</v>
      </c>
      <c r="AA503" s="162">
        <v>1</v>
      </c>
      <c r="AB503" s="172">
        <v>101.81</v>
      </c>
      <c r="AD503" s="153">
        <v>108.744</v>
      </c>
      <c r="AG503" s="3" t="s">
        <v>36</v>
      </c>
      <c r="AH503" s="164">
        <v>5.7000000000000003E-5</v>
      </c>
      <c r="AI503" s="164">
        <v>1.14153254761582E-2</v>
      </c>
      <c r="AJ503" s="164">
        <v>1.4325703217458799E-3</v>
      </c>
    </row>
    <row r="504" spans="1:36">
      <c r="A504" s="3">
        <v>969</v>
      </c>
      <c r="B504" s="3">
        <v>969</v>
      </c>
      <c r="C504" s="3" t="s">
        <v>195</v>
      </c>
      <c r="D504" s="3" t="s">
        <v>196</v>
      </c>
      <c r="E504" s="5" t="s">
        <v>134</v>
      </c>
      <c r="F504" s="3" t="s">
        <v>197</v>
      </c>
      <c r="G504" s="3" t="s">
        <v>198</v>
      </c>
      <c r="H504" s="3" t="s">
        <v>137</v>
      </c>
      <c r="I504" s="3" t="s">
        <v>156</v>
      </c>
      <c r="J504" s="3" t="s">
        <v>30</v>
      </c>
      <c r="K504" s="3" t="s">
        <v>30</v>
      </c>
      <c r="L504" s="3" t="s">
        <v>139</v>
      </c>
      <c r="M504" s="3" t="s">
        <v>31</v>
      </c>
      <c r="N504" s="3" t="s">
        <v>199</v>
      </c>
      <c r="O504" s="3" t="s">
        <v>141</v>
      </c>
      <c r="P504" s="3" t="s">
        <v>152</v>
      </c>
      <c r="Q504" s="3" t="s">
        <v>143</v>
      </c>
      <c r="R504" s="3" t="s">
        <v>144</v>
      </c>
      <c r="S504" s="3" t="s">
        <v>34</v>
      </c>
      <c r="T504" s="153">
        <v>2.5489999999999999</v>
      </c>
      <c r="U504" s="3" t="s">
        <v>200</v>
      </c>
      <c r="V504" s="164">
        <v>0.04</v>
      </c>
      <c r="W504" s="164">
        <v>4.802E-2</v>
      </c>
      <c r="X504" s="5" t="s">
        <v>146</v>
      </c>
      <c r="Y504" s="5" t="s">
        <v>141</v>
      </c>
      <c r="Z504" s="153">
        <v>52500.02</v>
      </c>
      <c r="AA504" s="162">
        <v>1</v>
      </c>
      <c r="AB504" s="172">
        <v>99.07</v>
      </c>
      <c r="AD504" s="153">
        <v>52.012</v>
      </c>
      <c r="AG504" s="3" t="s">
        <v>36</v>
      </c>
      <c r="AH504" s="164">
        <v>9.0000000000000006E-5</v>
      </c>
      <c r="AI504" s="164">
        <v>5.4598852089666403E-3</v>
      </c>
      <c r="AJ504" s="164">
        <v>6.8519023192471296E-4</v>
      </c>
    </row>
    <row r="505" spans="1:36">
      <c r="A505" s="3">
        <v>969</v>
      </c>
      <c r="B505" s="3">
        <v>969</v>
      </c>
      <c r="C505" s="3" t="s">
        <v>195</v>
      </c>
      <c r="D505" s="3" t="s">
        <v>196</v>
      </c>
      <c r="E505" s="5" t="s">
        <v>134</v>
      </c>
      <c r="F505" s="3" t="s">
        <v>201</v>
      </c>
      <c r="G505" s="3" t="s">
        <v>202</v>
      </c>
      <c r="H505" s="3" t="s">
        <v>137</v>
      </c>
      <c r="I505" s="3" t="s">
        <v>156</v>
      </c>
      <c r="J505" s="3" t="s">
        <v>30</v>
      </c>
      <c r="K505" s="3" t="s">
        <v>30</v>
      </c>
      <c r="L505" s="3" t="s">
        <v>139</v>
      </c>
      <c r="M505" s="3" t="s">
        <v>31</v>
      </c>
      <c r="N505" s="3" t="s">
        <v>199</v>
      </c>
      <c r="O505" s="3" t="s">
        <v>141</v>
      </c>
      <c r="P505" s="3" t="s">
        <v>152</v>
      </c>
      <c r="Q505" s="3" t="s">
        <v>143</v>
      </c>
      <c r="R505" s="3" t="s">
        <v>144</v>
      </c>
      <c r="S505" s="3" t="s">
        <v>34</v>
      </c>
      <c r="T505" s="153">
        <v>4.508</v>
      </c>
      <c r="U505" s="3" t="s">
        <v>203</v>
      </c>
      <c r="V505" s="164">
        <v>2.07E-2</v>
      </c>
      <c r="W505" s="164">
        <v>4.9689999999999998E-2</v>
      </c>
      <c r="X505" s="5" t="s">
        <v>146</v>
      </c>
      <c r="Y505" s="5" t="s">
        <v>141</v>
      </c>
      <c r="Z505" s="153">
        <v>190848.28</v>
      </c>
      <c r="AA505" s="162">
        <v>1</v>
      </c>
      <c r="AB505" s="172">
        <v>88.43</v>
      </c>
      <c r="AD505" s="153">
        <v>168.767</v>
      </c>
      <c r="AG505" s="3" t="s">
        <v>36</v>
      </c>
      <c r="AH505" s="164">
        <v>2.63E-4</v>
      </c>
      <c r="AI505" s="164">
        <v>1.77161665908185E-2</v>
      </c>
      <c r="AJ505" s="164">
        <v>2.2232966134973502E-3</v>
      </c>
    </row>
    <row r="506" spans="1:36">
      <c r="A506" s="3">
        <v>969</v>
      </c>
      <c r="B506" s="3">
        <v>969</v>
      </c>
      <c r="C506" s="3" t="s">
        <v>204</v>
      </c>
      <c r="D506" s="3" t="s">
        <v>205</v>
      </c>
      <c r="E506" s="5" t="s">
        <v>134</v>
      </c>
      <c r="F506" s="3" t="s">
        <v>206</v>
      </c>
      <c r="G506" s="3" t="s">
        <v>207</v>
      </c>
      <c r="H506" s="3" t="s">
        <v>137</v>
      </c>
      <c r="I506" s="3" t="s">
        <v>156</v>
      </c>
      <c r="J506" s="3" t="s">
        <v>30</v>
      </c>
      <c r="K506" s="3" t="s">
        <v>30</v>
      </c>
      <c r="L506" s="3" t="s">
        <v>139</v>
      </c>
      <c r="M506" s="3" t="s">
        <v>31</v>
      </c>
      <c r="N506" s="3" t="s">
        <v>208</v>
      </c>
      <c r="O506" s="3" t="s">
        <v>141</v>
      </c>
      <c r="P506" s="3" t="s">
        <v>209</v>
      </c>
      <c r="Q506" s="3" t="s">
        <v>164</v>
      </c>
      <c r="R506" s="3" t="s">
        <v>144</v>
      </c>
      <c r="S506" s="3" t="s">
        <v>34</v>
      </c>
      <c r="T506" s="153">
        <v>3.7789999999999999</v>
      </c>
      <c r="U506" s="3" t="s">
        <v>210</v>
      </c>
      <c r="V506" s="164">
        <v>6.0699999999999997E-2</v>
      </c>
      <c r="W506" s="164">
        <v>5.4559999999999997E-2</v>
      </c>
      <c r="X506" s="5" t="s">
        <v>146</v>
      </c>
      <c r="Y506" s="5" t="s">
        <v>141</v>
      </c>
      <c r="Z506" s="153">
        <v>77458</v>
      </c>
      <c r="AA506" s="162">
        <v>1</v>
      </c>
      <c r="AB506" s="172">
        <v>104.65</v>
      </c>
      <c r="AD506" s="153">
        <v>81.06</v>
      </c>
      <c r="AG506" s="3" t="s">
        <v>36</v>
      </c>
      <c r="AH506" s="164">
        <v>1.8599999999999999E-4</v>
      </c>
      <c r="AI506" s="164">
        <v>8.5091737555719592E-3</v>
      </c>
      <c r="AJ506" s="164">
        <v>1.0678617802244101E-3</v>
      </c>
    </row>
    <row r="507" spans="1:36">
      <c r="A507" s="3">
        <v>969</v>
      </c>
      <c r="B507" s="3">
        <v>969</v>
      </c>
      <c r="C507" s="3" t="s">
        <v>211</v>
      </c>
      <c r="D507" s="3" t="s">
        <v>212</v>
      </c>
      <c r="E507" s="5" t="s">
        <v>134</v>
      </c>
      <c r="F507" s="3" t="s">
        <v>668</v>
      </c>
      <c r="G507" s="3" t="s">
        <v>669</v>
      </c>
      <c r="H507" s="3" t="s">
        <v>137</v>
      </c>
      <c r="I507" s="3" t="s">
        <v>138</v>
      </c>
      <c r="J507" s="3" t="s">
        <v>30</v>
      </c>
      <c r="K507" s="3" t="s">
        <v>30</v>
      </c>
      <c r="L507" s="3" t="s">
        <v>139</v>
      </c>
      <c r="M507" s="3" t="s">
        <v>31</v>
      </c>
      <c r="N507" s="3" t="s">
        <v>186</v>
      </c>
      <c r="O507" s="3" t="s">
        <v>141</v>
      </c>
      <c r="P507" s="3" t="s">
        <v>180</v>
      </c>
      <c r="Q507" s="3" t="s">
        <v>143</v>
      </c>
      <c r="R507" s="3" t="s">
        <v>144</v>
      </c>
      <c r="S507" s="3" t="s">
        <v>34</v>
      </c>
      <c r="T507" s="153">
        <v>1.6990000000000001</v>
      </c>
      <c r="U507" s="3" t="s">
        <v>670</v>
      </c>
      <c r="V507" s="164">
        <v>3.2000000000000001E-2</v>
      </c>
      <c r="W507" s="164">
        <v>2.8459999999999999E-2</v>
      </c>
      <c r="X507" s="5" t="s">
        <v>146</v>
      </c>
      <c r="Y507" s="5" t="s">
        <v>141</v>
      </c>
      <c r="Z507" s="153">
        <v>67500</v>
      </c>
      <c r="AA507" s="162">
        <v>1</v>
      </c>
      <c r="AB507" s="172">
        <v>120.07</v>
      </c>
      <c r="AD507" s="153">
        <v>81.046999999999997</v>
      </c>
      <c r="AG507" s="3" t="s">
        <v>36</v>
      </c>
      <c r="AH507" s="164">
        <v>1.63E-4</v>
      </c>
      <c r="AI507" s="164">
        <v>8.5078566463876008E-3</v>
      </c>
      <c r="AJ507" s="164">
        <v>1.0676964891398999E-3</v>
      </c>
    </row>
    <row r="508" spans="1:36">
      <c r="A508" s="3">
        <v>969</v>
      </c>
      <c r="B508" s="3">
        <v>969</v>
      </c>
      <c r="C508" s="3" t="s">
        <v>211</v>
      </c>
      <c r="D508" s="3" t="s">
        <v>212</v>
      </c>
      <c r="E508" s="5" t="s">
        <v>134</v>
      </c>
      <c r="F508" s="3" t="s">
        <v>213</v>
      </c>
      <c r="G508" s="3" t="s">
        <v>214</v>
      </c>
      <c r="H508" s="3" t="s">
        <v>137</v>
      </c>
      <c r="I508" s="3" t="s">
        <v>156</v>
      </c>
      <c r="J508" s="3" t="s">
        <v>30</v>
      </c>
      <c r="K508" s="3" t="s">
        <v>30</v>
      </c>
      <c r="L508" s="3" t="s">
        <v>139</v>
      </c>
      <c r="M508" s="3" t="s">
        <v>31</v>
      </c>
      <c r="N508" s="3" t="s">
        <v>186</v>
      </c>
      <c r="O508" s="3" t="s">
        <v>141</v>
      </c>
      <c r="P508" s="3" t="s">
        <v>180</v>
      </c>
      <c r="Q508" s="3" t="s">
        <v>143</v>
      </c>
      <c r="R508" s="3" t="s">
        <v>144</v>
      </c>
      <c r="S508" s="3" t="s">
        <v>34</v>
      </c>
      <c r="T508" s="153">
        <v>7.165</v>
      </c>
      <c r="U508" s="3" t="s">
        <v>215</v>
      </c>
      <c r="V508" s="164">
        <v>5.79E-2</v>
      </c>
      <c r="W508" s="164">
        <v>4.99E-2</v>
      </c>
      <c r="X508" s="5" t="s">
        <v>146</v>
      </c>
      <c r="Y508" s="5" t="s">
        <v>141</v>
      </c>
      <c r="Z508" s="153">
        <v>200000</v>
      </c>
      <c r="AA508" s="162">
        <v>1</v>
      </c>
      <c r="AB508" s="172">
        <v>110.08</v>
      </c>
      <c r="AD508" s="153">
        <v>220.16</v>
      </c>
      <c r="AG508" s="3" t="s">
        <v>36</v>
      </c>
      <c r="AH508" s="164">
        <v>2.2100000000000001E-4</v>
      </c>
      <c r="AI508" s="164">
        <v>2.3111082970349899E-2</v>
      </c>
      <c r="AJ508" s="164">
        <v>2.9003335591157001E-3</v>
      </c>
    </row>
    <row r="509" spans="1:36">
      <c r="A509" s="3">
        <v>969</v>
      </c>
      <c r="B509" s="3">
        <v>969</v>
      </c>
      <c r="C509" s="3" t="s">
        <v>216</v>
      </c>
      <c r="D509" s="3" t="s">
        <v>217</v>
      </c>
      <c r="E509" s="5" t="s">
        <v>134</v>
      </c>
      <c r="F509" s="3" t="s">
        <v>218</v>
      </c>
      <c r="G509" s="3" t="s">
        <v>219</v>
      </c>
      <c r="H509" s="3" t="s">
        <v>137</v>
      </c>
      <c r="I509" s="3" t="s">
        <v>156</v>
      </c>
      <c r="J509" s="3" t="s">
        <v>30</v>
      </c>
      <c r="K509" s="3" t="s">
        <v>30</v>
      </c>
      <c r="L509" s="3" t="s">
        <v>139</v>
      </c>
      <c r="M509" s="3" t="s">
        <v>31</v>
      </c>
      <c r="N509" s="3" t="s">
        <v>220</v>
      </c>
      <c r="O509" s="3" t="s">
        <v>141</v>
      </c>
      <c r="P509" s="3" t="s">
        <v>171</v>
      </c>
      <c r="Q509" s="3" t="s">
        <v>164</v>
      </c>
      <c r="R509" s="3" t="s">
        <v>144</v>
      </c>
      <c r="S509" s="3" t="s">
        <v>34</v>
      </c>
      <c r="T509" s="153">
        <v>5.5110000000000001</v>
      </c>
      <c r="U509" s="3" t="s">
        <v>221</v>
      </c>
      <c r="V509" s="164">
        <v>0.05</v>
      </c>
      <c r="W509" s="164">
        <v>5.1290000000000002E-2</v>
      </c>
      <c r="X509" s="5" t="s">
        <v>146</v>
      </c>
      <c r="Y509" s="5" t="s">
        <v>141</v>
      </c>
      <c r="Z509" s="153">
        <v>100000</v>
      </c>
      <c r="AA509" s="162">
        <v>1</v>
      </c>
      <c r="AB509" s="172">
        <v>100.11</v>
      </c>
      <c r="AD509" s="153">
        <v>100.11</v>
      </c>
      <c r="AG509" s="3" t="s">
        <v>36</v>
      </c>
      <c r="AH509" s="164">
        <v>2.13E-4</v>
      </c>
      <c r="AI509" s="164">
        <v>1.0508950382275299E-2</v>
      </c>
      <c r="AJ509" s="164">
        <v>1.3188244576811099E-3</v>
      </c>
    </row>
    <row r="510" spans="1:36">
      <c r="A510" s="3">
        <v>969</v>
      </c>
      <c r="B510" s="3">
        <v>969</v>
      </c>
      <c r="C510" s="3" t="s">
        <v>216</v>
      </c>
      <c r="D510" s="3" t="s">
        <v>217</v>
      </c>
      <c r="E510" s="5" t="s">
        <v>134</v>
      </c>
      <c r="F510" s="3" t="s">
        <v>222</v>
      </c>
      <c r="G510" s="3" t="s">
        <v>223</v>
      </c>
      <c r="H510" s="3" t="s">
        <v>137</v>
      </c>
      <c r="I510" s="3" t="s">
        <v>156</v>
      </c>
      <c r="J510" s="3" t="s">
        <v>30</v>
      </c>
      <c r="K510" s="3" t="s">
        <v>224</v>
      </c>
      <c r="L510" s="3" t="s">
        <v>139</v>
      </c>
      <c r="M510" s="3" t="s">
        <v>31</v>
      </c>
      <c r="N510" s="3" t="s">
        <v>220</v>
      </c>
      <c r="O510" s="3" t="s">
        <v>141</v>
      </c>
      <c r="P510" s="3" t="s">
        <v>171</v>
      </c>
      <c r="Q510" s="3" t="s">
        <v>164</v>
      </c>
      <c r="R510" s="3" t="s">
        <v>144</v>
      </c>
      <c r="S510" s="3" t="s">
        <v>34</v>
      </c>
      <c r="T510" s="153">
        <v>2.8079999999999998</v>
      </c>
      <c r="U510" s="3" t="s">
        <v>225</v>
      </c>
      <c r="V510" s="164">
        <v>1.4999999999999999E-2</v>
      </c>
      <c r="W510" s="164">
        <v>5.0139999999999997E-2</v>
      </c>
      <c r="X510" s="5" t="s">
        <v>146</v>
      </c>
      <c r="Y510" s="5" t="s">
        <v>141</v>
      </c>
      <c r="Z510" s="153">
        <v>132669</v>
      </c>
      <c r="AA510" s="162">
        <v>1</v>
      </c>
      <c r="AB510" s="172">
        <v>90.97</v>
      </c>
      <c r="AD510" s="153">
        <v>120.68899999999999</v>
      </c>
      <c r="AG510" s="3" t="s">
        <v>36</v>
      </c>
      <c r="AH510" s="164">
        <v>1.13E-4</v>
      </c>
      <c r="AI510" s="164">
        <v>1.2669209871547901E-2</v>
      </c>
      <c r="AJ510" s="164">
        <v>1.5899269889287099E-3</v>
      </c>
    </row>
    <row r="511" spans="1:36">
      <c r="A511" s="3">
        <v>969</v>
      </c>
      <c r="B511" s="3">
        <v>969</v>
      </c>
      <c r="C511" s="3" t="s">
        <v>226</v>
      </c>
      <c r="D511" s="3" t="s">
        <v>227</v>
      </c>
      <c r="E511" s="5" t="s">
        <v>134</v>
      </c>
      <c r="F511" s="3" t="s">
        <v>228</v>
      </c>
      <c r="G511" s="3" t="s">
        <v>229</v>
      </c>
      <c r="H511" s="3" t="s">
        <v>137</v>
      </c>
      <c r="I511" s="3" t="s">
        <v>156</v>
      </c>
      <c r="J511" s="3" t="s">
        <v>30</v>
      </c>
      <c r="K511" s="3" t="s">
        <v>30</v>
      </c>
      <c r="L511" s="3" t="s">
        <v>139</v>
      </c>
      <c r="M511" s="3" t="s">
        <v>31</v>
      </c>
      <c r="N511" s="3" t="s">
        <v>220</v>
      </c>
      <c r="O511" s="3" t="s">
        <v>141</v>
      </c>
      <c r="P511" s="3" t="s">
        <v>230</v>
      </c>
      <c r="Q511" s="3" t="s">
        <v>143</v>
      </c>
      <c r="R511" s="3" t="s">
        <v>144</v>
      </c>
      <c r="S511" s="3" t="s">
        <v>34</v>
      </c>
      <c r="T511" s="153">
        <v>2.4319999999999999</v>
      </c>
      <c r="U511" s="3" t="s">
        <v>231</v>
      </c>
      <c r="V511" s="164">
        <v>2.0500000000000001E-2</v>
      </c>
      <c r="W511" s="164">
        <v>5.0529999999999999E-2</v>
      </c>
      <c r="X511" s="5" t="s">
        <v>146</v>
      </c>
      <c r="Y511" s="5" t="s">
        <v>141</v>
      </c>
      <c r="Z511" s="153">
        <v>90909.11</v>
      </c>
      <c r="AA511" s="162">
        <v>1</v>
      </c>
      <c r="AB511" s="172">
        <v>93.47</v>
      </c>
      <c r="AD511" s="153">
        <v>84.972999999999999</v>
      </c>
      <c r="AG511" s="3" t="s">
        <v>36</v>
      </c>
      <c r="AH511" s="164">
        <v>1.0399999999999999E-4</v>
      </c>
      <c r="AI511" s="164">
        <v>8.9199316979350698E-3</v>
      </c>
      <c r="AJ511" s="164">
        <v>1.1194099939726501E-3</v>
      </c>
    </row>
    <row r="512" spans="1:36">
      <c r="A512" s="3">
        <v>969</v>
      </c>
      <c r="B512" s="3">
        <v>969</v>
      </c>
      <c r="C512" s="3" t="s">
        <v>232</v>
      </c>
      <c r="D512" s="3" t="s">
        <v>233</v>
      </c>
      <c r="E512" s="5" t="s">
        <v>134</v>
      </c>
      <c r="F512" s="3" t="s">
        <v>234</v>
      </c>
      <c r="G512" s="3" t="s">
        <v>235</v>
      </c>
      <c r="H512" s="3" t="s">
        <v>137</v>
      </c>
      <c r="I512" s="3" t="s">
        <v>138</v>
      </c>
      <c r="J512" s="3" t="s">
        <v>30</v>
      </c>
      <c r="K512" s="3" t="s">
        <v>30</v>
      </c>
      <c r="L512" s="3" t="s">
        <v>139</v>
      </c>
      <c r="M512" s="3" t="s">
        <v>31</v>
      </c>
      <c r="N512" s="3" t="s">
        <v>208</v>
      </c>
      <c r="O512" s="3" t="s">
        <v>141</v>
      </c>
      <c r="P512" s="3" t="s">
        <v>152</v>
      </c>
      <c r="Q512" s="3" t="s">
        <v>143</v>
      </c>
      <c r="R512" s="3" t="s">
        <v>144</v>
      </c>
      <c r="S512" s="3" t="s">
        <v>34</v>
      </c>
      <c r="T512" s="153">
        <v>0.79300000000000004</v>
      </c>
      <c r="U512" s="3" t="s">
        <v>236</v>
      </c>
      <c r="V512" s="164">
        <v>2.5700000000000001E-2</v>
      </c>
      <c r="W512" s="164">
        <v>4.0009999999999997E-2</v>
      </c>
      <c r="X512" s="5" t="s">
        <v>146</v>
      </c>
      <c r="Y512" s="5" t="s">
        <v>141</v>
      </c>
      <c r="Z512" s="153">
        <v>105786.47</v>
      </c>
      <c r="AA512" s="162">
        <v>1</v>
      </c>
      <c r="AB512" s="172">
        <v>119.85</v>
      </c>
      <c r="AD512" s="153">
        <v>126.785</v>
      </c>
      <c r="AG512" s="3" t="s">
        <v>36</v>
      </c>
      <c r="AH512" s="164">
        <v>1E-4</v>
      </c>
      <c r="AI512" s="164">
        <v>1.3309141544987999E-2</v>
      </c>
      <c r="AJ512" s="164">
        <v>1.67023544138854E-3</v>
      </c>
    </row>
    <row r="513" spans="1:36">
      <c r="A513" s="3">
        <v>969</v>
      </c>
      <c r="B513" s="3">
        <v>969</v>
      </c>
      <c r="C513" s="3" t="s">
        <v>232</v>
      </c>
      <c r="D513" s="3" t="s">
        <v>233</v>
      </c>
      <c r="E513" s="5" t="s">
        <v>134</v>
      </c>
      <c r="F513" s="3" t="s">
        <v>626</v>
      </c>
      <c r="G513" s="3" t="s">
        <v>627</v>
      </c>
      <c r="H513" s="3" t="s">
        <v>137</v>
      </c>
      <c r="I513" s="3" t="s">
        <v>156</v>
      </c>
      <c r="J513" s="3" t="s">
        <v>30</v>
      </c>
      <c r="K513" s="3" t="s">
        <v>30</v>
      </c>
      <c r="L513" s="3" t="s">
        <v>139</v>
      </c>
      <c r="M513" s="3" t="s">
        <v>31</v>
      </c>
      <c r="N513" s="3" t="s">
        <v>208</v>
      </c>
      <c r="O513" s="3" t="s">
        <v>141</v>
      </c>
      <c r="P513" s="3" t="s">
        <v>152</v>
      </c>
      <c r="Q513" s="3" t="s">
        <v>143</v>
      </c>
      <c r="R513" s="3" t="s">
        <v>144</v>
      </c>
      <c r="S513" s="3" t="s">
        <v>34</v>
      </c>
      <c r="T513" s="153">
        <v>2.5110000000000001</v>
      </c>
      <c r="U513" s="3" t="s">
        <v>628</v>
      </c>
      <c r="V513" s="164">
        <v>3.2500000000000001E-2</v>
      </c>
      <c r="W513" s="164">
        <v>5.1240000000000001E-2</v>
      </c>
      <c r="X513" s="5" t="s">
        <v>146</v>
      </c>
      <c r="Y513" s="5" t="s">
        <v>141</v>
      </c>
      <c r="Z513" s="153">
        <v>30053.1</v>
      </c>
      <c r="AA513" s="162">
        <v>1</v>
      </c>
      <c r="AB513" s="172">
        <v>95.69</v>
      </c>
      <c r="AD513" s="153">
        <v>28.757999999999999</v>
      </c>
      <c r="AG513" s="3" t="s">
        <v>36</v>
      </c>
      <c r="AH513" s="164">
        <v>1.25E-4</v>
      </c>
      <c r="AI513" s="164">
        <v>3.0188234242367602E-3</v>
      </c>
      <c r="AJ513" s="164">
        <v>3.7884831695647099E-4</v>
      </c>
    </row>
    <row r="514" spans="1:36">
      <c r="A514" s="3">
        <v>969</v>
      </c>
      <c r="B514" s="3">
        <v>969</v>
      </c>
      <c r="C514" s="3" t="s">
        <v>232</v>
      </c>
      <c r="D514" s="3" t="s">
        <v>233</v>
      </c>
      <c r="E514" s="5" t="s">
        <v>134</v>
      </c>
      <c r="F514" s="3" t="s">
        <v>237</v>
      </c>
      <c r="G514" s="3" t="s">
        <v>238</v>
      </c>
      <c r="H514" s="3" t="s">
        <v>137</v>
      </c>
      <c r="I514" s="3" t="s">
        <v>138</v>
      </c>
      <c r="J514" s="3" t="s">
        <v>30</v>
      </c>
      <c r="K514" s="3" t="s">
        <v>30</v>
      </c>
      <c r="L514" s="3" t="s">
        <v>139</v>
      </c>
      <c r="M514" s="3" t="s">
        <v>31</v>
      </c>
      <c r="N514" s="3" t="s">
        <v>208</v>
      </c>
      <c r="O514" s="3" t="s">
        <v>141</v>
      </c>
      <c r="P514" s="3" t="s">
        <v>152</v>
      </c>
      <c r="Q514" s="3" t="s">
        <v>143</v>
      </c>
      <c r="R514" s="3" t="s">
        <v>144</v>
      </c>
      <c r="S514" s="3" t="s">
        <v>34</v>
      </c>
      <c r="T514" s="153">
        <v>4.226</v>
      </c>
      <c r="U514" s="3" t="s">
        <v>239</v>
      </c>
      <c r="V514" s="164">
        <v>1.54E-2</v>
      </c>
      <c r="W514" s="164">
        <v>3.075E-2</v>
      </c>
      <c r="X514" s="5" t="s">
        <v>146</v>
      </c>
      <c r="Y514" s="5" t="s">
        <v>141</v>
      </c>
      <c r="Z514" s="153">
        <v>109000</v>
      </c>
      <c r="AA514" s="162">
        <v>1</v>
      </c>
      <c r="AB514" s="172">
        <v>108.24</v>
      </c>
      <c r="AD514" s="153">
        <v>117.982</v>
      </c>
      <c r="AG514" s="3" t="s">
        <v>36</v>
      </c>
      <c r="AH514" s="164">
        <v>1.83E-4</v>
      </c>
      <c r="AI514" s="164">
        <v>1.23850042994851E-2</v>
      </c>
      <c r="AJ514" s="164">
        <v>1.55426050980271E-3</v>
      </c>
    </row>
    <row r="515" spans="1:36">
      <c r="A515" s="3">
        <v>969</v>
      </c>
      <c r="B515" s="3">
        <v>969</v>
      </c>
      <c r="C515" s="3" t="s">
        <v>232</v>
      </c>
      <c r="D515" s="3" t="s">
        <v>233</v>
      </c>
      <c r="E515" s="5" t="s">
        <v>134</v>
      </c>
      <c r="F515" s="3" t="s">
        <v>240</v>
      </c>
      <c r="G515" s="3" t="s">
        <v>241</v>
      </c>
      <c r="H515" s="3" t="s">
        <v>137</v>
      </c>
      <c r="I515" s="3" t="s">
        <v>138</v>
      </c>
      <c r="J515" s="3" t="s">
        <v>30</v>
      </c>
      <c r="K515" s="3" t="s">
        <v>30</v>
      </c>
      <c r="L515" s="3" t="s">
        <v>139</v>
      </c>
      <c r="M515" s="3" t="s">
        <v>31</v>
      </c>
      <c r="N515" s="3" t="s">
        <v>208</v>
      </c>
      <c r="O515" s="3" t="s">
        <v>141</v>
      </c>
      <c r="P515" s="3" t="s">
        <v>152</v>
      </c>
      <c r="Q515" s="3" t="s">
        <v>143</v>
      </c>
      <c r="R515" s="3" t="s">
        <v>144</v>
      </c>
      <c r="S515" s="3" t="s">
        <v>34</v>
      </c>
      <c r="T515" s="153">
        <v>6.452</v>
      </c>
      <c r="U515" s="3" t="s">
        <v>242</v>
      </c>
      <c r="V515" s="164">
        <v>4.02E-2</v>
      </c>
      <c r="W515" s="164">
        <v>3.3029999999999997E-2</v>
      </c>
      <c r="X515" s="5" t="s">
        <v>146</v>
      </c>
      <c r="Y515" s="5" t="s">
        <v>141</v>
      </c>
      <c r="Z515" s="153">
        <v>72000</v>
      </c>
      <c r="AA515" s="162">
        <v>1</v>
      </c>
      <c r="AB515" s="172">
        <v>108.86</v>
      </c>
      <c r="AD515" s="153">
        <v>78.379000000000005</v>
      </c>
      <c r="AG515" s="3" t="s">
        <v>36</v>
      </c>
      <c r="AH515" s="164">
        <v>8.8999999999999995E-5</v>
      </c>
      <c r="AI515" s="164">
        <v>8.2277806792771194E-3</v>
      </c>
      <c r="AJ515" s="164">
        <v>1.0325482562529101E-3</v>
      </c>
    </row>
    <row r="516" spans="1:36">
      <c r="A516" s="3">
        <v>969</v>
      </c>
      <c r="B516" s="3">
        <v>969</v>
      </c>
      <c r="C516" s="3" t="s">
        <v>581</v>
      </c>
      <c r="D516" s="3" t="s">
        <v>582</v>
      </c>
      <c r="E516" s="5" t="s">
        <v>134</v>
      </c>
      <c r="F516" s="3" t="s">
        <v>583</v>
      </c>
      <c r="G516" s="3" t="s">
        <v>584</v>
      </c>
      <c r="H516" s="3" t="s">
        <v>137</v>
      </c>
      <c r="I516" s="3" t="s">
        <v>156</v>
      </c>
      <c r="J516" s="3" t="s">
        <v>30</v>
      </c>
      <c r="K516" s="3" t="s">
        <v>30</v>
      </c>
      <c r="L516" s="3" t="s">
        <v>139</v>
      </c>
      <c r="M516" s="3" t="s">
        <v>31</v>
      </c>
      <c r="N516" s="3" t="s">
        <v>162</v>
      </c>
      <c r="O516" s="3" t="s">
        <v>141</v>
      </c>
      <c r="P516" s="3" t="s">
        <v>209</v>
      </c>
      <c r="Q516" s="3" t="s">
        <v>164</v>
      </c>
      <c r="R516" s="3" t="s">
        <v>144</v>
      </c>
      <c r="S516" s="3" t="s">
        <v>34</v>
      </c>
      <c r="T516" s="153">
        <v>4.8499999999999996</v>
      </c>
      <c r="U516" s="3" t="s">
        <v>258</v>
      </c>
      <c r="V516" s="164">
        <v>5.3800000000000001E-2</v>
      </c>
      <c r="W516" s="164">
        <v>5.5210000000000002E-2</v>
      </c>
      <c r="X516" s="5" t="s">
        <v>146</v>
      </c>
      <c r="Y516" s="5" t="s">
        <v>141</v>
      </c>
      <c r="Z516" s="153">
        <v>84295</v>
      </c>
      <c r="AA516" s="162">
        <v>1</v>
      </c>
      <c r="AB516" s="172">
        <v>100.68</v>
      </c>
      <c r="AD516" s="153">
        <v>84.867999999999995</v>
      </c>
      <c r="AG516" s="3" t="s">
        <v>36</v>
      </c>
      <c r="AH516" s="164">
        <v>3.3700000000000001E-4</v>
      </c>
      <c r="AI516" s="164">
        <v>8.9089578052813905E-3</v>
      </c>
      <c r="AJ516" s="164">
        <v>1.11803282141962E-3</v>
      </c>
    </row>
    <row r="517" spans="1:36">
      <c r="A517" s="3">
        <v>969</v>
      </c>
      <c r="B517" s="3">
        <v>969</v>
      </c>
      <c r="C517" s="3" t="s">
        <v>182</v>
      </c>
      <c r="D517" s="3" t="s">
        <v>183</v>
      </c>
      <c r="E517" s="5" t="s">
        <v>134</v>
      </c>
      <c r="F517" s="3" t="s">
        <v>243</v>
      </c>
      <c r="G517" s="3" t="s">
        <v>244</v>
      </c>
      <c r="H517" s="3" t="s">
        <v>137</v>
      </c>
      <c r="I517" s="3" t="s">
        <v>138</v>
      </c>
      <c r="J517" s="3" t="s">
        <v>30</v>
      </c>
      <c r="K517" s="3" t="s">
        <v>30</v>
      </c>
      <c r="L517" s="3" t="s">
        <v>139</v>
      </c>
      <c r="M517" s="3" t="s">
        <v>31</v>
      </c>
      <c r="N517" s="3" t="s">
        <v>186</v>
      </c>
      <c r="O517" s="3" t="s">
        <v>141</v>
      </c>
      <c r="P517" s="3" t="s">
        <v>180</v>
      </c>
      <c r="Q517" s="3" t="s">
        <v>143</v>
      </c>
      <c r="R517" s="3" t="s">
        <v>144</v>
      </c>
      <c r="S517" s="3" t="s">
        <v>34</v>
      </c>
      <c r="T517" s="153">
        <v>6.952</v>
      </c>
      <c r="U517" s="3" t="s">
        <v>245</v>
      </c>
      <c r="V517" s="164">
        <v>3.5999999999999997E-2</v>
      </c>
      <c r="W517" s="164">
        <v>2.989E-2</v>
      </c>
      <c r="X517" s="5" t="s">
        <v>146</v>
      </c>
      <c r="Y517" s="5" t="s">
        <v>141</v>
      </c>
      <c r="Z517" s="153">
        <v>70000</v>
      </c>
      <c r="AA517" s="162">
        <v>1</v>
      </c>
      <c r="AB517" s="172">
        <v>109.05</v>
      </c>
      <c r="AD517" s="153">
        <v>76.334999999999994</v>
      </c>
      <c r="AG517" s="3" t="s">
        <v>36</v>
      </c>
      <c r="AH517" s="164">
        <v>8.0000000000000007E-5</v>
      </c>
      <c r="AI517" s="164">
        <v>8.0131927622713595E-3</v>
      </c>
      <c r="AJ517" s="164">
        <v>1.0056184694544701E-3</v>
      </c>
    </row>
    <row r="518" spans="1:36">
      <c r="A518" s="3">
        <v>969</v>
      </c>
      <c r="B518" s="3">
        <v>969</v>
      </c>
      <c r="C518" s="3" t="s">
        <v>246</v>
      </c>
      <c r="D518" s="3" t="s">
        <v>247</v>
      </c>
      <c r="E518" s="5" t="s">
        <v>134</v>
      </c>
      <c r="F518" s="3" t="s">
        <v>248</v>
      </c>
      <c r="G518" s="3" t="s">
        <v>249</v>
      </c>
      <c r="H518" s="3" t="s">
        <v>137</v>
      </c>
      <c r="I518" s="3" t="s">
        <v>138</v>
      </c>
      <c r="J518" s="3" t="s">
        <v>30</v>
      </c>
      <c r="K518" s="3" t="s">
        <v>30</v>
      </c>
      <c r="L518" s="3" t="s">
        <v>139</v>
      </c>
      <c r="M518" s="3" t="s">
        <v>31</v>
      </c>
      <c r="N518" s="3" t="s">
        <v>186</v>
      </c>
      <c r="O518" s="3" t="s">
        <v>141</v>
      </c>
      <c r="P518" s="3" t="s">
        <v>230</v>
      </c>
      <c r="Q518" s="3" t="s">
        <v>143</v>
      </c>
      <c r="R518" s="3" t="s">
        <v>144</v>
      </c>
      <c r="S518" s="3" t="s">
        <v>34</v>
      </c>
      <c r="T518" s="153">
        <v>5.3049999999999997</v>
      </c>
      <c r="U518" s="3" t="s">
        <v>250</v>
      </c>
      <c r="V518" s="164">
        <v>3.6799999999999999E-2</v>
      </c>
      <c r="W518" s="164">
        <v>3.2320000000000002E-2</v>
      </c>
      <c r="X518" s="5" t="s">
        <v>146</v>
      </c>
      <c r="Y518" s="5" t="s">
        <v>141</v>
      </c>
      <c r="Z518" s="153">
        <v>89000</v>
      </c>
      <c r="AA518" s="162">
        <v>1</v>
      </c>
      <c r="AB518" s="172">
        <v>110.18</v>
      </c>
      <c r="AD518" s="153">
        <v>98.06</v>
      </c>
      <c r="AG518" s="3" t="s">
        <v>36</v>
      </c>
      <c r="AH518" s="164">
        <v>2.0100000000000001E-4</v>
      </c>
      <c r="AI518" s="164">
        <v>1.02937746106882E-2</v>
      </c>
      <c r="AJ518" s="164">
        <v>1.29182089786336E-3</v>
      </c>
    </row>
    <row r="519" spans="1:36">
      <c r="A519" s="3">
        <v>969</v>
      </c>
      <c r="B519" s="3">
        <v>969</v>
      </c>
      <c r="C519" s="3" t="s">
        <v>246</v>
      </c>
      <c r="D519" s="3" t="s">
        <v>247</v>
      </c>
      <c r="E519" s="5" t="s">
        <v>134</v>
      </c>
      <c r="F519" s="3" t="s">
        <v>251</v>
      </c>
      <c r="G519" s="3" t="s">
        <v>252</v>
      </c>
      <c r="H519" s="3" t="s">
        <v>137</v>
      </c>
      <c r="I519" s="3" t="s">
        <v>138</v>
      </c>
      <c r="J519" s="3" t="s">
        <v>30</v>
      </c>
      <c r="K519" s="3" t="s">
        <v>30</v>
      </c>
      <c r="L519" s="3" t="s">
        <v>139</v>
      </c>
      <c r="M519" s="3" t="s">
        <v>31</v>
      </c>
      <c r="N519" s="3" t="s">
        <v>186</v>
      </c>
      <c r="O519" s="3" t="s">
        <v>141</v>
      </c>
      <c r="P519" s="3" t="s">
        <v>230</v>
      </c>
      <c r="Q519" s="3" t="s">
        <v>143</v>
      </c>
      <c r="R519" s="3" t="s">
        <v>144</v>
      </c>
      <c r="S519" s="3" t="s">
        <v>34</v>
      </c>
      <c r="T519" s="153">
        <v>0.96499999999999997</v>
      </c>
      <c r="U519" s="3" t="s">
        <v>253</v>
      </c>
      <c r="V519" s="164">
        <v>3.4599999999999999E-2</v>
      </c>
      <c r="W519" s="164">
        <v>3.4209999999999997E-2</v>
      </c>
      <c r="X519" s="5" t="s">
        <v>146</v>
      </c>
      <c r="Y519" s="5" t="s">
        <v>141</v>
      </c>
      <c r="Z519" s="153">
        <v>0.28000000000000003</v>
      </c>
      <c r="AA519" s="162">
        <v>1</v>
      </c>
      <c r="AB519" s="172">
        <v>120.85</v>
      </c>
      <c r="AD519" s="153">
        <v>0</v>
      </c>
      <c r="AG519" s="3" t="s">
        <v>36</v>
      </c>
      <c r="AH519" s="164">
        <v>0</v>
      </c>
      <c r="AI519" s="164">
        <v>3.55211130791561E-8</v>
      </c>
      <c r="AJ519" s="164">
        <v>4.4577346917404104E-9</v>
      </c>
    </row>
    <row r="520" spans="1:36">
      <c r="A520" s="3">
        <v>969</v>
      </c>
      <c r="B520" s="3">
        <v>969</v>
      </c>
      <c r="C520" s="3" t="s">
        <v>254</v>
      </c>
      <c r="D520" s="3" t="s">
        <v>255</v>
      </c>
      <c r="E520" s="5" t="s">
        <v>134</v>
      </c>
      <c r="F520" s="3" t="s">
        <v>256</v>
      </c>
      <c r="G520" s="3" t="s">
        <v>257</v>
      </c>
      <c r="H520" s="3" t="s">
        <v>137</v>
      </c>
      <c r="I520" s="3" t="s">
        <v>138</v>
      </c>
      <c r="J520" s="3" t="s">
        <v>30</v>
      </c>
      <c r="K520" s="3" t="s">
        <v>30</v>
      </c>
      <c r="L520" s="3" t="s">
        <v>139</v>
      </c>
      <c r="M520" s="3" t="s">
        <v>31</v>
      </c>
      <c r="N520" s="3" t="s">
        <v>162</v>
      </c>
      <c r="O520" s="3" t="s">
        <v>141</v>
      </c>
      <c r="P520" s="3" t="s">
        <v>230</v>
      </c>
      <c r="Q520" s="3" t="s">
        <v>143</v>
      </c>
      <c r="R520" s="3" t="s">
        <v>144</v>
      </c>
      <c r="S520" s="3" t="s">
        <v>34</v>
      </c>
      <c r="T520" s="153">
        <v>4.6859999999999999</v>
      </c>
      <c r="U520" s="3" t="s">
        <v>258</v>
      </c>
      <c r="V520" s="164">
        <v>4.0800000000000003E-2</v>
      </c>
      <c r="W520" s="164">
        <v>3.4189999999999998E-2</v>
      </c>
      <c r="X520" s="5" t="s">
        <v>146</v>
      </c>
      <c r="Y520" s="5" t="s">
        <v>141</v>
      </c>
      <c r="Z520" s="153">
        <v>100000</v>
      </c>
      <c r="AA520" s="162">
        <v>1</v>
      </c>
      <c r="AB520" s="172">
        <v>111.71</v>
      </c>
      <c r="AD520" s="153">
        <v>111.71</v>
      </c>
      <c r="AG520" s="3" t="s">
        <v>36</v>
      </c>
      <c r="AH520" s="164">
        <v>1.15E-4</v>
      </c>
      <c r="AI520" s="164">
        <v>1.1726649157966E-2</v>
      </c>
      <c r="AJ520" s="164">
        <v>1.4716399976781201E-3</v>
      </c>
    </row>
    <row r="521" spans="1:36">
      <c r="A521" s="3">
        <v>969</v>
      </c>
      <c r="B521" s="3">
        <v>969</v>
      </c>
      <c r="C521" s="3" t="s">
        <v>259</v>
      </c>
      <c r="D521" s="3" t="s">
        <v>260</v>
      </c>
      <c r="E521" s="5" t="s">
        <v>134</v>
      </c>
      <c r="F521" s="3" t="s">
        <v>261</v>
      </c>
      <c r="G521" s="3" t="s">
        <v>262</v>
      </c>
      <c r="H521" s="3" t="s">
        <v>137</v>
      </c>
      <c r="I521" s="3" t="s">
        <v>156</v>
      </c>
      <c r="J521" s="3" t="s">
        <v>30</v>
      </c>
      <c r="K521" s="3" t="s">
        <v>30</v>
      </c>
      <c r="L521" s="3" t="s">
        <v>139</v>
      </c>
      <c r="M521" s="3" t="s">
        <v>31</v>
      </c>
      <c r="N521" s="3" t="s">
        <v>151</v>
      </c>
      <c r="O521" s="3" t="s">
        <v>141</v>
      </c>
      <c r="P521" s="3" t="s">
        <v>152</v>
      </c>
      <c r="Q521" s="3" t="s">
        <v>143</v>
      </c>
      <c r="R521" s="3" t="s">
        <v>144</v>
      </c>
      <c r="S521" s="3" t="s">
        <v>34</v>
      </c>
      <c r="T521" s="153">
        <v>5.7279999999999998</v>
      </c>
      <c r="U521" s="3" t="s">
        <v>263</v>
      </c>
      <c r="V521" s="164">
        <v>5.2499999999999998E-2</v>
      </c>
      <c r="W521" s="164">
        <v>5.339E-2</v>
      </c>
      <c r="X521" s="5" t="s">
        <v>146</v>
      </c>
      <c r="Y521" s="5" t="s">
        <v>141</v>
      </c>
      <c r="Z521" s="153">
        <v>70000</v>
      </c>
      <c r="AA521" s="162">
        <v>1</v>
      </c>
      <c r="AB521" s="172">
        <v>101.34</v>
      </c>
      <c r="AD521" s="153">
        <v>70.938000000000002</v>
      </c>
      <c r="AG521" s="3" t="s">
        <v>36</v>
      </c>
      <c r="AH521" s="164">
        <v>1.07E-4</v>
      </c>
      <c r="AI521" s="164">
        <v>7.44664790947803E-3</v>
      </c>
      <c r="AJ521" s="164">
        <v>9.3451972209551801E-4</v>
      </c>
    </row>
    <row r="522" spans="1:36">
      <c r="A522" s="3">
        <v>969</v>
      </c>
      <c r="B522" s="3">
        <v>969</v>
      </c>
      <c r="C522" s="3" t="s">
        <v>259</v>
      </c>
      <c r="D522" s="3" t="s">
        <v>260</v>
      </c>
      <c r="E522" s="5" t="s">
        <v>134</v>
      </c>
      <c r="F522" s="3" t="s">
        <v>264</v>
      </c>
      <c r="G522" s="3" t="s">
        <v>265</v>
      </c>
      <c r="H522" s="3" t="s">
        <v>137</v>
      </c>
      <c r="I522" s="3" t="s">
        <v>156</v>
      </c>
      <c r="J522" s="3" t="s">
        <v>30</v>
      </c>
      <c r="K522" s="3" t="s">
        <v>30</v>
      </c>
      <c r="L522" s="3" t="s">
        <v>139</v>
      </c>
      <c r="M522" s="3" t="s">
        <v>31</v>
      </c>
      <c r="N522" s="3" t="s">
        <v>151</v>
      </c>
      <c r="O522" s="3" t="s">
        <v>141</v>
      </c>
      <c r="P522" s="3" t="s">
        <v>152</v>
      </c>
      <c r="Q522" s="3" t="s">
        <v>143</v>
      </c>
      <c r="R522" s="3" t="s">
        <v>144</v>
      </c>
      <c r="S522" s="3" t="s">
        <v>34</v>
      </c>
      <c r="T522" s="153">
        <v>2.21</v>
      </c>
      <c r="U522" s="3" t="s">
        <v>266</v>
      </c>
      <c r="V522" s="164">
        <v>2.7E-2</v>
      </c>
      <c r="W522" s="164">
        <v>5.0229999999999997E-2</v>
      </c>
      <c r="X522" s="5" t="s">
        <v>146</v>
      </c>
      <c r="Y522" s="5" t="s">
        <v>141</v>
      </c>
      <c r="Z522" s="153">
        <v>78750</v>
      </c>
      <c r="AA522" s="162">
        <v>1</v>
      </c>
      <c r="AB522" s="172">
        <v>95.21</v>
      </c>
      <c r="AD522" s="153">
        <v>74.977999999999994</v>
      </c>
      <c r="AG522" s="3" t="s">
        <v>36</v>
      </c>
      <c r="AH522" s="164">
        <v>1.3799999999999999E-4</v>
      </c>
      <c r="AI522" s="164">
        <v>7.8707298785679804E-3</v>
      </c>
      <c r="AJ522" s="164">
        <v>9.8774003930633008E-4</v>
      </c>
    </row>
    <row r="523" spans="1:36">
      <c r="A523" s="3">
        <v>969</v>
      </c>
      <c r="B523" s="3">
        <v>969</v>
      </c>
      <c r="C523" s="3" t="s">
        <v>267</v>
      </c>
      <c r="D523" s="3" t="s">
        <v>268</v>
      </c>
      <c r="E523" s="5" t="s">
        <v>134</v>
      </c>
      <c r="F523" s="3" t="s">
        <v>269</v>
      </c>
      <c r="G523" s="3" t="s">
        <v>270</v>
      </c>
      <c r="H523" s="3" t="s">
        <v>137</v>
      </c>
      <c r="I523" s="3" t="s">
        <v>138</v>
      </c>
      <c r="J523" s="3" t="s">
        <v>30</v>
      </c>
      <c r="K523" s="3" t="s">
        <v>30</v>
      </c>
      <c r="L523" s="3" t="s">
        <v>139</v>
      </c>
      <c r="M523" s="3" t="s">
        <v>31</v>
      </c>
      <c r="N523" s="3" t="s">
        <v>186</v>
      </c>
      <c r="O523" s="3" t="s">
        <v>141</v>
      </c>
      <c r="P523" s="3" t="s">
        <v>271</v>
      </c>
      <c r="Q523" s="3" t="s">
        <v>164</v>
      </c>
      <c r="R523" s="3" t="s">
        <v>144</v>
      </c>
      <c r="S523" s="3" t="s">
        <v>34</v>
      </c>
      <c r="T523" s="153">
        <v>3.51</v>
      </c>
      <c r="U523" s="3" t="s">
        <v>272</v>
      </c>
      <c r="V523" s="164">
        <v>1.17E-2</v>
      </c>
      <c r="W523" s="164">
        <v>2.8479999999999998E-2</v>
      </c>
      <c r="X523" s="5" t="s">
        <v>146</v>
      </c>
      <c r="Y523" s="5" t="s">
        <v>141</v>
      </c>
      <c r="Z523" s="153">
        <v>120553.13</v>
      </c>
      <c r="AA523" s="162">
        <v>1</v>
      </c>
      <c r="AB523" s="172">
        <v>111.54</v>
      </c>
      <c r="AD523" s="153">
        <v>134.465</v>
      </c>
      <c r="AG523" s="3" t="s">
        <v>36</v>
      </c>
      <c r="AH523" s="164">
        <v>1.75E-4</v>
      </c>
      <c r="AI523" s="164">
        <v>1.41153291921526E-2</v>
      </c>
      <c r="AJ523" s="164">
        <v>1.77140824627249E-3</v>
      </c>
    </row>
    <row r="524" spans="1:36">
      <c r="A524" s="3">
        <v>969</v>
      </c>
      <c r="B524" s="3">
        <v>969</v>
      </c>
      <c r="C524" s="3" t="s">
        <v>267</v>
      </c>
      <c r="D524" s="3" t="s">
        <v>268</v>
      </c>
      <c r="E524" s="5" t="s">
        <v>134</v>
      </c>
      <c r="F524" s="3" t="s">
        <v>273</v>
      </c>
      <c r="G524" s="3" t="s">
        <v>274</v>
      </c>
      <c r="H524" s="3" t="s">
        <v>137</v>
      </c>
      <c r="I524" s="3" t="s">
        <v>138</v>
      </c>
      <c r="J524" s="3" t="s">
        <v>30</v>
      </c>
      <c r="K524" s="3" t="s">
        <v>30</v>
      </c>
      <c r="L524" s="3" t="s">
        <v>139</v>
      </c>
      <c r="M524" s="3" t="s">
        <v>31</v>
      </c>
      <c r="N524" s="3" t="s">
        <v>186</v>
      </c>
      <c r="O524" s="3" t="s">
        <v>141</v>
      </c>
      <c r="P524" s="3" t="s">
        <v>271</v>
      </c>
      <c r="Q524" s="3" t="s">
        <v>164</v>
      </c>
      <c r="R524" s="3" t="s">
        <v>144</v>
      </c>
      <c r="S524" s="3" t="s">
        <v>34</v>
      </c>
      <c r="T524" s="153">
        <v>3.524</v>
      </c>
      <c r="U524" s="3" t="s">
        <v>239</v>
      </c>
      <c r="V524" s="164">
        <v>1.3299999999999999E-2</v>
      </c>
      <c r="W524" s="164">
        <v>2.887E-2</v>
      </c>
      <c r="X524" s="5" t="s">
        <v>146</v>
      </c>
      <c r="Y524" s="5" t="s">
        <v>141</v>
      </c>
      <c r="Z524" s="153">
        <v>63000</v>
      </c>
      <c r="AA524" s="162">
        <v>1</v>
      </c>
      <c r="AB524" s="172">
        <v>112.31</v>
      </c>
      <c r="AD524" s="153">
        <v>70.754999999999995</v>
      </c>
      <c r="AG524" s="3" t="s">
        <v>36</v>
      </c>
      <c r="AH524" s="164">
        <v>5.5999999999999999E-5</v>
      </c>
      <c r="AI524" s="164">
        <v>7.4274691537609102E-3</v>
      </c>
      <c r="AJ524" s="164">
        <v>9.3211287734056502E-4</v>
      </c>
    </row>
    <row r="525" spans="1:36">
      <c r="A525" s="3">
        <v>969</v>
      </c>
      <c r="B525" s="3">
        <v>969</v>
      </c>
      <c r="C525" s="3" t="s">
        <v>267</v>
      </c>
      <c r="D525" s="3" t="s">
        <v>268</v>
      </c>
      <c r="E525" s="5" t="s">
        <v>134</v>
      </c>
      <c r="F525" s="3" t="s">
        <v>275</v>
      </c>
      <c r="G525" s="3" t="s">
        <v>276</v>
      </c>
      <c r="H525" s="3" t="s">
        <v>137</v>
      </c>
      <c r="I525" s="3" t="s">
        <v>138</v>
      </c>
      <c r="J525" s="3" t="s">
        <v>30</v>
      </c>
      <c r="K525" s="3" t="s">
        <v>30</v>
      </c>
      <c r="L525" s="3" t="s">
        <v>139</v>
      </c>
      <c r="M525" s="3" t="s">
        <v>31</v>
      </c>
      <c r="N525" s="3" t="s">
        <v>186</v>
      </c>
      <c r="O525" s="3" t="s">
        <v>141</v>
      </c>
      <c r="P525" s="3" t="s">
        <v>142</v>
      </c>
      <c r="Q525" s="3" t="s">
        <v>143</v>
      </c>
      <c r="R525" s="3" t="s">
        <v>144</v>
      </c>
      <c r="S525" s="3" t="s">
        <v>34</v>
      </c>
      <c r="T525" s="153">
        <v>4.6689999999999996</v>
      </c>
      <c r="U525" s="3" t="s">
        <v>277</v>
      </c>
      <c r="V525" s="164">
        <v>1.8700000000000001E-2</v>
      </c>
      <c r="W525" s="164">
        <v>2.946E-2</v>
      </c>
      <c r="X525" s="5" t="s">
        <v>146</v>
      </c>
      <c r="Y525" s="5" t="s">
        <v>141</v>
      </c>
      <c r="Z525" s="153">
        <v>95454.55</v>
      </c>
      <c r="AA525" s="162">
        <v>1</v>
      </c>
      <c r="AB525" s="172">
        <v>109.28</v>
      </c>
      <c r="AD525" s="153">
        <v>104.313</v>
      </c>
      <c r="AG525" s="3" t="s">
        <v>36</v>
      </c>
      <c r="AH525" s="164">
        <v>9.7999999999999997E-5</v>
      </c>
      <c r="AI525" s="164">
        <v>1.0950128132551499E-2</v>
      </c>
      <c r="AJ525" s="164">
        <v>1.3741902160189E-3</v>
      </c>
    </row>
    <row r="526" spans="1:36">
      <c r="A526" s="3">
        <v>969</v>
      </c>
      <c r="B526" s="3">
        <v>969</v>
      </c>
      <c r="C526" s="3" t="s">
        <v>267</v>
      </c>
      <c r="D526" s="3" t="s">
        <v>268</v>
      </c>
      <c r="E526" s="5" t="s">
        <v>134</v>
      </c>
      <c r="F526" s="3" t="s">
        <v>278</v>
      </c>
      <c r="G526" s="3" t="s">
        <v>279</v>
      </c>
      <c r="H526" s="3" t="s">
        <v>137</v>
      </c>
      <c r="I526" s="3" t="s">
        <v>138</v>
      </c>
      <c r="J526" s="3" t="s">
        <v>30</v>
      </c>
      <c r="K526" s="3" t="s">
        <v>30</v>
      </c>
      <c r="L526" s="3" t="s">
        <v>139</v>
      </c>
      <c r="M526" s="3" t="s">
        <v>31</v>
      </c>
      <c r="N526" s="3" t="s">
        <v>186</v>
      </c>
      <c r="O526" s="3" t="s">
        <v>141</v>
      </c>
      <c r="P526" s="3" t="s">
        <v>271</v>
      </c>
      <c r="Q526" s="3" t="s">
        <v>164</v>
      </c>
      <c r="R526" s="3" t="s">
        <v>144</v>
      </c>
      <c r="S526" s="3" t="s">
        <v>34</v>
      </c>
      <c r="T526" s="153">
        <v>6.9960000000000004</v>
      </c>
      <c r="U526" s="3" t="s">
        <v>280</v>
      </c>
      <c r="V526" s="164">
        <v>3.0599999999999999E-2</v>
      </c>
      <c r="W526" s="164">
        <v>3.1600000000000003E-2</v>
      </c>
      <c r="X526" s="5" t="s">
        <v>146</v>
      </c>
      <c r="Y526" s="5" t="s">
        <v>141</v>
      </c>
      <c r="Z526" s="153">
        <v>139952</v>
      </c>
      <c r="AA526" s="162">
        <v>1</v>
      </c>
      <c r="AB526" s="172">
        <v>101.01</v>
      </c>
      <c r="AD526" s="153">
        <v>141.36600000000001</v>
      </c>
      <c r="AG526" s="3" t="s">
        <v>36</v>
      </c>
      <c r="AH526" s="164">
        <v>1.2899999999999999E-4</v>
      </c>
      <c r="AI526" s="164">
        <v>1.4839708171027701E-2</v>
      </c>
      <c r="AJ526" s="164">
        <v>1.86231444329687E-3</v>
      </c>
    </row>
    <row r="527" spans="1:36">
      <c r="A527" s="3">
        <v>969</v>
      </c>
      <c r="B527" s="3">
        <v>969</v>
      </c>
      <c r="C527" s="3" t="s">
        <v>281</v>
      </c>
      <c r="D527" s="3" t="s">
        <v>282</v>
      </c>
      <c r="E527" s="5" t="s">
        <v>134</v>
      </c>
      <c r="F527" s="3" t="s">
        <v>283</v>
      </c>
      <c r="G527" s="3" t="s">
        <v>284</v>
      </c>
      <c r="H527" s="3" t="s">
        <v>137</v>
      </c>
      <c r="I527" s="3" t="s">
        <v>138</v>
      </c>
      <c r="J527" s="3" t="s">
        <v>30</v>
      </c>
      <c r="K527" s="3" t="s">
        <v>30</v>
      </c>
      <c r="L527" s="3" t="s">
        <v>139</v>
      </c>
      <c r="M527" s="3" t="s">
        <v>31</v>
      </c>
      <c r="N527" s="3" t="s">
        <v>285</v>
      </c>
      <c r="O527" s="3" t="s">
        <v>141</v>
      </c>
      <c r="P527" s="3" t="s">
        <v>286</v>
      </c>
      <c r="Q527" s="3" t="s">
        <v>143</v>
      </c>
      <c r="R527" s="3" t="s">
        <v>144</v>
      </c>
      <c r="S527" s="3" t="s">
        <v>34</v>
      </c>
      <c r="T527" s="153">
        <v>2.8420000000000001</v>
      </c>
      <c r="U527" s="3" t="s">
        <v>287</v>
      </c>
      <c r="V527" s="164">
        <v>2.52E-2</v>
      </c>
      <c r="W527" s="164">
        <v>2.5590000000000002E-2</v>
      </c>
      <c r="X527" s="5" t="s">
        <v>146</v>
      </c>
      <c r="Y527" s="5" t="s">
        <v>141</v>
      </c>
      <c r="Z527" s="153">
        <v>105058</v>
      </c>
      <c r="AA527" s="162">
        <v>1</v>
      </c>
      <c r="AB527" s="172">
        <v>100.78</v>
      </c>
      <c r="AD527" s="153">
        <v>105.877</v>
      </c>
      <c r="AG527" s="3" t="s">
        <v>36</v>
      </c>
      <c r="AH527" s="164">
        <v>6.2000000000000003E-5</v>
      </c>
      <c r="AI527" s="164">
        <v>1.1114383117304101E-2</v>
      </c>
      <c r="AJ527" s="164">
        <v>1.3948034536218901E-3</v>
      </c>
    </row>
    <row r="528" spans="1:36">
      <c r="A528" s="3">
        <v>969</v>
      </c>
      <c r="B528" s="3">
        <v>969</v>
      </c>
      <c r="C528" s="3" t="s">
        <v>259</v>
      </c>
      <c r="D528" s="3" t="s">
        <v>260</v>
      </c>
      <c r="E528" s="5" t="s">
        <v>134</v>
      </c>
      <c r="F528" s="3" t="s">
        <v>288</v>
      </c>
      <c r="G528" s="3" t="s">
        <v>289</v>
      </c>
      <c r="H528" s="3" t="s">
        <v>137</v>
      </c>
      <c r="I528" s="3" t="s">
        <v>156</v>
      </c>
      <c r="J528" s="3" t="s">
        <v>30</v>
      </c>
      <c r="K528" s="3" t="s">
        <v>30</v>
      </c>
      <c r="L528" s="3" t="s">
        <v>139</v>
      </c>
      <c r="M528" s="3" t="s">
        <v>31</v>
      </c>
      <c r="N528" s="3" t="s">
        <v>151</v>
      </c>
      <c r="O528" s="3" t="s">
        <v>141</v>
      </c>
      <c r="P528" s="3" t="s">
        <v>152</v>
      </c>
      <c r="Q528" s="3" t="s">
        <v>143</v>
      </c>
      <c r="R528" s="3" t="s">
        <v>144</v>
      </c>
      <c r="S528" s="3" t="s">
        <v>34</v>
      </c>
      <c r="T528" s="153">
        <v>3.8719999999999999</v>
      </c>
      <c r="U528" s="3" t="s">
        <v>290</v>
      </c>
      <c r="V528" s="164">
        <v>5.7500000000000002E-2</v>
      </c>
      <c r="W528" s="164">
        <v>5.033E-2</v>
      </c>
      <c r="X528" s="5" t="s">
        <v>146</v>
      </c>
      <c r="Y528" s="5" t="s">
        <v>141</v>
      </c>
      <c r="Z528" s="153">
        <v>70828</v>
      </c>
      <c r="AA528" s="162">
        <v>1</v>
      </c>
      <c r="AB528" s="172">
        <v>103.14</v>
      </c>
      <c r="AD528" s="153">
        <v>73.052000000000007</v>
      </c>
      <c r="AG528" s="3" t="s">
        <v>36</v>
      </c>
      <c r="AH528" s="164">
        <v>1.35E-4</v>
      </c>
      <c r="AI528" s="164">
        <v>7.6685629299651998E-3</v>
      </c>
      <c r="AJ528" s="164">
        <v>9.6236902634562601E-4</v>
      </c>
    </row>
    <row r="529" spans="1:36">
      <c r="A529" s="3">
        <v>969</v>
      </c>
      <c r="B529" s="3">
        <v>969</v>
      </c>
      <c r="C529" s="3" t="s">
        <v>291</v>
      </c>
      <c r="D529" s="3" t="s">
        <v>292</v>
      </c>
      <c r="E529" s="5" t="s">
        <v>134</v>
      </c>
      <c r="F529" s="3" t="s">
        <v>293</v>
      </c>
      <c r="G529" s="3" t="s">
        <v>294</v>
      </c>
      <c r="H529" s="3" t="s">
        <v>137</v>
      </c>
      <c r="I529" s="3" t="s">
        <v>156</v>
      </c>
      <c r="J529" s="3" t="s">
        <v>30</v>
      </c>
      <c r="K529" s="3" t="s">
        <v>30</v>
      </c>
      <c r="L529" s="3" t="s">
        <v>139</v>
      </c>
      <c r="M529" s="3" t="s">
        <v>31</v>
      </c>
      <c r="N529" s="3" t="s">
        <v>186</v>
      </c>
      <c r="O529" s="3" t="s">
        <v>141</v>
      </c>
      <c r="P529" s="3" t="s">
        <v>180</v>
      </c>
      <c r="Q529" s="3" t="s">
        <v>143</v>
      </c>
      <c r="R529" s="3" t="s">
        <v>144</v>
      </c>
      <c r="S529" s="3" t="s">
        <v>34</v>
      </c>
      <c r="T529" s="153">
        <v>4.5410000000000004</v>
      </c>
      <c r="U529" s="3" t="s">
        <v>295</v>
      </c>
      <c r="V529" s="164">
        <v>2.5499999999999998E-2</v>
      </c>
      <c r="W529" s="164">
        <v>4.9320000000000003E-2</v>
      </c>
      <c r="X529" s="5" t="s">
        <v>146</v>
      </c>
      <c r="Y529" s="5" t="s">
        <v>141</v>
      </c>
      <c r="Z529" s="153">
        <v>84229.15</v>
      </c>
      <c r="AA529" s="162">
        <v>1</v>
      </c>
      <c r="AB529" s="172">
        <v>90.63</v>
      </c>
      <c r="AD529" s="153">
        <v>76.337000000000003</v>
      </c>
      <c r="AG529" s="3" t="s">
        <v>36</v>
      </c>
      <c r="AH529" s="164">
        <v>3.0000000000000001E-5</v>
      </c>
      <c r="AI529" s="164">
        <v>8.0133899712124292E-3</v>
      </c>
      <c r="AJ529" s="164">
        <v>1.00564321826052E-3</v>
      </c>
    </row>
    <row r="530" spans="1:36">
      <c r="A530" s="3">
        <v>969</v>
      </c>
      <c r="B530" s="3">
        <v>969</v>
      </c>
      <c r="C530" s="3" t="s">
        <v>291</v>
      </c>
      <c r="D530" s="3" t="s">
        <v>292</v>
      </c>
      <c r="E530" s="5" t="s">
        <v>134</v>
      </c>
      <c r="F530" s="3" t="s">
        <v>299</v>
      </c>
      <c r="G530" s="3" t="s">
        <v>300</v>
      </c>
      <c r="H530" s="3" t="s">
        <v>137</v>
      </c>
      <c r="I530" s="3" t="s">
        <v>138</v>
      </c>
      <c r="J530" s="3" t="s">
        <v>30</v>
      </c>
      <c r="K530" s="3" t="s">
        <v>30</v>
      </c>
      <c r="L530" s="3" t="s">
        <v>139</v>
      </c>
      <c r="M530" s="3" t="s">
        <v>31</v>
      </c>
      <c r="N530" s="3" t="s">
        <v>186</v>
      </c>
      <c r="O530" s="3" t="s">
        <v>141</v>
      </c>
      <c r="P530" s="3" t="s">
        <v>180</v>
      </c>
      <c r="Q530" s="3" t="s">
        <v>143</v>
      </c>
      <c r="R530" s="3" t="s">
        <v>144</v>
      </c>
      <c r="S530" s="3" t="s">
        <v>34</v>
      </c>
      <c r="T530" s="153">
        <v>4.1829999999999998</v>
      </c>
      <c r="U530" s="3" t="s">
        <v>301</v>
      </c>
      <c r="V530" s="164">
        <v>5.8999999999999999E-3</v>
      </c>
      <c r="W530" s="164">
        <v>2.921E-2</v>
      </c>
      <c r="X530" s="5" t="s">
        <v>146</v>
      </c>
      <c r="Y530" s="5" t="s">
        <v>141</v>
      </c>
      <c r="Z530" s="153">
        <v>112131</v>
      </c>
      <c r="AA530" s="162">
        <v>1</v>
      </c>
      <c r="AB530" s="172">
        <v>104.71</v>
      </c>
      <c r="AD530" s="153">
        <v>117.41200000000001</v>
      </c>
      <c r="AG530" s="3" t="s">
        <v>36</v>
      </c>
      <c r="AH530" s="164">
        <v>8.0000000000000007E-5</v>
      </c>
      <c r="AI530" s="164">
        <v>1.2325249941526799E-2</v>
      </c>
      <c r="AJ530" s="164">
        <v>1.54676161544487E-3</v>
      </c>
    </row>
    <row r="531" spans="1:36">
      <c r="A531" s="3">
        <v>969</v>
      </c>
      <c r="B531" s="3">
        <v>969</v>
      </c>
      <c r="C531" s="3" t="s">
        <v>291</v>
      </c>
      <c r="D531" s="3" t="s">
        <v>292</v>
      </c>
      <c r="E531" s="5" t="s">
        <v>134</v>
      </c>
      <c r="F531" s="3" t="s">
        <v>302</v>
      </c>
      <c r="G531" s="3" t="s">
        <v>303</v>
      </c>
      <c r="H531" s="3" t="s">
        <v>137</v>
      </c>
      <c r="I531" s="3" t="s">
        <v>138</v>
      </c>
      <c r="J531" s="3" t="s">
        <v>30</v>
      </c>
      <c r="K531" s="3" t="s">
        <v>30</v>
      </c>
      <c r="L531" s="3" t="s">
        <v>139</v>
      </c>
      <c r="M531" s="3" t="s">
        <v>31</v>
      </c>
      <c r="N531" s="3" t="s">
        <v>186</v>
      </c>
      <c r="O531" s="3" t="s">
        <v>141</v>
      </c>
      <c r="P531" s="3" t="s">
        <v>180</v>
      </c>
      <c r="Q531" s="3" t="s">
        <v>143</v>
      </c>
      <c r="R531" s="3" t="s">
        <v>144</v>
      </c>
      <c r="S531" s="3" t="s">
        <v>34</v>
      </c>
      <c r="T531" s="153">
        <v>2.8519999999999999</v>
      </c>
      <c r="U531" s="3" t="s">
        <v>79</v>
      </c>
      <c r="V531" s="164">
        <v>3.3399999999999999E-2</v>
      </c>
      <c r="W531" s="164">
        <v>2.8539999999999999E-2</v>
      </c>
      <c r="X531" s="5" t="s">
        <v>146</v>
      </c>
      <c r="Y531" s="5" t="s">
        <v>141</v>
      </c>
      <c r="Z531" s="153">
        <v>116297</v>
      </c>
      <c r="AA531" s="162">
        <v>1</v>
      </c>
      <c r="AB531" s="172">
        <v>106.04</v>
      </c>
      <c r="AD531" s="153">
        <v>123.321</v>
      </c>
      <c r="AG531" s="3" t="s">
        <v>36</v>
      </c>
      <c r="AH531" s="164">
        <v>1.08E-4</v>
      </c>
      <c r="AI531" s="164">
        <v>1.29455382132151E-2</v>
      </c>
      <c r="AJ531" s="164">
        <v>1.62460491223073E-3</v>
      </c>
    </row>
    <row r="532" spans="1:36">
      <c r="A532" s="3">
        <v>969</v>
      </c>
      <c r="B532" s="3">
        <v>969</v>
      </c>
      <c r="C532" s="3" t="s">
        <v>291</v>
      </c>
      <c r="D532" s="3" t="s">
        <v>292</v>
      </c>
      <c r="E532" s="5" t="s">
        <v>134</v>
      </c>
      <c r="F532" s="3" t="s">
        <v>304</v>
      </c>
      <c r="G532" s="3" t="s">
        <v>305</v>
      </c>
      <c r="H532" s="3" t="s">
        <v>137</v>
      </c>
      <c r="I532" s="3" t="s">
        <v>138</v>
      </c>
      <c r="J532" s="3" t="s">
        <v>30</v>
      </c>
      <c r="K532" s="3" t="s">
        <v>30</v>
      </c>
      <c r="L532" s="3" t="s">
        <v>139</v>
      </c>
      <c r="M532" s="3" t="s">
        <v>31</v>
      </c>
      <c r="N532" s="3" t="s">
        <v>186</v>
      </c>
      <c r="O532" s="3" t="s">
        <v>141</v>
      </c>
      <c r="P532" s="3" t="s">
        <v>180</v>
      </c>
      <c r="Q532" s="3" t="s">
        <v>143</v>
      </c>
      <c r="R532" s="3" t="s">
        <v>144</v>
      </c>
      <c r="S532" s="3" t="s">
        <v>34</v>
      </c>
      <c r="T532" s="153">
        <v>0.48199999999999998</v>
      </c>
      <c r="U532" s="3" t="s">
        <v>306</v>
      </c>
      <c r="V532" s="164">
        <v>4.7500000000000001E-2</v>
      </c>
      <c r="W532" s="164">
        <v>5.2159999999999998E-2</v>
      </c>
      <c r="X532" s="5" t="s">
        <v>146</v>
      </c>
      <c r="Y532" s="5" t="s">
        <v>141</v>
      </c>
      <c r="Z532" s="153">
        <v>35823.24</v>
      </c>
      <c r="AA532" s="162">
        <v>1</v>
      </c>
      <c r="AB532" s="172">
        <v>143.80000000000001</v>
      </c>
      <c r="AD532" s="153">
        <v>51.514000000000003</v>
      </c>
      <c r="AG532" s="3" t="s">
        <v>36</v>
      </c>
      <c r="AH532" s="164">
        <v>7.4999999999999993E-5</v>
      </c>
      <c r="AI532" s="164">
        <v>5.4076133166875004E-3</v>
      </c>
      <c r="AJ532" s="164">
        <v>6.7863035225268801E-4</v>
      </c>
    </row>
    <row r="533" spans="1:36">
      <c r="A533" s="3">
        <v>969</v>
      </c>
      <c r="B533" s="3">
        <v>969</v>
      </c>
      <c r="C533" s="3" t="s">
        <v>307</v>
      </c>
      <c r="D533" s="3" t="s">
        <v>308</v>
      </c>
      <c r="E533" s="5" t="s">
        <v>134</v>
      </c>
      <c r="F533" s="3" t="s">
        <v>309</v>
      </c>
      <c r="G533" s="3" t="s">
        <v>310</v>
      </c>
      <c r="H533" s="3" t="s">
        <v>137</v>
      </c>
      <c r="I533" s="3" t="s">
        <v>138</v>
      </c>
      <c r="J533" s="3" t="s">
        <v>30</v>
      </c>
      <c r="K533" s="3" t="s">
        <v>30</v>
      </c>
      <c r="L533" s="3" t="s">
        <v>139</v>
      </c>
      <c r="M533" s="3" t="s">
        <v>31</v>
      </c>
      <c r="N533" s="3" t="s">
        <v>285</v>
      </c>
      <c r="O533" s="3" t="s">
        <v>141</v>
      </c>
      <c r="P533" s="3" t="s">
        <v>286</v>
      </c>
      <c r="Q533" s="3" t="s">
        <v>143</v>
      </c>
      <c r="R533" s="3" t="s">
        <v>144</v>
      </c>
      <c r="S533" s="3" t="s">
        <v>34</v>
      </c>
      <c r="T533" s="153">
        <v>4.633</v>
      </c>
      <c r="U533" s="3" t="s">
        <v>311</v>
      </c>
      <c r="V533" s="164">
        <v>2.47E-2</v>
      </c>
      <c r="W533" s="164">
        <v>2.5909999999999999E-2</v>
      </c>
      <c r="X533" s="5" t="s">
        <v>146</v>
      </c>
      <c r="Y533" s="5" t="s">
        <v>141</v>
      </c>
      <c r="Z533" s="153">
        <v>159172.65</v>
      </c>
      <c r="AA533" s="162">
        <v>1</v>
      </c>
      <c r="AB533" s="172">
        <v>105.47</v>
      </c>
      <c r="AD533" s="153">
        <v>167.87899999999999</v>
      </c>
      <c r="AG533" s="3" t="s">
        <v>36</v>
      </c>
      <c r="AH533" s="164">
        <v>6.0999999999999999E-5</v>
      </c>
      <c r="AI533" s="164">
        <v>1.76229769381635E-2</v>
      </c>
      <c r="AJ533" s="164">
        <v>2.2116017449658899E-3</v>
      </c>
    </row>
    <row r="534" spans="1:36">
      <c r="A534" s="3">
        <v>969</v>
      </c>
      <c r="B534" s="3">
        <v>969</v>
      </c>
      <c r="C534" s="3" t="s">
        <v>307</v>
      </c>
      <c r="D534" s="3" t="s">
        <v>308</v>
      </c>
      <c r="E534" s="5" t="s">
        <v>134</v>
      </c>
      <c r="F534" s="3" t="s">
        <v>588</v>
      </c>
      <c r="G534" s="3" t="s">
        <v>589</v>
      </c>
      <c r="H534" s="3" t="s">
        <v>137</v>
      </c>
      <c r="I534" s="3" t="s">
        <v>138</v>
      </c>
      <c r="J534" s="3" t="s">
        <v>30</v>
      </c>
      <c r="K534" s="3" t="s">
        <v>30</v>
      </c>
      <c r="L534" s="3" t="s">
        <v>139</v>
      </c>
      <c r="M534" s="3" t="s">
        <v>31</v>
      </c>
      <c r="N534" s="3" t="s">
        <v>285</v>
      </c>
      <c r="O534" s="3" t="s">
        <v>141</v>
      </c>
      <c r="P534" s="3" t="s">
        <v>286</v>
      </c>
      <c r="Q534" s="3" t="s">
        <v>143</v>
      </c>
      <c r="R534" s="3" t="s">
        <v>144</v>
      </c>
      <c r="S534" s="3" t="s">
        <v>34</v>
      </c>
      <c r="T534" s="153">
        <v>4.5570000000000004</v>
      </c>
      <c r="U534" s="3" t="s">
        <v>311</v>
      </c>
      <c r="V534" s="164">
        <v>2.4E-2</v>
      </c>
      <c r="W534" s="164">
        <v>2.545E-2</v>
      </c>
      <c r="X534" s="5" t="s">
        <v>146</v>
      </c>
      <c r="Y534" s="5" t="s">
        <v>141</v>
      </c>
      <c r="Z534" s="153">
        <v>100000</v>
      </c>
      <c r="AA534" s="162">
        <v>1</v>
      </c>
      <c r="AB534" s="172">
        <v>104.06</v>
      </c>
      <c r="AD534" s="153">
        <v>104.06</v>
      </c>
      <c r="AG534" s="3" t="s">
        <v>36</v>
      </c>
      <c r="AH534" s="164">
        <v>4.5000000000000003E-5</v>
      </c>
      <c r="AI534" s="164">
        <v>1.0923597810204499E-2</v>
      </c>
      <c r="AJ534" s="164">
        <v>1.3708607838007799E-3</v>
      </c>
    </row>
    <row r="535" spans="1:36">
      <c r="A535" s="3">
        <v>969</v>
      </c>
      <c r="B535" s="3">
        <v>969</v>
      </c>
      <c r="C535" s="3" t="s">
        <v>307</v>
      </c>
      <c r="D535" s="3" t="s">
        <v>308</v>
      </c>
      <c r="E535" s="5" t="s">
        <v>134</v>
      </c>
      <c r="F535" s="3" t="s">
        <v>319</v>
      </c>
      <c r="G535" s="3" t="s">
        <v>320</v>
      </c>
      <c r="H535" s="3" t="s">
        <v>137</v>
      </c>
      <c r="I535" s="3" t="s">
        <v>138</v>
      </c>
      <c r="J535" s="3" t="s">
        <v>30</v>
      </c>
      <c r="K535" s="3" t="s">
        <v>30</v>
      </c>
      <c r="L535" s="3" t="s">
        <v>139</v>
      </c>
      <c r="M535" s="3" t="s">
        <v>31</v>
      </c>
      <c r="N535" s="3" t="s">
        <v>285</v>
      </c>
      <c r="O535" s="3" t="s">
        <v>141</v>
      </c>
      <c r="P535" s="3" t="s">
        <v>142</v>
      </c>
      <c r="Q535" s="3" t="s">
        <v>143</v>
      </c>
      <c r="R535" s="3" t="s">
        <v>144</v>
      </c>
      <c r="S535" s="3" t="s">
        <v>34</v>
      </c>
      <c r="T535" s="153">
        <v>2.9740000000000002</v>
      </c>
      <c r="U535" s="3" t="s">
        <v>321</v>
      </c>
      <c r="V535" s="164">
        <v>3.1699999999999999E-2</v>
      </c>
      <c r="W535" s="164">
        <v>2.8660000000000001E-2</v>
      </c>
      <c r="X535" s="5" t="s">
        <v>146</v>
      </c>
      <c r="Y535" s="5" t="s">
        <v>141</v>
      </c>
      <c r="Z535" s="153">
        <v>100000</v>
      </c>
      <c r="AA535" s="162">
        <v>1</v>
      </c>
      <c r="AB535" s="172">
        <v>114.09</v>
      </c>
      <c r="AD535" s="153">
        <v>114.09</v>
      </c>
      <c r="AG535" s="3" t="s">
        <v>36</v>
      </c>
      <c r="AH535" s="164">
        <v>1.18E-4</v>
      </c>
      <c r="AI535" s="164">
        <v>1.19764873550473E-2</v>
      </c>
      <c r="AJ535" s="164">
        <v>1.5029935308844E-3</v>
      </c>
    </row>
    <row r="536" spans="1:36">
      <c r="A536" s="3">
        <v>969</v>
      </c>
      <c r="B536" s="3">
        <v>969</v>
      </c>
      <c r="C536" s="3" t="s">
        <v>322</v>
      </c>
      <c r="D536" s="3" t="s">
        <v>323</v>
      </c>
      <c r="E536" s="5" t="s">
        <v>134</v>
      </c>
      <c r="F536" s="3" t="s">
        <v>324</v>
      </c>
      <c r="G536" s="3" t="s">
        <v>325</v>
      </c>
      <c r="H536" s="3" t="s">
        <v>137</v>
      </c>
      <c r="I536" s="3" t="s">
        <v>138</v>
      </c>
      <c r="J536" s="3" t="s">
        <v>30</v>
      </c>
      <c r="K536" s="3" t="s">
        <v>30</v>
      </c>
      <c r="L536" s="3" t="s">
        <v>139</v>
      </c>
      <c r="M536" s="3" t="s">
        <v>31</v>
      </c>
      <c r="N536" s="3" t="s">
        <v>151</v>
      </c>
      <c r="O536" s="3" t="s">
        <v>141</v>
      </c>
      <c r="P536" s="3" t="s">
        <v>209</v>
      </c>
      <c r="Q536" s="3" t="s">
        <v>164</v>
      </c>
      <c r="R536" s="3" t="s">
        <v>144</v>
      </c>
      <c r="S536" s="3" t="s">
        <v>34</v>
      </c>
      <c r="T536" s="153">
        <v>3.2109999999999999</v>
      </c>
      <c r="U536" s="3" t="s">
        <v>326</v>
      </c>
      <c r="V536" s="164">
        <v>1.7999999999999999E-2</v>
      </c>
      <c r="W536" s="164">
        <v>3.2000000000000001E-2</v>
      </c>
      <c r="X536" s="5" t="s">
        <v>146</v>
      </c>
      <c r="Y536" s="5" t="s">
        <v>141</v>
      </c>
      <c r="Z536" s="153">
        <v>45430.12</v>
      </c>
      <c r="AA536" s="162">
        <v>1</v>
      </c>
      <c r="AB536" s="172">
        <v>113.57</v>
      </c>
      <c r="AD536" s="153">
        <v>51.594999999999999</v>
      </c>
      <c r="AG536" s="3" t="s">
        <v>36</v>
      </c>
      <c r="AH536" s="164">
        <v>5.1999999999999997E-5</v>
      </c>
      <c r="AI536" s="164">
        <v>5.4161338661640399E-3</v>
      </c>
      <c r="AJ536" s="164">
        <v>6.79699641633052E-4</v>
      </c>
    </row>
    <row r="537" spans="1:36">
      <c r="A537" s="3">
        <v>969</v>
      </c>
      <c r="B537" s="3">
        <v>969</v>
      </c>
      <c r="C537" s="3" t="s">
        <v>322</v>
      </c>
      <c r="D537" s="3" t="s">
        <v>323</v>
      </c>
      <c r="E537" s="5" t="s">
        <v>134</v>
      </c>
      <c r="F537" s="3" t="s">
        <v>327</v>
      </c>
      <c r="G537" s="3" t="s">
        <v>328</v>
      </c>
      <c r="H537" s="3" t="s">
        <v>137</v>
      </c>
      <c r="I537" s="3" t="s">
        <v>138</v>
      </c>
      <c r="J537" s="3" t="s">
        <v>30</v>
      </c>
      <c r="K537" s="3" t="s">
        <v>30</v>
      </c>
      <c r="L537" s="3" t="s">
        <v>139</v>
      </c>
      <c r="M537" s="3" t="s">
        <v>31</v>
      </c>
      <c r="N537" s="3" t="s">
        <v>151</v>
      </c>
      <c r="O537" s="3" t="s">
        <v>141</v>
      </c>
      <c r="P537" s="3" t="s">
        <v>329</v>
      </c>
      <c r="Q537" s="3" t="s">
        <v>143</v>
      </c>
      <c r="R537" s="3" t="s">
        <v>144</v>
      </c>
      <c r="S537" s="3" t="s">
        <v>34</v>
      </c>
      <c r="T537" s="153">
        <v>5.5270000000000001</v>
      </c>
      <c r="U537" s="3" t="s">
        <v>330</v>
      </c>
      <c r="V537" s="164">
        <v>3.3000000000000002E-2</v>
      </c>
      <c r="W537" s="164">
        <v>3.5090000000000003E-2</v>
      </c>
      <c r="X537" s="5" t="s">
        <v>146</v>
      </c>
      <c r="Y537" s="5" t="s">
        <v>141</v>
      </c>
      <c r="Z537" s="153">
        <v>150993.60000000001</v>
      </c>
      <c r="AA537" s="162">
        <v>1</v>
      </c>
      <c r="AB537" s="172">
        <v>108.72</v>
      </c>
      <c r="AD537" s="153">
        <v>164.16</v>
      </c>
      <c r="AG537" s="3" t="s">
        <v>36</v>
      </c>
      <c r="AH537" s="164">
        <v>1.27E-4</v>
      </c>
      <c r="AI537" s="164">
        <v>1.7232562551988701E-2</v>
      </c>
      <c r="AJ537" s="164">
        <v>2.1626065530211099E-3</v>
      </c>
    </row>
    <row r="538" spans="1:36">
      <c r="A538" s="3">
        <v>969</v>
      </c>
      <c r="B538" s="3">
        <v>969</v>
      </c>
      <c r="C538" s="3" t="s">
        <v>331</v>
      </c>
      <c r="D538" s="3" t="s">
        <v>332</v>
      </c>
      <c r="E538" s="5" t="s">
        <v>134</v>
      </c>
      <c r="F538" s="3" t="s">
        <v>333</v>
      </c>
      <c r="G538" s="3" t="s">
        <v>334</v>
      </c>
      <c r="H538" s="3" t="s">
        <v>137</v>
      </c>
      <c r="I538" s="3" t="s">
        <v>138</v>
      </c>
      <c r="J538" s="3" t="s">
        <v>30</v>
      </c>
      <c r="K538" s="3" t="s">
        <v>30</v>
      </c>
      <c r="L538" s="3" t="s">
        <v>139</v>
      </c>
      <c r="M538" s="3" t="s">
        <v>31</v>
      </c>
      <c r="N538" s="3" t="s">
        <v>186</v>
      </c>
      <c r="O538" s="3" t="s">
        <v>141</v>
      </c>
      <c r="P538" s="3" t="s">
        <v>329</v>
      </c>
      <c r="Q538" s="3" t="s">
        <v>143</v>
      </c>
      <c r="R538" s="3" t="s">
        <v>144</v>
      </c>
      <c r="S538" s="3" t="s">
        <v>34</v>
      </c>
      <c r="T538" s="153">
        <v>1.6659999999999999</v>
      </c>
      <c r="U538" s="3" t="s">
        <v>165</v>
      </c>
      <c r="V538" s="164">
        <v>3.6499999999999998E-2</v>
      </c>
      <c r="W538" s="164">
        <v>3.1359999999999999E-2</v>
      </c>
      <c r="X538" s="5" t="s">
        <v>146</v>
      </c>
      <c r="Y538" s="5" t="s">
        <v>141</v>
      </c>
      <c r="Z538" s="153">
        <v>64000</v>
      </c>
      <c r="AA538" s="162">
        <v>1</v>
      </c>
      <c r="AB538" s="172">
        <v>112.18</v>
      </c>
      <c r="AD538" s="153">
        <v>71.795000000000002</v>
      </c>
      <c r="AG538" s="3" t="s">
        <v>36</v>
      </c>
      <c r="AH538" s="164">
        <v>2.4499999999999999E-4</v>
      </c>
      <c r="AI538" s="164">
        <v>7.5366316500402796E-3</v>
      </c>
      <c r="AJ538" s="164">
        <v>9.4581226355115895E-4</v>
      </c>
    </row>
    <row r="539" spans="1:36">
      <c r="A539" s="3">
        <v>969</v>
      </c>
      <c r="B539" s="3">
        <v>969</v>
      </c>
      <c r="C539" s="3" t="s">
        <v>331</v>
      </c>
      <c r="D539" s="3" t="s">
        <v>332</v>
      </c>
      <c r="E539" s="5" t="s">
        <v>134</v>
      </c>
      <c r="F539" s="3" t="s">
        <v>335</v>
      </c>
      <c r="G539" s="3" t="s">
        <v>336</v>
      </c>
      <c r="H539" s="3" t="s">
        <v>137</v>
      </c>
      <c r="I539" s="3" t="s">
        <v>138</v>
      </c>
      <c r="J539" s="3" t="s">
        <v>30</v>
      </c>
      <c r="K539" s="3" t="s">
        <v>30</v>
      </c>
      <c r="L539" s="3" t="s">
        <v>139</v>
      </c>
      <c r="M539" s="3" t="s">
        <v>31</v>
      </c>
      <c r="N539" s="3" t="s">
        <v>186</v>
      </c>
      <c r="O539" s="3" t="s">
        <v>141</v>
      </c>
      <c r="P539" s="3" t="s">
        <v>230</v>
      </c>
      <c r="Q539" s="3" t="s">
        <v>143</v>
      </c>
      <c r="R539" s="3" t="s">
        <v>144</v>
      </c>
      <c r="S539" s="3" t="s">
        <v>34</v>
      </c>
      <c r="T539" s="153">
        <v>1.996</v>
      </c>
      <c r="U539" s="3" t="s">
        <v>337</v>
      </c>
      <c r="V539" s="164">
        <v>1.7999999999999999E-2</v>
      </c>
      <c r="W539" s="164">
        <v>3.0210000000000001E-2</v>
      </c>
      <c r="X539" s="5" t="s">
        <v>146</v>
      </c>
      <c r="Y539" s="5" t="s">
        <v>141</v>
      </c>
      <c r="Z539" s="153">
        <v>0.12</v>
      </c>
      <c r="AA539" s="162">
        <v>1</v>
      </c>
      <c r="AB539" s="172">
        <v>116.94</v>
      </c>
      <c r="AD539" s="153">
        <v>0</v>
      </c>
      <c r="AG539" s="3" t="s">
        <v>36</v>
      </c>
      <c r="AH539" s="164">
        <v>0</v>
      </c>
      <c r="AI539" s="164">
        <v>1.47307960168208E-8</v>
      </c>
      <c r="AJ539" s="164">
        <v>1.8486464738535001E-9</v>
      </c>
    </row>
    <row r="540" spans="1:36">
      <c r="A540" s="3">
        <v>969</v>
      </c>
      <c r="B540" s="3">
        <v>969</v>
      </c>
      <c r="C540" s="3" t="s">
        <v>338</v>
      </c>
      <c r="D540" s="3" t="s">
        <v>339</v>
      </c>
      <c r="E540" s="5" t="s">
        <v>134</v>
      </c>
      <c r="F540" s="3" t="s">
        <v>590</v>
      </c>
      <c r="G540" s="3" t="s">
        <v>591</v>
      </c>
      <c r="H540" s="3" t="s">
        <v>137</v>
      </c>
      <c r="I540" s="3" t="s">
        <v>156</v>
      </c>
      <c r="J540" s="3" t="s">
        <v>30</v>
      </c>
      <c r="K540" s="3" t="s">
        <v>30</v>
      </c>
      <c r="L540" s="3" t="s">
        <v>139</v>
      </c>
      <c r="M540" s="3" t="s">
        <v>31</v>
      </c>
      <c r="N540" s="3" t="s">
        <v>170</v>
      </c>
      <c r="O540" s="3" t="s">
        <v>141</v>
      </c>
      <c r="P540" s="3" t="s">
        <v>142</v>
      </c>
      <c r="Q540" s="3" t="s">
        <v>143</v>
      </c>
      <c r="R540" s="3" t="s">
        <v>144</v>
      </c>
      <c r="S540" s="3" t="s">
        <v>34</v>
      </c>
      <c r="T540" s="153">
        <v>5.6509999999999998</v>
      </c>
      <c r="U540" s="3" t="s">
        <v>592</v>
      </c>
      <c r="V540" s="164">
        <v>3.0499999999999999E-2</v>
      </c>
      <c r="W540" s="164">
        <v>4.6489999999999997E-2</v>
      </c>
      <c r="X540" s="5" t="s">
        <v>146</v>
      </c>
      <c r="Y540" s="5" t="s">
        <v>141</v>
      </c>
      <c r="Z540" s="153">
        <v>73032</v>
      </c>
      <c r="AA540" s="162">
        <v>1</v>
      </c>
      <c r="AB540" s="172">
        <v>92.49</v>
      </c>
      <c r="AD540" s="153">
        <v>67.546999999999997</v>
      </c>
      <c r="AG540" s="3" t="s">
        <v>36</v>
      </c>
      <c r="AH540" s="164">
        <v>1.07E-4</v>
      </c>
      <c r="AI540" s="164">
        <v>7.0907121219460998E-3</v>
      </c>
      <c r="AJ540" s="164">
        <v>8.8985143412331096E-4</v>
      </c>
    </row>
    <row r="541" spans="1:36">
      <c r="A541" s="3">
        <v>969</v>
      </c>
      <c r="B541" s="3">
        <v>969</v>
      </c>
      <c r="C541" s="3" t="s">
        <v>338</v>
      </c>
      <c r="D541" s="3" t="s">
        <v>339</v>
      </c>
      <c r="E541" s="5" t="s">
        <v>134</v>
      </c>
      <c r="F541" s="3" t="s">
        <v>340</v>
      </c>
      <c r="G541" s="3" t="s">
        <v>341</v>
      </c>
      <c r="H541" s="3" t="s">
        <v>137</v>
      </c>
      <c r="I541" s="3" t="s">
        <v>156</v>
      </c>
      <c r="J541" s="3" t="s">
        <v>30</v>
      </c>
      <c r="K541" s="3" t="s">
        <v>30</v>
      </c>
      <c r="L541" s="3" t="s">
        <v>139</v>
      </c>
      <c r="M541" s="3" t="s">
        <v>31</v>
      </c>
      <c r="N541" s="3" t="s">
        <v>170</v>
      </c>
      <c r="O541" s="3" t="s">
        <v>141</v>
      </c>
      <c r="P541" s="3" t="s">
        <v>152</v>
      </c>
      <c r="Q541" s="3" t="s">
        <v>143</v>
      </c>
      <c r="R541" s="3" t="s">
        <v>144</v>
      </c>
      <c r="S541" s="3" t="s">
        <v>34</v>
      </c>
      <c r="T541" s="153">
        <v>7.4459999999999997</v>
      </c>
      <c r="U541" s="3" t="s">
        <v>342</v>
      </c>
      <c r="V541" s="164">
        <v>5.8500000000000003E-2</v>
      </c>
      <c r="W541" s="164">
        <v>5.2249999999999998E-2</v>
      </c>
      <c r="X541" s="5" t="s">
        <v>146</v>
      </c>
      <c r="Y541" s="5" t="s">
        <v>141</v>
      </c>
      <c r="Z541" s="153">
        <v>90000</v>
      </c>
      <c r="AA541" s="162">
        <v>1</v>
      </c>
      <c r="AB541" s="172">
        <v>107.8</v>
      </c>
      <c r="AD541" s="153">
        <v>97.02</v>
      </c>
      <c r="AG541" s="3" t="s">
        <v>36</v>
      </c>
      <c r="AH541" s="164">
        <v>9.0000000000000006E-5</v>
      </c>
      <c r="AI541" s="164">
        <v>1.01845806221991E-2</v>
      </c>
      <c r="AJ541" s="164">
        <v>1.2781175595267299E-3</v>
      </c>
    </row>
    <row r="542" spans="1:36">
      <c r="A542" s="3">
        <v>969</v>
      </c>
      <c r="B542" s="3">
        <v>969</v>
      </c>
      <c r="C542" s="3" t="s">
        <v>343</v>
      </c>
      <c r="D542" s="3" t="s">
        <v>344</v>
      </c>
      <c r="E542" s="5" t="s">
        <v>134</v>
      </c>
      <c r="F542" s="3" t="s">
        <v>345</v>
      </c>
      <c r="G542" s="3" t="s">
        <v>346</v>
      </c>
      <c r="H542" s="3" t="s">
        <v>137</v>
      </c>
      <c r="I542" s="3" t="s">
        <v>138</v>
      </c>
      <c r="J542" s="3" t="s">
        <v>30</v>
      </c>
      <c r="K542" s="3" t="s">
        <v>30</v>
      </c>
      <c r="L542" s="3" t="s">
        <v>139</v>
      </c>
      <c r="M542" s="3" t="s">
        <v>31</v>
      </c>
      <c r="N542" s="3" t="s">
        <v>186</v>
      </c>
      <c r="O542" s="3" t="s">
        <v>141</v>
      </c>
      <c r="P542" s="3" t="s">
        <v>171</v>
      </c>
      <c r="Q542" s="3" t="s">
        <v>164</v>
      </c>
      <c r="R542" s="3" t="s">
        <v>144</v>
      </c>
      <c r="S542" s="3" t="s">
        <v>34</v>
      </c>
      <c r="T542" s="153">
        <v>4.843</v>
      </c>
      <c r="U542" s="3" t="s">
        <v>347</v>
      </c>
      <c r="V542" s="164">
        <v>3.1800000000000002E-2</v>
      </c>
      <c r="W542" s="164">
        <v>3.2800000000000003E-2</v>
      </c>
      <c r="X542" s="5" t="s">
        <v>146</v>
      </c>
      <c r="Y542" s="5" t="s">
        <v>141</v>
      </c>
      <c r="Z542" s="153">
        <v>78000</v>
      </c>
      <c r="AA542" s="162">
        <v>1</v>
      </c>
      <c r="AB542" s="172">
        <v>103.74</v>
      </c>
      <c r="AD542" s="153">
        <v>80.917000000000002</v>
      </c>
      <c r="AG542" s="3" t="s">
        <v>36</v>
      </c>
      <c r="AH542" s="164">
        <v>3.5E-4</v>
      </c>
      <c r="AI542" s="164">
        <v>8.4942047734756498E-3</v>
      </c>
      <c r="AJ542" s="164">
        <v>1.06598324250398E-3</v>
      </c>
    </row>
    <row r="543" spans="1:36">
      <c r="A543" s="3">
        <v>969</v>
      </c>
      <c r="B543" s="3">
        <v>969</v>
      </c>
      <c r="C543" s="3" t="s">
        <v>348</v>
      </c>
      <c r="D543" s="3" t="s">
        <v>349</v>
      </c>
      <c r="E543" s="5" t="s">
        <v>134</v>
      </c>
      <c r="F543" s="3" t="s">
        <v>578</v>
      </c>
      <c r="G543" s="3" t="s">
        <v>579</v>
      </c>
      <c r="H543" s="3" t="s">
        <v>137</v>
      </c>
      <c r="I543" s="3" t="s">
        <v>138</v>
      </c>
      <c r="J543" s="3" t="s">
        <v>30</v>
      </c>
      <c r="K543" s="3" t="s">
        <v>30</v>
      </c>
      <c r="L543" s="3" t="s">
        <v>139</v>
      </c>
      <c r="M543" s="3" t="s">
        <v>31</v>
      </c>
      <c r="N543" s="3" t="s">
        <v>151</v>
      </c>
      <c r="O543" s="3" t="s">
        <v>141</v>
      </c>
      <c r="P543" s="3" t="s">
        <v>286</v>
      </c>
      <c r="Q543" s="3" t="s">
        <v>143</v>
      </c>
      <c r="R543" s="3" t="s">
        <v>144</v>
      </c>
      <c r="S543" s="3" t="s">
        <v>34</v>
      </c>
      <c r="T543" s="153">
        <v>9.7940000000000005</v>
      </c>
      <c r="U543" s="3" t="s">
        <v>580</v>
      </c>
      <c r="V543" s="164">
        <v>3.2000000000000001E-2</v>
      </c>
      <c r="W543" s="164">
        <v>2.8170000000000001E-2</v>
      </c>
      <c r="X543" s="5" t="s">
        <v>146</v>
      </c>
      <c r="Y543" s="5" t="s">
        <v>141</v>
      </c>
      <c r="Z543" s="153">
        <v>185000</v>
      </c>
      <c r="AA543" s="162">
        <v>1</v>
      </c>
      <c r="AB543" s="172">
        <v>112.97</v>
      </c>
      <c r="AD543" s="153">
        <v>208.994</v>
      </c>
      <c r="AG543" s="3" t="s">
        <v>36</v>
      </c>
      <c r="AH543" s="164">
        <v>3.8000000000000002E-5</v>
      </c>
      <c r="AI543" s="164">
        <v>2.1938995411731499E-2</v>
      </c>
      <c r="AJ543" s="164">
        <v>2.7532420149918501E-3</v>
      </c>
    </row>
    <row r="544" spans="1:36">
      <c r="A544" s="3">
        <v>969</v>
      </c>
      <c r="B544" s="3">
        <v>969</v>
      </c>
      <c r="C544" s="3" t="s">
        <v>348</v>
      </c>
      <c r="D544" s="3" t="s">
        <v>349</v>
      </c>
      <c r="E544" s="5" t="s">
        <v>134</v>
      </c>
      <c r="F544" s="3" t="s">
        <v>356</v>
      </c>
      <c r="G544" s="3" t="s">
        <v>357</v>
      </c>
      <c r="H544" s="3" t="s">
        <v>137</v>
      </c>
      <c r="I544" s="3" t="s">
        <v>138</v>
      </c>
      <c r="J544" s="3" t="s">
        <v>30</v>
      </c>
      <c r="K544" s="3" t="s">
        <v>30</v>
      </c>
      <c r="L544" s="3" t="s">
        <v>139</v>
      </c>
      <c r="M544" s="3" t="s">
        <v>31</v>
      </c>
      <c r="N544" s="3" t="s">
        <v>151</v>
      </c>
      <c r="O544" s="3" t="s">
        <v>141</v>
      </c>
      <c r="P544" s="3" t="s">
        <v>286</v>
      </c>
      <c r="Q544" s="3" t="s">
        <v>143</v>
      </c>
      <c r="R544" s="3" t="s">
        <v>144</v>
      </c>
      <c r="S544" s="3" t="s">
        <v>34</v>
      </c>
      <c r="T544" s="153">
        <v>7.569</v>
      </c>
      <c r="U544" s="3" t="s">
        <v>358</v>
      </c>
      <c r="V544" s="164">
        <v>2.9899999999999999E-2</v>
      </c>
      <c r="W544" s="164">
        <v>2.7519999999999999E-2</v>
      </c>
      <c r="X544" s="5" t="s">
        <v>146</v>
      </c>
      <c r="Y544" s="5" t="s">
        <v>141</v>
      </c>
      <c r="Z544" s="153">
        <v>92282</v>
      </c>
      <c r="AA544" s="162">
        <v>1</v>
      </c>
      <c r="AB544" s="172">
        <v>105.38</v>
      </c>
      <c r="AD544" s="153">
        <v>97.247</v>
      </c>
      <c r="AG544" s="3" t="s">
        <v>36</v>
      </c>
      <c r="AH544" s="164">
        <v>2.3800000000000001E-4</v>
      </c>
      <c r="AI544" s="164">
        <v>1.0208385751482E-2</v>
      </c>
      <c r="AJ544" s="164">
        <v>1.2811049926741401E-3</v>
      </c>
    </row>
    <row r="545" spans="1:36">
      <c r="A545" s="3">
        <v>969</v>
      </c>
      <c r="B545" s="3">
        <v>969</v>
      </c>
      <c r="C545" s="3" t="s">
        <v>359</v>
      </c>
      <c r="D545" s="3" t="s">
        <v>360</v>
      </c>
      <c r="E545" s="5" t="s">
        <v>134</v>
      </c>
      <c r="F545" s="3" t="s">
        <v>361</v>
      </c>
      <c r="G545" s="3" t="s">
        <v>362</v>
      </c>
      <c r="H545" s="3" t="s">
        <v>137</v>
      </c>
      <c r="I545" s="3" t="s">
        <v>138</v>
      </c>
      <c r="J545" s="3" t="s">
        <v>30</v>
      </c>
      <c r="K545" s="3" t="s">
        <v>30</v>
      </c>
      <c r="L545" s="3" t="s">
        <v>139</v>
      </c>
      <c r="M545" s="3" t="s">
        <v>31</v>
      </c>
      <c r="N545" s="3" t="s">
        <v>285</v>
      </c>
      <c r="O545" s="3" t="s">
        <v>141</v>
      </c>
      <c r="P545" s="3" t="s">
        <v>142</v>
      </c>
      <c r="Q545" s="3" t="s">
        <v>143</v>
      </c>
      <c r="R545" s="3" t="s">
        <v>144</v>
      </c>
      <c r="S545" s="3" t="s">
        <v>34</v>
      </c>
      <c r="T545" s="153">
        <v>3.6120000000000001</v>
      </c>
      <c r="U545" s="3" t="s">
        <v>363</v>
      </c>
      <c r="V545" s="164">
        <v>2.5899999999999999E-2</v>
      </c>
      <c r="W545" s="164">
        <v>2.6800000000000001E-2</v>
      </c>
      <c r="X545" s="5" t="s">
        <v>146</v>
      </c>
      <c r="Y545" s="5" t="s">
        <v>141</v>
      </c>
      <c r="Z545" s="153">
        <v>93000</v>
      </c>
      <c r="AA545" s="162">
        <v>1</v>
      </c>
      <c r="AB545" s="172">
        <v>107.69</v>
      </c>
      <c r="AD545" s="153">
        <v>100.152</v>
      </c>
      <c r="AG545" s="3" t="s">
        <v>36</v>
      </c>
      <c r="AH545" s="164">
        <v>1.36E-4</v>
      </c>
      <c r="AI545" s="164">
        <v>1.05133277994259E-2</v>
      </c>
      <c r="AJ545" s="164">
        <v>1.31937380319989E-3</v>
      </c>
    </row>
    <row r="546" spans="1:36">
      <c r="A546" s="3">
        <v>969</v>
      </c>
      <c r="B546" s="3">
        <v>969</v>
      </c>
      <c r="C546" s="3" t="s">
        <v>364</v>
      </c>
      <c r="D546" s="3" t="s">
        <v>365</v>
      </c>
      <c r="E546" s="5" t="s">
        <v>366</v>
      </c>
      <c r="F546" s="3" t="s">
        <v>367</v>
      </c>
      <c r="G546" s="3" t="s">
        <v>368</v>
      </c>
      <c r="H546" s="3" t="s">
        <v>137</v>
      </c>
      <c r="I546" s="3" t="s">
        <v>156</v>
      </c>
      <c r="J546" s="3" t="s">
        <v>30</v>
      </c>
      <c r="K546" s="3" t="s">
        <v>30</v>
      </c>
      <c r="L546" s="3" t="s">
        <v>139</v>
      </c>
      <c r="M546" s="3" t="s">
        <v>31</v>
      </c>
      <c r="N546" s="3" t="s">
        <v>369</v>
      </c>
      <c r="O546" s="3" t="s">
        <v>141</v>
      </c>
      <c r="P546" s="3" t="s">
        <v>180</v>
      </c>
      <c r="Q546" s="3" t="s">
        <v>143</v>
      </c>
      <c r="R546" s="3" t="s">
        <v>144</v>
      </c>
      <c r="S546" s="3" t="s">
        <v>34</v>
      </c>
      <c r="T546" s="153">
        <v>2.8519999999999999</v>
      </c>
      <c r="U546" s="3" t="s">
        <v>370</v>
      </c>
      <c r="V546" s="164">
        <v>2.24E-2</v>
      </c>
      <c r="W546" s="164">
        <v>4.6460000000000001E-2</v>
      </c>
      <c r="X546" s="5" t="s">
        <v>146</v>
      </c>
      <c r="Y546" s="5" t="s">
        <v>141</v>
      </c>
      <c r="Z546" s="153">
        <v>69745.440000000002</v>
      </c>
      <c r="AA546" s="162">
        <v>1</v>
      </c>
      <c r="AB546" s="172">
        <v>94.99</v>
      </c>
      <c r="AD546" s="153">
        <v>66.251000000000005</v>
      </c>
      <c r="AG546" s="3" t="s">
        <v>36</v>
      </c>
      <c r="AH546" s="164">
        <v>1.3100000000000001E-4</v>
      </c>
      <c r="AI546" s="164">
        <v>6.9546549275359797E-3</v>
      </c>
      <c r="AJ546" s="164">
        <v>8.7277688822630297E-4</v>
      </c>
    </row>
    <row r="547" spans="1:36">
      <c r="A547" s="3">
        <v>969</v>
      </c>
      <c r="B547" s="3">
        <v>969</v>
      </c>
      <c r="C547" s="3" t="s">
        <v>371</v>
      </c>
      <c r="D547" s="3" t="s">
        <v>372</v>
      </c>
      <c r="E547" s="5" t="s">
        <v>134</v>
      </c>
      <c r="F547" s="3" t="s">
        <v>373</v>
      </c>
      <c r="G547" s="3" t="s">
        <v>374</v>
      </c>
      <c r="H547" s="3" t="s">
        <v>137</v>
      </c>
      <c r="I547" s="3" t="s">
        <v>156</v>
      </c>
      <c r="J547" s="3" t="s">
        <v>30</v>
      </c>
      <c r="K547" s="3" t="s">
        <v>30</v>
      </c>
      <c r="L547" s="3" t="s">
        <v>139</v>
      </c>
      <c r="M547" s="3" t="s">
        <v>31</v>
      </c>
      <c r="N547" s="3" t="s">
        <v>170</v>
      </c>
      <c r="O547" s="3" t="s">
        <v>141</v>
      </c>
      <c r="P547" s="3" t="s">
        <v>142</v>
      </c>
      <c r="Q547" s="3" t="s">
        <v>143</v>
      </c>
      <c r="R547" s="3" t="s">
        <v>144</v>
      </c>
      <c r="S547" s="3" t="s">
        <v>34</v>
      </c>
      <c r="T547" s="153">
        <v>8.4480000000000004</v>
      </c>
      <c r="U547" s="3" t="s">
        <v>375</v>
      </c>
      <c r="V547" s="164">
        <v>5.5100000000000003E-2</v>
      </c>
      <c r="W547" s="164">
        <v>5.0360000000000002E-2</v>
      </c>
      <c r="X547" s="5" t="s">
        <v>146</v>
      </c>
      <c r="Y547" s="5" t="s">
        <v>141</v>
      </c>
      <c r="Z547" s="153">
        <v>159630</v>
      </c>
      <c r="AA547" s="162">
        <v>1</v>
      </c>
      <c r="AB547" s="172">
        <v>104.55</v>
      </c>
      <c r="AD547" s="153">
        <v>166.893</v>
      </c>
      <c r="AG547" s="3" t="s">
        <v>36</v>
      </c>
      <c r="AH547" s="164">
        <v>3.19E-4</v>
      </c>
      <c r="AI547" s="164">
        <v>1.7519448507900201E-2</v>
      </c>
      <c r="AJ547" s="164">
        <v>2.1986094078694299E-3</v>
      </c>
    </row>
    <row r="548" spans="1:36">
      <c r="A548" s="3">
        <v>969</v>
      </c>
      <c r="B548" s="3">
        <v>969</v>
      </c>
      <c r="C548" s="3" t="s">
        <v>371</v>
      </c>
      <c r="D548" s="3" t="s">
        <v>372</v>
      </c>
      <c r="E548" s="5" t="s">
        <v>134</v>
      </c>
      <c r="F548" s="3" t="s">
        <v>376</v>
      </c>
      <c r="G548" s="3" t="s">
        <v>377</v>
      </c>
      <c r="H548" s="3" t="s">
        <v>137</v>
      </c>
      <c r="I548" s="3" t="s">
        <v>156</v>
      </c>
      <c r="J548" s="3" t="s">
        <v>30</v>
      </c>
      <c r="K548" s="3" t="s">
        <v>30</v>
      </c>
      <c r="L548" s="3" t="s">
        <v>139</v>
      </c>
      <c r="M548" s="3" t="s">
        <v>31</v>
      </c>
      <c r="N548" s="3" t="s">
        <v>378</v>
      </c>
      <c r="O548" s="3" t="s">
        <v>141</v>
      </c>
      <c r="P548" s="3" t="s">
        <v>142</v>
      </c>
      <c r="Q548" s="3" t="s">
        <v>143</v>
      </c>
      <c r="R548" s="3" t="s">
        <v>144</v>
      </c>
      <c r="S548" s="3" t="s">
        <v>34</v>
      </c>
      <c r="T548" s="153">
        <v>7.1269999999999998</v>
      </c>
      <c r="U548" s="3" t="s">
        <v>379</v>
      </c>
      <c r="V548" s="164">
        <v>5.3100000000000001E-2</v>
      </c>
      <c r="W548" s="164">
        <v>4.8730000000000002E-2</v>
      </c>
      <c r="X548" s="5" t="s">
        <v>146</v>
      </c>
      <c r="Y548" s="5" t="s">
        <v>141</v>
      </c>
      <c r="Z548" s="153">
        <v>109850</v>
      </c>
      <c r="AA548" s="162">
        <v>1</v>
      </c>
      <c r="AB548" s="172">
        <v>104.46</v>
      </c>
      <c r="AD548" s="153">
        <v>114.749</v>
      </c>
      <c r="AG548" s="3" t="s">
        <v>36</v>
      </c>
      <c r="AH548" s="164">
        <v>8.6000000000000003E-5</v>
      </c>
      <c r="AI548" s="164">
        <v>1.20456977843405E-2</v>
      </c>
      <c r="AJ548" s="164">
        <v>1.51167911827021E-3</v>
      </c>
    </row>
    <row r="549" spans="1:36">
      <c r="A549" s="3">
        <v>969</v>
      </c>
      <c r="B549" s="3">
        <v>969</v>
      </c>
      <c r="C549" s="3" t="s">
        <v>380</v>
      </c>
      <c r="D549" s="3" t="s">
        <v>381</v>
      </c>
      <c r="E549" s="5" t="s">
        <v>134</v>
      </c>
      <c r="F549" s="3" t="s">
        <v>382</v>
      </c>
      <c r="G549" s="3" t="s">
        <v>383</v>
      </c>
      <c r="H549" s="3" t="s">
        <v>137</v>
      </c>
      <c r="I549" s="3" t="s">
        <v>138</v>
      </c>
      <c r="J549" s="3" t="s">
        <v>30</v>
      </c>
      <c r="K549" s="3" t="s">
        <v>30</v>
      </c>
      <c r="L549" s="3" t="s">
        <v>139</v>
      </c>
      <c r="M549" s="3" t="s">
        <v>31</v>
      </c>
      <c r="N549" s="3" t="s">
        <v>285</v>
      </c>
      <c r="O549" s="3" t="s">
        <v>141</v>
      </c>
      <c r="P549" s="3" t="s">
        <v>286</v>
      </c>
      <c r="Q549" s="3" t="s">
        <v>143</v>
      </c>
      <c r="R549" s="3" t="s">
        <v>144</v>
      </c>
      <c r="S549" s="3" t="s">
        <v>34</v>
      </c>
      <c r="T549" s="153">
        <v>0.73199999999999998</v>
      </c>
      <c r="U549" s="3" t="s">
        <v>384</v>
      </c>
      <c r="V549" s="164">
        <v>8.3000000000000001E-3</v>
      </c>
      <c r="W549" s="164">
        <v>3.2770000000000001E-2</v>
      </c>
      <c r="X549" s="5" t="s">
        <v>146</v>
      </c>
      <c r="Y549" s="5" t="s">
        <v>141</v>
      </c>
      <c r="Z549" s="153">
        <v>39368.5</v>
      </c>
      <c r="AA549" s="162">
        <v>1</v>
      </c>
      <c r="AB549" s="172">
        <v>116.83</v>
      </c>
      <c r="AD549" s="153">
        <v>45.994</v>
      </c>
      <c r="AG549" s="3" t="s">
        <v>36</v>
      </c>
      <c r="AH549" s="164">
        <v>2.5999999999999998E-5</v>
      </c>
      <c r="AI549" s="164">
        <v>4.82819858768831E-3</v>
      </c>
      <c r="AJ549" s="164">
        <v>6.0591649521196699E-4</v>
      </c>
    </row>
    <row r="550" spans="1:36">
      <c r="A550" s="3">
        <v>969</v>
      </c>
      <c r="B550" s="3">
        <v>969</v>
      </c>
      <c r="C550" s="3" t="s">
        <v>380</v>
      </c>
      <c r="D550" s="3" t="s">
        <v>381</v>
      </c>
      <c r="E550" s="5" t="s">
        <v>134</v>
      </c>
      <c r="F550" s="3" t="s">
        <v>385</v>
      </c>
      <c r="G550" s="3" t="s">
        <v>386</v>
      </c>
      <c r="H550" s="3" t="s">
        <v>137</v>
      </c>
      <c r="I550" s="3" t="s">
        <v>138</v>
      </c>
      <c r="J550" s="3" t="s">
        <v>30</v>
      </c>
      <c r="K550" s="3" t="s">
        <v>30</v>
      </c>
      <c r="L550" s="3" t="s">
        <v>139</v>
      </c>
      <c r="M550" s="3" t="s">
        <v>31</v>
      </c>
      <c r="N550" s="3" t="s">
        <v>285</v>
      </c>
      <c r="O550" s="3" t="s">
        <v>141</v>
      </c>
      <c r="P550" s="3" t="s">
        <v>286</v>
      </c>
      <c r="Q550" s="3" t="s">
        <v>143</v>
      </c>
      <c r="R550" s="3" t="s">
        <v>144</v>
      </c>
      <c r="S550" s="3" t="s">
        <v>34</v>
      </c>
      <c r="T550" s="153">
        <v>4.13</v>
      </c>
      <c r="U550" s="3" t="s">
        <v>387</v>
      </c>
      <c r="V550" s="164">
        <v>2.0199999999999999E-2</v>
      </c>
      <c r="W550" s="164">
        <v>2.5430000000000001E-2</v>
      </c>
      <c r="X550" s="5" t="s">
        <v>146</v>
      </c>
      <c r="Y550" s="5" t="s">
        <v>141</v>
      </c>
      <c r="Z550" s="153">
        <v>111000</v>
      </c>
      <c r="AA550" s="162">
        <v>1</v>
      </c>
      <c r="AB550" s="172">
        <v>105.02</v>
      </c>
      <c r="AD550" s="153">
        <v>116.572</v>
      </c>
      <c r="AG550" s="3" t="s">
        <v>36</v>
      </c>
      <c r="AH550" s="164">
        <v>3.1000000000000001E-5</v>
      </c>
      <c r="AI550" s="164">
        <v>1.22370538982387E-2</v>
      </c>
      <c r="AJ550" s="164">
        <v>1.5356934216930701E-3</v>
      </c>
    </row>
    <row r="551" spans="1:36">
      <c r="A551" s="3">
        <v>969</v>
      </c>
      <c r="B551" s="3">
        <v>969</v>
      </c>
      <c r="C551" s="3" t="s">
        <v>380</v>
      </c>
      <c r="D551" s="3" t="s">
        <v>381</v>
      </c>
      <c r="E551" s="5" t="s">
        <v>134</v>
      </c>
      <c r="F551" s="3" t="s">
        <v>388</v>
      </c>
      <c r="G551" s="3" t="s">
        <v>389</v>
      </c>
      <c r="H551" s="3" t="s">
        <v>137</v>
      </c>
      <c r="I551" s="3" t="s">
        <v>138</v>
      </c>
      <c r="J551" s="3" t="s">
        <v>30</v>
      </c>
      <c r="K551" s="3" t="s">
        <v>30</v>
      </c>
      <c r="L551" s="3" t="s">
        <v>139</v>
      </c>
      <c r="M551" s="3" t="s">
        <v>31</v>
      </c>
      <c r="N551" s="3" t="s">
        <v>285</v>
      </c>
      <c r="O551" s="3" t="s">
        <v>141</v>
      </c>
      <c r="P551" s="3" t="s">
        <v>286</v>
      </c>
      <c r="Q551" s="3" t="s">
        <v>143</v>
      </c>
      <c r="R551" s="3" t="s">
        <v>144</v>
      </c>
      <c r="S551" s="3" t="s">
        <v>34</v>
      </c>
      <c r="T551" s="153">
        <v>4.1289999999999996</v>
      </c>
      <c r="U551" s="3" t="s">
        <v>390</v>
      </c>
      <c r="V551" s="164">
        <v>1E-3</v>
      </c>
      <c r="W551" s="164">
        <v>2.5350000000000001E-2</v>
      </c>
      <c r="X551" s="5" t="s">
        <v>146</v>
      </c>
      <c r="Y551" s="5" t="s">
        <v>141</v>
      </c>
      <c r="Z551" s="153">
        <v>102000</v>
      </c>
      <c r="AA551" s="162">
        <v>1</v>
      </c>
      <c r="AB551" s="172">
        <v>104.89</v>
      </c>
      <c r="AD551" s="153">
        <v>106.988</v>
      </c>
      <c r="AG551" s="3" t="s">
        <v>36</v>
      </c>
      <c r="AH551" s="164">
        <v>2.4000000000000001E-5</v>
      </c>
      <c r="AI551" s="164">
        <v>1.12309407822275E-2</v>
      </c>
      <c r="AJ551" s="164">
        <v>1.40943089914589E-3</v>
      </c>
    </row>
    <row r="552" spans="1:36">
      <c r="A552" s="3">
        <v>969</v>
      </c>
      <c r="B552" s="3">
        <v>969</v>
      </c>
      <c r="C552" s="3" t="s">
        <v>380</v>
      </c>
      <c r="D552" s="3" t="s">
        <v>381</v>
      </c>
      <c r="E552" s="5" t="s">
        <v>134</v>
      </c>
      <c r="F552" s="3" t="s">
        <v>391</v>
      </c>
      <c r="G552" s="3" t="s">
        <v>392</v>
      </c>
      <c r="H552" s="3" t="s">
        <v>137</v>
      </c>
      <c r="I552" s="3" t="s">
        <v>138</v>
      </c>
      <c r="J552" s="3" t="s">
        <v>30</v>
      </c>
      <c r="K552" s="3" t="s">
        <v>30</v>
      </c>
      <c r="L552" s="3" t="s">
        <v>139</v>
      </c>
      <c r="M552" s="3" t="s">
        <v>31</v>
      </c>
      <c r="N552" s="3" t="s">
        <v>285</v>
      </c>
      <c r="O552" s="3" t="s">
        <v>141</v>
      </c>
      <c r="P552" s="3" t="s">
        <v>393</v>
      </c>
      <c r="Q552" s="3" t="s">
        <v>164</v>
      </c>
      <c r="R552" s="3" t="s">
        <v>144</v>
      </c>
      <c r="S552" s="3" t="s">
        <v>34</v>
      </c>
      <c r="T552" s="153">
        <v>6.6959999999999997</v>
      </c>
      <c r="U552" s="3" t="s">
        <v>394</v>
      </c>
      <c r="V552" s="164">
        <v>2.5999999999999999E-2</v>
      </c>
      <c r="W552" s="164">
        <v>2.554E-2</v>
      </c>
      <c r="X552" s="5" t="s">
        <v>146</v>
      </c>
      <c r="Y552" s="5" t="s">
        <v>141</v>
      </c>
      <c r="Z552" s="153">
        <v>110000</v>
      </c>
      <c r="AA552" s="162">
        <v>1</v>
      </c>
      <c r="AB552" s="172">
        <v>101.17</v>
      </c>
      <c r="AD552" s="153">
        <v>111.28700000000001</v>
      </c>
      <c r="AG552" s="3" t="s">
        <v>36</v>
      </c>
      <c r="AH552" s="164">
        <v>6.0000000000000002E-5</v>
      </c>
      <c r="AI552" s="164">
        <v>1.16822451422662E-2</v>
      </c>
      <c r="AJ552" s="164">
        <v>1.4660674999696099E-3</v>
      </c>
    </row>
    <row r="553" spans="1:36">
      <c r="A553" s="3">
        <v>969</v>
      </c>
      <c r="B553" s="3">
        <v>969</v>
      </c>
      <c r="C553" s="3" t="s">
        <v>380</v>
      </c>
      <c r="D553" s="3" t="s">
        <v>381</v>
      </c>
      <c r="E553" s="5" t="s">
        <v>134</v>
      </c>
      <c r="F553" s="3" t="s">
        <v>395</v>
      </c>
      <c r="G553" s="3" t="s">
        <v>396</v>
      </c>
      <c r="H553" s="3" t="s">
        <v>137</v>
      </c>
      <c r="I553" s="3" t="s">
        <v>138</v>
      </c>
      <c r="J553" s="3" t="s">
        <v>30</v>
      </c>
      <c r="K553" s="3" t="s">
        <v>30</v>
      </c>
      <c r="L553" s="3" t="s">
        <v>139</v>
      </c>
      <c r="M553" s="3" t="s">
        <v>31</v>
      </c>
      <c r="N553" s="3" t="s">
        <v>285</v>
      </c>
      <c r="O553" s="3" t="s">
        <v>141</v>
      </c>
      <c r="P553" s="3" t="s">
        <v>142</v>
      </c>
      <c r="Q553" s="3" t="s">
        <v>143</v>
      </c>
      <c r="R553" s="3" t="s">
        <v>144</v>
      </c>
      <c r="S553" s="3" t="s">
        <v>34</v>
      </c>
      <c r="T553" s="153">
        <v>4.968</v>
      </c>
      <c r="U553" s="3" t="s">
        <v>397</v>
      </c>
      <c r="V553" s="164">
        <v>3.1E-2</v>
      </c>
      <c r="W553" s="164">
        <v>2.972E-2</v>
      </c>
      <c r="X553" s="5" t="s">
        <v>146</v>
      </c>
      <c r="Y553" s="5" t="s">
        <v>141</v>
      </c>
      <c r="Z553" s="153">
        <v>100000</v>
      </c>
      <c r="AA553" s="162">
        <v>1</v>
      </c>
      <c r="AB553" s="172">
        <v>105.8</v>
      </c>
      <c r="AD553" s="153">
        <v>105.8</v>
      </c>
      <c r="AG553" s="3" t="s">
        <v>36</v>
      </c>
      <c r="AH553" s="164">
        <v>6.4999999999999994E-5</v>
      </c>
      <c r="AI553" s="164">
        <v>1.1106252626558099E-2</v>
      </c>
      <c r="AJ553" s="164">
        <v>1.3937831148003301E-3</v>
      </c>
    </row>
    <row r="554" spans="1:36">
      <c r="A554" s="3">
        <v>969</v>
      </c>
      <c r="B554" s="3">
        <v>969</v>
      </c>
      <c r="C554" s="3" t="s">
        <v>403</v>
      </c>
      <c r="D554" s="3" t="s">
        <v>404</v>
      </c>
      <c r="E554" s="5" t="s">
        <v>134</v>
      </c>
      <c r="F554" s="3" t="s">
        <v>405</v>
      </c>
      <c r="G554" s="3" t="s">
        <v>406</v>
      </c>
      <c r="H554" s="3" t="s">
        <v>137</v>
      </c>
      <c r="I554" s="3" t="s">
        <v>156</v>
      </c>
      <c r="J554" s="3" t="s">
        <v>30</v>
      </c>
      <c r="K554" s="3" t="s">
        <v>30</v>
      </c>
      <c r="L554" s="3" t="s">
        <v>139</v>
      </c>
      <c r="M554" s="3" t="s">
        <v>31</v>
      </c>
      <c r="N554" s="3" t="s">
        <v>170</v>
      </c>
      <c r="O554" s="3" t="s">
        <v>141</v>
      </c>
      <c r="P554" s="3" t="s">
        <v>163</v>
      </c>
      <c r="Q554" s="3" t="s">
        <v>164</v>
      </c>
      <c r="R554" s="3" t="s">
        <v>144</v>
      </c>
      <c r="S554" s="3" t="s">
        <v>34</v>
      </c>
      <c r="T554" s="153">
        <v>6.5819999999999999</v>
      </c>
      <c r="U554" s="3" t="s">
        <v>250</v>
      </c>
      <c r="V554" s="164">
        <v>6.0699999999999997E-2</v>
      </c>
      <c r="W554" s="164">
        <v>4.9540000000000001E-2</v>
      </c>
      <c r="X554" s="5" t="s">
        <v>146</v>
      </c>
      <c r="Y554" s="5" t="s">
        <v>141</v>
      </c>
      <c r="Z554" s="153">
        <v>70822</v>
      </c>
      <c r="AA554" s="162">
        <v>1</v>
      </c>
      <c r="AB554" s="172">
        <v>109.46</v>
      </c>
      <c r="AD554" s="153">
        <v>77.522000000000006</v>
      </c>
      <c r="AG554" s="3" t="s">
        <v>36</v>
      </c>
      <c r="AH554" s="164">
        <v>1.13E-4</v>
      </c>
      <c r="AI554" s="164">
        <v>8.1377718709159403E-3</v>
      </c>
      <c r="AJ554" s="164">
        <v>1.0212525689049499E-3</v>
      </c>
    </row>
    <row r="555" spans="1:36">
      <c r="A555" s="3">
        <v>969</v>
      </c>
      <c r="B555" s="3">
        <v>969</v>
      </c>
      <c r="C555" s="3" t="s">
        <v>403</v>
      </c>
      <c r="D555" s="3" t="s">
        <v>404</v>
      </c>
      <c r="E555" s="5" t="s">
        <v>134</v>
      </c>
      <c r="F555" s="3" t="s">
        <v>642</v>
      </c>
      <c r="G555" s="3" t="s">
        <v>643</v>
      </c>
      <c r="H555" s="3" t="s">
        <v>137</v>
      </c>
      <c r="I555" s="3" t="s">
        <v>156</v>
      </c>
      <c r="J555" s="3" t="s">
        <v>30</v>
      </c>
      <c r="K555" s="3" t="s">
        <v>30</v>
      </c>
      <c r="L555" s="3" t="s">
        <v>139</v>
      </c>
      <c r="M555" s="3" t="s">
        <v>31</v>
      </c>
      <c r="N555" s="3" t="s">
        <v>170</v>
      </c>
      <c r="O555" s="3" t="s">
        <v>141</v>
      </c>
      <c r="P555" s="3" t="s">
        <v>163</v>
      </c>
      <c r="Q555" s="3" t="s">
        <v>164</v>
      </c>
      <c r="R555" s="3" t="s">
        <v>144</v>
      </c>
      <c r="S555" s="3" t="s">
        <v>34</v>
      </c>
      <c r="T555" s="153">
        <v>1.196</v>
      </c>
      <c r="U555" s="3" t="s">
        <v>641</v>
      </c>
      <c r="V555" s="164">
        <v>4.1000000000000002E-2</v>
      </c>
      <c r="W555" s="164">
        <v>4.9340000000000002E-2</v>
      </c>
      <c r="X555" s="5" t="s">
        <v>146</v>
      </c>
      <c r="Y555" s="5" t="s">
        <v>141</v>
      </c>
      <c r="Z555" s="153">
        <v>69900</v>
      </c>
      <c r="AA555" s="162">
        <v>1</v>
      </c>
      <c r="AB555" s="172">
        <v>102.14</v>
      </c>
      <c r="AD555" s="153">
        <v>71.396000000000001</v>
      </c>
      <c r="AG555" s="3" t="s">
        <v>36</v>
      </c>
      <c r="AH555" s="164">
        <v>9.7999999999999997E-5</v>
      </c>
      <c r="AI555" s="164">
        <v>7.4947113199468002E-3</v>
      </c>
      <c r="AJ555" s="164">
        <v>9.4055145684922704E-4</v>
      </c>
    </row>
    <row r="556" spans="1:36">
      <c r="A556" s="3">
        <v>969</v>
      </c>
      <c r="B556" s="3">
        <v>969</v>
      </c>
      <c r="C556" s="3" t="s">
        <v>403</v>
      </c>
      <c r="D556" s="3" t="s">
        <v>404</v>
      </c>
      <c r="E556" s="5" t="s">
        <v>134</v>
      </c>
      <c r="F556" s="3" t="s">
        <v>407</v>
      </c>
      <c r="G556" s="3" t="s">
        <v>408</v>
      </c>
      <c r="H556" s="3" t="s">
        <v>137</v>
      </c>
      <c r="I556" s="3" t="s">
        <v>156</v>
      </c>
      <c r="J556" s="3" t="s">
        <v>30</v>
      </c>
      <c r="K556" s="3" t="s">
        <v>30</v>
      </c>
      <c r="L556" s="3" t="s">
        <v>139</v>
      </c>
      <c r="M556" s="3" t="s">
        <v>31</v>
      </c>
      <c r="N556" s="3" t="s">
        <v>170</v>
      </c>
      <c r="O556" s="3" t="s">
        <v>141</v>
      </c>
      <c r="P556" s="3" t="s">
        <v>152</v>
      </c>
      <c r="Q556" s="3" t="s">
        <v>143</v>
      </c>
      <c r="R556" s="3" t="s">
        <v>144</v>
      </c>
      <c r="S556" s="3" t="s">
        <v>34</v>
      </c>
      <c r="T556" s="153">
        <v>5.931</v>
      </c>
      <c r="U556" s="3" t="s">
        <v>258</v>
      </c>
      <c r="V556" s="164">
        <v>6.0699999999999997E-2</v>
      </c>
      <c r="W556" s="164">
        <v>4.929E-2</v>
      </c>
      <c r="X556" s="5" t="s">
        <v>146</v>
      </c>
      <c r="Y556" s="5" t="s">
        <v>141</v>
      </c>
      <c r="Z556" s="153">
        <v>70366</v>
      </c>
      <c r="AA556" s="162">
        <v>1</v>
      </c>
      <c r="AB556" s="172">
        <v>108.82</v>
      </c>
      <c r="AD556" s="153">
        <v>76.572000000000003</v>
      </c>
      <c r="AG556" s="3" t="s">
        <v>36</v>
      </c>
      <c r="AH556" s="164">
        <v>1.12E-4</v>
      </c>
      <c r="AI556" s="164">
        <v>8.0381011266450093E-3</v>
      </c>
      <c r="AJ556" s="164">
        <v>1.00874435348112E-3</v>
      </c>
    </row>
    <row r="557" spans="1:36">
      <c r="A557" s="3">
        <v>969</v>
      </c>
      <c r="B557" s="3">
        <v>969</v>
      </c>
      <c r="C557" s="3" t="s">
        <v>409</v>
      </c>
      <c r="D557" s="3" t="s">
        <v>410</v>
      </c>
      <c r="E557" s="5" t="s">
        <v>134</v>
      </c>
      <c r="F557" s="3" t="s">
        <v>411</v>
      </c>
      <c r="G557" s="3" t="s">
        <v>412</v>
      </c>
      <c r="H557" s="3" t="s">
        <v>137</v>
      </c>
      <c r="I557" s="3" t="s">
        <v>156</v>
      </c>
      <c r="J557" s="3" t="s">
        <v>30</v>
      </c>
      <c r="K557" s="3" t="s">
        <v>30</v>
      </c>
      <c r="L557" s="3" t="s">
        <v>139</v>
      </c>
      <c r="M557" s="3" t="s">
        <v>31</v>
      </c>
      <c r="N557" s="3" t="s">
        <v>186</v>
      </c>
      <c r="O557" s="3" t="s">
        <v>141</v>
      </c>
      <c r="P557" s="3" t="s">
        <v>171</v>
      </c>
      <c r="Q557" s="3" t="s">
        <v>164</v>
      </c>
      <c r="R557" s="3" t="s">
        <v>144</v>
      </c>
      <c r="S557" s="3" t="s">
        <v>34</v>
      </c>
      <c r="T557" s="153">
        <v>6.2949999999999999</v>
      </c>
      <c r="U557" s="3" t="s">
        <v>301</v>
      </c>
      <c r="V557" s="164">
        <v>5.2900000000000003E-2</v>
      </c>
      <c r="W557" s="164">
        <v>5.1069999999999997E-2</v>
      </c>
      <c r="X557" s="5" t="s">
        <v>146</v>
      </c>
      <c r="Y557" s="5" t="s">
        <v>141</v>
      </c>
      <c r="Z557" s="153">
        <v>110000</v>
      </c>
      <c r="AA557" s="162">
        <v>1</v>
      </c>
      <c r="AB557" s="172">
        <v>102.93</v>
      </c>
      <c r="AD557" s="153">
        <v>113.223</v>
      </c>
      <c r="AG557" s="3" t="s">
        <v>36</v>
      </c>
      <c r="AH557" s="164">
        <v>2.0000000000000001E-4</v>
      </c>
      <c r="AI557" s="164">
        <v>1.18854748689677E-2</v>
      </c>
      <c r="AJ557" s="164">
        <v>1.49157188664497E-3</v>
      </c>
    </row>
    <row r="558" spans="1:36">
      <c r="A558" s="3">
        <v>969</v>
      </c>
      <c r="B558" s="3">
        <v>969</v>
      </c>
      <c r="C558" s="3" t="s">
        <v>413</v>
      </c>
      <c r="D558" s="3" t="s">
        <v>414</v>
      </c>
      <c r="E558" s="5" t="s">
        <v>134</v>
      </c>
      <c r="F558" s="3" t="s">
        <v>415</v>
      </c>
      <c r="G558" s="3" t="s">
        <v>416</v>
      </c>
      <c r="H558" s="3" t="s">
        <v>137</v>
      </c>
      <c r="I558" s="3" t="s">
        <v>138</v>
      </c>
      <c r="J558" s="3" t="s">
        <v>30</v>
      </c>
      <c r="K558" s="3" t="s">
        <v>30</v>
      </c>
      <c r="L558" s="3" t="s">
        <v>139</v>
      </c>
      <c r="M558" s="3" t="s">
        <v>31</v>
      </c>
      <c r="N558" s="3" t="s">
        <v>186</v>
      </c>
      <c r="O558" s="3" t="s">
        <v>141</v>
      </c>
      <c r="P558" s="3" t="s">
        <v>152</v>
      </c>
      <c r="Q558" s="3" t="s">
        <v>143</v>
      </c>
      <c r="R558" s="3" t="s">
        <v>144</v>
      </c>
      <c r="S558" s="3" t="s">
        <v>34</v>
      </c>
      <c r="T558" s="153">
        <v>5.0469999999999997</v>
      </c>
      <c r="U558" s="3" t="s">
        <v>417</v>
      </c>
      <c r="V558" s="164">
        <v>9.7000000000000003E-3</v>
      </c>
      <c r="W558" s="164">
        <v>3.1480000000000001E-2</v>
      </c>
      <c r="X558" s="5" t="s">
        <v>146</v>
      </c>
      <c r="Y558" s="5" t="s">
        <v>141</v>
      </c>
      <c r="Z558" s="153">
        <v>96970.49</v>
      </c>
      <c r="AA558" s="162">
        <v>1</v>
      </c>
      <c r="AB558" s="172">
        <v>104.98</v>
      </c>
      <c r="AD558" s="153">
        <v>101.8</v>
      </c>
      <c r="AG558" s="3" t="s">
        <v>36</v>
      </c>
      <c r="AH558" s="164">
        <v>1.6100000000000001E-4</v>
      </c>
      <c r="AI558" s="164">
        <v>1.0686316649076801E-2</v>
      </c>
      <c r="AJ558" s="164">
        <v>1.3410831002778E-3</v>
      </c>
    </row>
    <row r="559" spans="1:36">
      <c r="A559" s="3">
        <v>969</v>
      </c>
      <c r="B559" s="3">
        <v>969</v>
      </c>
      <c r="C559" s="3" t="s">
        <v>418</v>
      </c>
      <c r="D559" s="3" t="s">
        <v>419</v>
      </c>
      <c r="E559" s="5" t="s">
        <v>134</v>
      </c>
      <c r="F559" s="3" t="s">
        <v>605</v>
      </c>
      <c r="G559" s="3" t="s">
        <v>606</v>
      </c>
      <c r="H559" s="3" t="s">
        <v>137</v>
      </c>
      <c r="I559" s="3" t="s">
        <v>138</v>
      </c>
      <c r="J559" s="3" t="s">
        <v>30</v>
      </c>
      <c r="K559" s="3" t="s">
        <v>30</v>
      </c>
      <c r="L559" s="3" t="s">
        <v>139</v>
      </c>
      <c r="M559" s="3" t="s">
        <v>31</v>
      </c>
      <c r="N559" s="3" t="s">
        <v>285</v>
      </c>
      <c r="O559" s="3" t="s">
        <v>141</v>
      </c>
      <c r="P559" s="3" t="s">
        <v>286</v>
      </c>
      <c r="Q559" s="3" t="s">
        <v>143</v>
      </c>
      <c r="R559" s="3" t="s">
        <v>144</v>
      </c>
      <c r="S559" s="3" t="s">
        <v>34</v>
      </c>
      <c r="T559" s="153">
        <v>4.7160000000000002</v>
      </c>
      <c r="U559" s="3" t="s">
        <v>607</v>
      </c>
      <c r="V559" s="164">
        <v>2E-3</v>
      </c>
      <c r="W559" s="164">
        <v>2.564E-2</v>
      </c>
      <c r="X559" s="5" t="s">
        <v>146</v>
      </c>
      <c r="Y559" s="5" t="s">
        <v>141</v>
      </c>
      <c r="Z559" s="153">
        <v>70000</v>
      </c>
      <c r="AA559" s="162">
        <v>1</v>
      </c>
      <c r="AB559" s="172">
        <v>106.44</v>
      </c>
      <c r="AD559" s="153">
        <v>74.507999999999996</v>
      </c>
      <c r="AG559" s="3" t="s">
        <v>36</v>
      </c>
      <c r="AH559" s="164">
        <v>2.0000000000000002E-5</v>
      </c>
      <c r="AI559" s="164">
        <v>7.8214052051000793E-3</v>
      </c>
      <c r="AJ559" s="164">
        <v>9.8155002190494192E-4</v>
      </c>
    </row>
    <row r="560" spans="1:36">
      <c r="A560" s="3">
        <v>969</v>
      </c>
      <c r="B560" s="3">
        <v>969</v>
      </c>
      <c r="C560" s="3" t="s">
        <v>418</v>
      </c>
      <c r="D560" s="3" t="s">
        <v>419</v>
      </c>
      <c r="E560" s="5" t="s">
        <v>134</v>
      </c>
      <c r="F560" s="3" t="s">
        <v>420</v>
      </c>
      <c r="G560" s="3" t="s">
        <v>421</v>
      </c>
      <c r="H560" s="3" t="s">
        <v>137</v>
      </c>
      <c r="I560" s="3" t="s">
        <v>138</v>
      </c>
      <c r="J560" s="3" t="s">
        <v>30</v>
      </c>
      <c r="K560" s="3" t="s">
        <v>30</v>
      </c>
      <c r="L560" s="3" t="s">
        <v>139</v>
      </c>
      <c r="M560" s="3" t="s">
        <v>31</v>
      </c>
      <c r="N560" s="3" t="s">
        <v>285</v>
      </c>
      <c r="O560" s="3" t="s">
        <v>141</v>
      </c>
      <c r="P560" s="3" t="s">
        <v>142</v>
      </c>
      <c r="Q560" s="3" t="s">
        <v>143</v>
      </c>
      <c r="R560" s="3" t="s">
        <v>144</v>
      </c>
      <c r="S560" s="3" t="s">
        <v>34</v>
      </c>
      <c r="T560" s="153">
        <v>3.5310000000000001</v>
      </c>
      <c r="U560" s="3" t="s">
        <v>422</v>
      </c>
      <c r="V560" s="164">
        <v>3.3599999999999998E-2</v>
      </c>
      <c r="W560" s="164">
        <v>2.955E-2</v>
      </c>
      <c r="X560" s="5" t="s">
        <v>146</v>
      </c>
      <c r="Y560" s="5" t="s">
        <v>141</v>
      </c>
      <c r="Z560" s="153">
        <v>100000</v>
      </c>
      <c r="AA560" s="162">
        <v>1</v>
      </c>
      <c r="AB560" s="172">
        <v>108.97</v>
      </c>
      <c r="AD560" s="153">
        <v>108.97</v>
      </c>
      <c r="AG560" s="3" t="s">
        <v>36</v>
      </c>
      <c r="AH560" s="164">
        <v>8.6000000000000003E-5</v>
      </c>
      <c r="AI560" s="164">
        <v>1.1439020309225299E-2</v>
      </c>
      <c r="AJ560" s="164">
        <v>1.4355439132305501E-3</v>
      </c>
    </row>
    <row r="561" spans="1:36">
      <c r="A561" s="3">
        <v>969</v>
      </c>
      <c r="B561" s="3">
        <v>969</v>
      </c>
      <c r="C561" s="3" t="s">
        <v>418</v>
      </c>
      <c r="D561" s="3" t="s">
        <v>419</v>
      </c>
      <c r="E561" s="5" t="s">
        <v>134</v>
      </c>
      <c r="F561" s="3" t="s">
        <v>423</v>
      </c>
      <c r="G561" s="3" t="s">
        <v>424</v>
      </c>
      <c r="H561" s="3" t="s">
        <v>137</v>
      </c>
      <c r="I561" s="3" t="s">
        <v>138</v>
      </c>
      <c r="J561" s="3" t="s">
        <v>30</v>
      </c>
      <c r="K561" s="3" t="s">
        <v>30</v>
      </c>
      <c r="L561" s="3" t="s">
        <v>139</v>
      </c>
      <c r="M561" s="3" t="s">
        <v>31</v>
      </c>
      <c r="N561" s="3" t="s">
        <v>285</v>
      </c>
      <c r="O561" s="3" t="s">
        <v>141</v>
      </c>
      <c r="P561" s="3" t="s">
        <v>142</v>
      </c>
      <c r="Q561" s="3" t="s">
        <v>143</v>
      </c>
      <c r="R561" s="3" t="s">
        <v>144</v>
      </c>
      <c r="S561" s="3" t="s">
        <v>34</v>
      </c>
      <c r="T561" s="153">
        <v>4.6829999999999998</v>
      </c>
      <c r="U561" s="3" t="s">
        <v>425</v>
      </c>
      <c r="V561" s="164">
        <v>3.3500000000000002E-2</v>
      </c>
      <c r="W561" s="164">
        <v>3.0839999999999999E-2</v>
      </c>
      <c r="X561" s="5" t="s">
        <v>146</v>
      </c>
      <c r="Y561" s="5" t="s">
        <v>141</v>
      </c>
      <c r="Z561" s="153">
        <v>110000</v>
      </c>
      <c r="AA561" s="162">
        <v>1</v>
      </c>
      <c r="AB561" s="172">
        <v>106.95</v>
      </c>
      <c r="AD561" s="153">
        <v>117.645</v>
      </c>
      <c r="AG561" s="3" t="s">
        <v>36</v>
      </c>
      <c r="AH561" s="164">
        <v>7.2999999999999999E-5</v>
      </c>
      <c r="AI561" s="164">
        <v>1.23496700401836E-2</v>
      </c>
      <c r="AJ561" s="164">
        <v>1.54982622439211E-3</v>
      </c>
    </row>
    <row r="562" spans="1:36">
      <c r="A562" s="3">
        <v>969</v>
      </c>
      <c r="B562" s="3">
        <v>969</v>
      </c>
      <c r="C562" s="3" t="s">
        <v>418</v>
      </c>
      <c r="D562" s="3" t="s">
        <v>419</v>
      </c>
      <c r="E562" s="5" t="s">
        <v>134</v>
      </c>
      <c r="F562" s="3" t="s">
        <v>426</v>
      </c>
      <c r="G562" s="3" t="s">
        <v>427</v>
      </c>
      <c r="H562" s="3" t="s">
        <v>137</v>
      </c>
      <c r="I562" s="3" t="s">
        <v>138</v>
      </c>
      <c r="J562" s="3" t="s">
        <v>30</v>
      </c>
      <c r="K562" s="3" t="s">
        <v>30</v>
      </c>
      <c r="L562" s="3" t="s">
        <v>139</v>
      </c>
      <c r="M562" s="3" t="s">
        <v>31</v>
      </c>
      <c r="N562" s="3" t="s">
        <v>285</v>
      </c>
      <c r="O562" s="3" t="s">
        <v>141</v>
      </c>
      <c r="P562" s="3" t="s">
        <v>286</v>
      </c>
      <c r="Q562" s="3" t="s">
        <v>143</v>
      </c>
      <c r="R562" s="3" t="s">
        <v>144</v>
      </c>
      <c r="S562" s="3" t="s">
        <v>34</v>
      </c>
      <c r="T562" s="153">
        <v>4.3650000000000002</v>
      </c>
      <c r="U562" s="3" t="s">
        <v>428</v>
      </c>
      <c r="V562" s="164">
        <v>2.2013000000000001E-2</v>
      </c>
      <c r="W562" s="164">
        <v>2.4549999999999999E-2</v>
      </c>
      <c r="X562" s="5" t="s">
        <v>146</v>
      </c>
      <c r="Y562" s="5" t="s">
        <v>141</v>
      </c>
      <c r="Z562" s="153">
        <v>210000</v>
      </c>
      <c r="AA562" s="162">
        <v>1</v>
      </c>
      <c r="AB562" s="172">
        <v>125.71</v>
      </c>
      <c r="AD562" s="153">
        <v>263.99099999999999</v>
      </c>
      <c r="AG562" s="3" t="s">
        <v>36</v>
      </c>
      <c r="AH562" s="164">
        <v>2.99E-4</v>
      </c>
      <c r="AI562" s="164">
        <v>2.77121997839101E-2</v>
      </c>
      <c r="AJ562" s="164">
        <v>3.4777523464957802E-3</v>
      </c>
    </row>
    <row r="563" spans="1:36">
      <c r="A563" s="3">
        <v>969</v>
      </c>
      <c r="B563" s="3">
        <v>969</v>
      </c>
      <c r="C563" s="3" t="s">
        <v>429</v>
      </c>
      <c r="D563" s="3" t="s">
        <v>430</v>
      </c>
      <c r="E563" s="5" t="s">
        <v>134</v>
      </c>
      <c r="F563" s="3" t="s">
        <v>431</v>
      </c>
      <c r="G563" s="3" t="s">
        <v>432</v>
      </c>
      <c r="H563" s="3" t="s">
        <v>137</v>
      </c>
      <c r="I563" s="3" t="s">
        <v>138</v>
      </c>
      <c r="J563" s="3" t="s">
        <v>30</v>
      </c>
      <c r="K563" s="3" t="s">
        <v>30</v>
      </c>
      <c r="L563" s="3" t="s">
        <v>139</v>
      </c>
      <c r="M563" s="3" t="s">
        <v>31</v>
      </c>
      <c r="N563" s="3" t="s">
        <v>186</v>
      </c>
      <c r="O563" s="3" t="s">
        <v>141</v>
      </c>
      <c r="P563" s="3" t="s">
        <v>180</v>
      </c>
      <c r="Q563" s="3" t="s">
        <v>143</v>
      </c>
      <c r="R563" s="3" t="s">
        <v>144</v>
      </c>
      <c r="S563" s="3" t="s">
        <v>34</v>
      </c>
      <c r="T563" s="153">
        <v>3.4809999999999999</v>
      </c>
      <c r="U563" s="3" t="s">
        <v>433</v>
      </c>
      <c r="V563" s="164">
        <v>1.43E-2</v>
      </c>
      <c r="W563" s="164">
        <v>2.8119999999999999E-2</v>
      </c>
      <c r="X563" s="5" t="s">
        <v>146</v>
      </c>
      <c r="Y563" s="5" t="s">
        <v>141</v>
      </c>
      <c r="Z563" s="153">
        <v>98901.1</v>
      </c>
      <c r="AA563" s="162">
        <v>1</v>
      </c>
      <c r="AB563" s="172">
        <v>113.61</v>
      </c>
      <c r="AD563" s="153">
        <v>112.36199999999999</v>
      </c>
      <c r="AG563" s="3" t="s">
        <v>36</v>
      </c>
      <c r="AH563" s="164">
        <v>5.1E-5</v>
      </c>
      <c r="AI563" s="164">
        <v>1.1795043908585E-2</v>
      </c>
      <c r="AJ563" s="164">
        <v>1.48022322117925E-3</v>
      </c>
    </row>
    <row r="564" spans="1:36">
      <c r="A564" s="3">
        <v>969</v>
      </c>
      <c r="B564" s="3">
        <v>969</v>
      </c>
      <c r="C564" s="3" t="s">
        <v>429</v>
      </c>
      <c r="D564" s="3" t="s">
        <v>430</v>
      </c>
      <c r="E564" s="5" t="s">
        <v>134</v>
      </c>
      <c r="F564" s="3" t="s">
        <v>434</v>
      </c>
      <c r="G564" s="3" t="s">
        <v>435</v>
      </c>
      <c r="H564" s="3" t="s">
        <v>137</v>
      </c>
      <c r="I564" s="3" t="s">
        <v>138</v>
      </c>
      <c r="J564" s="3" t="s">
        <v>30</v>
      </c>
      <c r="K564" s="3" t="s">
        <v>30</v>
      </c>
      <c r="L564" s="3" t="s">
        <v>139</v>
      </c>
      <c r="M564" s="3" t="s">
        <v>31</v>
      </c>
      <c r="N564" s="3" t="s">
        <v>186</v>
      </c>
      <c r="O564" s="3" t="s">
        <v>141</v>
      </c>
      <c r="P564" s="3" t="s">
        <v>180</v>
      </c>
      <c r="Q564" s="3" t="s">
        <v>143</v>
      </c>
      <c r="R564" s="3" t="s">
        <v>144</v>
      </c>
      <c r="S564" s="3" t="s">
        <v>34</v>
      </c>
      <c r="T564" s="153">
        <v>5.3339999999999996</v>
      </c>
      <c r="U564" s="3" t="s">
        <v>436</v>
      </c>
      <c r="V564" s="164">
        <v>3.61E-2</v>
      </c>
      <c r="W564" s="164">
        <v>2.9340000000000001E-2</v>
      </c>
      <c r="X564" s="5" t="s">
        <v>146</v>
      </c>
      <c r="Y564" s="5" t="s">
        <v>141</v>
      </c>
      <c r="Z564" s="153">
        <v>178378.17</v>
      </c>
      <c r="AA564" s="162">
        <v>1</v>
      </c>
      <c r="AB564" s="172">
        <v>113.95</v>
      </c>
      <c r="AD564" s="153">
        <v>203.262</v>
      </c>
      <c r="AG564" s="3" t="s">
        <v>36</v>
      </c>
      <c r="AH564" s="164">
        <v>8.1000000000000004E-5</v>
      </c>
      <c r="AI564" s="164">
        <v>2.13372238681022E-2</v>
      </c>
      <c r="AJ564" s="164">
        <v>2.67772248156505E-3</v>
      </c>
    </row>
    <row r="565" spans="1:36">
      <c r="A565" s="3">
        <v>969</v>
      </c>
      <c r="B565" s="3">
        <v>969</v>
      </c>
      <c r="C565" s="3" t="s">
        <v>443</v>
      </c>
      <c r="D565" s="3" t="s">
        <v>444</v>
      </c>
      <c r="E565" s="5" t="s">
        <v>134</v>
      </c>
      <c r="F565" s="3" t="s">
        <v>445</v>
      </c>
      <c r="G565" s="3" t="s">
        <v>446</v>
      </c>
      <c r="H565" s="3" t="s">
        <v>137</v>
      </c>
      <c r="I565" s="3" t="s">
        <v>156</v>
      </c>
      <c r="J565" s="3" t="s">
        <v>30</v>
      </c>
      <c r="K565" s="3" t="s">
        <v>30</v>
      </c>
      <c r="L565" s="3" t="s">
        <v>139</v>
      </c>
      <c r="M565" s="3" t="s">
        <v>31</v>
      </c>
      <c r="N565" s="3" t="s">
        <v>447</v>
      </c>
      <c r="O565" s="3" t="s">
        <v>141</v>
      </c>
      <c r="P565" s="3" t="s">
        <v>209</v>
      </c>
      <c r="Q565" s="3" t="s">
        <v>164</v>
      </c>
      <c r="R565" s="3" t="s">
        <v>144</v>
      </c>
      <c r="S565" s="3" t="s">
        <v>34</v>
      </c>
      <c r="T565" s="153">
        <v>0.96699999999999997</v>
      </c>
      <c r="U565" s="3" t="s">
        <v>448</v>
      </c>
      <c r="V565" s="164">
        <v>0.114</v>
      </c>
      <c r="W565" s="164">
        <v>1E-4</v>
      </c>
      <c r="X565" s="5" t="s">
        <v>146</v>
      </c>
      <c r="Y565" s="5" t="s">
        <v>141</v>
      </c>
      <c r="Z565" s="153">
        <v>57862.9</v>
      </c>
      <c r="AA565" s="162">
        <v>1</v>
      </c>
      <c r="AB565" s="172">
        <v>100.46</v>
      </c>
      <c r="AD565" s="153">
        <v>58.128999999999998</v>
      </c>
      <c r="AG565" s="3" t="s">
        <v>36</v>
      </c>
      <c r="AH565" s="164">
        <v>2.3900000000000001E-4</v>
      </c>
      <c r="AI565" s="164">
        <v>6.10204280753073E-3</v>
      </c>
      <c r="AJ565" s="164">
        <v>7.6577802764791602E-4</v>
      </c>
    </row>
    <row r="566" spans="1:36">
      <c r="A566" s="3">
        <v>969</v>
      </c>
      <c r="B566" s="3">
        <v>969</v>
      </c>
      <c r="C566" s="3" t="s">
        <v>443</v>
      </c>
      <c r="D566" s="3" t="s">
        <v>444</v>
      </c>
      <c r="E566" s="5" t="s">
        <v>134</v>
      </c>
      <c r="F566" s="3" t="s">
        <v>452</v>
      </c>
      <c r="G566" s="3" t="s">
        <v>453</v>
      </c>
      <c r="H566" s="3" t="s">
        <v>137</v>
      </c>
      <c r="I566" s="3" t="s">
        <v>156</v>
      </c>
      <c r="J566" s="3" t="s">
        <v>30</v>
      </c>
      <c r="K566" s="3" t="s">
        <v>30</v>
      </c>
      <c r="L566" s="3" t="s">
        <v>139</v>
      </c>
      <c r="M566" s="3" t="s">
        <v>31</v>
      </c>
      <c r="N566" s="3" t="s">
        <v>447</v>
      </c>
      <c r="O566" s="3" t="s">
        <v>141</v>
      </c>
      <c r="P566" s="3" t="s">
        <v>209</v>
      </c>
      <c r="Q566" s="3" t="s">
        <v>164</v>
      </c>
      <c r="R566" s="3" t="s">
        <v>144</v>
      </c>
      <c r="S566" s="3" t="s">
        <v>34</v>
      </c>
      <c r="T566" s="153">
        <v>2.8410000000000002</v>
      </c>
      <c r="U566" s="3" t="s">
        <v>454</v>
      </c>
      <c r="V566" s="164">
        <v>6.4000000000000001E-2</v>
      </c>
      <c r="W566" s="164">
        <v>5.8369999999999998E-2</v>
      </c>
      <c r="X566" s="5" t="s">
        <v>146</v>
      </c>
      <c r="Y566" s="5" t="s">
        <v>141</v>
      </c>
      <c r="Z566" s="153">
        <v>68000</v>
      </c>
      <c r="AA566" s="162">
        <v>1</v>
      </c>
      <c r="AB566" s="172">
        <v>104.05</v>
      </c>
      <c r="AD566" s="153">
        <v>70.754000000000005</v>
      </c>
      <c r="AG566" s="3" t="s">
        <v>36</v>
      </c>
      <c r="AH566" s="164">
        <v>1.9599999999999999E-4</v>
      </c>
      <c r="AI566" s="164">
        <v>7.4273326875187997E-3</v>
      </c>
      <c r="AJ566" s="164">
        <v>9.3209575146108203E-4</v>
      </c>
    </row>
    <row r="567" spans="1:36">
      <c r="A567" s="3">
        <v>969</v>
      </c>
      <c r="B567" s="3">
        <v>969</v>
      </c>
      <c r="C567" s="3" t="s">
        <v>455</v>
      </c>
      <c r="D567" s="3" t="s">
        <v>456</v>
      </c>
      <c r="E567" s="5" t="s">
        <v>134</v>
      </c>
      <c r="F567" s="3" t="s">
        <v>457</v>
      </c>
      <c r="G567" s="3" t="s">
        <v>458</v>
      </c>
      <c r="H567" s="3" t="s">
        <v>137</v>
      </c>
      <c r="I567" s="3" t="s">
        <v>138</v>
      </c>
      <c r="J567" s="3" t="s">
        <v>30</v>
      </c>
      <c r="K567" s="3" t="s">
        <v>30</v>
      </c>
      <c r="L567" s="3" t="s">
        <v>139</v>
      </c>
      <c r="M567" s="3" t="s">
        <v>31</v>
      </c>
      <c r="N567" s="3" t="s">
        <v>162</v>
      </c>
      <c r="O567" s="3" t="s">
        <v>141</v>
      </c>
      <c r="P567" s="3" t="s">
        <v>459</v>
      </c>
      <c r="Q567" s="3" t="s">
        <v>164</v>
      </c>
      <c r="R567" s="3" t="s">
        <v>144</v>
      </c>
      <c r="S567" s="3" t="s">
        <v>34</v>
      </c>
      <c r="T567" s="153">
        <v>3.2679999999999998</v>
      </c>
      <c r="U567" s="3" t="s">
        <v>460</v>
      </c>
      <c r="V567" s="164">
        <v>2.07E-2</v>
      </c>
      <c r="W567" s="164">
        <v>4.1239999999999999E-2</v>
      </c>
      <c r="X567" s="5" t="s">
        <v>146</v>
      </c>
      <c r="Y567" s="5" t="s">
        <v>141</v>
      </c>
      <c r="Z567" s="153">
        <v>107752.52</v>
      </c>
      <c r="AA567" s="162">
        <v>1</v>
      </c>
      <c r="AB567" s="172">
        <v>109.03</v>
      </c>
      <c r="AD567" s="153">
        <v>117.483</v>
      </c>
      <c r="AG567" s="3" t="s">
        <v>36</v>
      </c>
      <c r="AH567" s="164">
        <v>2.5799999999999998E-4</v>
      </c>
      <c r="AI567" s="164">
        <v>1.2332619376416601E-2</v>
      </c>
      <c r="AJ567" s="164">
        <v>1.54768644529166E-3</v>
      </c>
    </row>
    <row r="568" spans="1:36">
      <c r="A568" s="3">
        <v>969</v>
      </c>
      <c r="B568" s="3">
        <v>969</v>
      </c>
      <c r="C568" s="3" t="s">
        <v>461</v>
      </c>
      <c r="D568" s="3" t="s">
        <v>462</v>
      </c>
      <c r="E568" s="5" t="s">
        <v>134</v>
      </c>
      <c r="F568" s="3" t="s">
        <v>463</v>
      </c>
      <c r="G568" s="3" t="s">
        <v>464</v>
      </c>
      <c r="H568" s="3" t="s">
        <v>137</v>
      </c>
      <c r="I568" s="3" t="s">
        <v>138</v>
      </c>
      <c r="J568" s="3" t="s">
        <v>30</v>
      </c>
      <c r="K568" s="3" t="s">
        <v>30</v>
      </c>
      <c r="L568" s="3" t="s">
        <v>139</v>
      </c>
      <c r="M568" s="3" t="s">
        <v>31</v>
      </c>
      <c r="N568" s="3" t="s">
        <v>465</v>
      </c>
      <c r="O568" s="3" t="s">
        <v>141</v>
      </c>
      <c r="P568" s="3" t="s">
        <v>286</v>
      </c>
      <c r="Q568" s="3" t="s">
        <v>143</v>
      </c>
      <c r="R568" s="3" t="s">
        <v>144</v>
      </c>
      <c r="S568" s="3" t="s">
        <v>34</v>
      </c>
      <c r="T568" s="153">
        <v>11.507999999999999</v>
      </c>
      <c r="U568" s="3" t="s">
        <v>466</v>
      </c>
      <c r="V568" s="164">
        <v>2.07E-2</v>
      </c>
      <c r="W568" s="164">
        <v>2.7050000000000001E-2</v>
      </c>
      <c r="X568" s="5" t="s">
        <v>146</v>
      </c>
      <c r="Y568" s="5" t="s">
        <v>141</v>
      </c>
      <c r="Z568" s="153">
        <v>63659.58</v>
      </c>
      <c r="AA568" s="162">
        <v>1</v>
      </c>
      <c r="AB568" s="172">
        <v>109.4</v>
      </c>
      <c r="AD568" s="153">
        <v>69.644000000000005</v>
      </c>
      <c r="AG568" s="3" t="s">
        <v>36</v>
      </c>
      <c r="AH568" s="164">
        <v>1.2E-5</v>
      </c>
      <c r="AI568" s="164">
        <v>7.3107674770619803E-3</v>
      </c>
      <c r="AJ568" s="164">
        <v>9.1746735900768604E-4</v>
      </c>
    </row>
    <row r="569" spans="1:36">
      <c r="A569" s="3">
        <v>969</v>
      </c>
      <c r="B569" s="3">
        <v>969</v>
      </c>
      <c r="C569" s="3" t="s">
        <v>467</v>
      </c>
      <c r="D569" s="3" t="s">
        <v>468</v>
      </c>
      <c r="E569" s="5" t="s">
        <v>366</v>
      </c>
      <c r="F569" s="3" t="s">
        <v>469</v>
      </c>
      <c r="G569" s="3" t="s">
        <v>470</v>
      </c>
      <c r="H569" s="3" t="s">
        <v>137</v>
      </c>
      <c r="I569" s="3" t="s">
        <v>156</v>
      </c>
      <c r="J569" s="3" t="s">
        <v>30</v>
      </c>
      <c r="K569" s="3" t="s">
        <v>30</v>
      </c>
      <c r="L569" s="3" t="s">
        <v>139</v>
      </c>
      <c r="M569" s="3" t="s">
        <v>31</v>
      </c>
      <c r="N569" s="3" t="s">
        <v>369</v>
      </c>
      <c r="O569" s="3" t="s">
        <v>141</v>
      </c>
      <c r="P569" s="3" t="s">
        <v>471</v>
      </c>
      <c r="Q569" s="3" t="s">
        <v>143</v>
      </c>
      <c r="R569" s="3" t="s">
        <v>144</v>
      </c>
      <c r="S569" s="3" t="s">
        <v>34</v>
      </c>
      <c r="T569" s="153">
        <v>3.746</v>
      </c>
      <c r="U569" s="3" t="s">
        <v>472</v>
      </c>
      <c r="V569" s="164">
        <v>0.06</v>
      </c>
      <c r="W569" s="164">
        <v>5.5539999999999999E-2</v>
      </c>
      <c r="X569" s="5" t="s">
        <v>146</v>
      </c>
      <c r="Y569" s="5" t="s">
        <v>141</v>
      </c>
      <c r="Z569" s="153">
        <v>100000</v>
      </c>
      <c r="AA569" s="162">
        <v>1</v>
      </c>
      <c r="AB569" s="172">
        <v>103.52</v>
      </c>
      <c r="AD569" s="153">
        <v>103.52</v>
      </c>
      <c r="AG569" s="3" t="s">
        <v>36</v>
      </c>
      <c r="AH569" s="164">
        <v>1E-4</v>
      </c>
      <c r="AI569" s="164">
        <v>1.08669118327154E-2</v>
      </c>
      <c r="AJ569" s="164">
        <v>1.3637469569388501E-3</v>
      </c>
    </row>
    <row r="570" spans="1:36">
      <c r="A570" s="3">
        <v>969</v>
      </c>
      <c r="B570" s="3">
        <v>969</v>
      </c>
      <c r="C570" s="3" t="s">
        <v>467</v>
      </c>
      <c r="D570" s="3" t="s">
        <v>468</v>
      </c>
      <c r="E570" s="5" t="s">
        <v>366</v>
      </c>
      <c r="F570" s="3" t="s">
        <v>473</v>
      </c>
      <c r="G570" s="3" t="s">
        <v>474</v>
      </c>
      <c r="H570" s="3" t="s">
        <v>137</v>
      </c>
      <c r="I570" s="3" t="s">
        <v>156</v>
      </c>
      <c r="J570" s="3" t="s">
        <v>30</v>
      </c>
      <c r="K570" s="3" t="s">
        <v>30</v>
      </c>
      <c r="L570" s="3" t="s">
        <v>139</v>
      </c>
      <c r="M570" s="3" t="s">
        <v>31</v>
      </c>
      <c r="N570" s="3" t="s">
        <v>369</v>
      </c>
      <c r="O570" s="3" t="s">
        <v>141</v>
      </c>
      <c r="P570" s="3" t="s">
        <v>329</v>
      </c>
      <c r="Q570" s="3" t="s">
        <v>143</v>
      </c>
      <c r="R570" s="3" t="s">
        <v>144</v>
      </c>
      <c r="S570" s="3" t="s">
        <v>34</v>
      </c>
      <c r="T570" s="153">
        <v>2.9580000000000002</v>
      </c>
      <c r="U570" s="3" t="s">
        <v>475</v>
      </c>
      <c r="V570" s="164">
        <v>6.7000000000000004E-2</v>
      </c>
      <c r="W570" s="164">
        <v>5.1299999999999998E-2</v>
      </c>
      <c r="X570" s="5" t="s">
        <v>146</v>
      </c>
      <c r="Y570" s="5" t="s">
        <v>141</v>
      </c>
      <c r="Z570" s="153">
        <v>48000</v>
      </c>
      <c r="AA570" s="162">
        <v>1</v>
      </c>
      <c r="AB570" s="172">
        <v>104.89</v>
      </c>
      <c r="AD570" s="153">
        <v>50.347000000000001</v>
      </c>
      <c r="AG570" s="3" t="s">
        <v>36</v>
      </c>
      <c r="AH570" s="164">
        <v>5.3000000000000001E-5</v>
      </c>
      <c r="AI570" s="164">
        <v>5.2851486034011701E-3</v>
      </c>
      <c r="AJ570" s="164">
        <v>6.6326159959806397E-4</v>
      </c>
    </row>
    <row r="571" spans="1:36">
      <c r="A571" s="3">
        <v>969</v>
      </c>
      <c r="B571" s="3">
        <v>969</v>
      </c>
      <c r="C571" s="3" t="s">
        <v>476</v>
      </c>
      <c r="D571" s="3" t="s">
        <v>477</v>
      </c>
      <c r="E571" s="5" t="s">
        <v>134</v>
      </c>
      <c r="F571" s="3" t="s">
        <v>478</v>
      </c>
      <c r="G571" s="3" t="s">
        <v>479</v>
      </c>
      <c r="H571" s="3" t="s">
        <v>137</v>
      </c>
      <c r="I571" s="3" t="s">
        <v>156</v>
      </c>
      <c r="J571" s="3" t="s">
        <v>30</v>
      </c>
      <c r="K571" s="3" t="s">
        <v>30</v>
      </c>
      <c r="L571" s="3" t="s">
        <v>139</v>
      </c>
      <c r="M571" s="3" t="s">
        <v>31</v>
      </c>
      <c r="N571" s="3" t="s">
        <v>480</v>
      </c>
      <c r="O571" s="3" t="s">
        <v>141</v>
      </c>
      <c r="P571" s="3" t="s">
        <v>481</v>
      </c>
      <c r="Q571" s="3" t="s">
        <v>481</v>
      </c>
      <c r="R571" s="3" t="s">
        <v>481</v>
      </c>
      <c r="S571" s="3" t="s">
        <v>34</v>
      </c>
      <c r="T571" s="153">
        <v>3.6760000000000002</v>
      </c>
      <c r="U571" s="3" t="s">
        <v>482</v>
      </c>
      <c r="V571" s="164">
        <v>5.8999999999999997E-2</v>
      </c>
      <c r="W571" s="164">
        <v>5.3530000000000001E-2</v>
      </c>
      <c r="X571" s="5" t="s">
        <v>146</v>
      </c>
      <c r="Y571" s="5" t="s">
        <v>141</v>
      </c>
      <c r="Z571" s="153">
        <v>98000</v>
      </c>
      <c r="AA571" s="162">
        <v>1</v>
      </c>
      <c r="AB571" s="172">
        <v>102.31</v>
      </c>
      <c r="AD571" s="153">
        <v>100.264</v>
      </c>
      <c r="AG571" s="3" t="s">
        <v>36</v>
      </c>
      <c r="AH571" s="164">
        <v>2.02E-4</v>
      </c>
      <c r="AI571" s="164">
        <v>1.05250953884565E-2</v>
      </c>
      <c r="AJ571" s="164">
        <v>1.32085058096141E-3</v>
      </c>
    </row>
    <row r="572" spans="1:36">
      <c r="A572" s="3">
        <v>969</v>
      </c>
      <c r="B572" s="3">
        <v>969</v>
      </c>
      <c r="C572" s="3" t="s">
        <v>483</v>
      </c>
      <c r="D572" s="3" t="s">
        <v>484</v>
      </c>
      <c r="E572" s="5" t="s">
        <v>134</v>
      </c>
      <c r="F572" s="3" t="s">
        <v>485</v>
      </c>
      <c r="G572" s="3" t="s">
        <v>486</v>
      </c>
      <c r="H572" s="3" t="s">
        <v>137</v>
      </c>
      <c r="I572" s="3" t="s">
        <v>156</v>
      </c>
      <c r="J572" s="3" t="s">
        <v>30</v>
      </c>
      <c r="K572" s="3" t="s">
        <v>30</v>
      </c>
      <c r="L572" s="3" t="s">
        <v>139</v>
      </c>
      <c r="M572" s="3" t="s">
        <v>31</v>
      </c>
      <c r="N572" s="3" t="s">
        <v>220</v>
      </c>
      <c r="O572" s="3" t="s">
        <v>141</v>
      </c>
      <c r="P572" s="3" t="s">
        <v>209</v>
      </c>
      <c r="Q572" s="3" t="s">
        <v>164</v>
      </c>
      <c r="R572" s="3" t="s">
        <v>144</v>
      </c>
      <c r="S572" s="3" t="s">
        <v>34</v>
      </c>
      <c r="T572" s="153">
        <v>2.992</v>
      </c>
      <c r="U572" s="3" t="s">
        <v>472</v>
      </c>
      <c r="V572" s="164">
        <v>6.9500000000000006E-2</v>
      </c>
      <c r="W572" s="164">
        <v>5.3469999999999997E-2</v>
      </c>
      <c r="X572" s="5" t="s">
        <v>146</v>
      </c>
      <c r="Y572" s="5" t="s">
        <v>141</v>
      </c>
      <c r="Z572" s="153">
        <v>66500</v>
      </c>
      <c r="AA572" s="162">
        <v>1</v>
      </c>
      <c r="AB572" s="172">
        <v>106.87</v>
      </c>
      <c r="AD572" s="153">
        <v>71.069000000000003</v>
      </c>
      <c r="AG572" s="3" t="s">
        <v>36</v>
      </c>
      <c r="AH572" s="164">
        <v>8.2999999999999998E-5</v>
      </c>
      <c r="AI572" s="164">
        <v>7.4603522694061701E-3</v>
      </c>
      <c r="AJ572" s="164">
        <v>9.3623955560815601E-4</v>
      </c>
    </row>
    <row r="573" spans="1:36">
      <c r="A573" s="3">
        <v>969</v>
      </c>
      <c r="B573" s="3">
        <v>969</v>
      </c>
      <c r="C573" s="3" t="s">
        <v>483</v>
      </c>
      <c r="D573" s="3" t="s">
        <v>484</v>
      </c>
      <c r="E573" s="5" t="s">
        <v>134</v>
      </c>
      <c r="F573" s="3" t="s">
        <v>487</v>
      </c>
      <c r="G573" s="3" t="s">
        <v>488</v>
      </c>
      <c r="H573" s="3" t="s">
        <v>137</v>
      </c>
      <c r="I573" s="3" t="s">
        <v>156</v>
      </c>
      <c r="J573" s="3" t="s">
        <v>30</v>
      </c>
      <c r="K573" s="3" t="s">
        <v>30</v>
      </c>
      <c r="L573" s="3" t="s">
        <v>139</v>
      </c>
      <c r="M573" s="3" t="s">
        <v>31</v>
      </c>
      <c r="N573" s="3" t="s">
        <v>220</v>
      </c>
      <c r="O573" s="3" t="s">
        <v>141</v>
      </c>
      <c r="P573" s="3" t="s">
        <v>209</v>
      </c>
      <c r="Q573" s="3" t="s">
        <v>164</v>
      </c>
      <c r="R573" s="3" t="s">
        <v>144</v>
      </c>
      <c r="S573" s="3" t="s">
        <v>34</v>
      </c>
      <c r="T573" s="153">
        <v>5.5030000000000001</v>
      </c>
      <c r="U573" s="3" t="s">
        <v>489</v>
      </c>
      <c r="V573" s="164">
        <v>6.6900000000000001E-2</v>
      </c>
      <c r="W573" s="164">
        <v>5.6550000000000003E-2</v>
      </c>
      <c r="X573" s="5" t="s">
        <v>146</v>
      </c>
      <c r="Y573" s="5" t="s">
        <v>141</v>
      </c>
      <c r="Z573" s="153">
        <v>51410.21</v>
      </c>
      <c r="AA573" s="162">
        <v>1</v>
      </c>
      <c r="AB573" s="172">
        <v>107.94</v>
      </c>
      <c r="AD573" s="153">
        <v>55.491999999999997</v>
      </c>
      <c r="AG573" s="3" t="s">
        <v>36</v>
      </c>
      <c r="AH573" s="164">
        <v>6.7999999999999999E-5</v>
      </c>
      <c r="AI573" s="164">
        <v>5.8252379713047897E-3</v>
      </c>
      <c r="AJ573" s="164">
        <v>7.3104030649215801E-4</v>
      </c>
    </row>
    <row r="574" spans="1:36">
      <c r="A574" s="3">
        <v>969</v>
      </c>
      <c r="B574" s="3">
        <v>969</v>
      </c>
      <c r="C574" s="3" t="s">
        <v>490</v>
      </c>
      <c r="D574" s="3" t="s">
        <v>491</v>
      </c>
      <c r="E574" s="5" t="s">
        <v>492</v>
      </c>
      <c r="F574" s="3" t="s">
        <v>493</v>
      </c>
      <c r="G574" s="3" t="s">
        <v>494</v>
      </c>
      <c r="H574" s="3" t="s">
        <v>137</v>
      </c>
      <c r="I574" s="3" t="s">
        <v>156</v>
      </c>
      <c r="J574" s="3" t="s">
        <v>30</v>
      </c>
      <c r="K574" s="3" t="s">
        <v>30</v>
      </c>
      <c r="L574" s="3" t="s">
        <v>139</v>
      </c>
      <c r="M574" s="3" t="s">
        <v>31</v>
      </c>
      <c r="N574" s="3" t="s">
        <v>208</v>
      </c>
      <c r="O574" s="3" t="s">
        <v>141</v>
      </c>
      <c r="P574" s="3" t="s">
        <v>180</v>
      </c>
      <c r="Q574" s="3" t="s">
        <v>143</v>
      </c>
      <c r="R574" s="3" t="s">
        <v>144</v>
      </c>
      <c r="S574" s="3" t="s">
        <v>34</v>
      </c>
      <c r="T574" s="153">
        <v>3.2290000000000001</v>
      </c>
      <c r="U574" s="3" t="s">
        <v>495</v>
      </c>
      <c r="V574" s="164">
        <v>6.25E-2</v>
      </c>
      <c r="W574" s="164">
        <v>5.2150000000000002E-2</v>
      </c>
      <c r="X574" s="5" t="s">
        <v>146</v>
      </c>
      <c r="Y574" s="5" t="s">
        <v>141</v>
      </c>
      <c r="Z574" s="153">
        <v>109942</v>
      </c>
      <c r="AA574" s="162">
        <v>1</v>
      </c>
      <c r="AB574" s="172">
        <v>106.47</v>
      </c>
      <c r="AD574" s="153">
        <v>117.05500000000001</v>
      </c>
      <c r="AG574" s="3" t="s">
        <v>36</v>
      </c>
      <c r="AH574" s="164">
        <v>2.0000000000000001E-4</v>
      </c>
      <c r="AI574" s="164">
        <v>1.22877613316508E-2</v>
      </c>
      <c r="AJ574" s="164">
        <v>1.5420569690443801E-3</v>
      </c>
    </row>
    <row r="575" spans="1:36">
      <c r="A575" s="3">
        <v>969</v>
      </c>
      <c r="B575" s="3">
        <v>969</v>
      </c>
      <c r="C575" s="3" t="s">
        <v>490</v>
      </c>
      <c r="D575" s="3" t="s">
        <v>491</v>
      </c>
      <c r="E575" s="5" t="s">
        <v>492</v>
      </c>
      <c r="F575" s="3" t="s">
        <v>496</v>
      </c>
      <c r="G575" s="3" t="s">
        <v>497</v>
      </c>
      <c r="H575" s="3" t="s">
        <v>137</v>
      </c>
      <c r="I575" s="3" t="s">
        <v>156</v>
      </c>
      <c r="J575" s="3" t="s">
        <v>30</v>
      </c>
      <c r="K575" s="3" t="s">
        <v>30</v>
      </c>
      <c r="L575" s="3" t="s">
        <v>139</v>
      </c>
      <c r="M575" s="3" t="s">
        <v>498</v>
      </c>
      <c r="N575" s="3" t="s">
        <v>208</v>
      </c>
      <c r="O575" s="3" t="s">
        <v>141</v>
      </c>
      <c r="P575" s="3" t="s">
        <v>142</v>
      </c>
      <c r="Q575" s="3" t="s">
        <v>143</v>
      </c>
      <c r="R575" s="3" t="s">
        <v>144</v>
      </c>
      <c r="S575" s="3" t="s">
        <v>34</v>
      </c>
      <c r="T575" s="153">
        <v>4.1349999999999998</v>
      </c>
      <c r="U575" s="3" t="s">
        <v>472</v>
      </c>
      <c r="V575" s="164">
        <v>2.9000000000000001E-2</v>
      </c>
      <c r="W575" s="164">
        <v>5.738E-2</v>
      </c>
      <c r="X575" s="5" t="s">
        <v>146</v>
      </c>
      <c r="Y575" s="5" t="s">
        <v>141</v>
      </c>
      <c r="Z575" s="153">
        <v>100000</v>
      </c>
      <c r="AA575" s="162">
        <v>1</v>
      </c>
      <c r="AB575" s="172">
        <v>102.45</v>
      </c>
      <c r="AD575" s="153">
        <v>102.45</v>
      </c>
      <c r="AG575" s="3" t="s">
        <v>36</v>
      </c>
      <c r="AH575" s="164">
        <v>2.8600000000000001E-4</v>
      </c>
      <c r="AI575" s="164">
        <v>1.07545896180612E-2</v>
      </c>
      <c r="AJ575" s="164">
        <v>1.3496510407494701E-3</v>
      </c>
    </row>
    <row r="576" spans="1:36">
      <c r="A576" s="3">
        <v>969</v>
      </c>
      <c r="B576" s="3">
        <v>969</v>
      </c>
      <c r="C576" s="3" t="s">
        <v>499</v>
      </c>
      <c r="D576" s="3" t="s">
        <v>500</v>
      </c>
      <c r="E576" s="5" t="s">
        <v>492</v>
      </c>
      <c r="F576" s="3" t="s">
        <v>501</v>
      </c>
      <c r="G576" s="3" t="s">
        <v>502</v>
      </c>
      <c r="H576" s="3" t="s">
        <v>137</v>
      </c>
      <c r="I576" s="3" t="s">
        <v>156</v>
      </c>
      <c r="J576" s="3" t="s">
        <v>30</v>
      </c>
      <c r="K576" s="3" t="s">
        <v>224</v>
      </c>
      <c r="L576" s="3" t="s">
        <v>139</v>
      </c>
      <c r="M576" s="3" t="s">
        <v>31</v>
      </c>
      <c r="N576" s="3" t="s">
        <v>208</v>
      </c>
      <c r="O576" s="3" t="s">
        <v>141</v>
      </c>
      <c r="P576" s="3" t="s">
        <v>180</v>
      </c>
      <c r="Q576" s="3" t="s">
        <v>143</v>
      </c>
      <c r="R576" s="3" t="s">
        <v>144</v>
      </c>
      <c r="S576" s="3" t="s">
        <v>34</v>
      </c>
      <c r="T576" s="153">
        <v>1.1879999999999999</v>
      </c>
      <c r="U576" s="3" t="s">
        <v>337</v>
      </c>
      <c r="V576" s="164">
        <v>3.49E-2</v>
      </c>
      <c r="W576" s="164">
        <v>5.4760000000000003E-2</v>
      </c>
      <c r="X576" s="5" t="s">
        <v>146</v>
      </c>
      <c r="Y576" s="5" t="s">
        <v>141</v>
      </c>
      <c r="Z576" s="153">
        <v>87800</v>
      </c>
      <c r="AA576" s="162">
        <v>1</v>
      </c>
      <c r="AB576" s="172">
        <v>98.69</v>
      </c>
      <c r="AD576" s="153">
        <v>86.65</v>
      </c>
      <c r="AG576" s="3" t="s">
        <v>36</v>
      </c>
      <c r="AH576" s="164">
        <v>9.2999999999999997E-5</v>
      </c>
      <c r="AI576" s="164">
        <v>9.0959810110187497E-3</v>
      </c>
      <c r="AJ576" s="164">
        <v>1.1415033649951601E-3</v>
      </c>
    </row>
    <row r="577" spans="1:36">
      <c r="A577" s="3">
        <v>969</v>
      </c>
      <c r="B577" s="3">
        <v>969</v>
      </c>
      <c r="C577" s="3" t="s">
        <v>499</v>
      </c>
      <c r="D577" s="3" t="s">
        <v>500</v>
      </c>
      <c r="E577" s="5" t="s">
        <v>492</v>
      </c>
      <c r="F577" s="3" t="s">
        <v>503</v>
      </c>
      <c r="G577" s="3" t="s">
        <v>504</v>
      </c>
      <c r="H577" s="3" t="s">
        <v>137</v>
      </c>
      <c r="I577" s="3" t="s">
        <v>156</v>
      </c>
      <c r="J577" s="3" t="s">
        <v>30</v>
      </c>
      <c r="K577" s="3" t="s">
        <v>224</v>
      </c>
      <c r="L577" s="3" t="s">
        <v>139</v>
      </c>
      <c r="M577" s="3" t="s">
        <v>31</v>
      </c>
      <c r="N577" s="3" t="s">
        <v>208</v>
      </c>
      <c r="O577" s="3" t="s">
        <v>141</v>
      </c>
      <c r="P577" s="3" t="s">
        <v>180</v>
      </c>
      <c r="Q577" s="3" t="s">
        <v>143</v>
      </c>
      <c r="R577" s="3" t="s">
        <v>144</v>
      </c>
      <c r="S577" s="3" t="s">
        <v>34</v>
      </c>
      <c r="T577" s="153">
        <v>3.6960000000000002</v>
      </c>
      <c r="U577" s="3" t="s">
        <v>505</v>
      </c>
      <c r="V577" s="164">
        <v>6.7400000000000002E-2</v>
      </c>
      <c r="W577" s="164">
        <v>5.6890000000000003E-2</v>
      </c>
      <c r="X577" s="5" t="s">
        <v>146</v>
      </c>
      <c r="Y577" s="5" t="s">
        <v>141</v>
      </c>
      <c r="Z577" s="153">
        <v>95000</v>
      </c>
      <c r="AA577" s="162">
        <v>1</v>
      </c>
      <c r="AB577" s="172">
        <v>105.95</v>
      </c>
      <c r="AD577" s="153">
        <v>100.65300000000001</v>
      </c>
      <c r="AG577" s="3" t="s">
        <v>36</v>
      </c>
      <c r="AH577" s="164">
        <v>3.3300000000000002E-4</v>
      </c>
      <c r="AI577" s="164">
        <v>1.05658987948453E-2</v>
      </c>
      <c r="AJ577" s="164">
        <v>1.32597121892666E-3</v>
      </c>
    </row>
    <row r="578" spans="1:36">
      <c r="A578" s="3">
        <v>969</v>
      </c>
      <c r="B578" s="3">
        <v>969</v>
      </c>
      <c r="C578" s="3" t="s">
        <v>608</v>
      </c>
      <c r="D578" s="3" t="s">
        <v>609</v>
      </c>
      <c r="E578" s="5" t="s">
        <v>134</v>
      </c>
      <c r="F578" s="3" t="s">
        <v>610</v>
      </c>
      <c r="G578" s="3" t="s">
        <v>611</v>
      </c>
      <c r="H578" s="3" t="s">
        <v>137</v>
      </c>
      <c r="I578" s="3" t="s">
        <v>156</v>
      </c>
      <c r="J578" s="3" t="s">
        <v>30</v>
      </c>
      <c r="K578" s="3" t="s">
        <v>30</v>
      </c>
      <c r="L578" s="3" t="s">
        <v>139</v>
      </c>
      <c r="M578" s="3" t="s">
        <v>31</v>
      </c>
      <c r="N578" s="3" t="s">
        <v>612</v>
      </c>
      <c r="O578" s="3" t="s">
        <v>141</v>
      </c>
      <c r="P578" s="3" t="s">
        <v>142</v>
      </c>
      <c r="Q578" s="3" t="s">
        <v>143</v>
      </c>
      <c r="R578" s="3" t="s">
        <v>144</v>
      </c>
      <c r="S578" s="3" t="s">
        <v>34</v>
      </c>
      <c r="T578" s="153">
        <v>2.5470000000000002</v>
      </c>
      <c r="U578" s="3" t="s">
        <v>613</v>
      </c>
      <c r="V578" s="164">
        <v>4.7300000000000002E-2</v>
      </c>
      <c r="W578" s="164">
        <v>4.7289999999999999E-2</v>
      </c>
      <c r="X578" s="5" t="s">
        <v>146</v>
      </c>
      <c r="Y578" s="5" t="s">
        <v>141</v>
      </c>
      <c r="Z578" s="153">
        <v>66500</v>
      </c>
      <c r="AA578" s="162">
        <v>1</v>
      </c>
      <c r="AB578" s="172">
        <v>101.31</v>
      </c>
      <c r="AD578" s="153">
        <v>67.370999999999995</v>
      </c>
      <c r="AG578" s="3" t="s">
        <v>36</v>
      </c>
      <c r="AH578" s="164">
        <v>1.4100000000000001E-4</v>
      </c>
      <c r="AI578" s="164">
        <v>7.0722212820580098E-3</v>
      </c>
      <c r="AJ578" s="164">
        <v>8.87530919609454E-4</v>
      </c>
    </row>
    <row r="579" spans="1:36">
      <c r="A579" s="3">
        <v>969</v>
      </c>
      <c r="B579" s="3">
        <v>969</v>
      </c>
      <c r="C579" s="3" t="s">
        <v>506</v>
      </c>
      <c r="D579" s="3" t="s">
        <v>507</v>
      </c>
      <c r="E579" s="5" t="s">
        <v>134</v>
      </c>
      <c r="F579" s="3" t="s">
        <v>508</v>
      </c>
      <c r="G579" s="3" t="s">
        <v>509</v>
      </c>
      <c r="H579" s="3" t="s">
        <v>137</v>
      </c>
      <c r="I579" s="3" t="s">
        <v>138</v>
      </c>
      <c r="J579" s="3" t="s">
        <v>30</v>
      </c>
      <c r="K579" s="3" t="s">
        <v>30</v>
      </c>
      <c r="L579" s="3" t="s">
        <v>139</v>
      </c>
      <c r="M579" s="3" t="s">
        <v>31</v>
      </c>
      <c r="N579" s="3" t="s">
        <v>186</v>
      </c>
      <c r="O579" s="3" t="s">
        <v>141</v>
      </c>
      <c r="P579" s="3" t="s">
        <v>510</v>
      </c>
      <c r="Q579" s="3" t="s">
        <v>164</v>
      </c>
      <c r="R579" s="3" t="s">
        <v>144</v>
      </c>
      <c r="S579" s="3" t="s">
        <v>34</v>
      </c>
      <c r="T579" s="153">
        <v>1.6930000000000001</v>
      </c>
      <c r="U579" s="3" t="s">
        <v>511</v>
      </c>
      <c r="V579" s="164">
        <v>1.77E-2</v>
      </c>
      <c r="W579" s="164">
        <v>2.93E-2</v>
      </c>
      <c r="X579" s="5" t="s">
        <v>146</v>
      </c>
      <c r="Y579" s="5" t="s">
        <v>141</v>
      </c>
      <c r="Z579" s="153">
        <v>105000</v>
      </c>
      <c r="AA579" s="162">
        <v>1</v>
      </c>
      <c r="AB579" s="172">
        <v>116.94</v>
      </c>
      <c r="AD579" s="153">
        <v>122.78700000000001</v>
      </c>
      <c r="AG579" s="3" t="s">
        <v>36</v>
      </c>
      <c r="AH579" s="164">
        <v>4.3000000000000002E-5</v>
      </c>
      <c r="AI579" s="164">
        <v>1.2889446514718199E-2</v>
      </c>
      <c r="AJ579" s="164">
        <v>1.6175656646218201E-3</v>
      </c>
    </row>
    <row r="580" spans="1:36">
      <c r="A580" s="3">
        <v>969</v>
      </c>
      <c r="B580" s="3">
        <v>969</v>
      </c>
      <c r="C580" s="3" t="s">
        <v>506</v>
      </c>
      <c r="D580" s="3" t="s">
        <v>507</v>
      </c>
      <c r="E580" s="5" t="s">
        <v>134</v>
      </c>
      <c r="F580" s="3" t="s">
        <v>512</v>
      </c>
      <c r="G580" s="3" t="s">
        <v>513</v>
      </c>
      <c r="H580" s="3" t="s">
        <v>137</v>
      </c>
      <c r="I580" s="3" t="s">
        <v>138</v>
      </c>
      <c r="J580" s="3" t="s">
        <v>30</v>
      </c>
      <c r="K580" s="3" t="s">
        <v>30</v>
      </c>
      <c r="L580" s="3" t="s">
        <v>139</v>
      </c>
      <c r="M580" s="3" t="s">
        <v>31</v>
      </c>
      <c r="N580" s="3" t="s">
        <v>186</v>
      </c>
      <c r="O580" s="3" t="s">
        <v>141</v>
      </c>
      <c r="P580" s="3" t="s">
        <v>514</v>
      </c>
      <c r="Q580" s="3" t="s">
        <v>143</v>
      </c>
      <c r="R580" s="3" t="s">
        <v>144</v>
      </c>
      <c r="S580" s="3" t="s">
        <v>34</v>
      </c>
      <c r="T580" s="153">
        <v>6.157</v>
      </c>
      <c r="U580" s="3" t="s">
        <v>515</v>
      </c>
      <c r="V580" s="164">
        <v>8.9999999999999993E-3</v>
      </c>
      <c r="W580" s="164">
        <v>2.7810000000000001E-2</v>
      </c>
      <c r="X580" s="5" t="s">
        <v>146</v>
      </c>
      <c r="Y580" s="5" t="s">
        <v>141</v>
      </c>
      <c r="Z580" s="153">
        <v>97959.18</v>
      </c>
      <c r="AA580" s="162">
        <v>1</v>
      </c>
      <c r="AB580" s="172">
        <v>104.46</v>
      </c>
      <c r="AD580" s="153">
        <v>102.328</v>
      </c>
      <c r="AG580" s="3" t="s">
        <v>36</v>
      </c>
      <c r="AH580" s="164">
        <v>3.6000000000000001E-5</v>
      </c>
      <c r="AI580" s="164">
        <v>1.0741799521909999E-2</v>
      </c>
      <c r="AJ580" s="164">
        <v>1.3480459430939701E-3</v>
      </c>
    </row>
    <row r="581" spans="1:36">
      <c r="A581" s="3">
        <v>969</v>
      </c>
      <c r="B581" s="3">
        <v>969</v>
      </c>
      <c r="C581" s="3" t="s">
        <v>506</v>
      </c>
      <c r="D581" s="3" t="s">
        <v>507</v>
      </c>
      <c r="E581" s="5" t="s">
        <v>134</v>
      </c>
      <c r="F581" s="3" t="s">
        <v>516</v>
      </c>
      <c r="G581" s="3" t="s">
        <v>517</v>
      </c>
      <c r="H581" s="3" t="s">
        <v>137</v>
      </c>
      <c r="I581" s="3" t="s">
        <v>138</v>
      </c>
      <c r="J581" s="3" t="s">
        <v>30</v>
      </c>
      <c r="K581" s="3" t="s">
        <v>30</v>
      </c>
      <c r="L581" s="3" t="s">
        <v>139</v>
      </c>
      <c r="M581" s="3" t="s">
        <v>31</v>
      </c>
      <c r="N581" s="3" t="s">
        <v>186</v>
      </c>
      <c r="O581" s="3" t="s">
        <v>141</v>
      </c>
      <c r="P581" s="3" t="s">
        <v>514</v>
      </c>
      <c r="Q581" s="3" t="s">
        <v>143</v>
      </c>
      <c r="R581" s="3" t="s">
        <v>144</v>
      </c>
      <c r="S581" s="3" t="s">
        <v>34</v>
      </c>
      <c r="T581" s="153">
        <v>9.6180000000000003</v>
      </c>
      <c r="U581" s="3" t="s">
        <v>518</v>
      </c>
      <c r="V581" s="164">
        <v>1.6899999999999998E-2</v>
      </c>
      <c r="W581" s="164">
        <v>2.9430000000000001E-2</v>
      </c>
      <c r="X581" s="5" t="s">
        <v>146</v>
      </c>
      <c r="Y581" s="5" t="s">
        <v>141</v>
      </c>
      <c r="Z581" s="153">
        <v>111422</v>
      </c>
      <c r="AA581" s="162">
        <v>1</v>
      </c>
      <c r="AB581" s="172">
        <v>104.3</v>
      </c>
      <c r="AD581" s="153">
        <v>116.21299999999999</v>
      </c>
      <c r="AG581" s="3" t="s">
        <v>36</v>
      </c>
      <c r="AH581" s="164">
        <v>2.5999999999999998E-5</v>
      </c>
      <c r="AI581" s="164">
        <v>1.21993625520139E-2</v>
      </c>
      <c r="AJ581" s="164">
        <v>1.5309633328225501E-3</v>
      </c>
    </row>
    <row r="582" spans="1:36">
      <c r="A582" s="3">
        <v>969</v>
      </c>
      <c r="B582" s="3">
        <v>969</v>
      </c>
      <c r="C582" s="3" t="s">
        <v>506</v>
      </c>
      <c r="D582" s="3" t="s">
        <v>507</v>
      </c>
      <c r="E582" s="5" t="s">
        <v>134</v>
      </c>
      <c r="F582" s="3" t="s">
        <v>519</v>
      </c>
      <c r="G582" s="3" t="s">
        <v>520</v>
      </c>
      <c r="H582" s="3" t="s">
        <v>137</v>
      </c>
      <c r="I582" s="3" t="s">
        <v>138</v>
      </c>
      <c r="J582" s="3" t="s">
        <v>30</v>
      </c>
      <c r="K582" s="3" t="s">
        <v>30</v>
      </c>
      <c r="L582" s="3" t="s">
        <v>139</v>
      </c>
      <c r="M582" s="3" t="s">
        <v>31</v>
      </c>
      <c r="N582" s="3" t="s">
        <v>186</v>
      </c>
      <c r="O582" s="3" t="s">
        <v>141</v>
      </c>
      <c r="P582" s="3" t="s">
        <v>510</v>
      </c>
      <c r="Q582" s="3" t="s">
        <v>164</v>
      </c>
      <c r="R582" s="3" t="s">
        <v>144</v>
      </c>
      <c r="S582" s="3" t="s">
        <v>34</v>
      </c>
      <c r="T582" s="153">
        <v>11.696</v>
      </c>
      <c r="U582" s="3" t="s">
        <v>521</v>
      </c>
      <c r="V582" s="164">
        <v>3.6700000000000003E-2</v>
      </c>
      <c r="W582" s="164">
        <v>3.0839999999999999E-2</v>
      </c>
      <c r="X582" s="5" t="s">
        <v>146</v>
      </c>
      <c r="Y582" s="5" t="s">
        <v>141</v>
      </c>
      <c r="Z582" s="153">
        <v>78000</v>
      </c>
      <c r="AA582" s="162">
        <v>1</v>
      </c>
      <c r="AB582" s="172">
        <v>112.94</v>
      </c>
      <c r="AD582" s="153">
        <v>88.093000000000004</v>
      </c>
      <c r="AG582" s="3" t="s">
        <v>36</v>
      </c>
      <c r="AH582" s="164">
        <v>1.5E-5</v>
      </c>
      <c r="AI582" s="164">
        <v>9.2474984298856807E-3</v>
      </c>
      <c r="AJ582" s="164">
        <v>1.16051809724696E-3</v>
      </c>
    </row>
    <row r="583" spans="1:36">
      <c r="A583" s="3">
        <v>969</v>
      </c>
      <c r="B583" s="3">
        <v>969</v>
      </c>
      <c r="C583" s="3" t="s">
        <v>522</v>
      </c>
      <c r="D583" s="3" t="s">
        <v>523</v>
      </c>
      <c r="E583" s="5" t="s">
        <v>134</v>
      </c>
      <c r="F583" s="3" t="s">
        <v>524</v>
      </c>
      <c r="G583" s="3" t="s">
        <v>525</v>
      </c>
      <c r="H583" s="3" t="s">
        <v>137</v>
      </c>
      <c r="I583" s="3" t="s">
        <v>138</v>
      </c>
      <c r="J583" s="3" t="s">
        <v>30</v>
      </c>
      <c r="K583" s="3" t="s">
        <v>30</v>
      </c>
      <c r="L583" s="3" t="s">
        <v>139</v>
      </c>
      <c r="M583" s="3" t="s">
        <v>31</v>
      </c>
      <c r="N583" s="3" t="s">
        <v>285</v>
      </c>
      <c r="O583" s="3" t="s">
        <v>141</v>
      </c>
      <c r="P583" s="3" t="s">
        <v>142</v>
      </c>
      <c r="Q583" s="3" t="s">
        <v>143</v>
      </c>
      <c r="R583" s="3" t="s">
        <v>144</v>
      </c>
      <c r="S583" s="3" t="s">
        <v>34</v>
      </c>
      <c r="T583" s="153">
        <v>10.029</v>
      </c>
      <c r="U583" s="3" t="s">
        <v>526</v>
      </c>
      <c r="V583" s="164">
        <v>3.1899999999999998E-2</v>
      </c>
      <c r="W583" s="164">
        <v>3.2599999999999997E-2</v>
      </c>
      <c r="X583" s="5" t="s">
        <v>146</v>
      </c>
      <c r="Y583" s="5" t="s">
        <v>141</v>
      </c>
      <c r="Z583" s="153">
        <v>84000</v>
      </c>
      <c r="AA583" s="162">
        <v>1</v>
      </c>
      <c r="AB583" s="172">
        <v>100.37</v>
      </c>
      <c r="AD583" s="153">
        <v>84.311000000000007</v>
      </c>
      <c r="AG583" s="3" t="s">
        <v>36</v>
      </c>
      <c r="AH583" s="164">
        <v>8.8999999999999995E-5</v>
      </c>
      <c r="AI583" s="164">
        <v>8.8504446497846105E-3</v>
      </c>
      <c r="AJ583" s="164">
        <v>1.1106896922051801E-3</v>
      </c>
    </row>
    <row r="584" spans="1:36">
      <c r="A584" s="3">
        <v>969</v>
      </c>
      <c r="B584" s="3">
        <v>969</v>
      </c>
      <c r="C584" s="3" t="s">
        <v>522</v>
      </c>
      <c r="D584" s="3" t="s">
        <v>523</v>
      </c>
      <c r="E584" s="5" t="s">
        <v>134</v>
      </c>
      <c r="F584" s="3" t="s">
        <v>527</v>
      </c>
      <c r="G584" s="3" t="s">
        <v>528</v>
      </c>
      <c r="H584" s="3" t="s">
        <v>137</v>
      </c>
      <c r="I584" s="3" t="s">
        <v>138</v>
      </c>
      <c r="J584" s="3" t="s">
        <v>30</v>
      </c>
      <c r="K584" s="3" t="s">
        <v>30</v>
      </c>
      <c r="L584" s="3" t="s">
        <v>139</v>
      </c>
      <c r="M584" s="3" t="s">
        <v>31</v>
      </c>
      <c r="N584" s="3" t="s">
        <v>285</v>
      </c>
      <c r="O584" s="3" t="s">
        <v>141</v>
      </c>
      <c r="P584" s="3" t="s">
        <v>142</v>
      </c>
      <c r="Q584" s="3" t="s">
        <v>143</v>
      </c>
      <c r="R584" s="3" t="s">
        <v>144</v>
      </c>
      <c r="S584" s="3" t="s">
        <v>34</v>
      </c>
      <c r="T584" s="153">
        <v>3.8340000000000001</v>
      </c>
      <c r="U584" s="3" t="s">
        <v>529</v>
      </c>
      <c r="V584" s="164">
        <v>3.7100000000000001E-2</v>
      </c>
      <c r="W584" s="164">
        <v>2.98E-2</v>
      </c>
      <c r="X584" s="5" t="s">
        <v>146</v>
      </c>
      <c r="Y584" s="5" t="s">
        <v>141</v>
      </c>
      <c r="Z584" s="153">
        <v>100000</v>
      </c>
      <c r="AA584" s="162">
        <v>1</v>
      </c>
      <c r="AB584" s="172">
        <v>112.43</v>
      </c>
      <c r="AD584" s="153">
        <v>112.43</v>
      </c>
      <c r="AG584" s="3" t="s">
        <v>36</v>
      </c>
      <c r="AH584" s="164">
        <v>2.5999999999999998E-4</v>
      </c>
      <c r="AI584" s="164">
        <v>1.18022304612847E-2</v>
      </c>
      <c r="AJ584" s="164">
        <v>1.4811251001606901E-3</v>
      </c>
    </row>
    <row r="585" spans="1:36">
      <c r="A585" s="3">
        <v>969</v>
      </c>
      <c r="B585" s="3">
        <v>969</v>
      </c>
      <c r="C585" s="3" t="s">
        <v>522</v>
      </c>
      <c r="D585" s="3" t="s">
        <v>523</v>
      </c>
      <c r="E585" s="5" t="s">
        <v>134</v>
      </c>
      <c r="F585" s="3" t="s">
        <v>530</v>
      </c>
      <c r="G585" s="3" t="s">
        <v>531</v>
      </c>
      <c r="H585" s="3" t="s">
        <v>137</v>
      </c>
      <c r="I585" s="3" t="s">
        <v>138</v>
      </c>
      <c r="J585" s="3" t="s">
        <v>30</v>
      </c>
      <c r="K585" s="3" t="s">
        <v>30</v>
      </c>
      <c r="L585" s="3" t="s">
        <v>139</v>
      </c>
      <c r="M585" s="3" t="s">
        <v>31</v>
      </c>
      <c r="N585" s="3" t="s">
        <v>285</v>
      </c>
      <c r="O585" s="3" t="s">
        <v>141</v>
      </c>
      <c r="P585" s="3" t="s">
        <v>142</v>
      </c>
      <c r="Q585" s="3" t="s">
        <v>143</v>
      </c>
      <c r="R585" s="3" t="s">
        <v>144</v>
      </c>
      <c r="S585" s="3" t="s">
        <v>34</v>
      </c>
      <c r="T585" s="153">
        <v>6.2939999999999996</v>
      </c>
      <c r="U585" s="3" t="s">
        <v>532</v>
      </c>
      <c r="V585" s="164">
        <v>3.4500000000000003E-2</v>
      </c>
      <c r="W585" s="164">
        <v>2.9739999999999999E-2</v>
      </c>
      <c r="X585" s="5" t="s">
        <v>146</v>
      </c>
      <c r="Y585" s="5" t="s">
        <v>141</v>
      </c>
      <c r="Z585" s="153">
        <v>110000</v>
      </c>
      <c r="AA585" s="162">
        <v>1</v>
      </c>
      <c r="AB585" s="172">
        <v>108.65</v>
      </c>
      <c r="AD585" s="153">
        <v>119.515</v>
      </c>
      <c r="AG585" s="3" t="s">
        <v>36</v>
      </c>
      <c r="AH585" s="164">
        <v>7.4999999999999993E-5</v>
      </c>
      <c r="AI585" s="164">
        <v>1.25459714807475E-2</v>
      </c>
      <c r="AJ585" s="164">
        <v>1.5744611433398999E-3</v>
      </c>
    </row>
    <row r="586" spans="1:36">
      <c r="A586" s="3">
        <v>969</v>
      </c>
      <c r="B586" s="3">
        <v>969</v>
      </c>
      <c r="C586" s="3" t="s">
        <v>644</v>
      </c>
      <c r="D586" s="3" t="s">
        <v>645</v>
      </c>
      <c r="E586" s="5" t="s">
        <v>134</v>
      </c>
      <c r="F586" s="3" t="s">
        <v>646</v>
      </c>
      <c r="G586" s="3" t="s">
        <v>647</v>
      </c>
      <c r="H586" s="3" t="s">
        <v>137</v>
      </c>
      <c r="I586" s="3" t="s">
        <v>156</v>
      </c>
      <c r="J586" s="3" t="s">
        <v>30</v>
      </c>
      <c r="K586" s="3" t="s">
        <v>30</v>
      </c>
      <c r="L586" s="3" t="s">
        <v>139</v>
      </c>
      <c r="M586" s="3" t="s">
        <v>31</v>
      </c>
      <c r="N586" s="3" t="s">
        <v>612</v>
      </c>
      <c r="O586" s="3" t="s">
        <v>141</v>
      </c>
      <c r="P586" s="3" t="s">
        <v>142</v>
      </c>
      <c r="Q586" s="3" t="s">
        <v>143</v>
      </c>
      <c r="R586" s="3" t="s">
        <v>144</v>
      </c>
      <c r="S586" s="3" t="s">
        <v>34</v>
      </c>
      <c r="T586" s="153">
        <v>1.357</v>
      </c>
      <c r="U586" s="3" t="s">
        <v>648</v>
      </c>
      <c r="V586" s="164">
        <v>0.04</v>
      </c>
      <c r="W586" s="164">
        <v>4.7350000000000003E-2</v>
      </c>
      <c r="X586" s="5" t="s">
        <v>146</v>
      </c>
      <c r="Y586" s="5" t="s">
        <v>141</v>
      </c>
      <c r="Z586" s="153">
        <v>21997.200000000001</v>
      </c>
      <c r="AA586" s="162">
        <v>1</v>
      </c>
      <c r="AB586" s="172">
        <v>100.15</v>
      </c>
      <c r="AD586" s="153">
        <v>22.03</v>
      </c>
      <c r="AG586" s="3" t="s">
        <v>36</v>
      </c>
      <c r="AH586" s="164">
        <v>4.3000000000000002E-5</v>
      </c>
      <c r="AI586" s="164">
        <v>2.31259848740396E-3</v>
      </c>
      <c r="AJ586" s="164">
        <v>2.9022036788076702E-4</v>
      </c>
    </row>
    <row r="587" spans="1:36">
      <c r="A587" s="3">
        <v>969</v>
      </c>
      <c r="B587" s="3">
        <v>969</v>
      </c>
      <c r="C587" s="3" t="s">
        <v>533</v>
      </c>
      <c r="D587" s="3" t="s">
        <v>534</v>
      </c>
      <c r="E587" s="5" t="s">
        <v>134</v>
      </c>
      <c r="F587" s="3" t="s">
        <v>535</v>
      </c>
      <c r="G587" s="3" t="s">
        <v>536</v>
      </c>
      <c r="H587" s="3" t="s">
        <v>137</v>
      </c>
      <c r="I587" s="3" t="s">
        <v>156</v>
      </c>
      <c r="J587" s="3" t="s">
        <v>30</v>
      </c>
      <c r="K587" s="3" t="s">
        <v>30</v>
      </c>
      <c r="L587" s="3" t="s">
        <v>139</v>
      </c>
      <c r="M587" s="3" t="s">
        <v>31</v>
      </c>
      <c r="N587" s="3" t="s">
        <v>208</v>
      </c>
      <c r="O587" s="3" t="s">
        <v>141</v>
      </c>
      <c r="P587" s="3" t="s">
        <v>171</v>
      </c>
      <c r="Q587" s="3" t="s">
        <v>164</v>
      </c>
      <c r="R587" s="3" t="s">
        <v>144</v>
      </c>
      <c r="S587" s="3" t="s">
        <v>34</v>
      </c>
      <c r="T587" s="153">
        <v>5.5339999999999998</v>
      </c>
      <c r="U587" s="3" t="s">
        <v>330</v>
      </c>
      <c r="V587" s="164">
        <v>5.5899999999999998E-2</v>
      </c>
      <c r="W587" s="164">
        <v>5.425E-2</v>
      </c>
      <c r="X587" s="5" t="s">
        <v>146</v>
      </c>
      <c r="Y587" s="5" t="s">
        <v>141</v>
      </c>
      <c r="Z587" s="153">
        <v>87000</v>
      </c>
      <c r="AA587" s="162">
        <v>1</v>
      </c>
      <c r="AB587" s="172">
        <v>101.35</v>
      </c>
      <c r="AD587" s="153">
        <v>88.174000000000007</v>
      </c>
      <c r="AG587" s="3" t="s">
        <v>36</v>
      </c>
      <c r="AH587" s="164">
        <v>3.8900000000000002E-4</v>
      </c>
      <c r="AI587" s="164">
        <v>9.2560328187187499E-3</v>
      </c>
      <c r="AJ587" s="164">
        <v>1.1615891234022799E-3</v>
      </c>
    </row>
    <row r="588" spans="1:36">
      <c r="A588" s="3">
        <v>969</v>
      </c>
      <c r="B588" s="3">
        <v>969</v>
      </c>
      <c r="C588" s="3" t="s">
        <v>533</v>
      </c>
      <c r="D588" s="3" t="s">
        <v>534</v>
      </c>
      <c r="E588" s="5" t="s">
        <v>134</v>
      </c>
      <c r="F588" s="3" t="s">
        <v>537</v>
      </c>
      <c r="G588" s="3" t="s">
        <v>538</v>
      </c>
      <c r="H588" s="3" t="s">
        <v>137</v>
      </c>
      <c r="I588" s="3" t="s">
        <v>156</v>
      </c>
      <c r="J588" s="3" t="s">
        <v>30</v>
      </c>
      <c r="K588" s="3" t="s">
        <v>30</v>
      </c>
      <c r="L588" s="3" t="s">
        <v>139</v>
      </c>
      <c r="M588" s="3" t="s">
        <v>31</v>
      </c>
      <c r="N588" s="3" t="s">
        <v>208</v>
      </c>
      <c r="O588" s="3" t="s">
        <v>141</v>
      </c>
      <c r="P588" s="3" t="s">
        <v>171</v>
      </c>
      <c r="Q588" s="3" t="s">
        <v>164</v>
      </c>
      <c r="R588" s="3" t="s">
        <v>144</v>
      </c>
      <c r="S588" s="3" t="s">
        <v>34</v>
      </c>
      <c r="T588" s="153">
        <v>1.37</v>
      </c>
      <c r="U588" s="3" t="s">
        <v>539</v>
      </c>
      <c r="V588" s="164">
        <v>2.6499999999999999E-2</v>
      </c>
      <c r="W588" s="164">
        <v>4.9149999999999999E-2</v>
      </c>
      <c r="X588" s="5" t="s">
        <v>146</v>
      </c>
      <c r="Y588" s="5" t="s">
        <v>141</v>
      </c>
      <c r="Z588" s="153">
        <v>42857.14</v>
      </c>
      <c r="AA588" s="162">
        <v>1</v>
      </c>
      <c r="AB588" s="172">
        <v>97.33</v>
      </c>
      <c r="AD588" s="153">
        <v>41.713000000000001</v>
      </c>
      <c r="AG588" s="3" t="s">
        <v>36</v>
      </c>
      <c r="AH588" s="164">
        <v>1.05E-4</v>
      </c>
      <c r="AI588" s="164">
        <v>4.3787665247561102E-3</v>
      </c>
      <c r="AJ588" s="164">
        <v>5.4951485897808004E-4</v>
      </c>
    </row>
    <row r="589" spans="1:36">
      <c r="A589" s="3">
        <v>969</v>
      </c>
      <c r="B589" s="3">
        <v>969</v>
      </c>
      <c r="C589" s="3" t="s">
        <v>540</v>
      </c>
      <c r="D589" s="3" t="s">
        <v>541</v>
      </c>
      <c r="E589" s="5" t="s">
        <v>134</v>
      </c>
      <c r="F589" s="3" t="s">
        <v>542</v>
      </c>
      <c r="G589" s="3" t="s">
        <v>543</v>
      </c>
      <c r="H589" s="3" t="s">
        <v>137</v>
      </c>
      <c r="I589" s="3" t="s">
        <v>156</v>
      </c>
      <c r="J589" s="3" t="s">
        <v>30</v>
      </c>
      <c r="K589" s="3" t="s">
        <v>30</v>
      </c>
      <c r="L589" s="3" t="s">
        <v>139</v>
      </c>
      <c r="M589" s="3" t="s">
        <v>31</v>
      </c>
      <c r="N589" s="3" t="s">
        <v>544</v>
      </c>
      <c r="O589" s="3" t="s">
        <v>141</v>
      </c>
      <c r="P589" s="3" t="s">
        <v>171</v>
      </c>
      <c r="Q589" s="3" t="s">
        <v>164</v>
      </c>
      <c r="R589" s="3" t="s">
        <v>144</v>
      </c>
      <c r="S589" s="3" t="s">
        <v>34</v>
      </c>
      <c r="T589" s="153">
        <v>3.734</v>
      </c>
      <c r="U589" s="3" t="s">
        <v>545</v>
      </c>
      <c r="V589" s="164">
        <v>6.3299999999999995E-2</v>
      </c>
      <c r="W589" s="164">
        <v>5.2850000000000001E-2</v>
      </c>
      <c r="X589" s="5" t="s">
        <v>146</v>
      </c>
      <c r="Y589" s="5" t="s">
        <v>141</v>
      </c>
      <c r="Z589" s="153">
        <v>70000</v>
      </c>
      <c r="AA589" s="162">
        <v>1</v>
      </c>
      <c r="AB589" s="172">
        <v>104.74</v>
      </c>
      <c r="AD589" s="153">
        <v>73.317999999999998</v>
      </c>
      <c r="AG589" s="3" t="s">
        <v>36</v>
      </c>
      <c r="AH589" s="164">
        <v>1.07E-4</v>
      </c>
      <c r="AI589" s="164">
        <v>7.6964861065594E-3</v>
      </c>
      <c r="AJ589" s="164">
        <v>9.6587325530180098E-4</v>
      </c>
    </row>
    <row r="590" spans="1:36">
      <c r="A590" s="3">
        <v>969</v>
      </c>
      <c r="B590" s="3">
        <v>969</v>
      </c>
      <c r="C590" s="3" t="s">
        <v>546</v>
      </c>
      <c r="D590" s="3" t="s">
        <v>547</v>
      </c>
      <c r="E590" s="5" t="s">
        <v>134</v>
      </c>
      <c r="F590" s="3" t="s">
        <v>548</v>
      </c>
      <c r="G590" s="3" t="s">
        <v>549</v>
      </c>
      <c r="H590" s="3" t="s">
        <v>137</v>
      </c>
      <c r="I590" s="3" t="s">
        <v>138</v>
      </c>
      <c r="J590" s="3" t="s">
        <v>30</v>
      </c>
      <c r="K590" s="3" t="s">
        <v>30</v>
      </c>
      <c r="L590" s="3" t="s">
        <v>139</v>
      </c>
      <c r="M590" s="3" t="s">
        <v>31</v>
      </c>
      <c r="N590" s="3" t="s">
        <v>199</v>
      </c>
      <c r="O590" s="3" t="s">
        <v>141</v>
      </c>
      <c r="P590" s="3" t="s">
        <v>481</v>
      </c>
      <c r="Q590" s="3" t="s">
        <v>481</v>
      </c>
      <c r="R590" s="3" t="s">
        <v>481</v>
      </c>
      <c r="S590" s="3" t="s">
        <v>34</v>
      </c>
      <c r="T590" s="153">
        <v>6.4660000000000002</v>
      </c>
      <c r="U590" s="3" t="s">
        <v>550</v>
      </c>
      <c r="V590" s="164">
        <v>4.1000000000000002E-2</v>
      </c>
      <c r="W590" s="164">
        <v>3.7850000000000002E-2</v>
      </c>
      <c r="X590" s="5" t="s">
        <v>146</v>
      </c>
      <c r="Y590" s="5" t="s">
        <v>141</v>
      </c>
      <c r="Z590" s="153">
        <v>100000</v>
      </c>
      <c r="AA590" s="162">
        <v>1</v>
      </c>
      <c r="AB590" s="172">
        <v>104.73</v>
      </c>
      <c r="AD590" s="153">
        <v>104.73</v>
      </c>
      <c r="AG590" s="3" t="s">
        <v>36</v>
      </c>
      <c r="AH590" s="164">
        <v>3.57E-4</v>
      </c>
      <c r="AI590" s="164">
        <v>1.09939304119038E-2</v>
      </c>
      <c r="AJ590" s="164">
        <v>1.3796871986109501E-3</v>
      </c>
    </row>
    <row r="591" spans="1:36">
      <c r="A591" s="3">
        <v>969</v>
      </c>
      <c r="B591" s="3">
        <v>969</v>
      </c>
      <c r="C591" s="3" t="s">
        <v>551</v>
      </c>
      <c r="D591" s="3" t="s">
        <v>552</v>
      </c>
      <c r="E591" s="5" t="s">
        <v>134</v>
      </c>
      <c r="F591" s="3" t="s">
        <v>553</v>
      </c>
      <c r="G591" s="3" t="s">
        <v>554</v>
      </c>
      <c r="H591" s="3" t="s">
        <v>137</v>
      </c>
      <c r="I591" s="3" t="s">
        <v>156</v>
      </c>
      <c r="J591" s="3" t="s">
        <v>30</v>
      </c>
      <c r="K591" s="3" t="s">
        <v>30</v>
      </c>
      <c r="L591" s="3" t="s">
        <v>139</v>
      </c>
      <c r="M591" s="3" t="s">
        <v>31</v>
      </c>
      <c r="N591" s="3" t="s">
        <v>555</v>
      </c>
      <c r="O591" s="3" t="s">
        <v>141</v>
      </c>
      <c r="P591" s="3" t="s">
        <v>142</v>
      </c>
      <c r="Q591" s="3" t="s">
        <v>143</v>
      </c>
      <c r="R591" s="3" t="s">
        <v>144</v>
      </c>
      <c r="S591" s="3" t="s">
        <v>34</v>
      </c>
      <c r="T591" s="153">
        <v>3.399</v>
      </c>
      <c r="U591" s="3" t="s">
        <v>556</v>
      </c>
      <c r="V591" s="164">
        <v>5.04E-2</v>
      </c>
      <c r="W591" s="164">
        <v>4.922E-2</v>
      </c>
      <c r="X591" s="5" t="s">
        <v>146</v>
      </c>
      <c r="Y591" s="5" t="s">
        <v>141</v>
      </c>
      <c r="Z591" s="153">
        <v>105000</v>
      </c>
      <c r="AA591" s="162">
        <v>1</v>
      </c>
      <c r="AB591" s="172">
        <v>101.51</v>
      </c>
      <c r="AD591" s="153">
        <v>106.58499999999999</v>
      </c>
      <c r="AG591" s="3" t="s">
        <v>36</v>
      </c>
      <c r="AH591" s="164">
        <v>2.12E-4</v>
      </c>
      <c r="AI591" s="164">
        <v>1.11887097289982E-2</v>
      </c>
      <c r="AJ591" s="164">
        <v>1.4041310981337499E-3</v>
      </c>
    </row>
    <row r="592" spans="1:36">
      <c r="A592" s="3">
        <v>969</v>
      </c>
      <c r="B592" s="3">
        <v>969</v>
      </c>
      <c r="C592" s="3" t="s">
        <v>561</v>
      </c>
      <c r="D592" s="3" t="s">
        <v>562</v>
      </c>
      <c r="E592" s="5" t="s">
        <v>492</v>
      </c>
      <c r="F592" s="3" t="s">
        <v>563</v>
      </c>
      <c r="G592" s="3" t="s">
        <v>564</v>
      </c>
      <c r="H592" s="3" t="s">
        <v>137</v>
      </c>
      <c r="I592" s="3" t="s">
        <v>565</v>
      </c>
      <c r="J592" s="3" t="s">
        <v>30</v>
      </c>
      <c r="K592" s="3" t="s">
        <v>566</v>
      </c>
      <c r="L592" s="3" t="s">
        <v>139</v>
      </c>
      <c r="M592" s="3" t="s">
        <v>31</v>
      </c>
      <c r="N592" s="3" t="s">
        <v>208</v>
      </c>
      <c r="O592" s="3" t="s">
        <v>141</v>
      </c>
      <c r="P592" s="3" t="s">
        <v>271</v>
      </c>
      <c r="Q592" s="3" t="s">
        <v>164</v>
      </c>
      <c r="R592" s="3" t="s">
        <v>144</v>
      </c>
      <c r="S592" s="3" t="s">
        <v>34</v>
      </c>
      <c r="T592" s="153">
        <v>2.3410000000000002</v>
      </c>
      <c r="U592" s="3" t="s">
        <v>567</v>
      </c>
      <c r="V592" s="164">
        <v>4.2999999999999997E-2</v>
      </c>
      <c r="W592" s="164">
        <v>7.3359999999999995E-2</v>
      </c>
      <c r="X592" s="5" t="s">
        <v>146</v>
      </c>
      <c r="Y592" s="5" t="s">
        <v>141</v>
      </c>
      <c r="Z592" s="153">
        <v>0.7</v>
      </c>
      <c r="AA592" s="162">
        <v>1</v>
      </c>
      <c r="AB592" s="172">
        <v>88.55</v>
      </c>
      <c r="AD592" s="153">
        <v>1E-3</v>
      </c>
      <c r="AG592" s="3" t="s">
        <v>36</v>
      </c>
      <c r="AH592" s="164">
        <v>0</v>
      </c>
      <c r="AI592" s="164">
        <v>6.5068153975160799E-8</v>
      </c>
      <c r="AJ592" s="164">
        <v>8.1657510747541005E-9</v>
      </c>
    </row>
    <row r="593" spans="1:36">
      <c r="A593" s="3">
        <v>969</v>
      </c>
      <c r="B593" s="3">
        <v>969</v>
      </c>
      <c r="C593" s="3" t="s">
        <v>619</v>
      </c>
      <c r="D593" s="3" t="s">
        <v>620</v>
      </c>
      <c r="E593" s="5" t="s">
        <v>134</v>
      </c>
      <c r="F593" s="3" t="s">
        <v>621</v>
      </c>
      <c r="G593" s="3" t="s">
        <v>622</v>
      </c>
      <c r="H593" s="3" t="s">
        <v>137</v>
      </c>
      <c r="I593" s="3" t="s">
        <v>156</v>
      </c>
      <c r="J593" s="3" t="s">
        <v>30</v>
      </c>
      <c r="K593" s="3" t="s">
        <v>30</v>
      </c>
      <c r="L593" s="3" t="s">
        <v>139</v>
      </c>
      <c r="M593" s="3" t="s">
        <v>31</v>
      </c>
      <c r="N593" s="3" t="s">
        <v>555</v>
      </c>
      <c r="O593" s="3" t="s">
        <v>141</v>
      </c>
      <c r="P593" s="3" t="s">
        <v>163</v>
      </c>
      <c r="Q593" s="3" t="s">
        <v>164</v>
      </c>
      <c r="R593" s="3" t="s">
        <v>144</v>
      </c>
      <c r="S593" s="3" t="s">
        <v>34</v>
      </c>
      <c r="T593" s="153">
        <v>4.532</v>
      </c>
      <c r="U593" s="3" t="s">
        <v>295</v>
      </c>
      <c r="V593" s="164">
        <v>5.8500000000000003E-2</v>
      </c>
      <c r="W593" s="164">
        <v>4.8800000000000003E-2</v>
      </c>
      <c r="X593" s="5" t="s">
        <v>146</v>
      </c>
      <c r="Y593" s="5" t="s">
        <v>141</v>
      </c>
      <c r="Z593" s="153">
        <v>59000</v>
      </c>
      <c r="AA593" s="162">
        <v>1</v>
      </c>
      <c r="AB593" s="172">
        <v>105.82</v>
      </c>
      <c r="AD593" s="153">
        <v>62.433999999999997</v>
      </c>
      <c r="AG593" s="3" t="s">
        <v>36</v>
      </c>
      <c r="AH593" s="164">
        <v>3.8099999999999999E-4</v>
      </c>
      <c r="AI593" s="164">
        <v>6.5539277432514302E-3</v>
      </c>
      <c r="AJ593" s="164">
        <v>8.2248748802288101E-4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60"/>
  <sheetViews>
    <sheetView rightToLeft="1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131</v>
      </c>
      <c r="M1" s="19" t="s">
        <v>8</v>
      </c>
      <c r="N1" s="19" t="s">
        <v>124</v>
      </c>
      <c r="O1" s="19" t="s">
        <v>125</v>
      </c>
      <c r="P1" s="19" t="s">
        <v>11</v>
      </c>
      <c r="Q1" s="19" t="s">
        <v>17</v>
      </c>
      <c r="R1" s="161" t="s">
        <v>18</v>
      </c>
      <c r="S1" s="167" t="s">
        <v>19</v>
      </c>
      <c r="T1" s="19" t="s">
        <v>16</v>
      </c>
      <c r="U1" s="19" t="s">
        <v>20</v>
      </c>
      <c r="V1" s="163" t="s">
        <v>23</v>
      </c>
      <c r="W1" s="163" t="s">
        <v>24</v>
      </c>
      <c r="X1" s="163" t="s">
        <v>25</v>
      </c>
    </row>
    <row r="2" spans="1:24">
      <c r="A2" s="18">
        <v>1182</v>
      </c>
      <c r="B2" s="18">
        <v>1182</v>
      </c>
      <c r="C2" s="18" t="s">
        <v>147</v>
      </c>
      <c r="D2" s="18" t="s">
        <v>148</v>
      </c>
      <c r="E2" s="18" t="s">
        <v>134</v>
      </c>
      <c r="F2" s="18" t="s">
        <v>701</v>
      </c>
      <c r="G2" s="18" t="s">
        <v>702</v>
      </c>
      <c r="H2" s="18" t="s">
        <v>137</v>
      </c>
      <c r="I2" s="18" t="s">
        <v>703</v>
      </c>
      <c r="J2" s="18" t="s">
        <v>30</v>
      </c>
      <c r="K2" s="18" t="s">
        <v>30</v>
      </c>
      <c r="L2" s="20" t="s">
        <v>139</v>
      </c>
      <c r="M2" s="18" t="s">
        <v>31</v>
      </c>
      <c r="N2" s="20" t="s">
        <v>151</v>
      </c>
      <c r="O2" s="20" t="s">
        <v>141</v>
      </c>
      <c r="P2" s="18" t="s">
        <v>34</v>
      </c>
      <c r="Q2" s="156">
        <v>11149</v>
      </c>
      <c r="R2" s="173">
        <v>1</v>
      </c>
      <c r="S2" s="174">
        <v>5239</v>
      </c>
      <c r="T2" s="20"/>
      <c r="U2" s="156">
        <v>584.096</v>
      </c>
      <c r="V2" s="175">
        <v>3.8000000000000002E-5</v>
      </c>
      <c r="W2" s="175">
        <v>6.96836399179837E-3</v>
      </c>
      <c r="X2" s="175">
        <v>1.2650690879330399E-3</v>
      </c>
    </row>
    <row r="3" spans="1:24">
      <c r="A3" s="18">
        <v>1182</v>
      </c>
      <c r="B3" s="18">
        <v>1182</v>
      </c>
      <c r="C3" s="18" t="s">
        <v>704</v>
      </c>
      <c r="D3" s="18" t="s">
        <v>705</v>
      </c>
      <c r="E3" s="18" t="s">
        <v>651</v>
      </c>
      <c r="F3" s="18" t="s">
        <v>706</v>
      </c>
      <c r="G3" s="18" t="s">
        <v>707</v>
      </c>
      <c r="H3" s="18" t="s">
        <v>137</v>
      </c>
      <c r="I3" s="18" t="s">
        <v>703</v>
      </c>
      <c r="J3" s="18" t="s">
        <v>30</v>
      </c>
      <c r="K3" s="18" t="s">
        <v>224</v>
      </c>
      <c r="L3" s="20" t="s">
        <v>139</v>
      </c>
      <c r="M3" s="18" t="s">
        <v>31</v>
      </c>
      <c r="N3" s="20" t="s">
        <v>220</v>
      </c>
      <c r="O3" s="20" t="s">
        <v>141</v>
      </c>
      <c r="P3" s="18" t="s">
        <v>34</v>
      </c>
      <c r="Q3" s="156">
        <v>4690.5</v>
      </c>
      <c r="R3" s="173">
        <v>1</v>
      </c>
      <c r="S3" s="174">
        <v>31800</v>
      </c>
      <c r="T3" s="20"/>
      <c r="U3" s="156">
        <v>1491.579</v>
      </c>
      <c r="V3" s="175">
        <v>8.2000000000000001E-5</v>
      </c>
      <c r="W3" s="175">
        <v>1.7794786194557301E-2</v>
      </c>
      <c r="X3" s="175">
        <v>3.2305479403211298E-3</v>
      </c>
    </row>
    <row r="4" spans="1:24">
      <c r="A4" s="18">
        <v>1182</v>
      </c>
      <c r="B4" s="18">
        <v>1182</v>
      </c>
      <c r="C4" s="18" t="s">
        <v>176</v>
      </c>
      <c r="D4" s="18" t="s">
        <v>177</v>
      </c>
      <c r="E4" s="18" t="s">
        <v>134</v>
      </c>
      <c r="F4" s="18" t="s">
        <v>708</v>
      </c>
      <c r="G4" s="18" t="s">
        <v>709</v>
      </c>
      <c r="H4" s="18" t="s">
        <v>137</v>
      </c>
      <c r="I4" s="18" t="s">
        <v>703</v>
      </c>
      <c r="J4" s="18" t="s">
        <v>30</v>
      </c>
      <c r="K4" s="18" t="s">
        <v>30</v>
      </c>
      <c r="L4" s="20" t="s">
        <v>139</v>
      </c>
      <c r="M4" s="18" t="s">
        <v>31</v>
      </c>
      <c r="N4" s="20" t="s">
        <v>140</v>
      </c>
      <c r="O4" s="20" t="s">
        <v>141</v>
      </c>
      <c r="P4" s="18" t="s">
        <v>34</v>
      </c>
      <c r="Q4" s="156">
        <v>67617</v>
      </c>
      <c r="R4" s="173">
        <v>1</v>
      </c>
      <c r="S4" s="174">
        <v>2070</v>
      </c>
      <c r="T4" s="20"/>
      <c r="U4" s="156">
        <v>1399.672</v>
      </c>
      <c r="V4" s="175">
        <v>5.1E-5</v>
      </c>
      <c r="W4" s="175">
        <v>1.6698319165816801E-2</v>
      </c>
      <c r="X4" s="175">
        <v>3.0314902352945199E-3</v>
      </c>
    </row>
    <row r="5" spans="1:24">
      <c r="A5" s="18">
        <v>1182</v>
      </c>
      <c r="B5" s="18">
        <v>1182</v>
      </c>
      <c r="C5" s="18" t="s">
        <v>710</v>
      </c>
      <c r="D5" s="18" t="s">
        <v>711</v>
      </c>
      <c r="E5" s="18" t="s">
        <v>134</v>
      </c>
      <c r="F5" s="18" t="s">
        <v>712</v>
      </c>
      <c r="G5" s="18" t="s">
        <v>713</v>
      </c>
      <c r="H5" s="18" t="s">
        <v>137</v>
      </c>
      <c r="I5" s="18" t="s">
        <v>703</v>
      </c>
      <c r="J5" s="18" t="s">
        <v>30</v>
      </c>
      <c r="K5" s="18" t="s">
        <v>30</v>
      </c>
      <c r="L5" s="20" t="s">
        <v>139</v>
      </c>
      <c r="M5" s="18" t="s">
        <v>31</v>
      </c>
      <c r="N5" s="20" t="s">
        <v>170</v>
      </c>
      <c r="O5" s="20" t="s">
        <v>141</v>
      </c>
      <c r="P5" s="18" t="s">
        <v>34</v>
      </c>
      <c r="Q5" s="156">
        <v>5017</v>
      </c>
      <c r="R5" s="173">
        <v>1</v>
      </c>
      <c r="S5" s="174">
        <v>20440</v>
      </c>
      <c r="T5" s="20"/>
      <c r="U5" s="156">
        <v>1025.4749999999999</v>
      </c>
      <c r="V5" s="175">
        <v>3.4000000000000002E-4</v>
      </c>
      <c r="W5" s="175">
        <v>1.22340853645073E-2</v>
      </c>
      <c r="X5" s="175">
        <v>2.22103254537052E-3</v>
      </c>
    </row>
    <row r="6" spans="1:24">
      <c r="A6" s="18">
        <v>1182</v>
      </c>
      <c r="B6" s="18">
        <v>1182</v>
      </c>
      <c r="C6" s="18" t="s">
        <v>714</v>
      </c>
      <c r="D6" s="18" t="s">
        <v>715</v>
      </c>
      <c r="E6" s="18" t="s">
        <v>134</v>
      </c>
      <c r="F6" s="18" t="s">
        <v>716</v>
      </c>
      <c r="G6" s="18" t="s">
        <v>717</v>
      </c>
      <c r="H6" s="18" t="s">
        <v>137</v>
      </c>
      <c r="I6" s="18" t="s">
        <v>703</v>
      </c>
      <c r="J6" s="18" t="s">
        <v>30</v>
      </c>
      <c r="K6" s="18" t="s">
        <v>30</v>
      </c>
      <c r="L6" s="20" t="s">
        <v>139</v>
      </c>
      <c r="M6" s="18" t="s">
        <v>31</v>
      </c>
      <c r="N6" s="20" t="s">
        <v>718</v>
      </c>
      <c r="O6" s="20" t="s">
        <v>141</v>
      </c>
      <c r="P6" s="18" t="s">
        <v>34</v>
      </c>
      <c r="Q6" s="156">
        <v>15773</v>
      </c>
      <c r="R6" s="173">
        <v>1</v>
      </c>
      <c r="S6" s="174">
        <v>2180</v>
      </c>
      <c r="T6" s="20"/>
      <c r="U6" s="156">
        <v>343.851</v>
      </c>
      <c r="V6" s="175">
        <v>1.06E-4</v>
      </c>
      <c r="W6" s="175">
        <v>4.1022045400875198E-3</v>
      </c>
      <c r="X6" s="175">
        <v>7.4473322032995602E-4</v>
      </c>
    </row>
    <row r="7" spans="1:24">
      <c r="A7" s="18">
        <v>1182</v>
      </c>
      <c r="B7" s="18">
        <v>1182</v>
      </c>
      <c r="C7" s="18" t="s">
        <v>719</v>
      </c>
      <c r="D7" s="18" t="s">
        <v>720</v>
      </c>
      <c r="E7" s="18" t="s">
        <v>134</v>
      </c>
      <c r="F7" s="18" t="s">
        <v>721</v>
      </c>
      <c r="G7" s="18" t="s">
        <v>722</v>
      </c>
      <c r="H7" s="18" t="s">
        <v>137</v>
      </c>
      <c r="I7" s="18" t="s">
        <v>703</v>
      </c>
      <c r="J7" s="18" t="s">
        <v>30</v>
      </c>
      <c r="K7" s="18" t="s">
        <v>30</v>
      </c>
      <c r="L7" s="20" t="s">
        <v>139</v>
      </c>
      <c r="M7" s="18" t="s">
        <v>31</v>
      </c>
      <c r="N7" s="20" t="s">
        <v>465</v>
      </c>
      <c r="O7" s="20" t="s">
        <v>141</v>
      </c>
      <c r="P7" s="18" t="s">
        <v>34</v>
      </c>
      <c r="Q7" s="156">
        <v>0</v>
      </c>
      <c r="R7" s="173">
        <v>1</v>
      </c>
      <c r="S7" s="174">
        <v>0</v>
      </c>
      <c r="T7" s="155">
        <v>1E-3</v>
      </c>
      <c r="U7" s="156">
        <v>1E-3</v>
      </c>
      <c r="V7" s="175">
        <v>0</v>
      </c>
      <c r="W7" s="175">
        <v>6.2036867113105003E-9</v>
      </c>
      <c r="X7" s="175">
        <v>1.1262460311971301E-9</v>
      </c>
    </row>
    <row r="8" spans="1:24">
      <c r="A8" s="18">
        <v>1182</v>
      </c>
      <c r="B8" s="18">
        <v>1182</v>
      </c>
      <c r="C8" s="18" t="s">
        <v>723</v>
      </c>
      <c r="D8" s="18" t="s">
        <v>724</v>
      </c>
      <c r="E8" s="18" t="s">
        <v>134</v>
      </c>
      <c r="F8" s="18" t="s">
        <v>725</v>
      </c>
      <c r="G8" s="18" t="s">
        <v>726</v>
      </c>
      <c r="H8" s="18" t="s">
        <v>137</v>
      </c>
      <c r="I8" s="18" t="s">
        <v>703</v>
      </c>
      <c r="J8" s="18" t="s">
        <v>30</v>
      </c>
      <c r="K8" s="18" t="s">
        <v>30</v>
      </c>
      <c r="L8" s="20" t="s">
        <v>139</v>
      </c>
      <c r="M8" s="18" t="s">
        <v>31</v>
      </c>
      <c r="N8" s="20" t="s">
        <v>727</v>
      </c>
      <c r="O8" s="20" t="s">
        <v>141</v>
      </c>
      <c r="P8" s="18" t="s">
        <v>34</v>
      </c>
      <c r="Q8" s="156">
        <v>975</v>
      </c>
      <c r="R8" s="173">
        <v>1</v>
      </c>
      <c r="S8" s="174">
        <v>167700</v>
      </c>
      <c r="T8" s="20"/>
      <c r="U8" s="156">
        <v>1635.075</v>
      </c>
      <c r="V8" s="175">
        <v>2.0999999999999999E-5</v>
      </c>
      <c r="W8" s="175">
        <v>1.9506717402876898E-2</v>
      </c>
      <c r="X8" s="175">
        <v>3.5413398643454799E-3</v>
      </c>
    </row>
    <row r="9" spans="1:24">
      <c r="A9" s="18">
        <v>1182</v>
      </c>
      <c r="B9" s="18">
        <v>1182</v>
      </c>
      <c r="C9" s="18" t="s">
        <v>195</v>
      </c>
      <c r="D9" s="18" t="s">
        <v>196</v>
      </c>
      <c r="E9" s="18" t="s">
        <v>134</v>
      </c>
      <c r="F9" s="18" t="s">
        <v>728</v>
      </c>
      <c r="G9" s="18" t="s">
        <v>729</v>
      </c>
      <c r="H9" s="18" t="s">
        <v>137</v>
      </c>
      <c r="I9" s="18" t="s">
        <v>703</v>
      </c>
      <c r="J9" s="18" t="s">
        <v>30</v>
      </c>
      <c r="K9" s="18" t="s">
        <v>30</v>
      </c>
      <c r="L9" s="20" t="s">
        <v>139</v>
      </c>
      <c r="M9" s="18" t="s">
        <v>31</v>
      </c>
      <c r="N9" s="20" t="s">
        <v>199</v>
      </c>
      <c r="O9" s="20" t="s">
        <v>141</v>
      </c>
      <c r="P9" s="18" t="s">
        <v>34</v>
      </c>
      <c r="Q9" s="156">
        <v>253</v>
      </c>
      <c r="R9" s="173">
        <v>1</v>
      </c>
      <c r="S9" s="174">
        <v>192960</v>
      </c>
      <c r="T9" s="155">
        <v>3.1040000000000001</v>
      </c>
      <c r="U9" s="156">
        <v>491.29300000000001</v>
      </c>
      <c r="V9" s="175">
        <v>6.2000000000000003E-5</v>
      </c>
      <c r="W9" s="175">
        <v>5.8612065792342299E-3</v>
      </c>
      <c r="X9" s="175">
        <v>1.06407060109175E-3</v>
      </c>
    </row>
    <row r="10" spans="1:24">
      <c r="A10" s="18">
        <v>1182</v>
      </c>
      <c r="B10" s="18">
        <v>1182</v>
      </c>
      <c r="C10" s="18" t="s">
        <v>730</v>
      </c>
      <c r="D10" s="18" t="s">
        <v>731</v>
      </c>
      <c r="E10" s="18" t="s">
        <v>134</v>
      </c>
      <c r="F10" s="18" t="s">
        <v>732</v>
      </c>
      <c r="G10" s="18" t="s">
        <v>733</v>
      </c>
      <c r="H10" s="18" t="s">
        <v>137</v>
      </c>
      <c r="I10" s="18" t="s">
        <v>703</v>
      </c>
      <c r="J10" s="18" t="s">
        <v>30</v>
      </c>
      <c r="K10" s="18" t="s">
        <v>30</v>
      </c>
      <c r="L10" s="20" t="s">
        <v>139</v>
      </c>
      <c r="M10" s="18" t="s">
        <v>31</v>
      </c>
      <c r="N10" s="20" t="s">
        <v>734</v>
      </c>
      <c r="O10" s="20" t="s">
        <v>141</v>
      </c>
      <c r="P10" s="18" t="s">
        <v>34</v>
      </c>
      <c r="Q10" s="156">
        <v>3940</v>
      </c>
      <c r="R10" s="173">
        <v>1</v>
      </c>
      <c r="S10" s="174">
        <v>11550</v>
      </c>
      <c r="T10" s="20"/>
      <c r="U10" s="156">
        <v>455.07</v>
      </c>
      <c r="V10" s="175">
        <v>1.5699999999999999E-4</v>
      </c>
      <c r="W10" s="175">
        <v>5.4290609840693602E-3</v>
      </c>
      <c r="X10" s="175">
        <v>9.8561688734015093E-4</v>
      </c>
    </row>
    <row r="11" spans="1:24">
      <c r="A11" s="18">
        <v>1182</v>
      </c>
      <c r="B11" s="18">
        <v>1182</v>
      </c>
      <c r="C11" s="18" t="s">
        <v>216</v>
      </c>
      <c r="D11" s="18" t="s">
        <v>217</v>
      </c>
      <c r="E11" s="18" t="s">
        <v>134</v>
      </c>
      <c r="F11" s="18" t="s">
        <v>735</v>
      </c>
      <c r="G11" s="18" t="s">
        <v>736</v>
      </c>
      <c r="H11" s="18" t="s">
        <v>137</v>
      </c>
      <c r="I11" s="18" t="s">
        <v>703</v>
      </c>
      <c r="J11" s="18" t="s">
        <v>30</v>
      </c>
      <c r="K11" s="18" t="s">
        <v>224</v>
      </c>
      <c r="L11" s="20" t="s">
        <v>139</v>
      </c>
      <c r="M11" s="18" t="s">
        <v>31</v>
      </c>
      <c r="N11" s="20" t="s">
        <v>220</v>
      </c>
      <c r="O11" s="20" t="s">
        <v>141</v>
      </c>
      <c r="P11" s="18" t="s">
        <v>34</v>
      </c>
      <c r="Q11" s="156">
        <v>5581.5</v>
      </c>
      <c r="R11" s="173">
        <v>1</v>
      </c>
      <c r="S11" s="174">
        <v>10190</v>
      </c>
      <c r="T11" s="20"/>
      <c r="U11" s="156">
        <v>568.755</v>
      </c>
      <c r="V11" s="175">
        <v>4.1999999999999998E-5</v>
      </c>
      <c r="W11" s="175">
        <v>6.7853402018045999E-3</v>
      </c>
      <c r="X11" s="175">
        <v>1.2318421010319601E-3</v>
      </c>
    </row>
    <row r="12" spans="1:24">
      <c r="A12" s="18">
        <v>1182</v>
      </c>
      <c r="B12" s="18">
        <v>1182</v>
      </c>
      <c r="C12" s="18" t="s">
        <v>737</v>
      </c>
      <c r="D12" s="18" t="s">
        <v>738</v>
      </c>
      <c r="E12" s="18" t="s">
        <v>651</v>
      </c>
      <c r="F12" s="18" t="s">
        <v>739</v>
      </c>
      <c r="G12" s="18" t="s">
        <v>740</v>
      </c>
      <c r="H12" s="18" t="s">
        <v>137</v>
      </c>
      <c r="I12" s="18" t="s">
        <v>703</v>
      </c>
      <c r="J12" s="18" t="s">
        <v>30</v>
      </c>
      <c r="K12" s="18" t="s">
        <v>566</v>
      </c>
      <c r="L12" s="20" t="s">
        <v>139</v>
      </c>
      <c r="M12" s="18" t="s">
        <v>31</v>
      </c>
      <c r="N12" s="20" t="s">
        <v>369</v>
      </c>
      <c r="O12" s="20" t="s">
        <v>141</v>
      </c>
      <c r="P12" s="18" t="s">
        <v>34</v>
      </c>
      <c r="Q12" s="156">
        <v>9932</v>
      </c>
      <c r="R12" s="173">
        <v>1</v>
      </c>
      <c r="S12" s="174">
        <v>3825</v>
      </c>
      <c r="T12" s="155">
        <v>9.9009999999999998</v>
      </c>
      <c r="U12" s="156">
        <v>389.8</v>
      </c>
      <c r="V12" s="175">
        <v>5.3999999999999998E-5</v>
      </c>
      <c r="W12" s="175">
        <v>4.6503815054673896E-3</v>
      </c>
      <c r="X12" s="175">
        <v>8.4425180667751598E-4</v>
      </c>
    </row>
    <row r="13" spans="1:24">
      <c r="A13" s="18">
        <v>1182</v>
      </c>
      <c r="B13" s="18">
        <v>1182</v>
      </c>
      <c r="C13" s="18" t="s">
        <v>232</v>
      </c>
      <c r="D13" s="18" t="s">
        <v>233</v>
      </c>
      <c r="E13" s="18" t="s">
        <v>134</v>
      </c>
      <c r="F13" s="18" t="s">
        <v>741</v>
      </c>
      <c r="G13" s="18" t="s">
        <v>742</v>
      </c>
      <c r="H13" s="18" t="s">
        <v>137</v>
      </c>
      <c r="I13" s="18" t="s">
        <v>703</v>
      </c>
      <c r="J13" s="18" t="s">
        <v>30</v>
      </c>
      <c r="K13" s="18" t="s">
        <v>30</v>
      </c>
      <c r="L13" s="20" t="s">
        <v>139</v>
      </c>
      <c r="M13" s="18" t="s">
        <v>31</v>
      </c>
      <c r="N13" s="20" t="s">
        <v>208</v>
      </c>
      <c r="O13" s="20" t="s">
        <v>141</v>
      </c>
      <c r="P13" s="18" t="s">
        <v>34</v>
      </c>
      <c r="Q13" s="156">
        <v>2183</v>
      </c>
      <c r="R13" s="173">
        <v>1</v>
      </c>
      <c r="S13" s="174">
        <v>21010</v>
      </c>
      <c r="T13" s="20"/>
      <c r="U13" s="156">
        <v>458.64800000000002</v>
      </c>
      <c r="V13" s="175">
        <v>5.5999999999999999E-5</v>
      </c>
      <c r="W13" s="175">
        <v>5.4717506997599002E-3</v>
      </c>
      <c r="X13" s="175">
        <v>9.9336697613521398E-4</v>
      </c>
    </row>
    <row r="14" spans="1:24">
      <c r="A14" s="18">
        <v>1182</v>
      </c>
      <c r="B14" s="18">
        <v>1182</v>
      </c>
      <c r="C14" s="18" t="s">
        <v>743</v>
      </c>
      <c r="D14" s="18" t="s">
        <v>744</v>
      </c>
      <c r="E14" s="18" t="s">
        <v>134</v>
      </c>
      <c r="F14" s="18" t="s">
        <v>745</v>
      </c>
      <c r="G14" s="18" t="s">
        <v>746</v>
      </c>
      <c r="H14" s="18" t="s">
        <v>137</v>
      </c>
      <c r="I14" s="18" t="s">
        <v>703</v>
      </c>
      <c r="J14" s="18" t="s">
        <v>30</v>
      </c>
      <c r="K14" s="18" t="s">
        <v>30</v>
      </c>
      <c r="L14" s="20" t="s">
        <v>139</v>
      </c>
      <c r="M14" s="18" t="s">
        <v>31</v>
      </c>
      <c r="N14" s="20" t="s">
        <v>718</v>
      </c>
      <c r="O14" s="20" t="s">
        <v>141</v>
      </c>
      <c r="P14" s="18" t="s">
        <v>34</v>
      </c>
      <c r="Q14" s="156">
        <v>250</v>
      </c>
      <c r="R14" s="173">
        <v>1</v>
      </c>
      <c r="S14" s="174">
        <v>0</v>
      </c>
      <c r="T14" s="20"/>
      <c r="U14" s="156">
        <v>0</v>
      </c>
      <c r="V14" s="175">
        <v>0</v>
      </c>
      <c r="W14" s="175">
        <v>2.98254168813005E-12</v>
      </c>
      <c r="X14" s="175">
        <v>5.4146443807554396E-13</v>
      </c>
    </row>
    <row r="15" spans="1:24">
      <c r="A15" s="18">
        <v>1182</v>
      </c>
      <c r="B15" s="18">
        <v>1182</v>
      </c>
      <c r="C15" s="18" t="s">
        <v>747</v>
      </c>
      <c r="D15" s="18" t="s">
        <v>748</v>
      </c>
      <c r="E15" s="18" t="s">
        <v>134</v>
      </c>
      <c r="F15" s="18" t="s">
        <v>749</v>
      </c>
      <c r="G15" s="18" t="s">
        <v>750</v>
      </c>
      <c r="H15" s="18" t="s">
        <v>137</v>
      </c>
      <c r="I15" s="18" t="s">
        <v>703</v>
      </c>
      <c r="J15" s="18" t="s">
        <v>30</v>
      </c>
      <c r="K15" s="18" t="s">
        <v>30</v>
      </c>
      <c r="L15" s="20" t="s">
        <v>139</v>
      </c>
      <c r="M15" s="18" t="s">
        <v>31</v>
      </c>
      <c r="N15" s="20" t="s">
        <v>727</v>
      </c>
      <c r="O15" s="20" t="s">
        <v>141</v>
      </c>
      <c r="P15" s="18" t="s">
        <v>34</v>
      </c>
      <c r="Q15" s="156">
        <v>19000</v>
      </c>
      <c r="R15" s="173">
        <v>1</v>
      </c>
      <c r="S15" s="174">
        <v>1792</v>
      </c>
      <c r="T15" s="20"/>
      <c r="U15" s="156">
        <v>340.48</v>
      </c>
      <c r="V15" s="175">
        <v>2.5599999999999999E-4</v>
      </c>
      <c r="W15" s="175">
        <v>4.0619831758980703E-3</v>
      </c>
      <c r="X15" s="175">
        <v>7.3743124750384498E-4</v>
      </c>
    </row>
    <row r="16" spans="1:24">
      <c r="A16" s="18">
        <v>1182</v>
      </c>
      <c r="B16" s="18">
        <v>1182</v>
      </c>
      <c r="C16" s="18" t="s">
        <v>751</v>
      </c>
      <c r="D16" s="18" t="s">
        <v>752</v>
      </c>
      <c r="E16" s="18" t="s">
        <v>492</v>
      </c>
      <c r="F16" s="18" t="s">
        <v>751</v>
      </c>
      <c r="G16" s="18" t="s">
        <v>753</v>
      </c>
      <c r="H16" s="18" t="s">
        <v>137</v>
      </c>
      <c r="I16" s="18" t="s">
        <v>703</v>
      </c>
      <c r="J16" s="18" t="s">
        <v>30</v>
      </c>
      <c r="K16" s="18" t="s">
        <v>654</v>
      </c>
      <c r="L16" s="20" t="s">
        <v>139</v>
      </c>
      <c r="M16" s="18" t="s">
        <v>31</v>
      </c>
      <c r="N16" s="20" t="s">
        <v>208</v>
      </c>
      <c r="O16" s="20" t="s">
        <v>141</v>
      </c>
      <c r="P16" s="18" t="s">
        <v>34</v>
      </c>
      <c r="Q16" s="156">
        <v>6000</v>
      </c>
      <c r="R16" s="173">
        <v>1</v>
      </c>
      <c r="S16" s="174">
        <v>11110</v>
      </c>
      <c r="T16" s="20"/>
      <c r="U16" s="156">
        <v>666.6</v>
      </c>
      <c r="V16" s="175">
        <v>2.7599999999999999E-4</v>
      </c>
      <c r="W16" s="175">
        <v>7.9526491572299608E-3</v>
      </c>
      <c r="X16" s="175">
        <v>1.4437607776846299E-3</v>
      </c>
    </row>
    <row r="17" spans="1:24">
      <c r="A17" s="18">
        <v>1182</v>
      </c>
      <c r="B17" s="18">
        <v>1182</v>
      </c>
      <c r="C17" s="18" t="s">
        <v>254</v>
      </c>
      <c r="D17" s="18" t="s">
        <v>255</v>
      </c>
      <c r="E17" s="18" t="s">
        <v>134</v>
      </c>
      <c r="F17" s="18" t="s">
        <v>754</v>
      </c>
      <c r="G17" s="18" t="s">
        <v>755</v>
      </c>
      <c r="H17" s="18" t="s">
        <v>137</v>
      </c>
      <c r="I17" s="18" t="s">
        <v>703</v>
      </c>
      <c r="J17" s="18" t="s">
        <v>30</v>
      </c>
      <c r="K17" s="18" t="s">
        <v>30</v>
      </c>
      <c r="L17" s="20" t="s">
        <v>139</v>
      </c>
      <c r="M17" s="18" t="s">
        <v>31</v>
      </c>
      <c r="N17" s="20" t="s">
        <v>162</v>
      </c>
      <c r="O17" s="20" t="s">
        <v>141</v>
      </c>
      <c r="P17" s="18" t="s">
        <v>34</v>
      </c>
      <c r="Q17" s="156">
        <v>19039</v>
      </c>
      <c r="R17" s="173">
        <v>1</v>
      </c>
      <c r="S17" s="174">
        <v>6966</v>
      </c>
      <c r="T17" s="20"/>
      <c r="U17" s="156">
        <v>1326.2570000000001</v>
      </c>
      <c r="V17" s="175">
        <v>1.7100000000000001E-4</v>
      </c>
      <c r="W17" s="175">
        <v>1.5822464064853801E-2</v>
      </c>
      <c r="X17" s="175">
        <v>2.8724834418720098E-3</v>
      </c>
    </row>
    <row r="18" spans="1:24">
      <c r="A18" s="18">
        <v>1182</v>
      </c>
      <c r="B18" s="18">
        <v>1182</v>
      </c>
      <c r="C18" s="18" t="s">
        <v>259</v>
      </c>
      <c r="D18" s="18" t="s">
        <v>260</v>
      </c>
      <c r="E18" s="18" t="s">
        <v>134</v>
      </c>
      <c r="F18" s="18" t="s">
        <v>756</v>
      </c>
      <c r="G18" s="18" t="s">
        <v>757</v>
      </c>
      <c r="H18" s="18" t="s">
        <v>137</v>
      </c>
      <c r="I18" s="18" t="s">
        <v>703</v>
      </c>
      <c r="J18" s="18" t="s">
        <v>30</v>
      </c>
      <c r="K18" s="18" t="s">
        <v>30</v>
      </c>
      <c r="L18" s="20" t="s">
        <v>139</v>
      </c>
      <c r="M18" s="18" t="s">
        <v>31</v>
      </c>
      <c r="N18" s="20" t="s">
        <v>151</v>
      </c>
      <c r="O18" s="20" t="s">
        <v>141</v>
      </c>
      <c r="P18" s="18" t="s">
        <v>34</v>
      </c>
      <c r="Q18" s="156">
        <v>136064</v>
      </c>
      <c r="R18" s="173">
        <v>1</v>
      </c>
      <c r="S18" s="174">
        <v>89.4</v>
      </c>
      <c r="T18" s="20"/>
      <c r="U18" s="156">
        <v>121.64100000000001</v>
      </c>
      <c r="V18" s="175">
        <v>4.1999999999999998E-5</v>
      </c>
      <c r="W18" s="175">
        <v>1.4511999908593299E-3</v>
      </c>
      <c r="X18" s="175">
        <v>2.6345757067306402E-4</v>
      </c>
    </row>
    <row r="19" spans="1:24">
      <c r="A19" s="18">
        <v>1182</v>
      </c>
      <c r="B19" s="18">
        <v>1182</v>
      </c>
      <c r="C19" s="18" t="s">
        <v>758</v>
      </c>
      <c r="D19" s="18" t="s">
        <v>759</v>
      </c>
      <c r="E19" s="18" t="s">
        <v>134</v>
      </c>
      <c r="F19" s="18" t="s">
        <v>760</v>
      </c>
      <c r="G19" s="18" t="s">
        <v>761</v>
      </c>
      <c r="H19" s="18" t="s">
        <v>137</v>
      </c>
      <c r="I19" s="18" t="s">
        <v>703</v>
      </c>
      <c r="J19" s="18" t="s">
        <v>30</v>
      </c>
      <c r="K19" s="18" t="s">
        <v>30</v>
      </c>
      <c r="L19" s="20" t="s">
        <v>139</v>
      </c>
      <c r="M19" s="18" t="s">
        <v>31</v>
      </c>
      <c r="N19" s="20" t="s">
        <v>612</v>
      </c>
      <c r="O19" s="20" t="s">
        <v>141</v>
      </c>
      <c r="P19" s="18" t="s">
        <v>34</v>
      </c>
      <c r="Q19" s="156">
        <v>251858</v>
      </c>
      <c r="R19" s="173">
        <v>1</v>
      </c>
      <c r="S19" s="174">
        <v>634.70000000000005</v>
      </c>
      <c r="T19" s="155">
        <v>52.951999999999998</v>
      </c>
      <c r="U19" s="156">
        <v>1651.4949999999999</v>
      </c>
      <c r="V19" s="175">
        <v>9.1000000000000003E-5</v>
      </c>
      <c r="W19" s="175">
        <v>1.97026048474509E-2</v>
      </c>
      <c r="X19" s="175">
        <v>3.5769021787045501E-3</v>
      </c>
    </row>
    <row r="20" spans="1:24">
      <c r="A20" s="5">
        <v>1182</v>
      </c>
      <c r="B20" s="5">
        <v>1182</v>
      </c>
      <c r="C20" s="5" t="s">
        <v>267</v>
      </c>
      <c r="D20" s="5" t="s">
        <v>268</v>
      </c>
      <c r="E20" s="18" t="s">
        <v>134</v>
      </c>
      <c r="F20" s="5" t="s">
        <v>762</v>
      </c>
      <c r="G20" s="5" t="s">
        <v>763</v>
      </c>
      <c r="H20" s="18" t="s">
        <v>137</v>
      </c>
      <c r="I20" s="5" t="s">
        <v>703</v>
      </c>
      <c r="J20" s="5" t="s">
        <v>30</v>
      </c>
      <c r="K20" s="18" t="s">
        <v>30</v>
      </c>
      <c r="L20" s="20" t="s">
        <v>139</v>
      </c>
      <c r="M20" s="18" t="s">
        <v>31</v>
      </c>
      <c r="N20" s="20" t="s">
        <v>186</v>
      </c>
      <c r="O20" s="5" t="s">
        <v>141</v>
      </c>
      <c r="P20" s="5" t="s">
        <v>34</v>
      </c>
      <c r="Q20" s="154">
        <v>1571.76</v>
      </c>
      <c r="R20" s="166">
        <v>1</v>
      </c>
      <c r="S20" s="168">
        <v>68050</v>
      </c>
      <c r="U20" s="154">
        <v>1069.5830000000001</v>
      </c>
      <c r="V20" s="165">
        <v>6.3E-5</v>
      </c>
      <c r="W20" s="165">
        <v>1.27602997280074E-2</v>
      </c>
      <c r="X20" s="165">
        <v>2.3165639392061402E-3</v>
      </c>
    </row>
    <row r="21" spans="1:24" s="42" customFormat="1">
      <c r="A21" s="42">
        <v>1182</v>
      </c>
      <c r="B21" s="42">
        <v>1182</v>
      </c>
      <c r="C21" s="42" t="s">
        <v>764</v>
      </c>
      <c r="D21" s="42" t="s">
        <v>765</v>
      </c>
      <c r="E21" s="42" t="s">
        <v>134</v>
      </c>
      <c r="F21" s="42" t="s">
        <v>766</v>
      </c>
      <c r="G21" s="42" t="s">
        <v>767</v>
      </c>
      <c r="H21" s="42" t="s">
        <v>137</v>
      </c>
      <c r="I21" s="42" t="s">
        <v>703</v>
      </c>
      <c r="J21" s="42" t="s">
        <v>30</v>
      </c>
      <c r="K21" s="42" t="s">
        <v>30</v>
      </c>
      <c r="L21" s="42" t="s">
        <v>139</v>
      </c>
      <c r="M21" s="42" t="s">
        <v>31</v>
      </c>
      <c r="N21" s="20" t="s">
        <v>285</v>
      </c>
      <c r="O21" s="42" t="s">
        <v>141</v>
      </c>
      <c r="P21" s="42" t="s">
        <v>34</v>
      </c>
      <c r="Q21" s="154">
        <v>1363</v>
      </c>
      <c r="R21" s="166">
        <v>1</v>
      </c>
      <c r="S21" s="168">
        <v>23710</v>
      </c>
      <c r="T21" s="39"/>
      <c r="U21" s="154">
        <v>323.16699999999997</v>
      </c>
      <c r="V21" s="165">
        <v>1.4E-5</v>
      </c>
      <c r="W21" s="165">
        <v>3.8554397779617198E-3</v>
      </c>
      <c r="X21" s="165">
        <v>6.9993440199556296E-4</v>
      </c>
    </row>
    <row r="22" spans="1:24">
      <c r="A22" s="5">
        <v>1182</v>
      </c>
      <c r="B22" s="5">
        <v>1182</v>
      </c>
      <c r="C22" s="5" t="s">
        <v>768</v>
      </c>
      <c r="D22" s="5" t="s">
        <v>769</v>
      </c>
      <c r="E22" s="5" t="s">
        <v>134</v>
      </c>
      <c r="F22" s="5" t="s">
        <v>770</v>
      </c>
      <c r="G22" s="5" t="s">
        <v>771</v>
      </c>
      <c r="H22" s="5" t="s">
        <v>137</v>
      </c>
      <c r="I22" s="5" t="s">
        <v>703</v>
      </c>
      <c r="J22" s="5" t="s">
        <v>30</v>
      </c>
      <c r="K22" s="5" t="s">
        <v>30</v>
      </c>
      <c r="L22" s="3" t="s">
        <v>139</v>
      </c>
      <c r="M22" s="5" t="s">
        <v>31</v>
      </c>
      <c r="N22" s="5" t="s">
        <v>718</v>
      </c>
      <c r="O22" s="5" t="s">
        <v>141</v>
      </c>
      <c r="P22" s="5" t="s">
        <v>34</v>
      </c>
      <c r="Q22" s="154">
        <v>2612</v>
      </c>
      <c r="R22" s="166">
        <v>1</v>
      </c>
      <c r="S22" s="168">
        <v>67920</v>
      </c>
      <c r="U22" s="154">
        <v>1774.07</v>
      </c>
      <c r="V22" s="165">
        <v>2.8600000000000001E-4</v>
      </c>
      <c r="W22" s="165">
        <v>2.1164955702710202E-2</v>
      </c>
      <c r="X22" s="165">
        <v>3.84238412896982E-3</v>
      </c>
    </row>
    <row r="23" spans="1:24">
      <c r="A23" s="5">
        <v>1182</v>
      </c>
      <c r="B23" s="5">
        <v>1182</v>
      </c>
      <c r="C23" s="5" t="s">
        <v>772</v>
      </c>
      <c r="D23" s="5" t="s">
        <v>773</v>
      </c>
      <c r="E23" s="5" t="s">
        <v>134</v>
      </c>
      <c r="F23" s="5" t="s">
        <v>774</v>
      </c>
      <c r="G23" s="5" t="s">
        <v>775</v>
      </c>
      <c r="H23" s="5" t="s">
        <v>137</v>
      </c>
      <c r="I23" s="5" t="s">
        <v>703</v>
      </c>
      <c r="J23" s="5" t="s">
        <v>30</v>
      </c>
      <c r="K23" s="5" t="s">
        <v>30</v>
      </c>
      <c r="L23" s="3" t="s">
        <v>139</v>
      </c>
      <c r="M23" s="3" t="s">
        <v>31</v>
      </c>
      <c r="N23" s="5" t="s">
        <v>285</v>
      </c>
      <c r="O23" s="5" t="s">
        <v>141</v>
      </c>
      <c r="P23" s="5" t="s">
        <v>34</v>
      </c>
      <c r="Q23" s="154">
        <v>52079</v>
      </c>
      <c r="R23" s="166">
        <v>1</v>
      </c>
      <c r="S23" s="168">
        <v>3274</v>
      </c>
      <c r="U23" s="154">
        <v>1705.066</v>
      </c>
      <c r="V23" s="165">
        <v>4.1999999999999998E-5</v>
      </c>
      <c r="W23" s="165">
        <v>2.0341727191929299E-2</v>
      </c>
      <c r="X23" s="165">
        <v>3.69293141058143E-3</v>
      </c>
    </row>
    <row r="24" spans="1:24">
      <c r="A24" s="5">
        <v>1182</v>
      </c>
      <c r="B24" s="5">
        <v>1182</v>
      </c>
      <c r="C24" s="5" t="s">
        <v>776</v>
      </c>
      <c r="D24" s="5" t="s">
        <v>777</v>
      </c>
      <c r="E24" s="5" t="s">
        <v>134</v>
      </c>
      <c r="F24" s="5" t="s">
        <v>778</v>
      </c>
      <c r="G24" s="5" t="s">
        <v>779</v>
      </c>
      <c r="H24" s="5" t="s">
        <v>137</v>
      </c>
      <c r="I24" s="5" t="s">
        <v>703</v>
      </c>
      <c r="J24" s="5" t="s">
        <v>30</v>
      </c>
      <c r="K24" s="5" t="s">
        <v>30</v>
      </c>
      <c r="L24" s="3" t="s">
        <v>139</v>
      </c>
      <c r="M24" s="3" t="s">
        <v>31</v>
      </c>
      <c r="N24" s="5" t="s">
        <v>780</v>
      </c>
      <c r="O24" s="5" t="s">
        <v>141</v>
      </c>
      <c r="P24" s="5" t="s">
        <v>34</v>
      </c>
      <c r="Q24" s="154">
        <v>8830</v>
      </c>
      <c r="R24" s="166">
        <v>1</v>
      </c>
      <c r="S24" s="168">
        <v>17410</v>
      </c>
      <c r="U24" s="154">
        <v>1537.3030000000001</v>
      </c>
      <c r="V24" s="165">
        <v>3.28E-4</v>
      </c>
      <c r="W24" s="165">
        <v>1.8340281139149501E-2</v>
      </c>
      <c r="X24" s="165">
        <v>3.3295796201873902E-3</v>
      </c>
    </row>
    <row r="25" spans="1:24">
      <c r="A25" s="5">
        <v>1182</v>
      </c>
      <c r="B25" s="5">
        <v>1182</v>
      </c>
      <c r="C25" s="5" t="s">
        <v>781</v>
      </c>
      <c r="D25" s="5" t="s">
        <v>782</v>
      </c>
      <c r="E25" s="5" t="s">
        <v>134</v>
      </c>
      <c r="F25" s="5" t="s">
        <v>783</v>
      </c>
      <c r="G25" s="5" t="s">
        <v>784</v>
      </c>
      <c r="H25" s="5" t="s">
        <v>137</v>
      </c>
      <c r="I25" s="5" t="s">
        <v>703</v>
      </c>
      <c r="J25" s="5" t="s">
        <v>30</v>
      </c>
      <c r="K25" s="5" t="s">
        <v>30</v>
      </c>
      <c r="L25" s="3" t="s">
        <v>139</v>
      </c>
      <c r="M25" s="3" t="s">
        <v>31</v>
      </c>
      <c r="N25" s="5" t="s">
        <v>465</v>
      </c>
      <c r="O25" s="5" t="s">
        <v>141</v>
      </c>
      <c r="P25" s="5" t="s">
        <v>34</v>
      </c>
      <c r="Q25" s="154">
        <v>119937</v>
      </c>
      <c r="R25" s="166">
        <v>1</v>
      </c>
      <c r="S25" s="168">
        <v>745.1</v>
      </c>
      <c r="U25" s="154">
        <v>893.65099999999995</v>
      </c>
      <c r="V25" s="165">
        <v>1.305E-3</v>
      </c>
      <c r="W25" s="165">
        <v>1.06614005213975E-2</v>
      </c>
      <c r="X25" s="165">
        <v>1.93552005170334E-3</v>
      </c>
    </row>
    <row r="26" spans="1:24">
      <c r="A26" s="5">
        <v>1182</v>
      </c>
      <c r="B26" s="5">
        <v>1182</v>
      </c>
      <c r="C26" s="5" t="s">
        <v>785</v>
      </c>
      <c r="D26" s="5" t="s">
        <v>786</v>
      </c>
      <c r="E26" s="5" t="s">
        <v>134</v>
      </c>
      <c r="F26" s="5" t="s">
        <v>787</v>
      </c>
      <c r="G26" s="5" t="s">
        <v>788</v>
      </c>
      <c r="H26" s="5" t="s">
        <v>137</v>
      </c>
      <c r="I26" s="5" t="s">
        <v>703</v>
      </c>
      <c r="J26" s="5" t="s">
        <v>30</v>
      </c>
      <c r="K26" s="5" t="s">
        <v>30</v>
      </c>
      <c r="L26" s="3" t="s">
        <v>139</v>
      </c>
      <c r="M26" s="3" t="s">
        <v>31</v>
      </c>
      <c r="N26" s="5" t="s">
        <v>170</v>
      </c>
      <c r="O26" s="5" t="s">
        <v>141</v>
      </c>
      <c r="P26" s="5" t="s">
        <v>34</v>
      </c>
      <c r="Q26" s="154">
        <v>18702</v>
      </c>
      <c r="R26" s="166">
        <v>1</v>
      </c>
      <c r="S26" s="168">
        <v>12400</v>
      </c>
      <c r="U26" s="154">
        <v>2319.0479999999998</v>
      </c>
      <c r="V26" s="165">
        <v>7.1000000000000005E-5</v>
      </c>
      <c r="W26" s="165">
        <v>2.76666293470984E-2</v>
      </c>
      <c r="X26" s="165">
        <v>5.0227280887608604E-3</v>
      </c>
    </row>
    <row r="27" spans="1:24">
      <c r="A27" s="5">
        <v>1182</v>
      </c>
      <c r="B27" s="5">
        <v>1182</v>
      </c>
      <c r="C27" s="5" t="s">
        <v>789</v>
      </c>
      <c r="D27" s="5" t="s">
        <v>790</v>
      </c>
      <c r="E27" s="5" t="s">
        <v>134</v>
      </c>
      <c r="F27" s="5" t="s">
        <v>791</v>
      </c>
      <c r="G27" s="5" t="s">
        <v>792</v>
      </c>
      <c r="H27" s="5" t="s">
        <v>137</v>
      </c>
      <c r="I27" s="5" t="s">
        <v>703</v>
      </c>
      <c r="J27" s="5" t="s">
        <v>30</v>
      </c>
      <c r="K27" s="5" t="s">
        <v>30</v>
      </c>
      <c r="L27" s="3" t="s">
        <v>139</v>
      </c>
      <c r="M27" s="3" t="s">
        <v>31</v>
      </c>
      <c r="N27" s="5" t="s">
        <v>140</v>
      </c>
      <c r="O27" s="5" t="s">
        <v>141</v>
      </c>
      <c r="P27" s="5" t="s">
        <v>34</v>
      </c>
      <c r="Q27" s="154">
        <v>190</v>
      </c>
      <c r="R27" s="166">
        <v>1</v>
      </c>
      <c r="S27" s="168">
        <v>103430</v>
      </c>
      <c r="U27" s="154">
        <v>196.517</v>
      </c>
      <c r="V27" s="165">
        <v>2.5000000000000001E-5</v>
      </c>
      <c r="W27" s="165">
        <v>2.34448057970501E-3</v>
      </c>
      <c r="X27" s="165">
        <v>4.2562786790916699E-4</v>
      </c>
    </row>
    <row r="28" spans="1:24">
      <c r="A28" s="5">
        <v>1182</v>
      </c>
      <c r="B28" s="5">
        <v>1182</v>
      </c>
      <c r="C28" s="5" t="s">
        <v>793</v>
      </c>
      <c r="D28" s="5" t="s">
        <v>794</v>
      </c>
      <c r="E28" s="5" t="s">
        <v>134</v>
      </c>
      <c r="F28" s="5" t="s">
        <v>795</v>
      </c>
      <c r="G28" s="5" t="s">
        <v>796</v>
      </c>
      <c r="H28" s="5" t="s">
        <v>137</v>
      </c>
      <c r="I28" s="5" t="s">
        <v>703</v>
      </c>
      <c r="J28" s="5" t="s">
        <v>30</v>
      </c>
      <c r="K28" s="5" t="s">
        <v>797</v>
      </c>
      <c r="L28" s="3" t="s">
        <v>139</v>
      </c>
      <c r="M28" s="3" t="s">
        <v>31</v>
      </c>
      <c r="N28" s="5" t="s">
        <v>798</v>
      </c>
      <c r="O28" s="5" t="s">
        <v>141</v>
      </c>
      <c r="P28" s="5" t="s">
        <v>34</v>
      </c>
      <c r="Q28" s="154">
        <v>11131</v>
      </c>
      <c r="R28" s="166">
        <v>1</v>
      </c>
      <c r="S28" s="168">
        <v>23540</v>
      </c>
      <c r="U28" s="154">
        <v>2620.2370000000001</v>
      </c>
      <c r="V28" s="165">
        <v>9.8999999999999994E-5</v>
      </c>
      <c r="W28" s="165">
        <v>3.1259869113189898E-2</v>
      </c>
      <c r="X28" s="165">
        <v>5.6750614856621003E-3</v>
      </c>
    </row>
    <row r="29" spans="1:24">
      <c r="A29" s="5">
        <v>1182</v>
      </c>
      <c r="B29" s="5">
        <v>1182</v>
      </c>
      <c r="C29" s="5" t="s">
        <v>568</v>
      </c>
      <c r="D29" s="5" t="s">
        <v>569</v>
      </c>
      <c r="E29" s="5" t="s">
        <v>134</v>
      </c>
      <c r="F29" s="5" t="s">
        <v>799</v>
      </c>
      <c r="G29" s="5" t="s">
        <v>800</v>
      </c>
      <c r="H29" s="5" t="s">
        <v>137</v>
      </c>
      <c r="I29" s="5" t="s">
        <v>703</v>
      </c>
      <c r="J29" s="5" t="s">
        <v>30</v>
      </c>
      <c r="K29" s="5" t="s">
        <v>224</v>
      </c>
      <c r="L29" s="3" t="s">
        <v>139</v>
      </c>
      <c r="M29" s="3" t="s">
        <v>31</v>
      </c>
      <c r="N29" s="5" t="s">
        <v>573</v>
      </c>
      <c r="O29" s="5" t="s">
        <v>141</v>
      </c>
      <c r="P29" s="5" t="s">
        <v>34</v>
      </c>
      <c r="Q29" s="154">
        <v>47657</v>
      </c>
      <c r="R29" s="166">
        <v>1</v>
      </c>
      <c r="S29" s="168">
        <v>6440</v>
      </c>
      <c r="U29" s="154">
        <v>3069.1109999999999</v>
      </c>
      <c r="V29" s="165">
        <v>3.8000000000000002E-5</v>
      </c>
      <c r="W29" s="165">
        <v>3.6615003625960603E-2</v>
      </c>
      <c r="X29" s="165">
        <v>6.6472574188543299E-3</v>
      </c>
    </row>
    <row r="30" spans="1:24">
      <c r="A30" s="5">
        <v>1182</v>
      </c>
      <c r="B30" s="5">
        <v>1182</v>
      </c>
      <c r="C30" s="5" t="s">
        <v>801</v>
      </c>
      <c r="D30" s="5" t="s">
        <v>802</v>
      </c>
      <c r="E30" s="5" t="s">
        <v>134</v>
      </c>
      <c r="F30" s="5" t="s">
        <v>803</v>
      </c>
      <c r="G30" s="5" t="s">
        <v>804</v>
      </c>
      <c r="H30" s="5" t="s">
        <v>137</v>
      </c>
      <c r="I30" s="5" t="s">
        <v>703</v>
      </c>
      <c r="J30" s="5" t="s">
        <v>30</v>
      </c>
      <c r="K30" s="5" t="s">
        <v>30</v>
      </c>
      <c r="L30" s="3" t="s">
        <v>139</v>
      </c>
      <c r="M30" s="3" t="s">
        <v>31</v>
      </c>
      <c r="N30" s="5" t="s">
        <v>734</v>
      </c>
      <c r="O30" s="5" t="s">
        <v>141</v>
      </c>
      <c r="P30" s="5" t="s">
        <v>34</v>
      </c>
      <c r="Q30" s="154">
        <v>57152</v>
      </c>
      <c r="R30" s="166">
        <v>1</v>
      </c>
      <c r="S30" s="168">
        <v>862.4</v>
      </c>
      <c r="U30" s="154">
        <v>492.87900000000002</v>
      </c>
      <c r="V30" s="165">
        <v>5.2499999999999997E-4</v>
      </c>
      <c r="W30" s="165">
        <v>5.88012684543005E-3</v>
      </c>
      <c r="X30" s="165">
        <v>1.06750547388657E-3</v>
      </c>
    </row>
    <row r="31" spans="1:24">
      <c r="A31" s="5">
        <v>1182</v>
      </c>
      <c r="B31" s="5">
        <v>1182</v>
      </c>
      <c r="C31" s="5" t="s">
        <v>805</v>
      </c>
      <c r="D31" s="5" t="s">
        <v>806</v>
      </c>
      <c r="E31" s="5" t="s">
        <v>134</v>
      </c>
      <c r="F31" s="5" t="s">
        <v>807</v>
      </c>
      <c r="G31" s="5" t="s">
        <v>808</v>
      </c>
      <c r="H31" s="5" t="s">
        <v>137</v>
      </c>
      <c r="I31" s="5" t="s">
        <v>703</v>
      </c>
      <c r="J31" s="5" t="s">
        <v>30</v>
      </c>
      <c r="K31" s="5" t="s">
        <v>30</v>
      </c>
      <c r="L31" s="3" t="s">
        <v>139</v>
      </c>
      <c r="M31" s="3" t="s">
        <v>31</v>
      </c>
      <c r="N31" s="5" t="s">
        <v>555</v>
      </c>
      <c r="O31" s="5" t="s">
        <v>141</v>
      </c>
      <c r="P31" s="5" t="s">
        <v>34</v>
      </c>
      <c r="Q31" s="154">
        <v>7000</v>
      </c>
      <c r="R31" s="166">
        <v>1</v>
      </c>
      <c r="S31" s="168">
        <v>2875</v>
      </c>
      <c r="U31" s="154">
        <v>201.25</v>
      </c>
      <c r="V31" s="165">
        <v>5.5999999999999999E-5</v>
      </c>
      <c r="W31" s="165">
        <v>2.40094605894469E-3</v>
      </c>
      <c r="X31" s="165">
        <v>4.35878872650813E-4</v>
      </c>
    </row>
    <row r="32" spans="1:24">
      <c r="A32" s="5">
        <v>1182</v>
      </c>
      <c r="B32" s="5">
        <v>1182</v>
      </c>
      <c r="C32" s="5" t="s">
        <v>809</v>
      </c>
      <c r="D32" s="5" t="s">
        <v>810</v>
      </c>
      <c r="E32" s="5" t="s">
        <v>134</v>
      </c>
      <c r="F32" s="5" t="s">
        <v>811</v>
      </c>
      <c r="G32" s="5" t="s">
        <v>812</v>
      </c>
      <c r="H32" s="5" t="s">
        <v>137</v>
      </c>
      <c r="I32" s="5" t="s">
        <v>703</v>
      </c>
      <c r="J32" s="5" t="s">
        <v>30</v>
      </c>
      <c r="K32" s="5" t="s">
        <v>30</v>
      </c>
      <c r="L32" s="3" t="s">
        <v>139</v>
      </c>
      <c r="M32" s="3" t="s">
        <v>31</v>
      </c>
      <c r="N32" s="5" t="s">
        <v>378</v>
      </c>
      <c r="O32" s="5" t="s">
        <v>141</v>
      </c>
      <c r="P32" s="5" t="s">
        <v>34</v>
      </c>
      <c r="Q32" s="154">
        <v>104243</v>
      </c>
      <c r="R32" s="166">
        <v>1</v>
      </c>
      <c r="S32" s="168">
        <v>1338</v>
      </c>
      <c r="U32" s="154">
        <v>1394.771</v>
      </c>
      <c r="V32" s="165">
        <v>3.2000000000000003E-4</v>
      </c>
      <c r="W32" s="165">
        <v>1.6639854667836001E-2</v>
      </c>
      <c r="X32" s="165">
        <v>3.02087631942789E-3</v>
      </c>
    </row>
    <row r="33" spans="1:24">
      <c r="A33" s="5">
        <v>1182</v>
      </c>
      <c r="B33" s="5">
        <v>1182</v>
      </c>
      <c r="C33" s="5" t="s">
        <v>595</v>
      </c>
      <c r="D33" s="5" t="s">
        <v>596</v>
      </c>
      <c r="E33" s="5" t="s">
        <v>134</v>
      </c>
      <c r="F33" s="5" t="s">
        <v>813</v>
      </c>
      <c r="G33" s="5" t="s">
        <v>814</v>
      </c>
      <c r="H33" s="5" t="s">
        <v>137</v>
      </c>
      <c r="I33" s="5" t="s">
        <v>703</v>
      </c>
      <c r="J33" s="5" t="s">
        <v>30</v>
      </c>
      <c r="K33" s="5" t="s">
        <v>30</v>
      </c>
      <c r="L33" s="3" t="s">
        <v>139</v>
      </c>
      <c r="M33" s="3" t="s">
        <v>31</v>
      </c>
      <c r="N33" s="5" t="s">
        <v>170</v>
      </c>
      <c r="O33" s="5" t="s">
        <v>141</v>
      </c>
      <c r="P33" s="5" t="s">
        <v>34</v>
      </c>
      <c r="Q33" s="154">
        <v>11533</v>
      </c>
      <c r="R33" s="166">
        <v>1</v>
      </c>
      <c r="S33" s="168">
        <v>16970</v>
      </c>
      <c r="U33" s="154">
        <v>1957.15</v>
      </c>
      <c r="V33" s="165">
        <v>1.44E-4</v>
      </c>
      <c r="W33" s="165">
        <v>2.33491270527116E-2</v>
      </c>
      <c r="X33" s="165">
        <v>4.2389087165039798E-3</v>
      </c>
    </row>
    <row r="34" spans="1:24">
      <c r="A34" s="5">
        <v>1182</v>
      </c>
      <c r="B34" s="5">
        <v>1182</v>
      </c>
      <c r="C34" s="5" t="s">
        <v>380</v>
      </c>
      <c r="D34" s="5" t="s">
        <v>381</v>
      </c>
      <c r="E34" s="5" t="s">
        <v>134</v>
      </c>
      <c r="F34" s="5" t="s">
        <v>815</v>
      </c>
      <c r="G34" s="5" t="s">
        <v>816</v>
      </c>
      <c r="H34" s="5" t="s">
        <v>137</v>
      </c>
      <c r="I34" s="5" t="s">
        <v>703</v>
      </c>
      <c r="J34" s="5" t="s">
        <v>30</v>
      </c>
      <c r="K34" s="5" t="s">
        <v>30</v>
      </c>
      <c r="L34" s="3" t="s">
        <v>139</v>
      </c>
      <c r="M34" s="3" t="s">
        <v>31</v>
      </c>
      <c r="N34" s="5" t="s">
        <v>285</v>
      </c>
      <c r="O34" s="5" t="s">
        <v>141</v>
      </c>
      <c r="P34" s="5" t="s">
        <v>34</v>
      </c>
      <c r="Q34" s="154">
        <v>66405</v>
      </c>
      <c r="R34" s="166">
        <v>1</v>
      </c>
      <c r="S34" s="168">
        <v>6529</v>
      </c>
      <c r="U34" s="154">
        <v>4335.5820000000003</v>
      </c>
      <c r="V34" s="165">
        <v>4.1E-5</v>
      </c>
      <c r="W34" s="165">
        <v>5.1724221597799998E-2</v>
      </c>
      <c r="X34" s="165">
        <v>9.3902548600777597E-3</v>
      </c>
    </row>
    <row r="35" spans="1:24">
      <c r="A35" s="5">
        <v>1182</v>
      </c>
      <c r="B35" s="5">
        <v>1182</v>
      </c>
      <c r="C35" s="5" t="s">
        <v>398</v>
      </c>
      <c r="D35" s="5" t="s">
        <v>399</v>
      </c>
      <c r="E35" s="5" t="s">
        <v>134</v>
      </c>
      <c r="F35" s="5" t="s">
        <v>817</v>
      </c>
      <c r="G35" s="5" t="s">
        <v>818</v>
      </c>
      <c r="H35" s="5" t="s">
        <v>137</v>
      </c>
      <c r="I35" s="5" t="s">
        <v>703</v>
      </c>
      <c r="J35" s="5" t="s">
        <v>30</v>
      </c>
      <c r="K35" s="5" t="s">
        <v>30</v>
      </c>
      <c r="L35" s="3" t="s">
        <v>139</v>
      </c>
      <c r="M35" s="3" t="s">
        <v>31</v>
      </c>
      <c r="N35" s="5" t="s">
        <v>186</v>
      </c>
      <c r="O35" s="5" t="s">
        <v>141</v>
      </c>
      <c r="P35" s="5" t="s">
        <v>34</v>
      </c>
      <c r="Q35" s="154">
        <v>87124</v>
      </c>
      <c r="R35" s="166">
        <v>1</v>
      </c>
      <c r="S35" s="168">
        <v>1292</v>
      </c>
      <c r="U35" s="154">
        <v>1125.6420000000001</v>
      </c>
      <c r="V35" s="165">
        <v>1.2E-4</v>
      </c>
      <c r="W35" s="165">
        <v>1.3429097718053701E-2</v>
      </c>
      <c r="X35" s="165">
        <v>2.4379806252855501E-3</v>
      </c>
    </row>
    <row r="36" spans="1:24">
      <c r="A36" s="5">
        <v>1182</v>
      </c>
      <c r="B36" s="5">
        <v>1182</v>
      </c>
      <c r="C36" s="5" t="s">
        <v>409</v>
      </c>
      <c r="D36" s="5" t="s">
        <v>410</v>
      </c>
      <c r="E36" s="5" t="s">
        <v>134</v>
      </c>
      <c r="F36" s="5" t="s">
        <v>819</v>
      </c>
      <c r="G36" s="5" t="s">
        <v>820</v>
      </c>
      <c r="H36" s="5" t="s">
        <v>137</v>
      </c>
      <c r="I36" s="5" t="s">
        <v>703</v>
      </c>
      <c r="J36" s="5" t="s">
        <v>30</v>
      </c>
      <c r="K36" s="5" t="s">
        <v>30</v>
      </c>
      <c r="L36" s="3" t="s">
        <v>139</v>
      </c>
      <c r="M36" s="3" t="s">
        <v>31</v>
      </c>
      <c r="N36" s="5" t="s">
        <v>186</v>
      </c>
      <c r="O36" s="5" t="s">
        <v>141</v>
      </c>
      <c r="P36" s="5" t="s">
        <v>34</v>
      </c>
      <c r="Q36" s="154">
        <v>12893</v>
      </c>
      <c r="R36" s="166">
        <v>1</v>
      </c>
      <c r="S36" s="168">
        <v>1357</v>
      </c>
      <c r="U36" s="154">
        <v>174.958</v>
      </c>
      <c r="V36" s="165">
        <v>8.6000000000000003E-5</v>
      </c>
      <c r="W36" s="165">
        <v>2.08727823398909E-3</v>
      </c>
      <c r="X36" s="165">
        <v>3.7893416228586198E-4</v>
      </c>
    </row>
    <row r="37" spans="1:24">
      <c r="A37" s="5">
        <v>1182</v>
      </c>
      <c r="B37" s="5">
        <v>1182</v>
      </c>
      <c r="C37" s="5" t="s">
        <v>821</v>
      </c>
      <c r="D37" s="5" t="s">
        <v>822</v>
      </c>
      <c r="E37" s="5" t="s">
        <v>134</v>
      </c>
      <c r="F37" s="5" t="s">
        <v>823</v>
      </c>
      <c r="G37" s="5" t="s">
        <v>824</v>
      </c>
      <c r="H37" s="5" t="s">
        <v>137</v>
      </c>
      <c r="I37" s="5" t="s">
        <v>703</v>
      </c>
      <c r="J37" s="5" t="s">
        <v>30</v>
      </c>
      <c r="K37" s="5" t="s">
        <v>30</v>
      </c>
      <c r="L37" s="3" t="s">
        <v>139</v>
      </c>
      <c r="M37" s="3" t="s">
        <v>31</v>
      </c>
      <c r="N37" s="5" t="s">
        <v>285</v>
      </c>
      <c r="O37" s="5" t="s">
        <v>141</v>
      </c>
      <c r="P37" s="5" t="s">
        <v>34</v>
      </c>
      <c r="Q37" s="154">
        <v>802</v>
      </c>
      <c r="R37" s="166">
        <v>1</v>
      </c>
      <c r="S37" s="168">
        <v>21790</v>
      </c>
      <c r="U37" s="154">
        <v>174.756</v>
      </c>
      <c r="V37" s="165">
        <v>3.0000000000000001E-6</v>
      </c>
      <c r="W37" s="165">
        <v>2.0848658349700701E-3</v>
      </c>
      <c r="X37" s="165">
        <v>3.7849620418976902E-4</v>
      </c>
    </row>
    <row r="38" spans="1:24">
      <c r="A38" s="5">
        <v>1182</v>
      </c>
      <c r="B38" s="5">
        <v>1182</v>
      </c>
      <c r="C38" s="5" t="s">
        <v>825</v>
      </c>
      <c r="D38" s="5" t="s">
        <v>826</v>
      </c>
      <c r="E38" s="5" t="s">
        <v>134</v>
      </c>
      <c r="F38" s="5" t="s">
        <v>827</v>
      </c>
      <c r="G38" s="5" t="s">
        <v>828</v>
      </c>
      <c r="H38" s="5" t="s">
        <v>137</v>
      </c>
      <c r="I38" s="5" t="s">
        <v>703</v>
      </c>
      <c r="J38" s="5" t="s">
        <v>30</v>
      </c>
      <c r="K38" s="5" t="s">
        <v>30</v>
      </c>
      <c r="L38" s="3" t="s">
        <v>139</v>
      </c>
      <c r="M38" s="3" t="s">
        <v>31</v>
      </c>
      <c r="N38" s="5" t="s">
        <v>829</v>
      </c>
      <c r="O38" s="5" t="s">
        <v>141</v>
      </c>
      <c r="P38" s="5" t="s">
        <v>34</v>
      </c>
      <c r="Q38" s="154">
        <v>3508</v>
      </c>
      <c r="R38" s="166">
        <v>1</v>
      </c>
      <c r="S38" s="168">
        <v>11650</v>
      </c>
      <c r="T38" s="153">
        <v>2.9820000000000002</v>
      </c>
      <c r="U38" s="154">
        <v>411.66399999999999</v>
      </c>
      <c r="V38" s="165">
        <v>5.5000000000000002E-5</v>
      </c>
      <c r="W38" s="165">
        <v>4.91121777997612E-3</v>
      </c>
      <c r="X38" s="165">
        <v>8.9160523257217198E-4</v>
      </c>
    </row>
    <row r="39" spans="1:24">
      <c r="A39" s="5">
        <v>1182</v>
      </c>
      <c r="B39" s="5">
        <v>1182</v>
      </c>
      <c r="C39" s="5" t="s">
        <v>429</v>
      </c>
      <c r="D39" s="5" t="s">
        <v>430</v>
      </c>
      <c r="E39" s="5" t="s">
        <v>134</v>
      </c>
      <c r="F39" s="5" t="s">
        <v>830</v>
      </c>
      <c r="G39" s="5" t="s">
        <v>831</v>
      </c>
      <c r="H39" s="5" t="s">
        <v>137</v>
      </c>
      <c r="I39" s="5" t="s">
        <v>703</v>
      </c>
      <c r="J39" s="5" t="s">
        <v>30</v>
      </c>
      <c r="K39" s="5" t="s">
        <v>30</v>
      </c>
      <c r="L39" s="3" t="s">
        <v>139</v>
      </c>
      <c r="M39" s="3" t="s">
        <v>31</v>
      </c>
      <c r="N39" s="5" t="s">
        <v>186</v>
      </c>
      <c r="O39" s="5" t="s">
        <v>141</v>
      </c>
      <c r="P39" s="5" t="s">
        <v>34</v>
      </c>
      <c r="Q39" s="154">
        <v>2204.75</v>
      </c>
      <c r="R39" s="166">
        <v>1</v>
      </c>
      <c r="S39" s="168">
        <v>40000</v>
      </c>
      <c r="U39" s="154">
        <v>881.9</v>
      </c>
      <c r="V39" s="165">
        <v>4.6E-5</v>
      </c>
      <c r="W39" s="165">
        <v>1.0521214059047599E-2</v>
      </c>
      <c r="X39" s="165">
        <v>1.9100699517552899E-3</v>
      </c>
    </row>
    <row r="40" spans="1:24">
      <c r="A40" s="5">
        <v>1182</v>
      </c>
      <c r="B40" s="5">
        <v>1182</v>
      </c>
      <c r="C40" s="5" t="s">
        <v>832</v>
      </c>
      <c r="D40" s="5" t="s">
        <v>833</v>
      </c>
      <c r="E40" s="5" t="s">
        <v>134</v>
      </c>
      <c r="F40" s="5" t="s">
        <v>834</v>
      </c>
      <c r="G40" s="5" t="s">
        <v>835</v>
      </c>
      <c r="H40" s="5" t="s">
        <v>137</v>
      </c>
      <c r="I40" s="5" t="s">
        <v>703</v>
      </c>
      <c r="J40" s="5" t="s">
        <v>30</v>
      </c>
      <c r="K40" s="5" t="s">
        <v>30</v>
      </c>
      <c r="L40" s="3" t="s">
        <v>139</v>
      </c>
      <c r="M40" s="3" t="s">
        <v>31</v>
      </c>
      <c r="N40" s="5" t="s">
        <v>170</v>
      </c>
      <c r="O40" s="5" t="s">
        <v>141</v>
      </c>
      <c r="P40" s="5" t="s">
        <v>34</v>
      </c>
      <c r="Q40" s="154">
        <v>4255</v>
      </c>
      <c r="R40" s="166">
        <v>1</v>
      </c>
      <c r="S40" s="168">
        <v>32500</v>
      </c>
      <c r="U40" s="154">
        <v>1382.875</v>
      </c>
      <c r="V40" s="165">
        <v>6.7000000000000002E-5</v>
      </c>
      <c r="W40" s="165">
        <v>1.6497929347891401E-2</v>
      </c>
      <c r="X40" s="165">
        <v>2.9951105392148698E-3</v>
      </c>
    </row>
    <row r="41" spans="1:24">
      <c r="A41" s="5">
        <v>1182</v>
      </c>
      <c r="B41" s="5">
        <v>1182</v>
      </c>
      <c r="C41" s="5" t="s">
        <v>836</v>
      </c>
      <c r="D41" s="5" t="s">
        <v>837</v>
      </c>
      <c r="E41" s="5" t="s">
        <v>134</v>
      </c>
      <c r="F41" s="5" t="s">
        <v>838</v>
      </c>
      <c r="G41" s="5" t="s">
        <v>839</v>
      </c>
      <c r="H41" s="5" t="s">
        <v>137</v>
      </c>
      <c r="I41" s="5" t="s">
        <v>703</v>
      </c>
      <c r="J41" s="5" t="s">
        <v>30</v>
      </c>
      <c r="K41" s="5" t="s">
        <v>30</v>
      </c>
      <c r="L41" s="3" t="s">
        <v>139</v>
      </c>
      <c r="M41" s="3" t="s">
        <v>31</v>
      </c>
      <c r="N41" s="5" t="s">
        <v>734</v>
      </c>
      <c r="O41" s="5" t="s">
        <v>141</v>
      </c>
      <c r="P41" s="5" t="s">
        <v>34</v>
      </c>
      <c r="Q41" s="154">
        <v>15822</v>
      </c>
      <c r="R41" s="166">
        <v>1</v>
      </c>
      <c r="S41" s="168">
        <v>2066</v>
      </c>
      <c r="U41" s="154">
        <v>326.88299999999998</v>
      </c>
      <c r="V41" s="165">
        <v>1.1E-4</v>
      </c>
      <c r="W41" s="165">
        <v>3.8997629720840098E-3</v>
      </c>
      <c r="X41" s="165">
        <v>7.07981040034071E-4</v>
      </c>
    </row>
    <row r="42" spans="1:24">
      <c r="A42" s="5">
        <v>1182</v>
      </c>
      <c r="B42" s="5">
        <v>1182</v>
      </c>
      <c r="C42" s="5" t="s">
        <v>467</v>
      </c>
      <c r="D42" s="5" t="s">
        <v>468</v>
      </c>
      <c r="E42" s="5" t="s">
        <v>366</v>
      </c>
      <c r="F42" s="5" t="s">
        <v>840</v>
      </c>
      <c r="G42" s="5" t="s">
        <v>841</v>
      </c>
      <c r="H42" s="5" t="s">
        <v>137</v>
      </c>
      <c r="I42" s="5" t="s">
        <v>703</v>
      </c>
      <c r="J42" s="5" t="s">
        <v>30</v>
      </c>
      <c r="K42" s="5" t="s">
        <v>224</v>
      </c>
      <c r="L42" s="3" t="s">
        <v>139</v>
      </c>
      <c r="M42" s="3" t="s">
        <v>31</v>
      </c>
      <c r="N42" s="5" t="s">
        <v>369</v>
      </c>
      <c r="O42" s="5" t="s">
        <v>141</v>
      </c>
      <c r="P42" s="5" t="s">
        <v>34</v>
      </c>
      <c r="Q42" s="154">
        <v>1100</v>
      </c>
      <c r="R42" s="166">
        <v>1</v>
      </c>
      <c r="S42" s="168">
        <v>11190</v>
      </c>
      <c r="U42" s="154">
        <v>123.09</v>
      </c>
      <c r="V42" s="165">
        <v>9.0000000000000002E-6</v>
      </c>
      <c r="W42" s="165">
        <v>1.4684842255677101E-3</v>
      </c>
      <c r="X42" s="165">
        <v>2.6659543073087502E-4</v>
      </c>
    </row>
    <row r="43" spans="1:24">
      <c r="A43" s="5">
        <v>1182</v>
      </c>
      <c r="B43" s="5">
        <v>1182</v>
      </c>
      <c r="C43" s="5" t="s">
        <v>842</v>
      </c>
      <c r="D43" s="5" t="s">
        <v>843</v>
      </c>
      <c r="E43" s="5" t="s">
        <v>366</v>
      </c>
      <c r="F43" s="5" t="s">
        <v>844</v>
      </c>
      <c r="G43" s="5" t="s">
        <v>845</v>
      </c>
      <c r="H43" s="5" t="s">
        <v>137</v>
      </c>
      <c r="I43" s="5" t="s">
        <v>703</v>
      </c>
      <c r="J43" s="5" t="s">
        <v>30</v>
      </c>
      <c r="K43" s="5" t="s">
        <v>30</v>
      </c>
      <c r="L43" s="3" t="s">
        <v>139</v>
      </c>
      <c r="M43" s="3" t="s">
        <v>31</v>
      </c>
      <c r="N43" s="5" t="s">
        <v>369</v>
      </c>
      <c r="O43" s="5" t="s">
        <v>141</v>
      </c>
      <c r="P43" s="5" t="s">
        <v>34</v>
      </c>
      <c r="Q43" s="154">
        <v>39086.21</v>
      </c>
      <c r="R43" s="166">
        <v>1</v>
      </c>
      <c r="S43" s="168">
        <v>1744</v>
      </c>
      <c r="U43" s="154">
        <v>681.66399999999999</v>
      </c>
      <c r="V43" s="165">
        <v>3.3000000000000003E-5</v>
      </c>
      <c r="W43" s="165">
        <v>8.1323592527389396E-3</v>
      </c>
      <c r="X43" s="165">
        <v>1.4763861811344901E-3</v>
      </c>
    </row>
    <row r="44" spans="1:24">
      <c r="A44" s="5">
        <v>1182</v>
      </c>
      <c r="B44" s="5">
        <v>1182</v>
      </c>
      <c r="C44" s="5" t="s">
        <v>846</v>
      </c>
      <c r="D44" s="5" t="s">
        <v>847</v>
      </c>
      <c r="E44" s="5" t="s">
        <v>134</v>
      </c>
      <c r="F44" s="5" t="s">
        <v>848</v>
      </c>
      <c r="G44" s="5" t="s">
        <v>849</v>
      </c>
      <c r="H44" s="5" t="s">
        <v>137</v>
      </c>
      <c r="I44" s="5" t="s">
        <v>703</v>
      </c>
      <c r="J44" s="5" t="s">
        <v>30</v>
      </c>
      <c r="K44" s="5" t="s">
        <v>224</v>
      </c>
      <c r="L44" s="3" t="s">
        <v>139</v>
      </c>
      <c r="M44" s="3" t="s">
        <v>31</v>
      </c>
      <c r="N44" s="5" t="s">
        <v>480</v>
      </c>
      <c r="O44" s="5" t="s">
        <v>141</v>
      </c>
      <c r="P44" s="5" t="s">
        <v>34</v>
      </c>
      <c r="Q44" s="154">
        <v>2279</v>
      </c>
      <c r="R44" s="166">
        <v>1</v>
      </c>
      <c r="S44" s="168">
        <v>48800</v>
      </c>
      <c r="U44" s="154">
        <v>1112.152</v>
      </c>
      <c r="V44" s="165">
        <v>3.0000000000000001E-5</v>
      </c>
      <c r="W44" s="165">
        <v>1.3268158814148801E-2</v>
      </c>
      <c r="X44" s="165">
        <v>2.4087630309383699E-3</v>
      </c>
    </row>
    <row r="45" spans="1:24">
      <c r="A45" s="5">
        <v>1182</v>
      </c>
      <c r="B45" s="5">
        <v>1182</v>
      </c>
      <c r="C45" s="5" t="s">
        <v>506</v>
      </c>
      <c r="D45" s="5" t="s">
        <v>507</v>
      </c>
      <c r="E45" s="5" t="s">
        <v>134</v>
      </c>
      <c r="F45" s="5" t="s">
        <v>850</v>
      </c>
      <c r="G45" s="5" t="s">
        <v>851</v>
      </c>
      <c r="H45" s="5" t="s">
        <v>137</v>
      </c>
      <c r="I45" s="5" t="s">
        <v>703</v>
      </c>
      <c r="J45" s="5" t="s">
        <v>30</v>
      </c>
      <c r="K45" s="5" t="s">
        <v>30</v>
      </c>
      <c r="L45" s="3" t="s">
        <v>139</v>
      </c>
      <c r="M45" s="3" t="s">
        <v>31</v>
      </c>
      <c r="N45" s="5" t="s">
        <v>186</v>
      </c>
      <c r="O45" s="5" t="s">
        <v>141</v>
      </c>
      <c r="P45" s="5" t="s">
        <v>34</v>
      </c>
      <c r="Q45" s="154">
        <v>4867</v>
      </c>
      <c r="R45" s="166">
        <v>1</v>
      </c>
      <c r="S45" s="168">
        <v>32870</v>
      </c>
      <c r="U45" s="154">
        <v>1599.7829999999999</v>
      </c>
      <c r="V45" s="165">
        <v>4.0000000000000003E-5</v>
      </c>
      <c r="W45" s="165">
        <v>1.9085676764830299E-2</v>
      </c>
      <c r="X45" s="165">
        <v>3.4649021959654602E-3</v>
      </c>
    </row>
    <row r="46" spans="1:24">
      <c r="A46" s="5">
        <v>1182</v>
      </c>
      <c r="B46" s="5">
        <v>1182</v>
      </c>
      <c r="C46" s="5" t="s">
        <v>522</v>
      </c>
      <c r="D46" s="5" t="s">
        <v>523</v>
      </c>
      <c r="E46" s="5" t="s">
        <v>134</v>
      </c>
      <c r="F46" s="5" t="s">
        <v>852</v>
      </c>
      <c r="G46" s="5" t="s">
        <v>853</v>
      </c>
      <c r="H46" s="5" t="s">
        <v>137</v>
      </c>
      <c r="I46" s="5" t="s">
        <v>703</v>
      </c>
      <c r="J46" s="5" t="s">
        <v>30</v>
      </c>
      <c r="K46" s="5" t="s">
        <v>30</v>
      </c>
      <c r="L46" s="3" t="s">
        <v>139</v>
      </c>
      <c r="M46" s="3" t="s">
        <v>31</v>
      </c>
      <c r="N46" s="5" t="s">
        <v>285</v>
      </c>
      <c r="O46" s="5" t="s">
        <v>141</v>
      </c>
      <c r="P46" s="5" t="s">
        <v>34</v>
      </c>
      <c r="Q46" s="154">
        <v>57708</v>
      </c>
      <c r="R46" s="166">
        <v>1</v>
      </c>
      <c r="S46" s="168">
        <v>6732</v>
      </c>
      <c r="U46" s="154">
        <v>3884.9029999999998</v>
      </c>
      <c r="V46" s="165">
        <v>4.3000000000000002E-5</v>
      </c>
      <c r="W46" s="165">
        <v>4.6347535358092599E-2</v>
      </c>
      <c r="X46" s="165">
        <v>8.4141463265145697E-3</v>
      </c>
    </row>
    <row r="47" spans="1:24">
      <c r="A47" s="5">
        <v>1182</v>
      </c>
      <c r="B47" s="5">
        <v>1182</v>
      </c>
      <c r="C47" s="5" t="s">
        <v>644</v>
      </c>
      <c r="D47" s="5" t="s">
        <v>645</v>
      </c>
      <c r="E47" s="5" t="s">
        <v>134</v>
      </c>
      <c r="F47" s="5" t="s">
        <v>854</v>
      </c>
      <c r="G47" s="5" t="s">
        <v>855</v>
      </c>
      <c r="H47" s="5" t="s">
        <v>137</v>
      </c>
      <c r="I47" s="5" t="s">
        <v>703</v>
      </c>
      <c r="J47" s="5" t="s">
        <v>30</v>
      </c>
      <c r="K47" s="5" t="s">
        <v>30</v>
      </c>
      <c r="L47" s="3" t="s">
        <v>139</v>
      </c>
      <c r="M47" s="3" t="s">
        <v>31</v>
      </c>
      <c r="N47" s="5" t="s">
        <v>612</v>
      </c>
      <c r="O47" s="5" t="s">
        <v>141</v>
      </c>
      <c r="P47" s="5" t="s">
        <v>34</v>
      </c>
      <c r="Q47" s="154">
        <v>26822</v>
      </c>
      <c r="R47" s="166">
        <v>1</v>
      </c>
      <c r="S47" s="168">
        <v>3170</v>
      </c>
      <c r="U47" s="154">
        <v>850.25699999999995</v>
      </c>
      <c r="V47" s="165">
        <v>1.3999999999999999E-4</v>
      </c>
      <c r="W47" s="165">
        <v>1.0143712564564301E-2</v>
      </c>
      <c r="X47" s="165">
        <v>1.8415365812422899E-3</v>
      </c>
    </row>
    <row r="48" spans="1:24">
      <c r="A48" s="5">
        <v>1182</v>
      </c>
      <c r="B48" s="5">
        <v>1182</v>
      </c>
      <c r="C48" s="5" t="s">
        <v>540</v>
      </c>
      <c r="D48" s="5" t="s">
        <v>541</v>
      </c>
      <c r="E48" s="5" t="s">
        <v>134</v>
      </c>
      <c r="F48" s="5" t="s">
        <v>856</v>
      </c>
      <c r="G48" s="5" t="s">
        <v>857</v>
      </c>
      <c r="H48" s="5" t="s">
        <v>137</v>
      </c>
      <c r="I48" s="5" t="s">
        <v>703</v>
      </c>
      <c r="J48" s="5" t="s">
        <v>30</v>
      </c>
      <c r="K48" s="5" t="s">
        <v>30</v>
      </c>
      <c r="L48" s="3" t="s">
        <v>139</v>
      </c>
      <c r="M48" s="3" t="s">
        <v>31</v>
      </c>
      <c r="N48" s="5" t="s">
        <v>544</v>
      </c>
      <c r="O48" s="5" t="s">
        <v>141</v>
      </c>
      <c r="P48" s="5" t="s">
        <v>34</v>
      </c>
      <c r="Q48" s="154">
        <v>646</v>
      </c>
      <c r="R48" s="166">
        <v>1</v>
      </c>
      <c r="S48" s="168">
        <v>55350</v>
      </c>
      <c r="U48" s="154">
        <v>357.56099999999998</v>
      </c>
      <c r="V48" s="165">
        <v>3.8999999999999999E-5</v>
      </c>
      <c r="W48" s="165">
        <v>4.26576235419787E-3</v>
      </c>
      <c r="X48" s="165">
        <v>7.7442626377091802E-4</v>
      </c>
    </row>
    <row r="49" spans="1:24">
      <c r="A49" s="5">
        <v>1182</v>
      </c>
      <c r="B49" s="5">
        <v>1182</v>
      </c>
      <c r="C49" s="5" t="s">
        <v>858</v>
      </c>
      <c r="D49" s="5" t="s">
        <v>859</v>
      </c>
      <c r="E49" s="5" t="s">
        <v>134</v>
      </c>
      <c r="F49" s="5" t="s">
        <v>860</v>
      </c>
      <c r="G49" s="5" t="s">
        <v>861</v>
      </c>
      <c r="H49" s="5" t="s">
        <v>137</v>
      </c>
      <c r="I49" s="5" t="s">
        <v>703</v>
      </c>
      <c r="J49" s="5" t="s">
        <v>30</v>
      </c>
      <c r="K49" s="5" t="s">
        <v>30</v>
      </c>
      <c r="L49" s="3" t="s">
        <v>139</v>
      </c>
      <c r="M49" s="3" t="s">
        <v>31</v>
      </c>
      <c r="N49" s="5" t="s">
        <v>718</v>
      </c>
      <c r="O49" s="5" t="s">
        <v>141</v>
      </c>
      <c r="P49" s="5" t="s">
        <v>34</v>
      </c>
      <c r="Q49" s="154">
        <v>87168</v>
      </c>
      <c r="R49" s="166">
        <v>1</v>
      </c>
      <c r="S49" s="168">
        <v>875.3</v>
      </c>
      <c r="U49" s="154">
        <v>762.98199999999997</v>
      </c>
      <c r="V49" s="165">
        <v>3.0200000000000002E-4</v>
      </c>
      <c r="W49" s="165">
        <v>9.1024965718086402E-3</v>
      </c>
      <c r="X49" s="165">
        <v>1.65250940530157E-3</v>
      </c>
    </row>
    <row r="50" spans="1:24">
      <c r="A50" s="5">
        <v>1182</v>
      </c>
      <c r="B50" s="5">
        <v>1182</v>
      </c>
      <c r="C50" s="5" t="s">
        <v>862</v>
      </c>
      <c r="D50" s="5" t="s">
        <v>863</v>
      </c>
      <c r="E50" s="5" t="s">
        <v>134</v>
      </c>
      <c r="F50" s="5" t="s">
        <v>864</v>
      </c>
      <c r="G50" s="5" t="s">
        <v>865</v>
      </c>
      <c r="H50" s="5" t="s">
        <v>137</v>
      </c>
      <c r="I50" s="5" t="s">
        <v>703</v>
      </c>
      <c r="J50" s="5" t="s">
        <v>30</v>
      </c>
      <c r="K50" s="5" t="s">
        <v>30</v>
      </c>
      <c r="L50" s="3" t="s">
        <v>139</v>
      </c>
      <c r="M50" s="3" t="s">
        <v>31</v>
      </c>
      <c r="N50" s="5" t="s">
        <v>186</v>
      </c>
      <c r="O50" s="5" t="s">
        <v>141</v>
      </c>
      <c r="P50" s="5" t="s">
        <v>34</v>
      </c>
      <c r="Q50" s="154">
        <v>23731</v>
      </c>
      <c r="R50" s="166">
        <v>1</v>
      </c>
      <c r="S50" s="168">
        <v>560.9</v>
      </c>
      <c r="U50" s="154">
        <v>133.107</v>
      </c>
      <c r="V50" s="165">
        <v>2.2000000000000001E-4</v>
      </c>
      <c r="W50" s="165">
        <v>1.5879908414275501E-3</v>
      </c>
      <c r="X50" s="165">
        <v>2.8829121552422302E-4</v>
      </c>
    </row>
    <row r="51" spans="1:24">
      <c r="A51" s="5">
        <v>1182</v>
      </c>
      <c r="B51" s="5">
        <v>1182</v>
      </c>
      <c r="C51" s="5" t="s">
        <v>866</v>
      </c>
      <c r="D51" s="5" t="s">
        <v>867</v>
      </c>
      <c r="E51" s="5" t="s">
        <v>134</v>
      </c>
      <c r="F51" s="5" t="s">
        <v>868</v>
      </c>
      <c r="G51" s="5" t="s">
        <v>869</v>
      </c>
      <c r="H51" s="5" t="s">
        <v>137</v>
      </c>
      <c r="I51" s="5" t="s">
        <v>703</v>
      </c>
      <c r="J51" s="5" t="s">
        <v>30</v>
      </c>
      <c r="K51" s="5" t="s">
        <v>30</v>
      </c>
      <c r="L51" s="3" t="s">
        <v>139</v>
      </c>
      <c r="M51" s="3" t="s">
        <v>31</v>
      </c>
      <c r="N51" s="5" t="s">
        <v>734</v>
      </c>
      <c r="O51" s="5" t="s">
        <v>141</v>
      </c>
      <c r="P51" s="5" t="s">
        <v>34</v>
      </c>
      <c r="Q51" s="154">
        <v>3181</v>
      </c>
      <c r="R51" s="166">
        <v>1</v>
      </c>
      <c r="S51" s="168">
        <v>30530</v>
      </c>
      <c r="U51" s="154">
        <v>971.15899999999999</v>
      </c>
      <c r="V51" s="165">
        <v>2.31E-4</v>
      </c>
      <c r="W51" s="165">
        <v>1.1586092392260799E-2</v>
      </c>
      <c r="X51" s="165">
        <v>2.1033928986253498E-3</v>
      </c>
    </row>
    <row r="52" spans="1:24">
      <c r="A52" s="5">
        <v>1182</v>
      </c>
      <c r="B52" s="5">
        <v>1182</v>
      </c>
      <c r="C52" s="5" t="s">
        <v>870</v>
      </c>
      <c r="D52" s="5" t="s">
        <v>871</v>
      </c>
      <c r="E52" s="5" t="s">
        <v>366</v>
      </c>
      <c r="F52" s="5" t="s">
        <v>872</v>
      </c>
      <c r="G52" s="5" t="s">
        <v>873</v>
      </c>
      <c r="H52" s="5" t="s">
        <v>137</v>
      </c>
      <c r="I52" s="5" t="s">
        <v>703</v>
      </c>
      <c r="J52" s="5" t="s">
        <v>30</v>
      </c>
      <c r="K52" s="5" t="s">
        <v>30</v>
      </c>
      <c r="L52" s="3" t="s">
        <v>139</v>
      </c>
      <c r="M52" s="3" t="s">
        <v>31</v>
      </c>
      <c r="N52" s="5" t="s">
        <v>369</v>
      </c>
      <c r="O52" s="5" t="s">
        <v>141</v>
      </c>
      <c r="P52" s="5" t="s">
        <v>34</v>
      </c>
      <c r="Q52" s="154">
        <v>94868</v>
      </c>
      <c r="R52" s="166">
        <v>1</v>
      </c>
      <c r="S52" s="168">
        <v>454.7</v>
      </c>
      <c r="U52" s="154">
        <v>431.36500000000001</v>
      </c>
      <c r="V52" s="165">
        <v>8.3999999999999995E-5</v>
      </c>
      <c r="W52" s="165">
        <v>5.1462539474468501E-3</v>
      </c>
      <c r="X52" s="165">
        <v>9.3427478748684702E-4</v>
      </c>
    </row>
    <row r="53" spans="1:24">
      <c r="A53" s="5">
        <v>1182</v>
      </c>
      <c r="B53" s="5">
        <v>1182</v>
      </c>
      <c r="C53" s="5" t="s">
        <v>874</v>
      </c>
      <c r="D53" s="5" t="s">
        <v>875</v>
      </c>
      <c r="E53" s="5" t="s">
        <v>134</v>
      </c>
      <c r="F53" s="5" t="s">
        <v>876</v>
      </c>
      <c r="G53" s="5" t="s">
        <v>877</v>
      </c>
      <c r="H53" s="5" t="s">
        <v>137</v>
      </c>
      <c r="I53" s="5" t="s">
        <v>703</v>
      </c>
      <c r="J53" s="5" t="s">
        <v>30</v>
      </c>
      <c r="K53" s="5" t="s">
        <v>30</v>
      </c>
      <c r="L53" s="3" t="s">
        <v>139</v>
      </c>
      <c r="M53" s="3" t="s">
        <v>31</v>
      </c>
      <c r="N53" s="5" t="s">
        <v>878</v>
      </c>
      <c r="O53" s="5" t="s">
        <v>141</v>
      </c>
      <c r="P53" s="5" t="s">
        <v>34</v>
      </c>
      <c r="Q53" s="154">
        <v>10024</v>
      </c>
      <c r="R53" s="166">
        <v>1</v>
      </c>
      <c r="S53" s="168">
        <v>9361</v>
      </c>
      <c r="U53" s="154">
        <v>938.34699999999998</v>
      </c>
      <c r="V53" s="165">
        <v>8.5000000000000006E-5</v>
      </c>
      <c r="W53" s="165">
        <v>1.1194631886867E-2</v>
      </c>
      <c r="X53" s="165">
        <v>2.0323253445906999E-3</v>
      </c>
    </row>
    <row r="54" spans="1:24">
      <c r="A54" s="5">
        <v>1182</v>
      </c>
      <c r="B54" s="5">
        <v>1182</v>
      </c>
      <c r="C54" s="5" t="s">
        <v>879</v>
      </c>
      <c r="D54" s="5" t="s">
        <v>880</v>
      </c>
      <c r="E54" s="5" t="s">
        <v>134</v>
      </c>
      <c r="F54" s="5" t="s">
        <v>881</v>
      </c>
      <c r="G54" s="5" t="s">
        <v>882</v>
      </c>
      <c r="H54" s="5" t="s">
        <v>137</v>
      </c>
      <c r="I54" s="5" t="s">
        <v>703</v>
      </c>
      <c r="J54" s="5" t="s">
        <v>30</v>
      </c>
      <c r="K54" s="5" t="s">
        <v>30</v>
      </c>
      <c r="L54" s="3" t="s">
        <v>139</v>
      </c>
      <c r="M54" s="3" t="s">
        <v>31</v>
      </c>
      <c r="N54" s="5" t="s">
        <v>718</v>
      </c>
      <c r="O54" s="5" t="s">
        <v>141</v>
      </c>
      <c r="P54" s="5" t="s">
        <v>34</v>
      </c>
      <c r="Q54" s="154">
        <v>23723</v>
      </c>
      <c r="R54" s="166">
        <v>1</v>
      </c>
      <c r="S54" s="168">
        <v>2708</v>
      </c>
      <c r="U54" s="154">
        <v>642.41899999999998</v>
      </c>
      <c r="V54" s="165">
        <v>6.6000000000000005E-5</v>
      </c>
      <c r="W54" s="165">
        <v>7.6641638861605797E-3</v>
      </c>
      <c r="X54" s="165">
        <v>1.3913878248389699E-3</v>
      </c>
    </row>
    <row r="55" spans="1:24">
      <c r="A55" s="5">
        <v>1182</v>
      </c>
      <c r="B55" s="5">
        <v>1182</v>
      </c>
      <c r="C55" s="5" t="s">
        <v>883</v>
      </c>
      <c r="D55" s="5" t="s">
        <v>884</v>
      </c>
      <c r="E55" s="5" t="s">
        <v>134</v>
      </c>
      <c r="F55" s="5" t="s">
        <v>885</v>
      </c>
      <c r="G55" s="5" t="s">
        <v>886</v>
      </c>
      <c r="H55" s="5" t="s">
        <v>137</v>
      </c>
      <c r="I55" s="5" t="s">
        <v>703</v>
      </c>
      <c r="J55" s="5" t="s">
        <v>30</v>
      </c>
      <c r="K55" s="5" t="s">
        <v>797</v>
      </c>
      <c r="L55" s="3" t="s">
        <v>139</v>
      </c>
      <c r="M55" s="3" t="s">
        <v>31</v>
      </c>
      <c r="N55" s="5" t="s">
        <v>887</v>
      </c>
      <c r="O55" s="5" t="s">
        <v>141</v>
      </c>
      <c r="P55" s="5" t="s">
        <v>34</v>
      </c>
      <c r="Q55" s="154">
        <v>4375</v>
      </c>
      <c r="R55" s="166">
        <v>1</v>
      </c>
      <c r="S55" s="168">
        <v>13500</v>
      </c>
      <c r="U55" s="154">
        <v>590.625</v>
      </c>
      <c r="V55" s="165">
        <v>3.3199999999999999E-4</v>
      </c>
      <c r="W55" s="165">
        <v>7.0462547382072298E-3</v>
      </c>
      <c r="X55" s="165">
        <v>1.2792097349534699E-3</v>
      </c>
    </row>
    <row r="56" spans="1:24">
      <c r="A56" s="5">
        <v>1182</v>
      </c>
      <c r="B56" s="5">
        <v>1182</v>
      </c>
      <c r="C56" s="5" t="s">
        <v>619</v>
      </c>
      <c r="D56" s="5" t="s">
        <v>620</v>
      </c>
      <c r="E56" s="5" t="s">
        <v>134</v>
      </c>
      <c r="F56" s="5" t="s">
        <v>888</v>
      </c>
      <c r="G56" s="5" t="s">
        <v>889</v>
      </c>
      <c r="H56" s="5" t="s">
        <v>137</v>
      </c>
      <c r="I56" s="5" t="s">
        <v>703</v>
      </c>
      <c r="J56" s="5" t="s">
        <v>30</v>
      </c>
      <c r="K56" s="5" t="s">
        <v>30</v>
      </c>
      <c r="L56" s="3" t="s">
        <v>139</v>
      </c>
      <c r="M56" s="3" t="s">
        <v>31</v>
      </c>
      <c r="N56" s="5" t="s">
        <v>555</v>
      </c>
      <c r="O56" s="5" t="s">
        <v>141</v>
      </c>
      <c r="P56" s="5" t="s">
        <v>34</v>
      </c>
      <c r="Q56" s="154">
        <v>2439</v>
      </c>
      <c r="R56" s="166">
        <v>1</v>
      </c>
      <c r="S56" s="168">
        <v>16620</v>
      </c>
      <c r="U56" s="154">
        <v>405.36200000000002</v>
      </c>
      <c r="V56" s="165">
        <v>2.8400000000000002E-4</v>
      </c>
      <c r="W56" s="165">
        <v>4.8360338691017402E-3</v>
      </c>
      <c r="X56" s="165">
        <v>8.7795599701716396E-4</v>
      </c>
    </row>
    <row r="57" spans="1:24">
      <c r="A57" s="5">
        <v>1182</v>
      </c>
      <c r="B57" s="5">
        <v>1182</v>
      </c>
      <c r="C57" s="5" t="s">
        <v>890</v>
      </c>
      <c r="D57" s="5" t="s">
        <v>891</v>
      </c>
      <c r="E57" s="5" t="s">
        <v>651</v>
      </c>
      <c r="F57" s="5" t="s">
        <v>892</v>
      </c>
      <c r="G57" s="5" t="s">
        <v>893</v>
      </c>
      <c r="H57" s="5" t="s">
        <v>137</v>
      </c>
      <c r="I57" s="5" t="s">
        <v>703</v>
      </c>
      <c r="J57" s="5" t="s">
        <v>572</v>
      </c>
      <c r="K57" s="5" t="s">
        <v>224</v>
      </c>
      <c r="L57" s="3" t="s">
        <v>139</v>
      </c>
      <c r="M57" s="3" t="s">
        <v>894</v>
      </c>
      <c r="N57" s="5" t="s">
        <v>895</v>
      </c>
      <c r="O57" s="5" t="s">
        <v>141</v>
      </c>
      <c r="P57" s="5" t="s">
        <v>664</v>
      </c>
      <c r="Q57" s="154">
        <v>1444</v>
      </c>
      <c r="R57" s="166">
        <v>3.306</v>
      </c>
      <c r="S57" s="168">
        <v>12142</v>
      </c>
      <c r="U57" s="154">
        <v>579.64300000000003</v>
      </c>
      <c r="V57" s="165">
        <v>3.9999999999999998E-6</v>
      </c>
      <c r="W57" s="165">
        <v>6.9152324797372303E-3</v>
      </c>
      <c r="X57" s="165">
        <v>1.2554233470413801E-3</v>
      </c>
    </row>
    <row r="58" spans="1:24">
      <c r="A58" s="5">
        <v>1182</v>
      </c>
      <c r="B58" s="5">
        <v>1182</v>
      </c>
      <c r="C58" s="5" t="s">
        <v>896</v>
      </c>
      <c r="D58" s="5" t="s">
        <v>897</v>
      </c>
      <c r="E58" s="5" t="s">
        <v>651</v>
      </c>
      <c r="F58" s="5" t="s">
        <v>898</v>
      </c>
      <c r="G58" s="5" t="s">
        <v>899</v>
      </c>
      <c r="H58" s="5" t="s">
        <v>137</v>
      </c>
      <c r="I58" s="5" t="s">
        <v>703</v>
      </c>
      <c r="J58" s="5" t="s">
        <v>572</v>
      </c>
      <c r="K58" s="5" t="s">
        <v>224</v>
      </c>
      <c r="L58" s="3" t="s">
        <v>139</v>
      </c>
      <c r="M58" s="3" t="s">
        <v>894</v>
      </c>
      <c r="N58" s="5" t="s">
        <v>900</v>
      </c>
      <c r="O58" s="5" t="s">
        <v>141</v>
      </c>
      <c r="P58" s="5" t="s">
        <v>664</v>
      </c>
      <c r="Q58" s="154">
        <v>2583</v>
      </c>
      <c r="R58" s="166">
        <v>3.306</v>
      </c>
      <c r="S58" s="168">
        <v>21957</v>
      </c>
      <c r="U58" s="154">
        <v>1874.9960000000001</v>
      </c>
      <c r="V58" s="165">
        <v>0</v>
      </c>
      <c r="W58" s="165">
        <v>2.2369010393244598E-2</v>
      </c>
      <c r="X58" s="165">
        <v>4.0609737966405502E-3</v>
      </c>
    </row>
    <row r="59" spans="1:24">
      <c r="A59" s="5">
        <v>1182</v>
      </c>
      <c r="B59" s="5">
        <v>1182</v>
      </c>
      <c r="C59" s="5" t="s">
        <v>901</v>
      </c>
      <c r="D59" s="5" t="s">
        <v>902</v>
      </c>
      <c r="E59" s="5" t="s">
        <v>651</v>
      </c>
      <c r="F59" s="5" t="s">
        <v>903</v>
      </c>
      <c r="G59" s="5" t="s">
        <v>904</v>
      </c>
      <c r="H59" s="5" t="s">
        <v>137</v>
      </c>
      <c r="I59" s="5" t="s">
        <v>703</v>
      </c>
      <c r="J59" s="5" t="s">
        <v>572</v>
      </c>
      <c r="K59" s="5" t="s">
        <v>224</v>
      </c>
      <c r="L59" s="3" t="s">
        <v>139</v>
      </c>
      <c r="M59" s="3" t="s">
        <v>894</v>
      </c>
      <c r="N59" s="5" t="s">
        <v>905</v>
      </c>
      <c r="O59" s="5" t="s">
        <v>141</v>
      </c>
      <c r="P59" s="5" t="s">
        <v>664</v>
      </c>
      <c r="Q59" s="154">
        <v>494</v>
      </c>
      <c r="R59" s="166">
        <v>3.306</v>
      </c>
      <c r="S59" s="168">
        <v>50274</v>
      </c>
      <c r="U59" s="154">
        <v>821.05700000000002</v>
      </c>
      <c r="V59" s="165">
        <v>0</v>
      </c>
      <c r="W59" s="165">
        <v>9.7953453647669792E-3</v>
      </c>
      <c r="X59" s="165">
        <v>1.77829238558431E-3</v>
      </c>
    </row>
    <row r="60" spans="1:24">
      <c r="A60" s="5">
        <v>1182</v>
      </c>
      <c r="B60" s="5">
        <v>1182</v>
      </c>
      <c r="C60" s="5" t="s">
        <v>906</v>
      </c>
      <c r="D60" s="5" t="s">
        <v>907</v>
      </c>
      <c r="E60" s="5" t="s">
        <v>651</v>
      </c>
      <c r="F60" s="5" t="s">
        <v>908</v>
      </c>
      <c r="G60" s="5" t="s">
        <v>909</v>
      </c>
      <c r="H60" s="5" t="s">
        <v>137</v>
      </c>
      <c r="I60" s="5" t="s">
        <v>703</v>
      </c>
      <c r="J60" s="5" t="s">
        <v>572</v>
      </c>
      <c r="K60" s="5" t="s">
        <v>224</v>
      </c>
      <c r="L60" s="3" t="s">
        <v>139</v>
      </c>
      <c r="M60" s="3" t="s">
        <v>894</v>
      </c>
      <c r="N60" s="5" t="s">
        <v>655</v>
      </c>
      <c r="O60" s="5" t="s">
        <v>141</v>
      </c>
      <c r="P60" s="5" t="s">
        <v>664</v>
      </c>
      <c r="Q60" s="154">
        <v>1630</v>
      </c>
      <c r="R60" s="166">
        <v>3.306</v>
      </c>
      <c r="S60" s="168">
        <v>14008</v>
      </c>
      <c r="U60" s="154">
        <v>754.86</v>
      </c>
      <c r="V60" s="165">
        <v>1.0000000000000001E-5</v>
      </c>
      <c r="W60" s="165">
        <v>9.0056092824898105E-3</v>
      </c>
      <c r="X60" s="165">
        <v>1.6349200378582001E-3</v>
      </c>
    </row>
    <row r="61" spans="1:24">
      <c r="A61" s="5">
        <v>1182</v>
      </c>
      <c r="B61" s="5">
        <v>1182</v>
      </c>
      <c r="C61" s="5" t="s">
        <v>910</v>
      </c>
      <c r="D61" s="5" t="s">
        <v>911</v>
      </c>
      <c r="E61" s="5" t="s">
        <v>134</v>
      </c>
      <c r="F61" s="5" t="s">
        <v>912</v>
      </c>
      <c r="G61" s="5" t="s">
        <v>913</v>
      </c>
      <c r="H61" s="5" t="s">
        <v>137</v>
      </c>
      <c r="I61" s="5" t="s">
        <v>703</v>
      </c>
      <c r="J61" s="5" t="s">
        <v>572</v>
      </c>
      <c r="K61" s="5" t="s">
        <v>224</v>
      </c>
      <c r="L61" s="3" t="s">
        <v>139</v>
      </c>
      <c r="M61" s="3" t="s">
        <v>914</v>
      </c>
      <c r="N61" s="5" t="s">
        <v>655</v>
      </c>
      <c r="O61" s="5" t="s">
        <v>141</v>
      </c>
      <c r="P61" s="5" t="s">
        <v>664</v>
      </c>
      <c r="Q61" s="154">
        <v>10747</v>
      </c>
      <c r="R61" s="166">
        <v>3.306</v>
      </c>
      <c r="S61" s="168">
        <v>100</v>
      </c>
      <c r="U61" s="154">
        <v>35.53</v>
      </c>
      <c r="V61" s="165">
        <v>0</v>
      </c>
      <c r="W61" s="165">
        <v>4.2387383790733999E-4</v>
      </c>
      <c r="X61" s="165">
        <v>7.6952020610755904E-5</v>
      </c>
    </row>
    <row r="62" spans="1:24">
      <c r="A62" s="5">
        <v>1182</v>
      </c>
      <c r="B62" s="5">
        <v>1182</v>
      </c>
      <c r="C62" s="5" t="s">
        <v>915</v>
      </c>
      <c r="D62" s="5" t="s">
        <v>916</v>
      </c>
      <c r="E62" s="5" t="s">
        <v>651</v>
      </c>
      <c r="F62" s="5" t="s">
        <v>915</v>
      </c>
      <c r="G62" s="5" t="s">
        <v>917</v>
      </c>
      <c r="H62" s="5" t="s">
        <v>137</v>
      </c>
      <c r="I62" s="5" t="s">
        <v>703</v>
      </c>
      <c r="J62" s="5" t="s">
        <v>572</v>
      </c>
      <c r="K62" s="5" t="s">
        <v>797</v>
      </c>
      <c r="L62" s="3" t="s">
        <v>139</v>
      </c>
      <c r="M62" s="3" t="s">
        <v>894</v>
      </c>
      <c r="N62" s="5" t="s">
        <v>918</v>
      </c>
      <c r="O62" s="5" t="s">
        <v>141</v>
      </c>
      <c r="P62" s="5" t="s">
        <v>664</v>
      </c>
      <c r="Q62" s="154">
        <v>194</v>
      </c>
      <c r="R62" s="166">
        <v>3.306</v>
      </c>
      <c r="S62" s="168">
        <v>92563</v>
      </c>
      <c r="U62" s="154">
        <v>593.66600000000005</v>
      </c>
      <c r="V62" s="165">
        <v>0</v>
      </c>
      <c r="W62" s="165">
        <v>7.0825315039491103E-3</v>
      </c>
      <c r="X62" s="165">
        <v>1.2857955870995801E-3</v>
      </c>
    </row>
    <row r="63" spans="1:24">
      <c r="A63" s="5">
        <v>1182</v>
      </c>
      <c r="B63" s="5">
        <v>1182</v>
      </c>
      <c r="C63" s="5" t="s">
        <v>919</v>
      </c>
      <c r="D63" s="5" t="s">
        <v>920</v>
      </c>
      <c r="E63" s="5" t="s">
        <v>651</v>
      </c>
      <c r="F63" s="5" t="s">
        <v>921</v>
      </c>
      <c r="G63" s="5" t="s">
        <v>922</v>
      </c>
      <c r="H63" s="5" t="s">
        <v>137</v>
      </c>
      <c r="I63" s="5" t="s">
        <v>703</v>
      </c>
      <c r="J63" s="5" t="s">
        <v>572</v>
      </c>
      <c r="K63" s="5" t="s">
        <v>224</v>
      </c>
      <c r="L63" s="3" t="s">
        <v>139</v>
      </c>
      <c r="M63" s="3" t="s">
        <v>914</v>
      </c>
      <c r="N63" s="5" t="s">
        <v>655</v>
      </c>
      <c r="O63" s="5" t="s">
        <v>141</v>
      </c>
      <c r="P63" s="5" t="s">
        <v>664</v>
      </c>
      <c r="Q63" s="154">
        <v>442</v>
      </c>
      <c r="R63" s="166">
        <v>3.306</v>
      </c>
      <c r="S63" s="168">
        <v>76300</v>
      </c>
      <c r="U63" s="154">
        <v>1114.9349999999999</v>
      </c>
      <c r="V63" s="165">
        <v>0</v>
      </c>
      <c r="W63" s="165">
        <v>1.3301363760947101E-2</v>
      </c>
      <c r="X63" s="165">
        <v>2.41479121083977E-3</v>
      </c>
    </row>
    <row r="64" spans="1:24">
      <c r="A64" s="5">
        <v>1182</v>
      </c>
      <c r="B64" s="5">
        <v>1182</v>
      </c>
      <c r="C64" s="5" t="s">
        <v>923</v>
      </c>
      <c r="D64" s="5" t="s">
        <v>924</v>
      </c>
      <c r="E64" s="5" t="s">
        <v>651</v>
      </c>
      <c r="F64" s="5" t="s">
        <v>925</v>
      </c>
      <c r="G64" s="5" t="s">
        <v>926</v>
      </c>
      <c r="H64" s="5" t="s">
        <v>137</v>
      </c>
      <c r="I64" s="5" t="s">
        <v>703</v>
      </c>
      <c r="J64" s="5" t="s">
        <v>572</v>
      </c>
      <c r="K64" s="5" t="s">
        <v>224</v>
      </c>
      <c r="L64" s="3" t="s">
        <v>139</v>
      </c>
      <c r="M64" s="3" t="s">
        <v>894</v>
      </c>
      <c r="N64" s="5" t="s">
        <v>927</v>
      </c>
      <c r="O64" s="5" t="s">
        <v>141</v>
      </c>
      <c r="P64" s="5" t="s">
        <v>664</v>
      </c>
      <c r="Q64" s="154">
        <v>6700</v>
      </c>
      <c r="R64" s="166">
        <v>3.306</v>
      </c>
      <c r="S64" s="168">
        <v>5797</v>
      </c>
      <c r="U64" s="154">
        <v>1284.047</v>
      </c>
      <c r="V64" s="165">
        <v>1.5999999999999999E-5</v>
      </c>
      <c r="W64" s="165">
        <v>1.5318895949509E-2</v>
      </c>
      <c r="X64" s="165">
        <v>2.7810633528609799E-3</v>
      </c>
    </row>
    <row r="65" spans="1:24">
      <c r="A65" s="5">
        <v>1182</v>
      </c>
      <c r="B65" s="5">
        <v>1182</v>
      </c>
      <c r="C65" s="5" t="s">
        <v>928</v>
      </c>
      <c r="D65" s="5" t="s">
        <v>929</v>
      </c>
      <c r="E65" s="5" t="s">
        <v>651</v>
      </c>
      <c r="F65" s="5" t="s">
        <v>930</v>
      </c>
      <c r="G65" s="5" t="s">
        <v>931</v>
      </c>
      <c r="H65" s="5" t="s">
        <v>137</v>
      </c>
      <c r="I65" s="5" t="s">
        <v>703</v>
      </c>
      <c r="J65" s="5" t="s">
        <v>572</v>
      </c>
      <c r="K65" s="5" t="s">
        <v>224</v>
      </c>
      <c r="L65" s="3" t="s">
        <v>139</v>
      </c>
      <c r="M65" s="3" t="s">
        <v>894</v>
      </c>
      <c r="N65" s="5" t="s">
        <v>932</v>
      </c>
      <c r="O65" s="5" t="s">
        <v>141</v>
      </c>
      <c r="P65" s="5" t="s">
        <v>664</v>
      </c>
      <c r="Q65" s="154">
        <v>2660</v>
      </c>
      <c r="R65" s="166">
        <v>3.306</v>
      </c>
      <c r="S65" s="168">
        <v>24355</v>
      </c>
      <c r="U65" s="154">
        <v>2141.7689999999998</v>
      </c>
      <c r="V65" s="165">
        <v>0</v>
      </c>
      <c r="W65" s="165">
        <v>2.55516608143114E-2</v>
      </c>
      <c r="X65" s="165">
        <v>4.6387669013244499E-3</v>
      </c>
    </row>
    <row r="66" spans="1:24">
      <c r="A66" s="5">
        <v>1182</v>
      </c>
      <c r="B66" s="5">
        <v>1182</v>
      </c>
      <c r="C66" s="5" t="s">
        <v>933</v>
      </c>
      <c r="D66" s="5" t="s">
        <v>934</v>
      </c>
      <c r="E66" s="5" t="s">
        <v>651</v>
      </c>
      <c r="F66" s="5" t="s">
        <v>935</v>
      </c>
      <c r="G66" s="5" t="s">
        <v>936</v>
      </c>
      <c r="H66" s="5" t="s">
        <v>137</v>
      </c>
      <c r="I66" s="5" t="s">
        <v>703</v>
      </c>
      <c r="J66" s="5" t="s">
        <v>572</v>
      </c>
      <c r="K66" s="5" t="s">
        <v>224</v>
      </c>
      <c r="L66" s="3" t="s">
        <v>139</v>
      </c>
      <c r="M66" s="3" t="s">
        <v>894</v>
      </c>
      <c r="N66" s="5" t="s">
        <v>937</v>
      </c>
      <c r="O66" s="5" t="s">
        <v>141</v>
      </c>
      <c r="P66" s="5" t="s">
        <v>664</v>
      </c>
      <c r="Q66" s="154">
        <v>6949</v>
      </c>
      <c r="R66" s="166">
        <v>3.306</v>
      </c>
      <c r="S66" s="168">
        <v>3355</v>
      </c>
      <c r="U66" s="154">
        <v>770.75699999999995</v>
      </c>
      <c r="V66" s="165">
        <v>1.9999999999999999E-6</v>
      </c>
      <c r="W66" s="165">
        <v>9.1952639343246805E-3</v>
      </c>
      <c r="X66" s="165">
        <v>1.6693508221429199E-3</v>
      </c>
    </row>
    <row r="67" spans="1:24">
      <c r="A67" s="5">
        <v>1182</v>
      </c>
      <c r="B67" s="5">
        <v>1182</v>
      </c>
      <c r="C67" s="5" t="s">
        <v>938</v>
      </c>
      <c r="D67" s="5" t="s">
        <v>939</v>
      </c>
      <c r="E67" s="5" t="s">
        <v>651</v>
      </c>
      <c r="F67" s="5" t="s">
        <v>940</v>
      </c>
      <c r="G67" s="5" t="s">
        <v>941</v>
      </c>
      <c r="H67" s="5" t="s">
        <v>137</v>
      </c>
      <c r="I67" s="5" t="s">
        <v>703</v>
      </c>
      <c r="J67" s="5" t="s">
        <v>572</v>
      </c>
      <c r="K67" s="5" t="s">
        <v>942</v>
      </c>
      <c r="L67" s="3" t="s">
        <v>139</v>
      </c>
      <c r="M67" s="3" t="s">
        <v>498</v>
      </c>
      <c r="N67" s="5" t="s">
        <v>943</v>
      </c>
      <c r="O67" s="5" t="s">
        <v>141</v>
      </c>
      <c r="P67" s="5" t="s">
        <v>664</v>
      </c>
      <c r="Q67" s="154">
        <v>3381.94</v>
      </c>
      <c r="R67" s="166">
        <v>3.306</v>
      </c>
      <c r="S67" s="168">
        <v>18175.669999999998</v>
      </c>
      <c r="U67" s="154">
        <v>2032.1659999999999</v>
      </c>
      <c r="V67" s="165">
        <v>0</v>
      </c>
      <c r="W67" s="165">
        <v>2.4244079006826999E-2</v>
      </c>
      <c r="X67" s="165">
        <v>4.4013824411356503E-3</v>
      </c>
    </row>
    <row r="68" spans="1:24">
      <c r="A68" s="5">
        <v>1182</v>
      </c>
      <c r="B68" s="5">
        <v>1182</v>
      </c>
      <c r="C68" s="5" t="s">
        <v>944</v>
      </c>
      <c r="D68" s="5" t="s">
        <v>945</v>
      </c>
      <c r="E68" s="5" t="s">
        <v>651</v>
      </c>
      <c r="F68" s="5" t="s">
        <v>946</v>
      </c>
      <c r="G68" s="5" t="s">
        <v>947</v>
      </c>
      <c r="H68" s="5" t="s">
        <v>137</v>
      </c>
      <c r="I68" s="5" t="s">
        <v>703</v>
      </c>
      <c r="J68" s="5" t="s">
        <v>572</v>
      </c>
      <c r="K68" s="5" t="s">
        <v>224</v>
      </c>
      <c r="L68" s="3" t="s">
        <v>139</v>
      </c>
      <c r="M68" s="3" t="s">
        <v>894</v>
      </c>
      <c r="N68" s="5" t="s">
        <v>937</v>
      </c>
      <c r="O68" s="5" t="s">
        <v>141</v>
      </c>
      <c r="P68" s="5" t="s">
        <v>664</v>
      </c>
      <c r="Q68" s="154">
        <v>2730</v>
      </c>
      <c r="R68" s="166">
        <v>3.306</v>
      </c>
      <c r="S68" s="168">
        <v>8407</v>
      </c>
      <c r="U68" s="154">
        <v>758.76400000000001</v>
      </c>
      <c r="V68" s="165">
        <v>3.9999999999999998E-6</v>
      </c>
      <c r="W68" s="165">
        <v>9.0521774261966299E-3</v>
      </c>
      <c r="X68" s="165">
        <v>1.64337423444657E-3</v>
      </c>
    </row>
    <row r="69" spans="1:24">
      <c r="A69" s="5">
        <v>1182</v>
      </c>
      <c r="B69" s="5">
        <v>1182</v>
      </c>
      <c r="C69" s="5" t="s">
        <v>948</v>
      </c>
      <c r="D69" s="5" t="s">
        <v>949</v>
      </c>
      <c r="E69" s="5" t="s">
        <v>651</v>
      </c>
      <c r="F69" s="5" t="s">
        <v>950</v>
      </c>
      <c r="G69" s="5" t="s">
        <v>951</v>
      </c>
      <c r="H69" s="5" t="s">
        <v>137</v>
      </c>
      <c r="I69" s="5" t="s">
        <v>703</v>
      </c>
      <c r="J69" s="5" t="s">
        <v>572</v>
      </c>
      <c r="K69" s="5" t="s">
        <v>224</v>
      </c>
      <c r="L69" s="3" t="s">
        <v>139</v>
      </c>
      <c r="M69" s="3" t="s">
        <v>914</v>
      </c>
      <c r="N69" s="5" t="s">
        <v>952</v>
      </c>
      <c r="O69" s="5" t="s">
        <v>141</v>
      </c>
      <c r="P69" s="5" t="s">
        <v>664</v>
      </c>
      <c r="Q69" s="154">
        <v>380</v>
      </c>
      <c r="R69" s="166">
        <v>3.306</v>
      </c>
      <c r="S69" s="168">
        <v>56881</v>
      </c>
      <c r="U69" s="154">
        <v>714.58500000000004</v>
      </c>
      <c r="V69" s="165">
        <v>0</v>
      </c>
      <c r="W69" s="165">
        <v>8.5251137565113995E-3</v>
      </c>
      <c r="X69" s="165">
        <v>1.54768865363074E-3</v>
      </c>
    </row>
    <row r="70" spans="1:24">
      <c r="A70" s="5">
        <v>1182</v>
      </c>
      <c r="B70" s="5">
        <v>1182</v>
      </c>
      <c r="C70" s="5" t="s">
        <v>953</v>
      </c>
      <c r="D70" s="5" t="s">
        <v>954</v>
      </c>
      <c r="E70" s="5" t="s">
        <v>651</v>
      </c>
      <c r="F70" s="5" t="s">
        <v>955</v>
      </c>
      <c r="G70" s="5" t="s">
        <v>956</v>
      </c>
      <c r="H70" s="5" t="s">
        <v>137</v>
      </c>
      <c r="I70" s="5" t="s">
        <v>703</v>
      </c>
      <c r="J70" s="5" t="s">
        <v>572</v>
      </c>
      <c r="K70" s="5" t="s">
        <v>957</v>
      </c>
      <c r="L70" s="3" t="s">
        <v>139</v>
      </c>
      <c r="M70" s="3" t="s">
        <v>498</v>
      </c>
      <c r="N70" s="5" t="s">
        <v>958</v>
      </c>
      <c r="O70" s="5" t="s">
        <v>141</v>
      </c>
      <c r="P70" s="5" t="s">
        <v>664</v>
      </c>
      <c r="Q70" s="154">
        <v>133</v>
      </c>
      <c r="R70" s="166">
        <v>3.306</v>
      </c>
      <c r="S70" s="168">
        <v>233694</v>
      </c>
      <c r="U70" s="154">
        <v>1027.548</v>
      </c>
      <c r="V70" s="165">
        <v>3.0000000000000001E-6</v>
      </c>
      <c r="W70" s="165">
        <v>1.22588171265442E-2</v>
      </c>
      <c r="X70" s="165">
        <v>2.2255224640486898E-3</v>
      </c>
    </row>
    <row r="71" spans="1:24">
      <c r="A71" s="5">
        <v>1182</v>
      </c>
      <c r="B71" s="5">
        <v>1182</v>
      </c>
      <c r="C71" s="5" t="s">
        <v>959</v>
      </c>
      <c r="D71" s="5" t="s">
        <v>960</v>
      </c>
      <c r="E71" s="5" t="s">
        <v>651</v>
      </c>
      <c r="F71" s="5" t="s">
        <v>961</v>
      </c>
      <c r="G71" s="5" t="s">
        <v>962</v>
      </c>
      <c r="H71" s="5" t="s">
        <v>137</v>
      </c>
      <c r="I71" s="5" t="s">
        <v>703</v>
      </c>
      <c r="J71" s="5" t="s">
        <v>572</v>
      </c>
      <c r="K71" s="5" t="s">
        <v>224</v>
      </c>
      <c r="L71" s="3" t="s">
        <v>139</v>
      </c>
      <c r="M71" s="3" t="s">
        <v>894</v>
      </c>
      <c r="N71" s="5" t="s">
        <v>963</v>
      </c>
      <c r="O71" s="5" t="s">
        <v>141</v>
      </c>
      <c r="P71" s="5" t="s">
        <v>664</v>
      </c>
      <c r="Q71" s="154">
        <v>1167</v>
      </c>
      <c r="R71" s="166">
        <v>3.306</v>
      </c>
      <c r="S71" s="168">
        <v>51795</v>
      </c>
      <c r="U71" s="154">
        <v>1998.3040000000001</v>
      </c>
      <c r="V71" s="165">
        <v>0</v>
      </c>
      <c r="W71" s="165">
        <v>2.3840099117853598E-2</v>
      </c>
      <c r="X71" s="165">
        <v>4.3280420601956799E-3</v>
      </c>
    </row>
    <row r="72" spans="1:24">
      <c r="A72" s="5">
        <v>1182</v>
      </c>
      <c r="B72" s="5">
        <v>1182</v>
      </c>
      <c r="C72" s="5" t="s">
        <v>964</v>
      </c>
      <c r="D72" s="5" t="s">
        <v>965</v>
      </c>
      <c r="E72" s="5" t="s">
        <v>651</v>
      </c>
      <c r="F72" s="5" t="s">
        <v>964</v>
      </c>
      <c r="G72" s="5" t="s">
        <v>966</v>
      </c>
      <c r="H72" s="5" t="s">
        <v>137</v>
      </c>
      <c r="I72" s="5" t="s">
        <v>703</v>
      </c>
      <c r="J72" s="5" t="s">
        <v>572</v>
      </c>
      <c r="K72" s="5" t="s">
        <v>224</v>
      </c>
      <c r="L72" s="3" t="s">
        <v>139</v>
      </c>
      <c r="M72" s="3" t="s">
        <v>894</v>
      </c>
      <c r="N72" s="5" t="s">
        <v>655</v>
      </c>
      <c r="O72" s="5" t="s">
        <v>141</v>
      </c>
      <c r="P72" s="5" t="s">
        <v>664</v>
      </c>
      <c r="Q72" s="154">
        <v>2141</v>
      </c>
      <c r="R72" s="166">
        <v>3.306</v>
      </c>
      <c r="S72" s="168">
        <v>2583</v>
      </c>
      <c r="U72" s="154">
        <v>182.82900000000001</v>
      </c>
      <c r="V72" s="165">
        <v>6.0000000000000002E-6</v>
      </c>
      <c r="W72" s="165">
        <v>2.1811746254924002E-3</v>
      </c>
      <c r="X72" s="165">
        <v>3.9598054828106799E-4</v>
      </c>
    </row>
    <row r="73" spans="1:24">
      <c r="A73" s="5">
        <v>1182</v>
      </c>
      <c r="B73" s="5">
        <v>1182</v>
      </c>
      <c r="C73" s="5" t="s">
        <v>967</v>
      </c>
      <c r="D73" s="5" t="s">
        <v>968</v>
      </c>
      <c r="E73" s="5" t="s">
        <v>121</v>
      </c>
      <c r="F73" s="5" t="s">
        <v>969</v>
      </c>
      <c r="G73" s="5" t="s">
        <v>970</v>
      </c>
      <c r="H73" s="5" t="s">
        <v>137</v>
      </c>
      <c r="I73" s="5" t="s">
        <v>703</v>
      </c>
      <c r="J73" s="5" t="s">
        <v>572</v>
      </c>
      <c r="K73" s="5" t="s">
        <v>224</v>
      </c>
      <c r="L73" s="3" t="s">
        <v>139</v>
      </c>
      <c r="M73" s="3" t="s">
        <v>498</v>
      </c>
      <c r="N73" s="5" t="s">
        <v>971</v>
      </c>
      <c r="O73" s="5" t="s">
        <v>141</v>
      </c>
      <c r="P73" s="5" t="s">
        <v>664</v>
      </c>
      <c r="Q73" s="154">
        <v>1415</v>
      </c>
      <c r="R73" s="166">
        <v>3.306</v>
      </c>
      <c r="S73" s="168">
        <v>14216</v>
      </c>
      <c r="U73" s="154">
        <v>665.02300000000002</v>
      </c>
      <c r="V73" s="165">
        <v>0</v>
      </c>
      <c r="W73" s="165">
        <v>7.9338359809829704E-3</v>
      </c>
      <c r="X73" s="165">
        <v>1.44034534649534E-3</v>
      </c>
    </row>
    <row r="74" spans="1:24">
      <c r="A74" s="5">
        <v>1182</v>
      </c>
      <c r="B74" s="5">
        <v>1182</v>
      </c>
      <c r="C74" s="5" t="s">
        <v>972</v>
      </c>
      <c r="D74" s="5" t="s">
        <v>973</v>
      </c>
      <c r="E74" s="5" t="s">
        <v>651</v>
      </c>
      <c r="F74" s="5" t="s">
        <v>972</v>
      </c>
      <c r="G74" s="5" t="s">
        <v>974</v>
      </c>
      <c r="H74" s="5" t="s">
        <v>137</v>
      </c>
      <c r="I74" s="5" t="s">
        <v>703</v>
      </c>
      <c r="J74" s="5" t="s">
        <v>572</v>
      </c>
      <c r="K74" s="5" t="s">
        <v>224</v>
      </c>
      <c r="L74" s="3" t="s">
        <v>139</v>
      </c>
      <c r="M74" s="3" t="s">
        <v>914</v>
      </c>
      <c r="N74" s="5" t="s">
        <v>900</v>
      </c>
      <c r="O74" s="5" t="s">
        <v>141</v>
      </c>
      <c r="P74" s="5" t="s">
        <v>664</v>
      </c>
      <c r="Q74" s="154">
        <v>4638</v>
      </c>
      <c r="R74" s="166">
        <v>3.306</v>
      </c>
      <c r="S74" s="168">
        <v>6973</v>
      </c>
      <c r="T74" s="153">
        <v>1.855</v>
      </c>
      <c r="U74" s="154">
        <v>1075.319</v>
      </c>
      <c r="V74" s="165">
        <v>3.9999999999999998E-6</v>
      </c>
      <c r="W74" s="165">
        <v>1.28287383183051E-2</v>
      </c>
      <c r="X74" s="165">
        <v>2.3289885980082902E-3</v>
      </c>
    </row>
    <row r="75" spans="1:24">
      <c r="A75" s="5">
        <v>1182</v>
      </c>
      <c r="B75" s="5">
        <v>1182</v>
      </c>
      <c r="C75" s="5" t="s">
        <v>975</v>
      </c>
      <c r="D75" s="5" t="s">
        <v>976</v>
      </c>
      <c r="E75" s="5" t="s">
        <v>651</v>
      </c>
      <c r="F75" s="5" t="s">
        <v>977</v>
      </c>
      <c r="G75" s="5" t="s">
        <v>978</v>
      </c>
      <c r="H75" s="5" t="s">
        <v>137</v>
      </c>
      <c r="I75" s="5" t="s">
        <v>703</v>
      </c>
      <c r="J75" s="5" t="s">
        <v>572</v>
      </c>
      <c r="K75" s="5" t="s">
        <v>224</v>
      </c>
      <c r="L75" s="3" t="s">
        <v>139</v>
      </c>
      <c r="M75" s="3" t="s">
        <v>914</v>
      </c>
      <c r="N75" s="5" t="s">
        <v>979</v>
      </c>
      <c r="O75" s="5" t="s">
        <v>141</v>
      </c>
      <c r="P75" s="5" t="s">
        <v>664</v>
      </c>
      <c r="Q75" s="154">
        <v>509</v>
      </c>
      <c r="R75" s="166">
        <v>3.306</v>
      </c>
      <c r="S75" s="168">
        <v>60932</v>
      </c>
      <c r="U75" s="154">
        <v>1025.336</v>
      </c>
      <c r="V75" s="165">
        <v>3.0000000000000001E-6</v>
      </c>
      <c r="W75" s="165">
        <v>1.2232425487956999E-2</v>
      </c>
      <c r="X75" s="165">
        <v>2.2207312036903099E-3</v>
      </c>
    </row>
    <row r="76" spans="1:24">
      <c r="A76" s="5">
        <v>1182</v>
      </c>
      <c r="B76" s="5">
        <v>1182</v>
      </c>
      <c r="C76" s="5" t="s">
        <v>980</v>
      </c>
      <c r="D76" s="5" t="s">
        <v>981</v>
      </c>
      <c r="E76" s="5" t="s">
        <v>651</v>
      </c>
      <c r="F76" s="5" t="s">
        <v>982</v>
      </c>
      <c r="G76" s="5" t="s">
        <v>983</v>
      </c>
      <c r="H76" s="5" t="s">
        <v>137</v>
      </c>
      <c r="I76" s="5" t="s">
        <v>703</v>
      </c>
      <c r="J76" s="5" t="s">
        <v>572</v>
      </c>
      <c r="K76" s="5" t="s">
        <v>224</v>
      </c>
      <c r="L76" s="3" t="s">
        <v>139</v>
      </c>
      <c r="M76" s="3" t="s">
        <v>894</v>
      </c>
      <c r="N76" s="5" t="s">
        <v>937</v>
      </c>
      <c r="O76" s="5" t="s">
        <v>141</v>
      </c>
      <c r="P76" s="5" t="s">
        <v>664</v>
      </c>
      <c r="Q76" s="154">
        <v>4147</v>
      </c>
      <c r="R76" s="166">
        <v>3.306</v>
      </c>
      <c r="S76" s="168">
        <v>18658</v>
      </c>
      <c r="T76" s="153">
        <v>4.1000000000000002E-2</v>
      </c>
      <c r="U76" s="154">
        <v>2558.1460000000002</v>
      </c>
      <c r="V76" s="165">
        <v>0</v>
      </c>
      <c r="W76" s="165">
        <v>3.05191028858794E-2</v>
      </c>
      <c r="X76" s="165">
        <v>5.5405793523151201E-3</v>
      </c>
    </row>
    <row r="77" spans="1:24">
      <c r="A77" s="5">
        <v>1182</v>
      </c>
      <c r="B77" s="5">
        <v>1182</v>
      </c>
      <c r="C77" s="5" t="s">
        <v>984</v>
      </c>
      <c r="D77" s="5" t="s">
        <v>985</v>
      </c>
      <c r="E77" s="5" t="s">
        <v>651</v>
      </c>
      <c r="F77" s="5" t="s">
        <v>984</v>
      </c>
      <c r="G77" s="5" t="s">
        <v>986</v>
      </c>
      <c r="H77" s="5" t="s">
        <v>137</v>
      </c>
      <c r="I77" s="5" t="s">
        <v>703</v>
      </c>
      <c r="J77" s="5" t="s">
        <v>572</v>
      </c>
      <c r="K77" s="5" t="s">
        <v>224</v>
      </c>
      <c r="L77" s="3" t="s">
        <v>139</v>
      </c>
      <c r="M77" s="3" t="s">
        <v>914</v>
      </c>
      <c r="N77" s="5" t="s">
        <v>987</v>
      </c>
      <c r="O77" s="5" t="s">
        <v>141</v>
      </c>
      <c r="P77" s="5" t="s">
        <v>664</v>
      </c>
      <c r="Q77" s="154">
        <v>1103</v>
      </c>
      <c r="R77" s="166">
        <v>3.306</v>
      </c>
      <c r="S77" s="168">
        <v>28124</v>
      </c>
      <c r="U77" s="154">
        <v>1025.547</v>
      </c>
      <c r="V77" s="165">
        <v>0</v>
      </c>
      <c r="W77" s="165">
        <v>1.22349434097781E-2</v>
      </c>
      <c r="X77" s="165">
        <v>2.2211883188848602E-3</v>
      </c>
    </row>
    <row r="78" spans="1:24">
      <c r="A78" s="5">
        <v>1182</v>
      </c>
      <c r="B78" s="5">
        <v>1182</v>
      </c>
      <c r="C78" s="5" t="s">
        <v>988</v>
      </c>
      <c r="E78" s="5" t="s">
        <v>498</v>
      </c>
      <c r="F78" s="5" t="s">
        <v>989</v>
      </c>
      <c r="G78" s="5" t="s">
        <v>990</v>
      </c>
      <c r="H78" s="5" t="s">
        <v>137</v>
      </c>
      <c r="I78" s="5" t="s">
        <v>703</v>
      </c>
      <c r="J78" s="5" t="s">
        <v>572</v>
      </c>
      <c r="K78" s="5" t="s">
        <v>224</v>
      </c>
      <c r="L78" s="3" t="s">
        <v>139</v>
      </c>
      <c r="M78" s="3" t="s">
        <v>894</v>
      </c>
      <c r="N78" s="5" t="s">
        <v>655</v>
      </c>
      <c r="O78" s="5" t="s">
        <v>141</v>
      </c>
      <c r="P78" s="5" t="s">
        <v>664</v>
      </c>
      <c r="Q78" s="154">
        <v>1001</v>
      </c>
      <c r="R78" s="166">
        <v>3.306</v>
      </c>
      <c r="S78" s="168">
        <v>447.93</v>
      </c>
      <c r="U78" s="154">
        <v>14.823</v>
      </c>
      <c r="V78" s="165">
        <v>3.1999999999999999E-5</v>
      </c>
      <c r="W78" s="165">
        <v>1.76845328019027E-4</v>
      </c>
      <c r="X78" s="165">
        <v>3.2105320285445299E-5</v>
      </c>
    </row>
    <row r="79" spans="1:24">
      <c r="A79" s="5">
        <v>1182</v>
      </c>
      <c r="B79" s="5">
        <v>1182</v>
      </c>
      <c r="C79" s="5" t="s">
        <v>991</v>
      </c>
      <c r="D79" s="5" t="s">
        <v>992</v>
      </c>
      <c r="E79" s="5" t="s">
        <v>651</v>
      </c>
      <c r="F79" s="5" t="s">
        <v>993</v>
      </c>
      <c r="G79" s="5" t="s">
        <v>994</v>
      </c>
      <c r="H79" s="5" t="s">
        <v>137</v>
      </c>
      <c r="I79" s="5" t="s">
        <v>703</v>
      </c>
      <c r="J79" s="5" t="s">
        <v>572</v>
      </c>
      <c r="K79" s="5" t="s">
        <v>224</v>
      </c>
      <c r="L79" s="3" t="s">
        <v>139</v>
      </c>
      <c r="M79" s="3" t="s">
        <v>914</v>
      </c>
      <c r="N79" s="5" t="s">
        <v>995</v>
      </c>
      <c r="O79" s="5" t="s">
        <v>141</v>
      </c>
      <c r="P79" s="5" t="s">
        <v>664</v>
      </c>
      <c r="Q79" s="154">
        <v>1750</v>
      </c>
      <c r="R79" s="166">
        <v>3.306</v>
      </c>
      <c r="S79" s="168">
        <v>11452</v>
      </c>
      <c r="U79" s="154">
        <v>662.55499999999995</v>
      </c>
      <c r="V79" s="165">
        <v>1.9999999999999999E-6</v>
      </c>
      <c r="W79" s="165">
        <v>7.9043971205927203E-3</v>
      </c>
      <c r="X79" s="165">
        <v>1.43500087937113E-3</v>
      </c>
    </row>
    <row r="80" spans="1:24">
      <c r="A80" s="5">
        <v>1182</v>
      </c>
      <c r="B80" s="5">
        <v>1182</v>
      </c>
      <c r="C80" s="5" t="s">
        <v>996</v>
      </c>
      <c r="D80" s="5" t="s">
        <v>997</v>
      </c>
      <c r="E80" s="5" t="s">
        <v>651</v>
      </c>
      <c r="F80" s="5" t="s">
        <v>998</v>
      </c>
      <c r="G80" s="5" t="s">
        <v>999</v>
      </c>
      <c r="H80" s="5" t="s">
        <v>137</v>
      </c>
      <c r="I80" s="5" t="s">
        <v>703</v>
      </c>
      <c r="J80" s="5" t="s">
        <v>572</v>
      </c>
      <c r="K80" s="5" t="s">
        <v>1000</v>
      </c>
      <c r="L80" s="3" t="s">
        <v>139</v>
      </c>
      <c r="M80" s="3" t="s">
        <v>914</v>
      </c>
      <c r="N80" s="5" t="s">
        <v>937</v>
      </c>
      <c r="O80" s="5" t="s">
        <v>141</v>
      </c>
      <c r="P80" s="5" t="s">
        <v>664</v>
      </c>
      <c r="Q80" s="154">
        <v>3475</v>
      </c>
      <c r="R80" s="166">
        <v>3.306</v>
      </c>
      <c r="S80" s="168">
        <v>27929</v>
      </c>
      <c r="T80" s="153">
        <v>2.2389999999999999</v>
      </c>
      <c r="U80" s="154">
        <v>3215.9850000000001</v>
      </c>
      <c r="V80" s="165">
        <v>9.9999999999999995E-7</v>
      </c>
      <c r="W80" s="165">
        <v>3.8367235551973897E-2</v>
      </c>
      <c r="X80" s="165">
        <v>6.9653657219076398E-3</v>
      </c>
    </row>
    <row r="81" spans="1:24">
      <c r="A81" s="5">
        <v>1182</v>
      </c>
      <c r="B81" s="5">
        <v>1182</v>
      </c>
      <c r="C81" s="5" t="s">
        <v>1001</v>
      </c>
      <c r="E81" s="5" t="s">
        <v>498</v>
      </c>
      <c r="F81" s="5" t="s">
        <v>1002</v>
      </c>
      <c r="G81" s="5" t="s">
        <v>886</v>
      </c>
      <c r="H81" s="5" t="s">
        <v>137</v>
      </c>
      <c r="I81" s="5" t="s">
        <v>703</v>
      </c>
      <c r="J81" s="5" t="s">
        <v>572</v>
      </c>
      <c r="K81" s="5" t="s">
        <v>224</v>
      </c>
      <c r="L81" s="3" t="s">
        <v>139</v>
      </c>
      <c r="M81" s="3" t="s">
        <v>498</v>
      </c>
      <c r="N81" s="5" t="s">
        <v>927</v>
      </c>
      <c r="O81" s="5" t="s">
        <v>141</v>
      </c>
      <c r="P81" s="5" t="s">
        <v>664</v>
      </c>
      <c r="Q81" s="154">
        <v>3870</v>
      </c>
      <c r="R81" s="166">
        <v>3.306</v>
      </c>
      <c r="S81" s="168">
        <v>4403</v>
      </c>
      <c r="U81" s="154">
        <v>563.33000000000004</v>
      </c>
      <c r="V81" s="165">
        <v>0</v>
      </c>
      <c r="W81" s="165">
        <v>6.7206149503529202E-3</v>
      </c>
      <c r="X81" s="165">
        <v>1.22009157897017E-3</v>
      </c>
    </row>
    <row r="82" spans="1:24">
      <c r="A82" s="5">
        <v>1182</v>
      </c>
      <c r="B82" s="5">
        <v>1182</v>
      </c>
      <c r="C82" s="5" t="s">
        <v>1003</v>
      </c>
      <c r="D82" s="5" t="s">
        <v>1004</v>
      </c>
      <c r="E82" s="5" t="s">
        <v>651</v>
      </c>
      <c r="F82" s="5" t="s">
        <v>1005</v>
      </c>
      <c r="G82" s="5" t="s">
        <v>1006</v>
      </c>
      <c r="H82" s="5" t="s">
        <v>137</v>
      </c>
      <c r="I82" s="5" t="s">
        <v>703</v>
      </c>
      <c r="J82" s="5" t="s">
        <v>572</v>
      </c>
      <c r="K82" s="5" t="s">
        <v>224</v>
      </c>
      <c r="L82" s="3" t="s">
        <v>139</v>
      </c>
      <c r="M82" s="3" t="s">
        <v>914</v>
      </c>
      <c r="N82" s="5" t="s">
        <v>663</v>
      </c>
      <c r="O82" s="5" t="s">
        <v>141</v>
      </c>
      <c r="P82" s="5" t="s">
        <v>664</v>
      </c>
      <c r="Q82" s="154">
        <v>2467</v>
      </c>
      <c r="R82" s="166">
        <v>3.306</v>
      </c>
      <c r="S82" s="168">
        <v>9797</v>
      </c>
      <c r="U82" s="154">
        <v>799.03399999999999</v>
      </c>
      <c r="V82" s="165">
        <v>9.9999999999999995E-7</v>
      </c>
      <c r="W82" s="165">
        <v>9.5326055078405504E-3</v>
      </c>
      <c r="X82" s="165">
        <v>1.7305933745170401E-3</v>
      </c>
    </row>
    <row r="83" spans="1:24">
      <c r="A83" s="5">
        <v>1182</v>
      </c>
      <c r="B83" s="5">
        <v>1182</v>
      </c>
      <c r="C83" s="5" t="s">
        <v>1007</v>
      </c>
      <c r="D83" s="5" t="s">
        <v>1008</v>
      </c>
      <c r="E83" s="5" t="s">
        <v>651</v>
      </c>
      <c r="F83" s="5" t="s">
        <v>1009</v>
      </c>
      <c r="G83" s="5" t="s">
        <v>1010</v>
      </c>
      <c r="H83" s="5" t="s">
        <v>137</v>
      </c>
      <c r="I83" s="5" t="s">
        <v>703</v>
      </c>
      <c r="J83" s="5" t="s">
        <v>572</v>
      </c>
      <c r="K83" s="5" t="s">
        <v>224</v>
      </c>
      <c r="L83" s="3" t="s">
        <v>139</v>
      </c>
      <c r="M83" s="3" t="s">
        <v>914</v>
      </c>
      <c r="N83" s="5" t="s">
        <v>905</v>
      </c>
      <c r="O83" s="5" t="s">
        <v>141</v>
      </c>
      <c r="P83" s="5" t="s">
        <v>664</v>
      </c>
      <c r="Q83" s="154">
        <v>645</v>
      </c>
      <c r="R83" s="166">
        <v>3.306</v>
      </c>
      <c r="S83" s="168">
        <v>34138</v>
      </c>
      <c r="U83" s="154">
        <v>727.94799999999998</v>
      </c>
      <c r="V83" s="165">
        <v>0</v>
      </c>
      <c r="W83" s="165">
        <v>8.6845466415000402E-3</v>
      </c>
      <c r="X83" s="165">
        <v>1.57663283832552E-3</v>
      </c>
    </row>
    <row r="84" spans="1:24">
      <c r="A84" s="5">
        <v>1182</v>
      </c>
      <c r="B84" s="5">
        <v>14769</v>
      </c>
      <c r="C84" s="5" t="s">
        <v>1011</v>
      </c>
      <c r="D84" s="5" t="s">
        <v>1012</v>
      </c>
      <c r="E84" s="5" t="s">
        <v>134</v>
      </c>
      <c r="F84" s="5" t="s">
        <v>1013</v>
      </c>
      <c r="G84" s="5" t="s">
        <v>1014</v>
      </c>
      <c r="H84" s="5" t="s">
        <v>137</v>
      </c>
      <c r="I84" s="5" t="s">
        <v>703</v>
      </c>
      <c r="J84" s="5" t="s">
        <v>30</v>
      </c>
      <c r="K84" s="5" t="s">
        <v>30</v>
      </c>
      <c r="L84" s="3" t="s">
        <v>139</v>
      </c>
      <c r="M84" s="3" t="s">
        <v>31</v>
      </c>
      <c r="N84" s="5" t="s">
        <v>829</v>
      </c>
      <c r="O84" s="5" t="s">
        <v>141</v>
      </c>
      <c r="P84" s="5" t="s">
        <v>34</v>
      </c>
      <c r="Q84" s="154">
        <v>10480</v>
      </c>
      <c r="R84" s="166">
        <v>1</v>
      </c>
      <c r="S84" s="168">
        <v>405.3</v>
      </c>
      <c r="U84" s="154">
        <v>42.475000000000001</v>
      </c>
      <c r="V84" s="165">
        <v>8.6000000000000003E-5</v>
      </c>
      <c r="W84" s="165">
        <v>5.1372580031611203E-3</v>
      </c>
      <c r="X84" s="165">
        <v>1.47392802606911E-3</v>
      </c>
    </row>
    <row r="85" spans="1:24">
      <c r="A85" s="5">
        <v>1182</v>
      </c>
      <c r="B85" s="5">
        <v>14769</v>
      </c>
      <c r="C85" s="5" t="s">
        <v>147</v>
      </c>
      <c r="D85" s="5" t="s">
        <v>148</v>
      </c>
      <c r="E85" s="5" t="s">
        <v>134</v>
      </c>
      <c r="F85" s="5" t="s">
        <v>701</v>
      </c>
      <c r="G85" s="5" t="s">
        <v>702</v>
      </c>
      <c r="H85" s="5" t="s">
        <v>137</v>
      </c>
      <c r="I85" s="5" t="s">
        <v>703</v>
      </c>
      <c r="J85" s="5" t="s">
        <v>30</v>
      </c>
      <c r="K85" s="5" t="s">
        <v>30</v>
      </c>
      <c r="L85" s="3" t="s">
        <v>139</v>
      </c>
      <c r="M85" s="3" t="s">
        <v>31</v>
      </c>
      <c r="N85" s="5" t="s">
        <v>151</v>
      </c>
      <c r="O85" s="5" t="s">
        <v>141</v>
      </c>
      <c r="P85" s="5" t="s">
        <v>34</v>
      </c>
      <c r="Q85" s="154">
        <v>1362</v>
      </c>
      <c r="R85" s="166">
        <v>1</v>
      </c>
      <c r="S85" s="168">
        <v>5239</v>
      </c>
      <c r="U85" s="154">
        <v>71.355000000000004</v>
      </c>
      <c r="V85" s="165">
        <v>5.0000000000000004E-6</v>
      </c>
      <c r="W85" s="165">
        <v>8.6301629723436E-3</v>
      </c>
      <c r="X85" s="165">
        <v>2.4760755770206499E-3</v>
      </c>
    </row>
    <row r="86" spans="1:24">
      <c r="A86" s="5">
        <v>1182</v>
      </c>
      <c r="B86" s="5">
        <v>14769</v>
      </c>
      <c r="C86" s="5" t="s">
        <v>704</v>
      </c>
      <c r="D86" s="5" t="s">
        <v>705</v>
      </c>
      <c r="E86" s="5" t="s">
        <v>651</v>
      </c>
      <c r="F86" s="5" t="s">
        <v>706</v>
      </c>
      <c r="G86" s="5" t="s">
        <v>707</v>
      </c>
      <c r="H86" s="5" t="s">
        <v>137</v>
      </c>
      <c r="I86" s="5" t="s">
        <v>703</v>
      </c>
      <c r="J86" s="5" t="s">
        <v>30</v>
      </c>
      <c r="K86" s="5" t="s">
        <v>224</v>
      </c>
      <c r="L86" s="3" t="s">
        <v>139</v>
      </c>
      <c r="M86" s="3" t="s">
        <v>31</v>
      </c>
      <c r="N86" s="5" t="s">
        <v>220</v>
      </c>
      <c r="O86" s="5" t="s">
        <v>141</v>
      </c>
      <c r="P86" s="5" t="s">
        <v>34</v>
      </c>
      <c r="Q86" s="154">
        <v>448</v>
      </c>
      <c r="R86" s="166">
        <v>1</v>
      </c>
      <c r="S86" s="168">
        <v>31800</v>
      </c>
      <c r="U86" s="154">
        <v>142.464</v>
      </c>
      <c r="V86" s="165">
        <v>7.9999999999999996E-6</v>
      </c>
      <c r="W86" s="165">
        <v>1.72305295521917E-2</v>
      </c>
      <c r="X86" s="165">
        <v>4.9436022865427601E-3</v>
      </c>
    </row>
    <row r="87" spans="1:24">
      <c r="A87" s="5">
        <v>1182</v>
      </c>
      <c r="B87" s="5">
        <v>14769</v>
      </c>
      <c r="C87" s="5" t="s">
        <v>176</v>
      </c>
      <c r="D87" s="5" t="s">
        <v>177</v>
      </c>
      <c r="E87" s="5" t="s">
        <v>134</v>
      </c>
      <c r="F87" s="5" t="s">
        <v>708</v>
      </c>
      <c r="G87" s="5" t="s">
        <v>709</v>
      </c>
      <c r="H87" s="5" t="s">
        <v>137</v>
      </c>
      <c r="I87" s="5" t="s">
        <v>703</v>
      </c>
      <c r="J87" s="5" t="s">
        <v>30</v>
      </c>
      <c r="K87" s="5" t="s">
        <v>30</v>
      </c>
      <c r="L87" s="3" t="s">
        <v>139</v>
      </c>
      <c r="M87" s="3" t="s">
        <v>31</v>
      </c>
      <c r="N87" s="5" t="s">
        <v>140</v>
      </c>
      <c r="O87" s="5" t="s">
        <v>141</v>
      </c>
      <c r="P87" s="5" t="s">
        <v>34</v>
      </c>
      <c r="Q87" s="154">
        <v>8656</v>
      </c>
      <c r="R87" s="166">
        <v>1</v>
      </c>
      <c r="S87" s="168">
        <v>2070</v>
      </c>
      <c r="U87" s="154">
        <v>179.179</v>
      </c>
      <c r="V87" s="165">
        <v>6.9999999999999999E-6</v>
      </c>
      <c r="W87" s="165">
        <v>2.1671106389951601E-2</v>
      </c>
      <c r="X87" s="165">
        <v>6.2176458812114102E-3</v>
      </c>
    </row>
    <row r="88" spans="1:24">
      <c r="A88" s="5">
        <v>1182</v>
      </c>
      <c r="B88" s="5">
        <v>14769</v>
      </c>
      <c r="C88" s="5" t="s">
        <v>710</v>
      </c>
      <c r="D88" s="5" t="s">
        <v>711</v>
      </c>
      <c r="E88" s="5" t="s">
        <v>134</v>
      </c>
      <c r="F88" s="5" t="s">
        <v>712</v>
      </c>
      <c r="G88" s="5" t="s">
        <v>713</v>
      </c>
      <c r="H88" s="5" t="s">
        <v>137</v>
      </c>
      <c r="I88" s="5" t="s">
        <v>703</v>
      </c>
      <c r="J88" s="5" t="s">
        <v>30</v>
      </c>
      <c r="K88" s="5" t="s">
        <v>30</v>
      </c>
      <c r="L88" s="3" t="s">
        <v>139</v>
      </c>
      <c r="M88" s="3" t="s">
        <v>31</v>
      </c>
      <c r="N88" s="5" t="s">
        <v>170</v>
      </c>
      <c r="O88" s="5" t="s">
        <v>141</v>
      </c>
      <c r="P88" s="5" t="s">
        <v>34</v>
      </c>
      <c r="Q88" s="154">
        <v>342</v>
      </c>
      <c r="R88" s="166">
        <v>1</v>
      </c>
      <c r="S88" s="168">
        <v>20440</v>
      </c>
      <c r="U88" s="154">
        <v>69.905000000000001</v>
      </c>
      <c r="V88" s="165">
        <v>2.3E-5</v>
      </c>
      <c r="W88" s="165">
        <v>8.4547445125789707E-3</v>
      </c>
      <c r="X88" s="165">
        <v>2.4257463578189198E-3</v>
      </c>
    </row>
    <row r="89" spans="1:24">
      <c r="A89" s="5">
        <v>1182</v>
      </c>
      <c r="B89" s="5">
        <v>14769</v>
      </c>
      <c r="C89" s="5" t="s">
        <v>714</v>
      </c>
      <c r="D89" s="5" t="s">
        <v>715</v>
      </c>
      <c r="E89" s="5" t="s">
        <v>134</v>
      </c>
      <c r="F89" s="5" t="s">
        <v>716</v>
      </c>
      <c r="G89" s="5" t="s">
        <v>717</v>
      </c>
      <c r="H89" s="5" t="s">
        <v>137</v>
      </c>
      <c r="I89" s="5" t="s">
        <v>703</v>
      </c>
      <c r="J89" s="5" t="s">
        <v>30</v>
      </c>
      <c r="K89" s="5" t="s">
        <v>30</v>
      </c>
      <c r="L89" s="3" t="s">
        <v>139</v>
      </c>
      <c r="M89" s="3" t="s">
        <v>31</v>
      </c>
      <c r="N89" s="5" t="s">
        <v>718</v>
      </c>
      <c r="O89" s="5" t="s">
        <v>141</v>
      </c>
      <c r="P89" s="5" t="s">
        <v>34</v>
      </c>
      <c r="Q89" s="154">
        <v>111</v>
      </c>
      <c r="R89" s="166">
        <v>1</v>
      </c>
      <c r="S89" s="168">
        <v>2180</v>
      </c>
      <c r="U89" s="154">
        <v>2.42</v>
      </c>
      <c r="V89" s="165">
        <v>9.9999999999999995E-7</v>
      </c>
      <c r="W89" s="165">
        <v>2.9266646598715101E-4</v>
      </c>
      <c r="X89" s="165">
        <v>8.3968783783806202E-5</v>
      </c>
    </row>
    <row r="90" spans="1:24">
      <c r="A90" s="5">
        <v>1182</v>
      </c>
      <c r="B90" s="5">
        <v>14769</v>
      </c>
      <c r="C90" s="5" t="s">
        <v>723</v>
      </c>
      <c r="D90" s="5" t="s">
        <v>724</v>
      </c>
      <c r="E90" s="5" t="s">
        <v>134</v>
      </c>
      <c r="F90" s="5" t="s">
        <v>725</v>
      </c>
      <c r="G90" s="5" t="s">
        <v>726</v>
      </c>
      <c r="H90" s="5" t="s">
        <v>137</v>
      </c>
      <c r="I90" s="5" t="s">
        <v>703</v>
      </c>
      <c r="J90" s="5" t="s">
        <v>30</v>
      </c>
      <c r="K90" s="5" t="s">
        <v>30</v>
      </c>
      <c r="L90" s="3" t="s">
        <v>139</v>
      </c>
      <c r="M90" s="3" t="s">
        <v>31</v>
      </c>
      <c r="N90" s="5" t="s">
        <v>727</v>
      </c>
      <c r="O90" s="5" t="s">
        <v>141</v>
      </c>
      <c r="P90" s="5" t="s">
        <v>34</v>
      </c>
      <c r="Q90" s="154">
        <v>84</v>
      </c>
      <c r="R90" s="166">
        <v>1</v>
      </c>
      <c r="S90" s="168">
        <v>167700</v>
      </c>
      <c r="U90" s="154">
        <v>140.86799999999999</v>
      </c>
      <c r="V90" s="165">
        <v>1.9999999999999999E-6</v>
      </c>
      <c r="W90" s="165">
        <v>1.7037498855557501E-2</v>
      </c>
      <c r="X90" s="165">
        <v>4.8882199496062496E-3</v>
      </c>
    </row>
    <row r="91" spans="1:24">
      <c r="A91" s="5">
        <v>1182</v>
      </c>
      <c r="B91" s="5">
        <v>14769</v>
      </c>
      <c r="C91" s="5" t="s">
        <v>195</v>
      </c>
      <c r="D91" s="5" t="s">
        <v>196</v>
      </c>
      <c r="E91" s="5" t="s">
        <v>134</v>
      </c>
      <c r="F91" s="5" t="s">
        <v>728</v>
      </c>
      <c r="G91" s="5" t="s">
        <v>729</v>
      </c>
      <c r="H91" s="5" t="s">
        <v>137</v>
      </c>
      <c r="I91" s="5" t="s">
        <v>703</v>
      </c>
      <c r="J91" s="5" t="s">
        <v>30</v>
      </c>
      <c r="K91" s="5" t="s">
        <v>30</v>
      </c>
      <c r="L91" s="3" t="s">
        <v>139</v>
      </c>
      <c r="M91" s="3" t="s">
        <v>31</v>
      </c>
      <c r="N91" s="5" t="s">
        <v>199</v>
      </c>
      <c r="O91" s="5" t="s">
        <v>141</v>
      </c>
      <c r="P91" s="5" t="s">
        <v>34</v>
      </c>
      <c r="Q91" s="154">
        <v>28</v>
      </c>
      <c r="R91" s="166">
        <v>1</v>
      </c>
      <c r="S91" s="168">
        <v>192960</v>
      </c>
      <c r="T91" s="153">
        <v>0.34399999999999997</v>
      </c>
      <c r="U91" s="154">
        <v>54.372</v>
      </c>
      <c r="V91" s="165">
        <v>6.9999999999999999E-6</v>
      </c>
      <c r="W91" s="165">
        <v>6.5761470349829801E-3</v>
      </c>
      <c r="X91" s="165">
        <v>1.88675893101893E-3</v>
      </c>
    </row>
    <row r="92" spans="1:24">
      <c r="A92" s="5">
        <v>1182</v>
      </c>
      <c r="B92" s="5">
        <v>14769</v>
      </c>
      <c r="C92" s="5" t="s">
        <v>730</v>
      </c>
      <c r="D92" s="5" t="s">
        <v>731</v>
      </c>
      <c r="E92" s="5" t="s">
        <v>134</v>
      </c>
      <c r="F92" s="5" t="s">
        <v>732</v>
      </c>
      <c r="G92" s="5" t="s">
        <v>733</v>
      </c>
      <c r="H92" s="5" t="s">
        <v>137</v>
      </c>
      <c r="I92" s="5" t="s">
        <v>703</v>
      </c>
      <c r="J92" s="5" t="s">
        <v>30</v>
      </c>
      <c r="K92" s="5" t="s">
        <v>30</v>
      </c>
      <c r="L92" s="3" t="s">
        <v>139</v>
      </c>
      <c r="M92" s="3" t="s">
        <v>31</v>
      </c>
      <c r="N92" s="5" t="s">
        <v>734</v>
      </c>
      <c r="O92" s="5" t="s">
        <v>141</v>
      </c>
      <c r="P92" s="5" t="s">
        <v>34</v>
      </c>
      <c r="Q92" s="154">
        <v>482</v>
      </c>
      <c r="R92" s="166">
        <v>1</v>
      </c>
      <c r="S92" s="168">
        <v>11550</v>
      </c>
      <c r="U92" s="154">
        <v>55.670999999999999</v>
      </c>
      <c r="V92" s="165">
        <v>1.9000000000000001E-5</v>
      </c>
      <c r="W92" s="165">
        <v>6.7332154839121802E-3</v>
      </c>
      <c r="X92" s="165">
        <v>1.93182335814046E-3</v>
      </c>
    </row>
    <row r="93" spans="1:24">
      <c r="A93" s="5">
        <v>1182</v>
      </c>
      <c r="B93" s="5">
        <v>14769</v>
      </c>
      <c r="C93" s="5" t="s">
        <v>216</v>
      </c>
      <c r="D93" s="5" t="s">
        <v>217</v>
      </c>
      <c r="E93" s="5" t="s">
        <v>134</v>
      </c>
      <c r="F93" s="5" t="s">
        <v>735</v>
      </c>
      <c r="G93" s="5" t="s">
        <v>736</v>
      </c>
      <c r="H93" s="5" t="s">
        <v>137</v>
      </c>
      <c r="I93" s="5" t="s">
        <v>703</v>
      </c>
      <c r="J93" s="5" t="s">
        <v>30</v>
      </c>
      <c r="K93" s="5" t="s">
        <v>224</v>
      </c>
      <c r="L93" s="3" t="s">
        <v>139</v>
      </c>
      <c r="M93" s="3" t="s">
        <v>31</v>
      </c>
      <c r="N93" s="5" t="s">
        <v>220</v>
      </c>
      <c r="O93" s="5" t="s">
        <v>141</v>
      </c>
      <c r="P93" s="5" t="s">
        <v>34</v>
      </c>
      <c r="Q93" s="154">
        <v>731</v>
      </c>
      <c r="R93" s="166">
        <v>1</v>
      </c>
      <c r="S93" s="168">
        <v>10190</v>
      </c>
      <c r="U93" s="154">
        <v>74.489000000000004</v>
      </c>
      <c r="V93" s="165">
        <v>6.0000000000000002E-6</v>
      </c>
      <c r="W93" s="165">
        <v>9.0091756005745496E-3</v>
      </c>
      <c r="X93" s="165">
        <v>2.5848178933769602E-3</v>
      </c>
    </row>
    <row r="94" spans="1:24">
      <c r="A94" s="5">
        <v>1182</v>
      </c>
      <c r="B94" s="5">
        <v>14769</v>
      </c>
      <c r="C94" s="5" t="s">
        <v>737</v>
      </c>
      <c r="D94" s="5" t="s">
        <v>738</v>
      </c>
      <c r="E94" s="5" t="s">
        <v>651</v>
      </c>
      <c r="F94" s="5" t="s">
        <v>739</v>
      </c>
      <c r="G94" s="5" t="s">
        <v>740</v>
      </c>
      <c r="H94" s="5" t="s">
        <v>137</v>
      </c>
      <c r="I94" s="5" t="s">
        <v>703</v>
      </c>
      <c r="J94" s="5" t="s">
        <v>30</v>
      </c>
      <c r="K94" s="5" t="s">
        <v>566</v>
      </c>
      <c r="L94" s="3" t="s">
        <v>139</v>
      </c>
      <c r="M94" s="3" t="s">
        <v>31</v>
      </c>
      <c r="N94" s="5" t="s">
        <v>369</v>
      </c>
      <c r="O94" s="5" t="s">
        <v>141</v>
      </c>
      <c r="P94" s="5" t="s">
        <v>34</v>
      </c>
      <c r="Q94" s="154">
        <v>1099</v>
      </c>
      <c r="R94" s="166">
        <v>1</v>
      </c>
      <c r="S94" s="168">
        <v>3825</v>
      </c>
      <c r="T94" s="153">
        <v>1.0960000000000001</v>
      </c>
      <c r="U94" s="154">
        <v>43.131999999999998</v>
      </c>
      <c r="V94" s="165">
        <v>6.0000000000000002E-6</v>
      </c>
      <c r="W94" s="165">
        <v>5.2167077930226598E-3</v>
      </c>
      <c r="X94" s="165">
        <v>1.4967229240224901E-3</v>
      </c>
    </row>
    <row r="95" spans="1:24">
      <c r="A95" s="5">
        <v>1182</v>
      </c>
      <c r="B95" s="5">
        <v>14769</v>
      </c>
      <c r="C95" s="5" t="s">
        <v>232</v>
      </c>
      <c r="D95" s="5" t="s">
        <v>233</v>
      </c>
      <c r="E95" s="5" t="s">
        <v>134</v>
      </c>
      <c r="F95" s="5" t="s">
        <v>741</v>
      </c>
      <c r="G95" s="5" t="s">
        <v>742</v>
      </c>
      <c r="H95" s="5" t="s">
        <v>137</v>
      </c>
      <c r="I95" s="5" t="s">
        <v>703</v>
      </c>
      <c r="J95" s="5" t="s">
        <v>30</v>
      </c>
      <c r="K95" s="5" t="s">
        <v>30</v>
      </c>
      <c r="L95" s="3" t="s">
        <v>139</v>
      </c>
      <c r="M95" s="3" t="s">
        <v>31</v>
      </c>
      <c r="N95" s="5" t="s">
        <v>208</v>
      </c>
      <c r="O95" s="5" t="s">
        <v>141</v>
      </c>
      <c r="P95" s="5" t="s">
        <v>34</v>
      </c>
      <c r="Q95" s="154">
        <v>242</v>
      </c>
      <c r="R95" s="166">
        <v>1</v>
      </c>
      <c r="S95" s="168">
        <v>21010</v>
      </c>
      <c r="U95" s="154">
        <v>50.844000000000001</v>
      </c>
      <c r="V95" s="165">
        <v>6.0000000000000002E-6</v>
      </c>
      <c r="W95" s="165">
        <v>6.1494306678006004E-3</v>
      </c>
      <c r="X95" s="165">
        <v>1.76432995969113E-3</v>
      </c>
    </row>
    <row r="96" spans="1:24">
      <c r="A96" s="5">
        <v>1182</v>
      </c>
      <c r="B96" s="5">
        <v>14769</v>
      </c>
      <c r="C96" s="5" t="s">
        <v>747</v>
      </c>
      <c r="D96" s="5" t="s">
        <v>748</v>
      </c>
      <c r="E96" s="5" t="s">
        <v>134</v>
      </c>
      <c r="F96" s="5" t="s">
        <v>749</v>
      </c>
      <c r="G96" s="5" t="s">
        <v>750</v>
      </c>
      <c r="H96" s="5" t="s">
        <v>137</v>
      </c>
      <c r="I96" s="5" t="s">
        <v>703</v>
      </c>
      <c r="J96" s="5" t="s">
        <v>30</v>
      </c>
      <c r="K96" s="5" t="s">
        <v>30</v>
      </c>
      <c r="L96" s="3" t="s">
        <v>139</v>
      </c>
      <c r="M96" s="3" t="s">
        <v>31</v>
      </c>
      <c r="N96" s="5" t="s">
        <v>727</v>
      </c>
      <c r="O96" s="5" t="s">
        <v>141</v>
      </c>
      <c r="P96" s="5" t="s">
        <v>34</v>
      </c>
      <c r="Q96" s="154">
        <v>2000</v>
      </c>
      <c r="R96" s="166">
        <v>1</v>
      </c>
      <c r="S96" s="168">
        <v>1792</v>
      </c>
      <c r="U96" s="154">
        <v>35.840000000000003</v>
      </c>
      <c r="V96" s="165">
        <v>2.6999999999999999E-5</v>
      </c>
      <c r="W96" s="165">
        <v>4.3347244156457104E-3</v>
      </c>
      <c r="X96" s="165">
        <v>1.2436735312057201E-3</v>
      </c>
    </row>
    <row r="97" spans="1:24">
      <c r="A97" s="5">
        <v>1182</v>
      </c>
      <c r="B97" s="5">
        <v>14769</v>
      </c>
      <c r="C97" s="5" t="s">
        <v>751</v>
      </c>
      <c r="D97" s="5" t="s">
        <v>752</v>
      </c>
      <c r="E97" s="5" t="s">
        <v>492</v>
      </c>
      <c r="F97" s="5" t="s">
        <v>751</v>
      </c>
      <c r="G97" s="5" t="s">
        <v>753</v>
      </c>
      <c r="H97" s="5" t="s">
        <v>137</v>
      </c>
      <c r="I97" s="5" t="s">
        <v>703</v>
      </c>
      <c r="J97" s="5" t="s">
        <v>30</v>
      </c>
      <c r="K97" s="5" t="s">
        <v>654</v>
      </c>
      <c r="L97" s="3" t="s">
        <v>139</v>
      </c>
      <c r="M97" s="3" t="s">
        <v>31</v>
      </c>
      <c r="N97" s="5" t="s">
        <v>208</v>
      </c>
      <c r="O97" s="5" t="s">
        <v>141</v>
      </c>
      <c r="P97" s="5" t="s">
        <v>34</v>
      </c>
      <c r="Q97" s="154">
        <v>410</v>
      </c>
      <c r="R97" s="166">
        <v>1</v>
      </c>
      <c r="S97" s="168">
        <v>11110</v>
      </c>
      <c r="U97" s="154">
        <v>45.551000000000002</v>
      </c>
      <c r="V97" s="165">
        <v>1.9000000000000001E-5</v>
      </c>
      <c r="W97" s="165">
        <v>5.5092363799407896E-3</v>
      </c>
      <c r="X97" s="165">
        <v>1.5806521489942001E-3</v>
      </c>
    </row>
    <row r="98" spans="1:24">
      <c r="A98" s="5">
        <v>1182</v>
      </c>
      <c r="B98" s="5">
        <v>14769</v>
      </c>
      <c r="C98" s="5" t="s">
        <v>254</v>
      </c>
      <c r="D98" s="5" t="s">
        <v>255</v>
      </c>
      <c r="E98" s="5" t="s">
        <v>134</v>
      </c>
      <c r="F98" s="5" t="s">
        <v>754</v>
      </c>
      <c r="G98" s="5" t="s">
        <v>755</v>
      </c>
      <c r="H98" s="5" t="s">
        <v>137</v>
      </c>
      <c r="I98" s="5" t="s">
        <v>703</v>
      </c>
      <c r="J98" s="5" t="s">
        <v>30</v>
      </c>
      <c r="K98" s="5" t="s">
        <v>30</v>
      </c>
      <c r="L98" s="3" t="s">
        <v>139</v>
      </c>
      <c r="M98" s="3" t="s">
        <v>31</v>
      </c>
      <c r="N98" s="5" t="s">
        <v>162</v>
      </c>
      <c r="O98" s="5" t="s">
        <v>141</v>
      </c>
      <c r="P98" s="5" t="s">
        <v>34</v>
      </c>
      <c r="Q98" s="154">
        <v>1132</v>
      </c>
      <c r="R98" s="166">
        <v>1</v>
      </c>
      <c r="S98" s="168">
        <v>6966</v>
      </c>
      <c r="U98" s="154">
        <v>78.855000000000004</v>
      </c>
      <c r="V98" s="165">
        <v>1.0000000000000001E-5</v>
      </c>
      <c r="W98" s="165">
        <v>9.5372548538692099E-3</v>
      </c>
      <c r="X98" s="165">
        <v>2.7363288377246402E-3</v>
      </c>
    </row>
    <row r="99" spans="1:24">
      <c r="A99" s="5">
        <v>1182</v>
      </c>
      <c r="B99" s="5">
        <v>14769</v>
      </c>
      <c r="C99" s="5" t="s">
        <v>259</v>
      </c>
      <c r="D99" s="5" t="s">
        <v>260</v>
      </c>
      <c r="E99" s="5" t="s">
        <v>134</v>
      </c>
      <c r="F99" s="5" t="s">
        <v>756</v>
      </c>
      <c r="G99" s="5" t="s">
        <v>757</v>
      </c>
      <c r="H99" s="5" t="s">
        <v>137</v>
      </c>
      <c r="I99" s="5" t="s">
        <v>703</v>
      </c>
      <c r="J99" s="5" t="s">
        <v>30</v>
      </c>
      <c r="K99" s="5" t="s">
        <v>30</v>
      </c>
      <c r="L99" s="3" t="s">
        <v>139</v>
      </c>
      <c r="M99" s="3" t="s">
        <v>31</v>
      </c>
      <c r="N99" s="5" t="s">
        <v>151</v>
      </c>
      <c r="O99" s="5" t="s">
        <v>141</v>
      </c>
      <c r="P99" s="5" t="s">
        <v>34</v>
      </c>
      <c r="Q99" s="154">
        <v>973</v>
      </c>
      <c r="R99" s="166">
        <v>1</v>
      </c>
      <c r="S99" s="168">
        <v>89.4</v>
      </c>
      <c r="U99" s="154">
        <v>0.87</v>
      </c>
      <c r="V99" s="165">
        <v>0</v>
      </c>
      <c r="W99" s="165">
        <v>1.05206809420826E-4</v>
      </c>
      <c r="X99" s="165">
        <v>3.0184831060314601E-5</v>
      </c>
    </row>
    <row r="100" spans="1:24">
      <c r="A100" s="5">
        <v>1182</v>
      </c>
      <c r="B100" s="5">
        <v>14769</v>
      </c>
      <c r="C100" s="5" t="s">
        <v>758</v>
      </c>
      <c r="D100" s="5" t="s">
        <v>759</v>
      </c>
      <c r="E100" s="5" t="s">
        <v>134</v>
      </c>
      <c r="F100" s="5" t="s">
        <v>760</v>
      </c>
      <c r="G100" s="5" t="s">
        <v>761</v>
      </c>
      <c r="H100" s="5" t="s">
        <v>137</v>
      </c>
      <c r="I100" s="5" t="s">
        <v>703</v>
      </c>
      <c r="J100" s="5" t="s">
        <v>30</v>
      </c>
      <c r="K100" s="5" t="s">
        <v>30</v>
      </c>
      <c r="L100" s="3" t="s">
        <v>139</v>
      </c>
      <c r="M100" s="3" t="s">
        <v>31</v>
      </c>
      <c r="N100" s="5" t="s">
        <v>612</v>
      </c>
      <c r="O100" s="5" t="s">
        <v>141</v>
      </c>
      <c r="P100" s="5" t="s">
        <v>34</v>
      </c>
      <c r="Q100" s="154">
        <v>26527</v>
      </c>
      <c r="R100" s="166">
        <v>1</v>
      </c>
      <c r="S100" s="168">
        <v>634.70000000000005</v>
      </c>
      <c r="T100" s="153">
        <v>5.577</v>
      </c>
      <c r="U100" s="154">
        <v>173.94399999999999</v>
      </c>
      <c r="V100" s="165">
        <v>1.0000000000000001E-5</v>
      </c>
      <c r="W100" s="165">
        <v>2.1037930509544799E-2</v>
      </c>
      <c r="X100" s="165">
        <v>6.0359817181523702E-3</v>
      </c>
    </row>
    <row r="101" spans="1:24">
      <c r="A101" s="5">
        <v>1182</v>
      </c>
      <c r="B101" s="5">
        <v>14769</v>
      </c>
      <c r="C101" s="5" t="s">
        <v>267</v>
      </c>
      <c r="D101" s="5" t="s">
        <v>268</v>
      </c>
      <c r="E101" s="5" t="s">
        <v>134</v>
      </c>
      <c r="F101" s="5" t="s">
        <v>762</v>
      </c>
      <c r="G101" s="5" t="s">
        <v>763</v>
      </c>
      <c r="H101" s="5" t="s">
        <v>137</v>
      </c>
      <c r="I101" s="5" t="s">
        <v>703</v>
      </c>
      <c r="J101" s="5" t="s">
        <v>30</v>
      </c>
      <c r="K101" s="5" t="s">
        <v>30</v>
      </c>
      <c r="L101" s="3" t="s">
        <v>139</v>
      </c>
      <c r="M101" s="3" t="s">
        <v>31</v>
      </c>
      <c r="N101" s="5" t="s">
        <v>186</v>
      </c>
      <c r="O101" s="5" t="s">
        <v>141</v>
      </c>
      <c r="P101" s="5" t="s">
        <v>34</v>
      </c>
      <c r="Q101" s="154">
        <v>210</v>
      </c>
      <c r="R101" s="166">
        <v>1</v>
      </c>
      <c r="S101" s="168">
        <v>68050</v>
      </c>
      <c r="U101" s="154">
        <v>142.905</v>
      </c>
      <c r="V101" s="165">
        <v>7.9999999999999996E-6</v>
      </c>
      <c r="W101" s="165">
        <v>1.7283866981524801E-2</v>
      </c>
      <c r="X101" s="165">
        <v>4.95890530069626E-3</v>
      </c>
    </row>
    <row r="102" spans="1:24">
      <c r="A102" s="5">
        <v>1182</v>
      </c>
      <c r="B102" s="5">
        <v>14769</v>
      </c>
      <c r="C102" s="5" t="s">
        <v>764</v>
      </c>
      <c r="D102" s="5" t="s">
        <v>765</v>
      </c>
      <c r="E102" s="5" t="s">
        <v>134</v>
      </c>
      <c r="F102" s="5" t="s">
        <v>766</v>
      </c>
      <c r="G102" s="5" t="s">
        <v>767</v>
      </c>
      <c r="H102" s="5" t="s">
        <v>137</v>
      </c>
      <c r="I102" s="5" t="s">
        <v>703</v>
      </c>
      <c r="J102" s="5" t="s">
        <v>30</v>
      </c>
      <c r="K102" s="5" t="s">
        <v>30</v>
      </c>
      <c r="L102" s="3" t="s">
        <v>139</v>
      </c>
      <c r="M102" s="3" t="s">
        <v>31</v>
      </c>
      <c r="N102" s="5" t="s">
        <v>285</v>
      </c>
      <c r="O102" s="5" t="s">
        <v>141</v>
      </c>
      <c r="P102" s="5" t="s">
        <v>34</v>
      </c>
      <c r="Q102" s="154">
        <v>442</v>
      </c>
      <c r="R102" s="166">
        <v>1</v>
      </c>
      <c r="S102" s="168">
        <v>23710</v>
      </c>
      <c r="U102" s="154">
        <v>104.798</v>
      </c>
      <c r="V102" s="165">
        <v>3.9999999999999998E-6</v>
      </c>
      <c r="W102" s="165">
        <v>1.26749809223137E-2</v>
      </c>
      <c r="X102" s="165">
        <v>3.6365721946987699E-3</v>
      </c>
    </row>
    <row r="103" spans="1:24">
      <c r="A103" s="5">
        <v>1182</v>
      </c>
      <c r="B103" s="5">
        <v>14769</v>
      </c>
      <c r="C103" s="5" t="s">
        <v>768</v>
      </c>
      <c r="D103" s="5" t="s">
        <v>769</v>
      </c>
      <c r="E103" s="5" t="s">
        <v>134</v>
      </c>
      <c r="F103" s="5" t="s">
        <v>770</v>
      </c>
      <c r="G103" s="5" t="s">
        <v>771</v>
      </c>
      <c r="H103" s="5" t="s">
        <v>137</v>
      </c>
      <c r="I103" s="5" t="s">
        <v>703</v>
      </c>
      <c r="J103" s="5" t="s">
        <v>30</v>
      </c>
      <c r="K103" s="5" t="s">
        <v>30</v>
      </c>
      <c r="L103" s="3" t="s">
        <v>139</v>
      </c>
      <c r="M103" s="3" t="s">
        <v>31</v>
      </c>
      <c r="N103" s="5" t="s">
        <v>718</v>
      </c>
      <c r="O103" s="5" t="s">
        <v>141</v>
      </c>
      <c r="P103" s="5" t="s">
        <v>34</v>
      </c>
      <c r="Q103" s="154">
        <v>292</v>
      </c>
      <c r="R103" s="166">
        <v>1</v>
      </c>
      <c r="S103" s="168">
        <v>67920</v>
      </c>
      <c r="U103" s="154">
        <v>198.32599999999999</v>
      </c>
      <c r="V103" s="165">
        <v>3.1999999999999999E-5</v>
      </c>
      <c r="W103" s="165">
        <v>2.3986894206113801E-2</v>
      </c>
      <c r="X103" s="165">
        <v>6.8820673610301098E-3</v>
      </c>
    </row>
    <row r="104" spans="1:24">
      <c r="A104" s="5">
        <v>1182</v>
      </c>
      <c r="B104" s="5">
        <v>14769</v>
      </c>
      <c r="C104" s="5" t="s">
        <v>772</v>
      </c>
      <c r="D104" s="5" t="s">
        <v>773</v>
      </c>
      <c r="E104" s="5" t="s">
        <v>134</v>
      </c>
      <c r="F104" s="5" t="s">
        <v>774</v>
      </c>
      <c r="G104" s="5" t="s">
        <v>775</v>
      </c>
      <c r="H104" s="5" t="s">
        <v>137</v>
      </c>
      <c r="I104" s="5" t="s">
        <v>703</v>
      </c>
      <c r="J104" s="5" t="s">
        <v>30</v>
      </c>
      <c r="K104" s="5" t="s">
        <v>30</v>
      </c>
      <c r="L104" s="3" t="s">
        <v>139</v>
      </c>
      <c r="M104" s="3" t="s">
        <v>31</v>
      </c>
      <c r="N104" s="5" t="s">
        <v>285</v>
      </c>
      <c r="O104" s="5" t="s">
        <v>141</v>
      </c>
      <c r="P104" s="5" t="s">
        <v>34</v>
      </c>
      <c r="Q104" s="154">
        <v>4749</v>
      </c>
      <c r="R104" s="166">
        <v>1</v>
      </c>
      <c r="S104" s="168">
        <v>3274</v>
      </c>
      <c r="U104" s="154">
        <v>155.482</v>
      </c>
      <c r="V104" s="165">
        <v>3.9999999999999998E-6</v>
      </c>
      <c r="W104" s="165">
        <v>1.8805043209312901E-2</v>
      </c>
      <c r="X104" s="165">
        <v>5.3953451823115697E-3</v>
      </c>
    </row>
    <row r="105" spans="1:24">
      <c r="A105" s="5">
        <v>1182</v>
      </c>
      <c r="B105" s="5">
        <v>14769</v>
      </c>
      <c r="C105" s="5" t="s">
        <v>1015</v>
      </c>
      <c r="D105" s="5" t="s">
        <v>1016</v>
      </c>
      <c r="E105" s="5" t="s">
        <v>134</v>
      </c>
      <c r="F105" s="5" t="s">
        <v>1017</v>
      </c>
      <c r="G105" s="5" t="s">
        <v>1018</v>
      </c>
      <c r="H105" s="5" t="s">
        <v>137</v>
      </c>
      <c r="I105" s="5" t="s">
        <v>703</v>
      </c>
      <c r="J105" s="5" t="s">
        <v>30</v>
      </c>
      <c r="K105" s="5" t="s">
        <v>30</v>
      </c>
      <c r="L105" s="3" t="s">
        <v>139</v>
      </c>
      <c r="M105" s="3" t="s">
        <v>31</v>
      </c>
      <c r="N105" s="5" t="s">
        <v>369</v>
      </c>
      <c r="O105" s="5" t="s">
        <v>141</v>
      </c>
      <c r="P105" s="5" t="s">
        <v>34</v>
      </c>
      <c r="Q105" s="154">
        <v>105</v>
      </c>
      <c r="R105" s="166">
        <v>1</v>
      </c>
      <c r="S105" s="168">
        <v>80070</v>
      </c>
      <c r="U105" s="154">
        <v>84.072999999999993</v>
      </c>
      <c r="V105" s="165">
        <v>6.0000000000000002E-6</v>
      </c>
      <c r="W105" s="165">
        <v>1.0168399920725201E-2</v>
      </c>
      <c r="X105" s="165">
        <v>2.9174103411223401E-3</v>
      </c>
    </row>
    <row r="106" spans="1:24">
      <c r="A106" s="5">
        <v>1182</v>
      </c>
      <c r="B106" s="5">
        <v>14769</v>
      </c>
      <c r="C106" s="5" t="s">
        <v>776</v>
      </c>
      <c r="D106" s="5" t="s">
        <v>777</v>
      </c>
      <c r="E106" s="5" t="s">
        <v>134</v>
      </c>
      <c r="F106" s="5" t="s">
        <v>778</v>
      </c>
      <c r="G106" s="5" t="s">
        <v>779</v>
      </c>
      <c r="H106" s="5" t="s">
        <v>137</v>
      </c>
      <c r="I106" s="5" t="s">
        <v>703</v>
      </c>
      <c r="J106" s="5" t="s">
        <v>30</v>
      </c>
      <c r="K106" s="5" t="s">
        <v>30</v>
      </c>
      <c r="L106" s="3" t="s">
        <v>139</v>
      </c>
      <c r="M106" s="3" t="s">
        <v>31</v>
      </c>
      <c r="N106" s="5" t="s">
        <v>780</v>
      </c>
      <c r="O106" s="5" t="s">
        <v>141</v>
      </c>
      <c r="P106" s="5" t="s">
        <v>34</v>
      </c>
      <c r="Q106" s="154">
        <v>1019</v>
      </c>
      <c r="R106" s="166">
        <v>1</v>
      </c>
      <c r="S106" s="168">
        <v>17410</v>
      </c>
      <c r="U106" s="154">
        <v>177.40799999999999</v>
      </c>
      <c r="V106" s="165">
        <v>3.8000000000000002E-5</v>
      </c>
      <c r="W106" s="165">
        <v>2.1456873762791099E-2</v>
      </c>
      <c r="X106" s="165">
        <v>6.1561805093970998E-3</v>
      </c>
    </row>
    <row r="107" spans="1:24">
      <c r="A107" s="5">
        <v>1182</v>
      </c>
      <c r="B107" s="5">
        <v>14769</v>
      </c>
      <c r="C107" s="5" t="s">
        <v>781</v>
      </c>
      <c r="D107" s="5" t="s">
        <v>782</v>
      </c>
      <c r="E107" s="5" t="s">
        <v>134</v>
      </c>
      <c r="F107" s="5" t="s">
        <v>783</v>
      </c>
      <c r="G107" s="5" t="s">
        <v>784</v>
      </c>
      <c r="H107" s="5" t="s">
        <v>137</v>
      </c>
      <c r="I107" s="5" t="s">
        <v>703</v>
      </c>
      <c r="J107" s="5" t="s">
        <v>30</v>
      </c>
      <c r="K107" s="5" t="s">
        <v>30</v>
      </c>
      <c r="L107" s="3" t="s">
        <v>139</v>
      </c>
      <c r="M107" s="3" t="s">
        <v>31</v>
      </c>
      <c r="N107" s="5" t="s">
        <v>465</v>
      </c>
      <c r="O107" s="5" t="s">
        <v>141</v>
      </c>
      <c r="P107" s="5" t="s">
        <v>34</v>
      </c>
      <c r="Q107" s="154">
        <v>16486</v>
      </c>
      <c r="R107" s="166">
        <v>1</v>
      </c>
      <c r="S107" s="168">
        <v>745.1</v>
      </c>
      <c r="U107" s="154">
        <v>122.837</v>
      </c>
      <c r="V107" s="165">
        <v>1.7899999999999999E-4</v>
      </c>
      <c r="W107" s="165">
        <v>1.4856734076546099E-2</v>
      </c>
      <c r="X107" s="165">
        <v>4.2625378592632398E-3</v>
      </c>
    </row>
    <row r="108" spans="1:24">
      <c r="A108" s="5">
        <v>1182</v>
      </c>
      <c r="B108" s="5">
        <v>14769</v>
      </c>
      <c r="C108" s="5" t="s">
        <v>785</v>
      </c>
      <c r="D108" s="5" t="s">
        <v>786</v>
      </c>
      <c r="E108" s="5" t="s">
        <v>134</v>
      </c>
      <c r="F108" s="5" t="s">
        <v>787</v>
      </c>
      <c r="G108" s="5" t="s">
        <v>788</v>
      </c>
      <c r="H108" s="5" t="s">
        <v>137</v>
      </c>
      <c r="I108" s="5" t="s">
        <v>703</v>
      </c>
      <c r="J108" s="5" t="s">
        <v>30</v>
      </c>
      <c r="K108" s="5" t="s">
        <v>30</v>
      </c>
      <c r="L108" s="3" t="s">
        <v>139</v>
      </c>
      <c r="M108" s="3" t="s">
        <v>31</v>
      </c>
      <c r="N108" s="5" t="s">
        <v>170</v>
      </c>
      <c r="O108" s="5" t="s">
        <v>141</v>
      </c>
      <c r="P108" s="5" t="s">
        <v>34</v>
      </c>
      <c r="Q108" s="154">
        <v>1582</v>
      </c>
      <c r="R108" s="166">
        <v>1</v>
      </c>
      <c r="S108" s="168">
        <v>12400</v>
      </c>
      <c r="U108" s="154">
        <v>196.16800000000001</v>
      </c>
      <c r="V108" s="165">
        <v>6.0000000000000002E-6</v>
      </c>
      <c r="W108" s="165">
        <v>2.37258431687608E-2</v>
      </c>
      <c r="X108" s="165">
        <v>6.8071693434588404E-3</v>
      </c>
    </row>
    <row r="109" spans="1:24">
      <c r="A109" s="5">
        <v>1182</v>
      </c>
      <c r="B109" s="5">
        <v>14769</v>
      </c>
      <c r="C109" s="5" t="s">
        <v>1019</v>
      </c>
      <c r="D109" s="5" t="s">
        <v>1020</v>
      </c>
      <c r="E109" s="5" t="s">
        <v>134</v>
      </c>
      <c r="F109" s="5" t="s">
        <v>1021</v>
      </c>
      <c r="G109" s="5" t="s">
        <v>1022</v>
      </c>
      <c r="H109" s="5" t="s">
        <v>137</v>
      </c>
      <c r="I109" s="5" t="s">
        <v>703</v>
      </c>
      <c r="J109" s="5" t="s">
        <v>30</v>
      </c>
      <c r="K109" s="5" t="s">
        <v>30</v>
      </c>
      <c r="L109" s="3" t="s">
        <v>139</v>
      </c>
      <c r="M109" s="3" t="s">
        <v>31</v>
      </c>
      <c r="N109" s="5" t="s">
        <v>170</v>
      </c>
      <c r="O109" s="5" t="s">
        <v>141</v>
      </c>
      <c r="P109" s="5" t="s">
        <v>34</v>
      </c>
      <c r="Q109" s="154">
        <v>438</v>
      </c>
      <c r="R109" s="166">
        <v>1</v>
      </c>
      <c r="S109" s="168">
        <v>11160</v>
      </c>
      <c r="U109" s="154">
        <v>48.881</v>
      </c>
      <c r="V109" s="165">
        <v>1.9999999999999999E-6</v>
      </c>
      <c r="W109" s="165">
        <v>5.9119642080439402E-3</v>
      </c>
      <c r="X109" s="165">
        <v>1.6961985810312701E-3</v>
      </c>
    </row>
    <row r="110" spans="1:24">
      <c r="A110" s="5">
        <v>1182</v>
      </c>
      <c r="B110" s="5">
        <v>14769</v>
      </c>
      <c r="C110" s="5" t="s">
        <v>793</v>
      </c>
      <c r="D110" s="5" t="s">
        <v>794</v>
      </c>
      <c r="E110" s="5" t="s">
        <v>134</v>
      </c>
      <c r="F110" s="5" t="s">
        <v>795</v>
      </c>
      <c r="G110" s="5" t="s">
        <v>796</v>
      </c>
      <c r="H110" s="5" t="s">
        <v>137</v>
      </c>
      <c r="I110" s="5" t="s">
        <v>703</v>
      </c>
      <c r="J110" s="5" t="s">
        <v>30</v>
      </c>
      <c r="K110" s="5" t="s">
        <v>797</v>
      </c>
      <c r="L110" s="3" t="s">
        <v>139</v>
      </c>
      <c r="M110" s="3" t="s">
        <v>31</v>
      </c>
      <c r="N110" s="5" t="s">
        <v>798</v>
      </c>
      <c r="O110" s="5" t="s">
        <v>141</v>
      </c>
      <c r="P110" s="5" t="s">
        <v>34</v>
      </c>
      <c r="Q110" s="154">
        <v>1141</v>
      </c>
      <c r="R110" s="166">
        <v>1</v>
      </c>
      <c r="S110" s="168">
        <v>23540</v>
      </c>
      <c r="U110" s="154">
        <v>268.59100000000001</v>
      </c>
      <c r="V110" s="165">
        <v>1.0000000000000001E-5</v>
      </c>
      <c r="W110" s="165">
        <v>3.2485203666642398E-2</v>
      </c>
      <c r="X110" s="165">
        <v>9.3203129154433399E-3</v>
      </c>
    </row>
    <row r="111" spans="1:24">
      <c r="A111" s="5">
        <v>1182</v>
      </c>
      <c r="B111" s="5">
        <v>14769</v>
      </c>
      <c r="C111" s="5" t="s">
        <v>568</v>
      </c>
      <c r="D111" s="5" t="s">
        <v>569</v>
      </c>
      <c r="E111" s="5" t="s">
        <v>134</v>
      </c>
      <c r="F111" s="5" t="s">
        <v>799</v>
      </c>
      <c r="G111" s="5" t="s">
        <v>800</v>
      </c>
      <c r="H111" s="5" t="s">
        <v>137</v>
      </c>
      <c r="I111" s="5" t="s">
        <v>703</v>
      </c>
      <c r="J111" s="5" t="s">
        <v>30</v>
      </c>
      <c r="K111" s="5" t="s">
        <v>224</v>
      </c>
      <c r="L111" s="3" t="s">
        <v>139</v>
      </c>
      <c r="M111" s="3" t="s">
        <v>31</v>
      </c>
      <c r="N111" s="5" t="s">
        <v>573</v>
      </c>
      <c r="O111" s="5" t="s">
        <v>141</v>
      </c>
      <c r="P111" s="5" t="s">
        <v>34</v>
      </c>
      <c r="Q111" s="154">
        <v>5567</v>
      </c>
      <c r="R111" s="166">
        <v>1</v>
      </c>
      <c r="S111" s="168">
        <v>6440</v>
      </c>
      <c r="U111" s="154">
        <v>358.51499999999999</v>
      </c>
      <c r="V111" s="165">
        <v>3.9999999999999998E-6</v>
      </c>
      <c r="W111" s="165">
        <v>4.3361128820601003E-2</v>
      </c>
      <c r="X111" s="165">
        <v>1.24407189538369E-2</v>
      </c>
    </row>
    <row r="112" spans="1:24">
      <c r="A112" s="5">
        <v>1182</v>
      </c>
      <c r="B112" s="5">
        <v>14769</v>
      </c>
      <c r="C112" s="5" t="s">
        <v>801</v>
      </c>
      <c r="D112" s="5" t="s">
        <v>802</v>
      </c>
      <c r="E112" s="5" t="s">
        <v>134</v>
      </c>
      <c r="F112" s="5" t="s">
        <v>803</v>
      </c>
      <c r="G112" s="5" t="s">
        <v>804</v>
      </c>
      <c r="H112" s="5" t="s">
        <v>137</v>
      </c>
      <c r="I112" s="5" t="s">
        <v>703</v>
      </c>
      <c r="J112" s="5" t="s">
        <v>30</v>
      </c>
      <c r="K112" s="5" t="s">
        <v>30</v>
      </c>
      <c r="L112" s="3" t="s">
        <v>139</v>
      </c>
      <c r="M112" s="3" t="s">
        <v>31</v>
      </c>
      <c r="N112" s="5" t="s">
        <v>734</v>
      </c>
      <c r="O112" s="5" t="s">
        <v>141</v>
      </c>
      <c r="P112" s="5" t="s">
        <v>34</v>
      </c>
      <c r="Q112" s="154">
        <v>5251</v>
      </c>
      <c r="R112" s="166">
        <v>1</v>
      </c>
      <c r="S112" s="168">
        <v>862.4</v>
      </c>
      <c r="U112" s="154">
        <v>45.284999999999997</v>
      </c>
      <c r="V112" s="165">
        <v>4.8000000000000001E-5</v>
      </c>
      <c r="W112" s="165">
        <v>5.47701912126495E-3</v>
      </c>
      <c r="X112" s="165">
        <v>1.5714087120369299E-3</v>
      </c>
    </row>
    <row r="113" spans="1:24">
      <c r="A113" s="5">
        <v>1182</v>
      </c>
      <c r="B113" s="5">
        <v>14769</v>
      </c>
      <c r="C113" s="5" t="s">
        <v>805</v>
      </c>
      <c r="D113" s="5" t="s">
        <v>806</v>
      </c>
      <c r="E113" s="5" t="s">
        <v>134</v>
      </c>
      <c r="F113" s="5" t="s">
        <v>807</v>
      </c>
      <c r="G113" s="5" t="s">
        <v>808</v>
      </c>
      <c r="H113" s="5" t="s">
        <v>137</v>
      </c>
      <c r="I113" s="5" t="s">
        <v>703</v>
      </c>
      <c r="J113" s="5" t="s">
        <v>30</v>
      </c>
      <c r="K113" s="5" t="s">
        <v>30</v>
      </c>
      <c r="L113" s="3" t="s">
        <v>139</v>
      </c>
      <c r="M113" s="3" t="s">
        <v>31</v>
      </c>
      <c r="N113" s="5" t="s">
        <v>555</v>
      </c>
      <c r="O113" s="5" t="s">
        <v>141</v>
      </c>
      <c r="P113" s="5" t="s">
        <v>34</v>
      </c>
      <c r="Q113" s="154">
        <v>2000</v>
      </c>
      <c r="R113" s="166">
        <v>1</v>
      </c>
      <c r="S113" s="168">
        <v>2875</v>
      </c>
      <c r="U113" s="154">
        <v>57.5</v>
      </c>
      <c r="V113" s="165">
        <v>1.5999999999999999E-5</v>
      </c>
      <c r="W113" s="165">
        <v>6.9544267271101703E-3</v>
      </c>
      <c r="X113" s="165">
        <v>1.9952909610582901E-3</v>
      </c>
    </row>
    <row r="114" spans="1:24">
      <c r="A114" s="5">
        <v>1182</v>
      </c>
      <c r="B114" s="5">
        <v>14769</v>
      </c>
      <c r="C114" s="5" t="s">
        <v>809</v>
      </c>
      <c r="D114" s="5" t="s">
        <v>810</v>
      </c>
      <c r="E114" s="5" t="s">
        <v>134</v>
      </c>
      <c r="F114" s="5" t="s">
        <v>811</v>
      </c>
      <c r="G114" s="5" t="s">
        <v>812</v>
      </c>
      <c r="H114" s="5" t="s">
        <v>137</v>
      </c>
      <c r="I114" s="5" t="s">
        <v>703</v>
      </c>
      <c r="J114" s="5" t="s">
        <v>30</v>
      </c>
      <c r="K114" s="5" t="s">
        <v>30</v>
      </c>
      <c r="L114" s="3" t="s">
        <v>139</v>
      </c>
      <c r="M114" s="3" t="s">
        <v>31</v>
      </c>
      <c r="N114" s="5" t="s">
        <v>378</v>
      </c>
      <c r="O114" s="5" t="s">
        <v>141</v>
      </c>
      <c r="P114" s="5" t="s">
        <v>34</v>
      </c>
      <c r="Q114" s="154">
        <v>10951</v>
      </c>
      <c r="R114" s="166">
        <v>1</v>
      </c>
      <c r="S114" s="168">
        <v>1338</v>
      </c>
      <c r="U114" s="154">
        <v>146.524</v>
      </c>
      <c r="V114" s="165">
        <v>3.4E-5</v>
      </c>
      <c r="W114" s="165">
        <v>1.7721618512091201E-2</v>
      </c>
      <c r="X114" s="165">
        <v>5.0845003650203599E-3</v>
      </c>
    </row>
    <row r="115" spans="1:24">
      <c r="A115" s="5">
        <v>1182</v>
      </c>
      <c r="B115" s="5">
        <v>14769</v>
      </c>
      <c r="C115" s="5" t="s">
        <v>595</v>
      </c>
      <c r="D115" s="5" t="s">
        <v>596</v>
      </c>
      <c r="E115" s="5" t="s">
        <v>134</v>
      </c>
      <c r="F115" s="5" t="s">
        <v>813</v>
      </c>
      <c r="G115" s="5" t="s">
        <v>814</v>
      </c>
      <c r="H115" s="5" t="s">
        <v>137</v>
      </c>
      <c r="I115" s="5" t="s">
        <v>703</v>
      </c>
      <c r="J115" s="5" t="s">
        <v>30</v>
      </c>
      <c r="K115" s="5" t="s">
        <v>30</v>
      </c>
      <c r="L115" s="3" t="s">
        <v>139</v>
      </c>
      <c r="M115" s="3" t="s">
        <v>31</v>
      </c>
      <c r="N115" s="5" t="s">
        <v>170</v>
      </c>
      <c r="O115" s="5" t="s">
        <v>141</v>
      </c>
      <c r="P115" s="5" t="s">
        <v>34</v>
      </c>
      <c r="Q115" s="154">
        <v>1612</v>
      </c>
      <c r="R115" s="166">
        <v>1</v>
      </c>
      <c r="S115" s="168">
        <v>16970</v>
      </c>
      <c r="U115" s="154">
        <v>273.55599999999998</v>
      </c>
      <c r="V115" s="165">
        <v>2.0000000000000002E-5</v>
      </c>
      <c r="W115" s="165">
        <v>3.3085703296209398E-2</v>
      </c>
      <c r="X115" s="165">
        <v>9.4926019523416793E-3</v>
      </c>
    </row>
    <row r="116" spans="1:24">
      <c r="A116" s="5">
        <v>1182</v>
      </c>
      <c r="B116" s="5">
        <v>14769</v>
      </c>
      <c r="C116" s="5" t="s">
        <v>380</v>
      </c>
      <c r="D116" s="5" t="s">
        <v>381</v>
      </c>
      <c r="E116" s="5" t="s">
        <v>134</v>
      </c>
      <c r="F116" s="5" t="s">
        <v>815</v>
      </c>
      <c r="G116" s="5" t="s">
        <v>816</v>
      </c>
      <c r="H116" s="5" t="s">
        <v>137</v>
      </c>
      <c r="I116" s="5" t="s">
        <v>703</v>
      </c>
      <c r="J116" s="5" t="s">
        <v>30</v>
      </c>
      <c r="K116" s="5" t="s">
        <v>30</v>
      </c>
      <c r="L116" s="3" t="s">
        <v>139</v>
      </c>
      <c r="M116" s="3" t="s">
        <v>31</v>
      </c>
      <c r="N116" s="5" t="s">
        <v>285</v>
      </c>
      <c r="O116" s="5" t="s">
        <v>141</v>
      </c>
      <c r="P116" s="5" t="s">
        <v>34</v>
      </c>
      <c r="Q116" s="154">
        <v>5936</v>
      </c>
      <c r="R116" s="166">
        <v>1</v>
      </c>
      <c r="S116" s="168">
        <v>6529</v>
      </c>
      <c r="U116" s="154">
        <v>387.56099999999998</v>
      </c>
      <c r="V116" s="165">
        <v>3.9999999999999998E-6</v>
      </c>
      <c r="W116" s="165">
        <v>4.6874219769274902E-2</v>
      </c>
      <c r="X116" s="165">
        <v>1.3448658053682399E-2</v>
      </c>
    </row>
    <row r="117" spans="1:24">
      <c r="A117" s="5">
        <v>1182</v>
      </c>
      <c r="B117" s="5">
        <v>14769</v>
      </c>
      <c r="C117" s="5" t="s">
        <v>1023</v>
      </c>
      <c r="D117" s="5" t="s">
        <v>1024</v>
      </c>
      <c r="E117" s="5" t="s">
        <v>134</v>
      </c>
      <c r="F117" s="5" t="s">
        <v>1025</v>
      </c>
      <c r="G117" s="5" t="s">
        <v>1026</v>
      </c>
      <c r="H117" s="5" t="s">
        <v>137</v>
      </c>
      <c r="I117" s="5" t="s">
        <v>703</v>
      </c>
      <c r="J117" s="5" t="s">
        <v>30</v>
      </c>
      <c r="K117" s="5" t="s">
        <v>30</v>
      </c>
      <c r="L117" s="3" t="s">
        <v>139</v>
      </c>
      <c r="M117" s="3" t="s">
        <v>31</v>
      </c>
      <c r="N117" s="5" t="s">
        <v>734</v>
      </c>
      <c r="O117" s="5" t="s">
        <v>141</v>
      </c>
      <c r="P117" s="5" t="s">
        <v>34</v>
      </c>
      <c r="Q117" s="154">
        <v>49</v>
      </c>
      <c r="R117" s="166">
        <v>1</v>
      </c>
      <c r="S117" s="168">
        <v>27550</v>
      </c>
      <c r="U117" s="154">
        <v>13.499000000000001</v>
      </c>
      <c r="V117" s="165">
        <v>3.0000000000000001E-6</v>
      </c>
      <c r="W117" s="165">
        <v>1.6327179756978E-3</v>
      </c>
      <c r="X117" s="165">
        <v>4.6844226658793799E-4</v>
      </c>
    </row>
    <row r="118" spans="1:24">
      <c r="A118" s="5">
        <v>1182</v>
      </c>
      <c r="B118" s="5">
        <v>14769</v>
      </c>
      <c r="C118" s="5" t="s">
        <v>398</v>
      </c>
      <c r="D118" s="5" t="s">
        <v>399</v>
      </c>
      <c r="E118" s="5" t="s">
        <v>134</v>
      </c>
      <c r="F118" s="5" t="s">
        <v>817</v>
      </c>
      <c r="G118" s="5" t="s">
        <v>818</v>
      </c>
      <c r="H118" s="5" t="s">
        <v>137</v>
      </c>
      <c r="I118" s="5" t="s">
        <v>703</v>
      </c>
      <c r="J118" s="5" t="s">
        <v>30</v>
      </c>
      <c r="K118" s="5" t="s">
        <v>30</v>
      </c>
      <c r="L118" s="3" t="s">
        <v>139</v>
      </c>
      <c r="M118" s="3" t="s">
        <v>31</v>
      </c>
      <c r="N118" s="5" t="s">
        <v>186</v>
      </c>
      <c r="O118" s="5" t="s">
        <v>141</v>
      </c>
      <c r="P118" s="5" t="s">
        <v>34</v>
      </c>
      <c r="Q118" s="154">
        <v>5768</v>
      </c>
      <c r="R118" s="166">
        <v>1</v>
      </c>
      <c r="S118" s="168">
        <v>1292</v>
      </c>
      <c r="U118" s="154">
        <v>74.522999999999996</v>
      </c>
      <c r="V118" s="165">
        <v>7.9999999999999996E-6</v>
      </c>
      <c r="W118" s="165">
        <v>9.0132466615073202E-3</v>
      </c>
      <c r="X118" s="165">
        <v>2.5859859193551999E-3</v>
      </c>
    </row>
    <row r="119" spans="1:24">
      <c r="A119" s="5">
        <v>1182</v>
      </c>
      <c r="B119" s="5">
        <v>14769</v>
      </c>
      <c r="C119" s="5" t="s">
        <v>821</v>
      </c>
      <c r="D119" s="5" t="s">
        <v>822</v>
      </c>
      <c r="E119" s="5" t="s">
        <v>134</v>
      </c>
      <c r="F119" s="5" t="s">
        <v>823</v>
      </c>
      <c r="G119" s="5" t="s">
        <v>824</v>
      </c>
      <c r="H119" s="5" t="s">
        <v>137</v>
      </c>
      <c r="I119" s="5" t="s">
        <v>703</v>
      </c>
      <c r="J119" s="5" t="s">
        <v>30</v>
      </c>
      <c r="K119" s="5" t="s">
        <v>30</v>
      </c>
      <c r="L119" s="3" t="s">
        <v>139</v>
      </c>
      <c r="M119" s="3" t="s">
        <v>31</v>
      </c>
      <c r="N119" s="5" t="s">
        <v>285</v>
      </c>
      <c r="O119" s="5" t="s">
        <v>141</v>
      </c>
      <c r="P119" s="5" t="s">
        <v>34</v>
      </c>
      <c r="Q119" s="154">
        <v>387</v>
      </c>
      <c r="R119" s="166">
        <v>1</v>
      </c>
      <c r="S119" s="168">
        <v>21790</v>
      </c>
      <c r="U119" s="154">
        <v>84.326999999999998</v>
      </c>
      <c r="V119" s="165">
        <v>9.9999999999999995E-7</v>
      </c>
      <c r="W119" s="165">
        <v>1.01990961555659E-2</v>
      </c>
      <c r="X119" s="165">
        <v>2.9262173819208899E-3</v>
      </c>
    </row>
    <row r="120" spans="1:24">
      <c r="A120" s="5">
        <v>1182</v>
      </c>
      <c r="B120" s="5">
        <v>14769</v>
      </c>
      <c r="C120" s="5" t="s">
        <v>429</v>
      </c>
      <c r="D120" s="5" t="s">
        <v>430</v>
      </c>
      <c r="E120" s="5" t="s">
        <v>134</v>
      </c>
      <c r="F120" s="5" t="s">
        <v>830</v>
      </c>
      <c r="G120" s="5" t="s">
        <v>831</v>
      </c>
      <c r="H120" s="5" t="s">
        <v>137</v>
      </c>
      <c r="I120" s="5" t="s">
        <v>703</v>
      </c>
      <c r="J120" s="5" t="s">
        <v>30</v>
      </c>
      <c r="K120" s="5" t="s">
        <v>30</v>
      </c>
      <c r="L120" s="3" t="s">
        <v>139</v>
      </c>
      <c r="M120" s="3" t="s">
        <v>31</v>
      </c>
      <c r="N120" s="5" t="s">
        <v>186</v>
      </c>
      <c r="O120" s="5" t="s">
        <v>141</v>
      </c>
      <c r="P120" s="5" t="s">
        <v>34</v>
      </c>
      <c r="Q120" s="154">
        <v>260</v>
      </c>
      <c r="R120" s="166">
        <v>1</v>
      </c>
      <c r="S120" s="168">
        <v>40000</v>
      </c>
      <c r="U120" s="154">
        <v>104</v>
      </c>
      <c r="V120" s="165">
        <v>5.0000000000000004E-6</v>
      </c>
      <c r="W120" s="165">
        <v>1.2578441384686201E-2</v>
      </c>
      <c r="X120" s="165">
        <v>3.6088740860880401E-3</v>
      </c>
    </row>
    <row r="121" spans="1:24">
      <c r="A121" s="5">
        <v>1182</v>
      </c>
      <c r="B121" s="5">
        <v>14769</v>
      </c>
      <c r="C121" s="5" t="s">
        <v>832</v>
      </c>
      <c r="D121" s="5" t="s">
        <v>833</v>
      </c>
      <c r="E121" s="5" t="s">
        <v>134</v>
      </c>
      <c r="F121" s="5" t="s">
        <v>834</v>
      </c>
      <c r="G121" s="5" t="s">
        <v>835</v>
      </c>
      <c r="H121" s="5" t="s">
        <v>137</v>
      </c>
      <c r="I121" s="5" t="s">
        <v>703</v>
      </c>
      <c r="J121" s="5" t="s">
        <v>30</v>
      </c>
      <c r="K121" s="5" t="s">
        <v>30</v>
      </c>
      <c r="L121" s="3" t="s">
        <v>139</v>
      </c>
      <c r="M121" s="3" t="s">
        <v>31</v>
      </c>
      <c r="N121" s="5" t="s">
        <v>170</v>
      </c>
      <c r="O121" s="5" t="s">
        <v>141</v>
      </c>
      <c r="P121" s="5" t="s">
        <v>34</v>
      </c>
      <c r="Q121" s="154">
        <v>317</v>
      </c>
      <c r="R121" s="166">
        <v>1</v>
      </c>
      <c r="S121" s="168">
        <v>32500</v>
      </c>
      <c r="U121" s="154">
        <v>103.02500000000001</v>
      </c>
      <c r="V121" s="165">
        <v>5.0000000000000004E-6</v>
      </c>
      <c r="W121" s="165">
        <v>1.2460518496704801E-2</v>
      </c>
      <c r="X121" s="165">
        <v>3.57504089153097E-3</v>
      </c>
    </row>
    <row r="122" spans="1:24">
      <c r="A122" s="5">
        <v>1182</v>
      </c>
      <c r="B122" s="5">
        <v>14769</v>
      </c>
      <c r="C122" s="5" t="s">
        <v>467</v>
      </c>
      <c r="D122" s="5" t="s">
        <v>468</v>
      </c>
      <c r="E122" s="5" t="s">
        <v>366</v>
      </c>
      <c r="F122" s="5" t="s">
        <v>840</v>
      </c>
      <c r="G122" s="5" t="s">
        <v>841</v>
      </c>
      <c r="H122" s="5" t="s">
        <v>137</v>
      </c>
      <c r="I122" s="5" t="s">
        <v>703</v>
      </c>
      <c r="J122" s="5" t="s">
        <v>30</v>
      </c>
      <c r="K122" s="5" t="s">
        <v>224</v>
      </c>
      <c r="L122" s="3" t="s">
        <v>139</v>
      </c>
      <c r="M122" s="3" t="s">
        <v>31</v>
      </c>
      <c r="N122" s="5" t="s">
        <v>369</v>
      </c>
      <c r="O122" s="5" t="s">
        <v>141</v>
      </c>
      <c r="P122" s="5" t="s">
        <v>34</v>
      </c>
      <c r="Q122" s="154">
        <v>100</v>
      </c>
      <c r="R122" s="166">
        <v>1</v>
      </c>
      <c r="S122" s="168">
        <v>11190</v>
      </c>
      <c r="U122" s="154">
        <v>11.19</v>
      </c>
      <c r="V122" s="165">
        <v>9.9999999999999995E-7</v>
      </c>
      <c r="W122" s="165">
        <v>1.3533919143715299E-3</v>
      </c>
      <c r="X122" s="165">
        <v>3.8830097137812698E-4</v>
      </c>
    </row>
    <row r="123" spans="1:24">
      <c r="A123" s="5">
        <v>1182</v>
      </c>
      <c r="B123" s="5">
        <v>14769</v>
      </c>
      <c r="C123" s="5" t="s">
        <v>842</v>
      </c>
      <c r="D123" s="5" t="s">
        <v>843</v>
      </c>
      <c r="E123" s="5" t="s">
        <v>366</v>
      </c>
      <c r="F123" s="5" t="s">
        <v>844</v>
      </c>
      <c r="G123" s="5" t="s">
        <v>845</v>
      </c>
      <c r="H123" s="5" t="s">
        <v>137</v>
      </c>
      <c r="I123" s="5" t="s">
        <v>703</v>
      </c>
      <c r="J123" s="5" t="s">
        <v>30</v>
      </c>
      <c r="K123" s="5" t="s">
        <v>30</v>
      </c>
      <c r="L123" s="3" t="s">
        <v>139</v>
      </c>
      <c r="M123" s="3" t="s">
        <v>31</v>
      </c>
      <c r="N123" s="5" t="s">
        <v>369</v>
      </c>
      <c r="O123" s="5" t="s">
        <v>141</v>
      </c>
      <c r="P123" s="5" t="s">
        <v>34</v>
      </c>
      <c r="Q123" s="154">
        <v>5251</v>
      </c>
      <c r="R123" s="166">
        <v>1</v>
      </c>
      <c r="S123" s="168">
        <v>1744</v>
      </c>
      <c r="U123" s="154">
        <v>91.576999999999998</v>
      </c>
      <c r="V123" s="165">
        <v>3.9999999999999998E-6</v>
      </c>
      <c r="W123" s="165">
        <v>1.1075975588457901E-2</v>
      </c>
      <c r="X123" s="165">
        <v>3.1778024046757898E-3</v>
      </c>
    </row>
    <row r="124" spans="1:24">
      <c r="A124" s="5">
        <v>1182</v>
      </c>
      <c r="B124" s="5">
        <v>14769</v>
      </c>
      <c r="C124" s="5" t="s">
        <v>846</v>
      </c>
      <c r="D124" s="5" t="s">
        <v>847</v>
      </c>
      <c r="E124" s="5" t="s">
        <v>134</v>
      </c>
      <c r="F124" s="5" t="s">
        <v>848</v>
      </c>
      <c r="G124" s="5" t="s">
        <v>849</v>
      </c>
      <c r="H124" s="5" t="s">
        <v>137</v>
      </c>
      <c r="I124" s="5" t="s">
        <v>703</v>
      </c>
      <c r="J124" s="5" t="s">
        <v>30</v>
      </c>
      <c r="K124" s="5" t="s">
        <v>224</v>
      </c>
      <c r="L124" s="3" t="s">
        <v>139</v>
      </c>
      <c r="M124" s="3" t="s">
        <v>31</v>
      </c>
      <c r="N124" s="5" t="s">
        <v>480</v>
      </c>
      <c r="O124" s="5" t="s">
        <v>141</v>
      </c>
      <c r="P124" s="5" t="s">
        <v>34</v>
      </c>
      <c r="Q124" s="154">
        <v>239</v>
      </c>
      <c r="R124" s="166">
        <v>1</v>
      </c>
      <c r="S124" s="168">
        <v>48800</v>
      </c>
      <c r="U124" s="154">
        <v>116.63200000000001</v>
      </c>
      <c r="V124" s="165">
        <v>3.0000000000000001E-6</v>
      </c>
      <c r="W124" s="165">
        <v>1.41062382267185E-2</v>
      </c>
      <c r="X124" s="165">
        <v>4.0472134846982703E-3</v>
      </c>
    </row>
    <row r="125" spans="1:24">
      <c r="A125" s="5">
        <v>1182</v>
      </c>
      <c r="B125" s="5">
        <v>14769</v>
      </c>
      <c r="C125" s="5" t="s">
        <v>506</v>
      </c>
      <c r="D125" s="5" t="s">
        <v>507</v>
      </c>
      <c r="E125" s="5" t="s">
        <v>134</v>
      </c>
      <c r="F125" s="5" t="s">
        <v>850</v>
      </c>
      <c r="G125" s="5" t="s">
        <v>851</v>
      </c>
      <c r="H125" s="5" t="s">
        <v>137</v>
      </c>
      <c r="I125" s="5" t="s">
        <v>703</v>
      </c>
      <c r="J125" s="5" t="s">
        <v>30</v>
      </c>
      <c r="K125" s="5" t="s">
        <v>30</v>
      </c>
      <c r="L125" s="3" t="s">
        <v>139</v>
      </c>
      <c r="M125" s="3" t="s">
        <v>31</v>
      </c>
      <c r="N125" s="5" t="s">
        <v>186</v>
      </c>
      <c r="O125" s="5" t="s">
        <v>141</v>
      </c>
      <c r="P125" s="5" t="s">
        <v>34</v>
      </c>
      <c r="Q125" s="154">
        <v>707</v>
      </c>
      <c r="R125" s="166">
        <v>1</v>
      </c>
      <c r="S125" s="168">
        <v>32870</v>
      </c>
      <c r="U125" s="154">
        <v>232.39099999999999</v>
      </c>
      <c r="V125" s="165">
        <v>6.0000000000000002E-6</v>
      </c>
      <c r="W125" s="165">
        <v>2.8106878019081499E-2</v>
      </c>
      <c r="X125" s="165">
        <v>8.0641297774295892E-3</v>
      </c>
    </row>
    <row r="126" spans="1:24">
      <c r="A126" s="5">
        <v>1182</v>
      </c>
      <c r="B126" s="5">
        <v>14769</v>
      </c>
      <c r="C126" s="5" t="s">
        <v>522</v>
      </c>
      <c r="D126" s="5" t="s">
        <v>523</v>
      </c>
      <c r="E126" s="5" t="s">
        <v>134</v>
      </c>
      <c r="F126" s="5" t="s">
        <v>852</v>
      </c>
      <c r="G126" s="5" t="s">
        <v>853</v>
      </c>
      <c r="H126" s="5" t="s">
        <v>137</v>
      </c>
      <c r="I126" s="5" t="s">
        <v>703</v>
      </c>
      <c r="J126" s="5" t="s">
        <v>30</v>
      </c>
      <c r="K126" s="5" t="s">
        <v>30</v>
      </c>
      <c r="L126" s="3" t="s">
        <v>139</v>
      </c>
      <c r="M126" s="3" t="s">
        <v>31</v>
      </c>
      <c r="N126" s="5" t="s">
        <v>285</v>
      </c>
      <c r="O126" s="5" t="s">
        <v>141</v>
      </c>
      <c r="P126" s="5" t="s">
        <v>34</v>
      </c>
      <c r="Q126" s="154">
        <v>7491</v>
      </c>
      <c r="R126" s="166">
        <v>1</v>
      </c>
      <c r="S126" s="168">
        <v>6732</v>
      </c>
      <c r="U126" s="154">
        <v>504.29399999999998</v>
      </c>
      <c r="V126" s="165">
        <v>6.0000000000000002E-6</v>
      </c>
      <c r="W126" s="165">
        <v>6.0992634894826099E-2</v>
      </c>
      <c r="X126" s="165">
        <v>1.7499365206101701E-2</v>
      </c>
    </row>
    <row r="127" spans="1:24">
      <c r="A127" s="5">
        <v>1182</v>
      </c>
      <c r="B127" s="5">
        <v>14769</v>
      </c>
      <c r="C127" s="5" t="s">
        <v>644</v>
      </c>
      <c r="D127" s="5" t="s">
        <v>645</v>
      </c>
      <c r="E127" s="5" t="s">
        <v>134</v>
      </c>
      <c r="F127" s="5" t="s">
        <v>854</v>
      </c>
      <c r="G127" s="5" t="s">
        <v>855</v>
      </c>
      <c r="H127" s="5" t="s">
        <v>137</v>
      </c>
      <c r="I127" s="5" t="s">
        <v>703</v>
      </c>
      <c r="J127" s="5" t="s">
        <v>30</v>
      </c>
      <c r="K127" s="5" t="s">
        <v>30</v>
      </c>
      <c r="L127" s="3" t="s">
        <v>139</v>
      </c>
      <c r="M127" s="3" t="s">
        <v>31</v>
      </c>
      <c r="N127" s="5" t="s">
        <v>612</v>
      </c>
      <c r="O127" s="5" t="s">
        <v>141</v>
      </c>
      <c r="P127" s="5" t="s">
        <v>34</v>
      </c>
      <c r="Q127" s="154">
        <v>3445</v>
      </c>
      <c r="R127" s="166">
        <v>1</v>
      </c>
      <c r="S127" s="168">
        <v>3170</v>
      </c>
      <c r="U127" s="154">
        <v>109.20699999999999</v>
      </c>
      <c r="V127" s="165">
        <v>1.8E-5</v>
      </c>
      <c r="W127" s="165">
        <v>1.32081496065071E-2</v>
      </c>
      <c r="X127" s="165">
        <v>3.78954334502282E-3</v>
      </c>
    </row>
    <row r="128" spans="1:24">
      <c r="A128" s="5">
        <v>1182</v>
      </c>
      <c r="B128" s="5">
        <v>14769</v>
      </c>
      <c r="C128" s="5" t="s">
        <v>540</v>
      </c>
      <c r="D128" s="5" t="s">
        <v>541</v>
      </c>
      <c r="E128" s="5" t="s">
        <v>134</v>
      </c>
      <c r="F128" s="5" t="s">
        <v>856</v>
      </c>
      <c r="G128" s="5" t="s">
        <v>857</v>
      </c>
      <c r="H128" s="5" t="s">
        <v>137</v>
      </c>
      <c r="I128" s="5" t="s">
        <v>703</v>
      </c>
      <c r="J128" s="5" t="s">
        <v>30</v>
      </c>
      <c r="K128" s="5" t="s">
        <v>30</v>
      </c>
      <c r="L128" s="3" t="s">
        <v>139</v>
      </c>
      <c r="M128" s="3" t="s">
        <v>31</v>
      </c>
      <c r="N128" s="5" t="s">
        <v>544</v>
      </c>
      <c r="O128" s="5" t="s">
        <v>141</v>
      </c>
      <c r="P128" s="5" t="s">
        <v>34</v>
      </c>
      <c r="Q128" s="154">
        <v>79</v>
      </c>
      <c r="R128" s="166">
        <v>1</v>
      </c>
      <c r="S128" s="168">
        <v>55350</v>
      </c>
      <c r="U128" s="154">
        <v>43.726999999999997</v>
      </c>
      <c r="V128" s="165">
        <v>5.0000000000000004E-6</v>
      </c>
      <c r="W128" s="165">
        <v>5.2885693962257899E-3</v>
      </c>
      <c r="X128" s="165">
        <v>1.51734069928201E-3</v>
      </c>
    </row>
    <row r="129" spans="1:24">
      <c r="A129" s="5">
        <v>1182</v>
      </c>
      <c r="B129" s="5">
        <v>14769</v>
      </c>
      <c r="C129" s="5" t="s">
        <v>858</v>
      </c>
      <c r="D129" s="5" t="s">
        <v>859</v>
      </c>
      <c r="E129" s="5" t="s">
        <v>134</v>
      </c>
      <c r="F129" s="5" t="s">
        <v>860</v>
      </c>
      <c r="G129" s="5" t="s">
        <v>861</v>
      </c>
      <c r="H129" s="5" t="s">
        <v>137</v>
      </c>
      <c r="I129" s="5" t="s">
        <v>703</v>
      </c>
      <c r="J129" s="5" t="s">
        <v>30</v>
      </c>
      <c r="K129" s="5" t="s">
        <v>30</v>
      </c>
      <c r="L129" s="3" t="s">
        <v>139</v>
      </c>
      <c r="M129" s="3" t="s">
        <v>31</v>
      </c>
      <c r="N129" s="5" t="s">
        <v>718</v>
      </c>
      <c r="O129" s="5" t="s">
        <v>141</v>
      </c>
      <c r="P129" s="5" t="s">
        <v>34</v>
      </c>
      <c r="Q129" s="154">
        <v>291</v>
      </c>
      <c r="R129" s="166">
        <v>1</v>
      </c>
      <c r="S129" s="168">
        <v>875.3</v>
      </c>
      <c r="U129" s="154">
        <v>2.5470000000000002</v>
      </c>
      <c r="V129" s="165">
        <v>9.9999999999999995E-7</v>
      </c>
      <c r="W129" s="165">
        <v>3.0806574379890501E-4</v>
      </c>
      <c r="X129" s="165">
        <v>8.8386982584411802E-5</v>
      </c>
    </row>
    <row r="130" spans="1:24">
      <c r="A130" s="5">
        <v>1182</v>
      </c>
      <c r="B130" s="5">
        <v>14769</v>
      </c>
      <c r="C130" s="5" t="s">
        <v>866</v>
      </c>
      <c r="D130" s="5" t="s">
        <v>867</v>
      </c>
      <c r="E130" s="5" t="s">
        <v>134</v>
      </c>
      <c r="F130" s="5" t="s">
        <v>868</v>
      </c>
      <c r="G130" s="5" t="s">
        <v>869</v>
      </c>
      <c r="H130" s="5" t="s">
        <v>137</v>
      </c>
      <c r="I130" s="5" t="s">
        <v>703</v>
      </c>
      <c r="J130" s="5" t="s">
        <v>30</v>
      </c>
      <c r="K130" s="5" t="s">
        <v>30</v>
      </c>
      <c r="L130" s="3" t="s">
        <v>139</v>
      </c>
      <c r="M130" s="3" t="s">
        <v>31</v>
      </c>
      <c r="N130" s="5" t="s">
        <v>734</v>
      </c>
      <c r="O130" s="5" t="s">
        <v>141</v>
      </c>
      <c r="P130" s="5" t="s">
        <v>34</v>
      </c>
      <c r="Q130" s="154">
        <v>324</v>
      </c>
      <c r="R130" s="166">
        <v>1</v>
      </c>
      <c r="S130" s="168">
        <v>30530</v>
      </c>
      <c r="U130" s="154">
        <v>98.917000000000002</v>
      </c>
      <c r="V130" s="165">
        <v>2.4000000000000001E-5</v>
      </c>
      <c r="W130" s="165">
        <v>1.196369425132E-2</v>
      </c>
      <c r="X130" s="165">
        <v>3.4324973052729602E-3</v>
      </c>
    </row>
    <row r="131" spans="1:24">
      <c r="A131" s="5">
        <v>1182</v>
      </c>
      <c r="B131" s="5">
        <v>14769</v>
      </c>
      <c r="C131" s="5" t="s">
        <v>870</v>
      </c>
      <c r="D131" s="5" t="s">
        <v>871</v>
      </c>
      <c r="E131" s="5" t="s">
        <v>366</v>
      </c>
      <c r="F131" s="5" t="s">
        <v>872</v>
      </c>
      <c r="G131" s="5" t="s">
        <v>873</v>
      </c>
      <c r="H131" s="5" t="s">
        <v>137</v>
      </c>
      <c r="I131" s="5" t="s">
        <v>703</v>
      </c>
      <c r="J131" s="5" t="s">
        <v>30</v>
      </c>
      <c r="K131" s="5" t="s">
        <v>30</v>
      </c>
      <c r="L131" s="3" t="s">
        <v>139</v>
      </c>
      <c r="M131" s="3" t="s">
        <v>31</v>
      </c>
      <c r="N131" s="5" t="s">
        <v>369</v>
      </c>
      <c r="O131" s="5" t="s">
        <v>141</v>
      </c>
      <c r="P131" s="5" t="s">
        <v>34</v>
      </c>
      <c r="Q131" s="154">
        <v>10378</v>
      </c>
      <c r="R131" s="166">
        <v>1</v>
      </c>
      <c r="S131" s="168">
        <v>454.7</v>
      </c>
      <c r="U131" s="154">
        <v>47.189</v>
      </c>
      <c r="V131" s="165">
        <v>9.0000000000000002E-6</v>
      </c>
      <c r="W131" s="165">
        <v>5.7073185302564796E-3</v>
      </c>
      <c r="X131" s="165">
        <v>1.6374837958833899E-3</v>
      </c>
    </row>
    <row r="132" spans="1:24">
      <c r="A132" s="5">
        <v>1182</v>
      </c>
      <c r="B132" s="5">
        <v>14769</v>
      </c>
      <c r="C132" s="5" t="s">
        <v>874</v>
      </c>
      <c r="D132" s="5" t="s">
        <v>875</v>
      </c>
      <c r="E132" s="5" t="s">
        <v>134</v>
      </c>
      <c r="F132" s="5" t="s">
        <v>876</v>
      </c>
      <c r="G132" s="5" t="s">
        <v>877</v>
      </c>
      <c r="H132" s="5" t="s">
        <v>137</v>
      </c>
      <c r="I132" s="5" t="s">
        <v>703</v>
      </c>
      <c r="J132" s="5" t="s">
        <v>30</v>
      </c>
      <c r="K132" s="5" t="s">
        <v>30</v>
      </c>
      <c r="L132" s="3" t="s">
        <v>139</v>
      </c>
      <c r="M132" s="3" t="s">
        <v>31</v>
      </c>
      <c r="N132" s="5" t="s">
        <v>878</v>
      </c>
      <c r="O132" s="5" t="s">
        <v>141</v>
      </c>
      <c r="P132" s="5" t="s">
        <v>34</v>
      </c>
      <c r="Q132" s="154">
        <v>550</v>
      </c>
      <c r="R132" s="166">
        <v>1</v>
      </c>
      <c r="S132" s="168">
        <v>9361</v>
      </c>
      <c r="U132" s="154">
        <v>51.485999999999997</v>
      </c>
      <c r="V132" s="165">
        <v>5.0000000000000004E-6</v>
      </c>
      <c r="W132" s="165">
        <v>6.2269936914544398E-3</v>
      </c>
      <c r="X132" s="165">
        <v>1.78658352653159E-3</v>
      </c>
    </row>
    <row r="133" spans="1:24">
      <c r="A133" s="5">
        <v>1182</v>
      </c>
      <c r="B133" s="5">
        <v>14769</v>
      </c>
      <c r="C133" s="5" t="s">
        <v>879</v>
      </c>
      <c r="D133" s="5" t="s">
        <v>880</v>
      </c>
      <c r="E133" s="5" t="s">
        <v>134</v>
      </c>
      <c r="F133" s="5" t="s">
        <v>881</v>
      </c>
      <c r="G133" s="5" t="s">
        <v>882</v>
      </c>
      <c r="H133" s="5" t="s">
        <v>137</v>
      </c>
      <c r="I133" s="5" t="s">
        <v>703</v>
      </c>
      <c r="J133" s="5" t="s">
        <v>30</v>
      </c>
      <c r="K133" s="5" t="s">
        <v>30</v>
      </c>
      <c r="L133" s="3" t="s">
        <v>139</v>
      </c>
      <c r="M133" s="3" t="s">
        <v>31</v>
      </c>
      <c r="N133" s="5" t="s">
        <v>718</v>
      </c>
      <c r="O133" s="5" t="s">
        <v>141</v>
      </c>
      <c r="P133" s="5" t="s">
        <v>34</v>
      </c>
      <c r="Q133" s="154">
        <v>1649</v>
      </c>
      <c r="R133" s="166">
        <v>1</v>
      </c>
      <c r="S133" s="168">
        <v>2708</v>
      </c>
      <c r="U133" s="154">
        <v>44.655000000000001</v>
      </c>
      <c r="V133" s="165">
        <v>5.0000000000000004E-6</v>
      </c>
      <c r="W133" s="165">
        <v>5.4008585938254998E-3</v>
      </c>
      <c r="X133" s="165">
        <v>1.54955753465706E-3</v>
      </c>
    </row>
    <row r="134" spans="1:24">
      <c r="A134" s="5">
        <v>1182</v>
      </c>
      <c r="B134" s="5">
        <v>14769</v>
      </c>
      <c r="C134" s="5" t="s">
        <v>883</v>
      </c>
      <c r="D134" s="5" t="s">
        <v>884</v>
      </c>
      <c r="E134" s="5" t="s">
        <v>134</v>
      </c>
      <c r="F134" s="5" t="s">
        <v>885</v>
      </c>
      <c r="G134" s="5" t="s">
        <v>886</v>
      </c>
      <c r="H134" s="5" t="s">
        <v>137</v>
      </c>
      <c r="I134" s="5" t="s">
        <v>703</v>
      </c>
      <c r="J134" s="5" t="s">
        <v>30</v>
      </c>
      <c r="K134" s="5" t="s">
        <v>797</v>
      </c>
      <c r="L134" s="3" t="s">
        <v>139</v>
      </c>
      <c r="M134" s="3" t="s">
        <v>31</v>
      </c>
      <c r="N134" s="5" t="s">
        <v>887</v>
      </c>
      <c r="O134" s="5" t="s">
        <v>141</v>
      </c>
      <c r="P134" s="5" t="s">
        <v>34</v>
      </c>
      <c r="Q134" s="154">
        <v>255</v>
      </c>
      <c r="R134" s="166">
        <v>1</v>
      </c>
      <c r="S134" s="168">
        <v>13500</v>
      </c>
      <c r="U134" s="154">
        <v>34.424999999999997</v>
      </c>
      <c r="V134" s="165">
        <v>1.9000000000000001E-5</v>
      </c>
      <c r="W134" s="165">
        <v>4.1635850448829099E-3</v>
      </c>
      <c r="X134" s="165">
        <v>1.19457202320751E-3</v>
      </c>
    </row>
    <row r="135" spans="1:24">
      <c r="A135" s="5">
        <v>1182</v>
      </c>
      <c r="B135" s="5">
        <v>14769</v>
      </c>
      <c r="C135" s="5" t="s">
        <v>619</v>
      </c>
      <c r="D135" s="5" t="s">
        <v>620</v>
      </c>
      <c r="E135" s="5" t="s">
        <v>134</v>
      </c>
      <c r="F135" s="5" t="s">
        <v>888</v>
      </c>
      <c r="G135" s="5" t="s">
        <v>889</v>
      </c>
      <c r="H135" s="5" t="s">
        <v>137</v>
      </c>
      <c r="I135" s="5" t="s">
        <v>703</v>
      </c>
      <c r="J135" s="5" t="s">
        <v>30</v>
      </c>
      <c r="K135" s="5" t="s">
        <v>30</v>
      </c>
      <c r="L135" s="3" t="s">
        <v>139</v>
      </c>
      <c r="M135" s="3" t="s">
        <v>31</v>
      </c>
      <c r="N135" s="5" t="s">
        <v>555</v>
      </c>
      <c r="O135" s="5" t="s">
        <v>141</v>
      </c>
      <c r="P135" s="5" t="s">
        <v>34</v>
      </c>
      <c r="Q135" s="154">
        <v>276</v>
      </c>
      <c r="R135" s="166">
        <v>1</v>
      </c>
      <c r="S135" s="168">
        <v>16620</v>
      </c>
      <c r="U135" s="154">
        <v>45.871000000000002</v>
      </c>
      <c r="V135" s="165">
        <v>3.1999999999999999E-5</v>
      </c>
      <c r="W135" s="165">
        <v>5.5479634658194103E-3</v>
      </c>
      <c r="X135" s="165">
        <v>1.59176331709386E-3</v>
      </c>
    </row>
    <row r="136" spans="1:24">
      <c r="A136" s="5">
        <v>1182</v>
      </c>
      <c r="B136" s="5">
        <v>14769</v>
      </c>
      <c r="C136" s="5" t="s">
        <v>890</v>
      </c>
      <c r="D136" s="5" t="s">
        <v>891</v>
      </c>
      <c r="E136" s="5" t="s">
        <v>651</v>
      </c>
      <c r="F136" s="5" t="s">
        <v>892</v>
      </c>
      <c r="G136" s="5" t="s">
        <v>893</v>
      </c>
      <c r="H136" s="5" t="s">
        <v>137</v>
      </c>
      <c r="I136" s="5" t="s">
        <v>703</v>
      </c>
      <c r="J136" s="5" t="s">
        <v>572</v>
      </c>
      <c r="K136" s="5" t="s">
        <v>224</v>
      </c>
      <c r="L136" s="3" t="s">
        <v>139</v>
      </c>
      <c r="M136" s="3" t="s">
        <v>894</v>
      </c>
      <c r="N136" s="5" t="s">
        <v>895</v>
      </c>
      <c r="O136" s="5" t="s">
        <v>141</v>
      </c>
      <c r="P136" s="5" t="s">
        <v>664</v>
      </c>
      <c r="Q136" s="154">
        <v>144</v>
      </c>
      <c r="R136" s="166">
        <v>3.306</v>
      </c>
      <c r="S136" s="168">
        <v>12142</v>
      </c>
      <c r="U136" s="154">
        <v>57.804000000000002</v>
      </c>
      <c r="V136" s="165">
        <v>0</v>
      </c>
      <c r="W136" s="165">
        <v>6.9911570918519397E-3</v>
      </c>
      <c r="X136" s="165">
        <v>2.0058292509334201E-3</v>
      </c>
    </row>
    <row r="137" spans="1:24">
      <c r="A137" s="5">
        <v>1182</v>
      </c>
      <c r="B137" s="5">
        <v>14769</v>
      </c>
      <c r="C137" s="5" t="s">
        <v>896</v>
      </c>
      <c r="D137" s="5" t="s">
        <v>897</v>
      </c>
      <c r="E137" s="5" t="s">
        <v>651</v>
      </c>
      <c r="F137" s="5" t="s">
        <v>898</v>
      </c>
      <c r="G137" s="5" t="s">
        <v>899</v>
      </c>
      <c r="H137" s="5" t="s">
        <v>137</v>
      </c>
      <c r="I137" s="5" t="s">
        <v>703</v>
      </c>
      <c r="J137" s="5" t="s">
        <v>572</v>
      </c>
      <c r="K137" s="5" t="s">
        <v>224</v>
      </c>
      <c r="L137" s="3" t="s">
        <v>139</v>
      </c>
      <c r="M137" s="3" t="s">
        <v>894</v>
      </c>
      <c r="N137" s="5" t="s">
        <v>900</v>
      </c>
      <c r="O137" s="5" t="s">
        <v>141</v>
      </c>
      <c r="P137" s="5" t="s">
        <v>664</v>
      </c>
      <c r="Q137" s="154">
        <v>179</v>
      </c>
      <c r="R137" s="166">
        <v>3.306</v>
      </c>
      <c r="S137" s="168">
        <v>21957</v>
      </c>
      <c r="U137" s="154">
        <v>129.93600000000001</v>
      </c>
      <c r="V137" s="165">
        <v>0</v>
      </c>
      <c r="W137" s="165">
        <v>1.57152890400955E-2</v>
      </c>
      <c r="X137" s="165">
        <v>4.5088654180343796E-3</v>
      </c>
    </row>
    <row r="138" spans="1:24">
      <c r="A138" s="5">
        <v>1182</v>
      </c>
      <c r="B138" s="5">
        <v>14769</v>
      </c>
      <c r="C138" s="5" t="s">
        <v>901</v>
      </c>
      <c r="D138" s="5" t="s">
        <v>902</v>
      </c>
      <c r="E138" s="5" t="s">
        <v>651</v>
      </c>
      <c r="F138" s="5" t="s">
        <v>903</v>
      </c>
      <c r="G138" s="5" t="s">
        <v>904</v>
      </c>
      <c r="H138" s="5" t="s">
        <v>137</v>
      </c>
      <c r="I138" s="5" t="s">
        <v>703</v>
      </c>
      <c r="J138" s="5" t="s">
        <v>572</v>
      </c>
      <c r="K138" s="5" t="s">
        <v>224</v>
      </c>
      <c r="L138" s="3" t="s">
        <v>139</v>
      </c>
      <c r="M138" s="3" t="s">
        <v>894</v>
      </c>
      <c r="N138" s="5" t="s">
        <v>905</v>
      </c>
      <c r="O138" s="5" t="s">
        <v>141</v>
      </c>
      <c r="P138" s="5" t="s">
        <v>664</v>
      </c>
      <c r="Q138" s="154">
        <v>52</v>
      </c>
      <c r="R138" s="166">
        <v>3.306</v>
      </c>
      <c r="S138" s="168">
        <v>50274</v>
      </c>
      <c r="U138" s="154">
        <v>86.427000000000007</v>
      </c>
      <c r="V138" s="165">
        <v>0</v>
      </c>
      <c r="W138" s="165">
        <v>1.0453052332731499E-2</v>
      </c>
      <c r="X138" s="165">
        <v>2.9990798168399598E-3</v>
      </c>
    </row>
    <row r="139" spans="1:24">
      <c r="A139" s="5">
        <v>1182</v>
      </c>
      <c r="B139" s="5">
        <v>14769</v>
      </c>
      <c r="C139" s="5" t="s">
        <v>906</v>
      </c>
      <c r="D139" s="5" t="s">
        <v>907</v>
      </c>
      <c r="E139" s="5" t="s">
        <v>651</v>
      </c>
      <c r="F139" s="5" t="s">
        <v>908</v>
      </c>
      <c r="G139" s="5" t="s">
        <v>909</v>
      </c>
      <c r="H139" s="5" t="s">
        <v>137</v>
      </c>
      <c r="I139" s="5" t="s">
        <v>703</v>
      </c>
      <c r="J139" s="5" t="s">
        <v>572</v>
      </c>
      <c r="K139" s="5" t="s">
        <v>224</v>
      </c>
      <c r="L139" s="3" t="s">
        <v>139</v>
      </c>
      <c r="M139" s="3" t="s">
        <v>894</v>
      </c>
      <c r="N139" s="5" t="s">
        <v>655</v>
      </c>
      <c r="O139" s="5" t="s">
        <v>141</v>
      </c>
      <c r="P139" s="5" t="s">
        <v>664</v>
      </c>
      <c r="Q139" s="154">
        <v>99</v>
      </c>
      <c r="R139" s="166">
        <v>3.306</v>
      </c>
      <c r="S139" s="168">
        <v>14008</v>
      </c>
      <c r="U139" s="154">
        <v>45.847000000000001</v>
      </c>
      <c r="V139" s="165">
        <v>9.9999999999999995E-7</v>
      </c>
      <c r="W139" s="165">
        <v>5.5450781068258998E-3</v>
      </c>
      <c r="X139" s="165">
        <v>1.5909354802433101E-3</v>
      </c>
    </row>
    <row r="140" spans="1:24">
      <c r="A140" s="5">
        <v>1182</v>
      </c>
      <c r="B140" s="5">
        <v>14769</v>
      </c>
      <c r="C140" s="5" t="s">
        <v>915</v>
      </c>
      <c r="D140" s="5" t="s">
        <v>916</v>
      </c>
      <c r="E140" s="5" t="s">
        <v>651</v>
      </c>
      <c r="F140" s="5" t="s">
        <v>915</v>
      </c>
      <c r="G140" s="5" t="s">
        <v>917</v>
      </c>
      <c r="H140" s="5" t="s">
        <v>137</v>
      </c>
      <c r="I140" s="5" t="s">
        <v>703</v>
      </c>
      <c r="J140" s="5" t="s">
        <v>572</v>
      </c>
      <c r="K140" s="5" t="s">
        <v>797</v>
      </c>
      <c r="L140" s="3" t="s">
        <v>139</v>
      </c>
      <c r="M140" s="3" t="s">
        <v>894</v>
      </c>
      <c r="N140" s="5" t="s">
        <v>918</v>
      </c>
      <c r="O140" s="5" t="s">
        <v>141</v>
      </c>
      <c r="P140" s="5" t="s">
        <v>664</v>
      </c>
      <c r="Q140" s="154">
        <v>21</v>
      </c>
      <c r="R140" s="166">
        <v>3.306</v>
      </c>
      <c r="S140" s="168">
        <v>92563</v>
      </c>
      <c r="U140" s="154">
        <v>64.263000000000005</v>
      </c>
      <c r="V140" s="165">
        <v>0</v>
      </c>
      <c r="W140" s="165">
        <v>7.7723626620608104E-3</v>
      </c>
      <c r="X140" s="165">
        <v>2.22996453542636E-3</v>
      </c>
    </row>
    <row r="141" spans="1:24">
      <c r="A141" s="5">
        <v>1182</v>
      </c>
      <c r="B141" s="5">
        <v>14769</v>
      </c>
      <c r="C141" s="5" t="s">
        <v>919</v>
      </c>
      <c r="D141" s="5" t="s">
        <v>920</v>
      </c>
      <c r="E141" s="5" t="s">
        <v>651</v>
      </c>
      <c r="F141" s="5" t="s">
        <v>921</v>
      </c>
      <c r="G141" s="5" t="s">
        <v>922</v>
      </c>
      <c r="H141" s="5" t="s">
        <v>137</v>
      </c>
      <c r="I141" s="5" t="s">
        <v>703</v>
      </c>
      <c r="J141" s="5" t="s">
        <v>572</v>
      </c>
      <c r="K141" s="5" t="s">
        <v>224</v>
      </c>
      <c r="L141" s="3" t="s">
        <v>139</v>
      </c>
      <c r="M141" s="3" t="s">
        <v>914</v>
      </c>
      <c r="N141" s="5" t="s">
        <v>655</v>
      </c>
      <c r="O141" s="5" t="s">
        <v>141</v>
      </c>
      <c r="P141" s="5" t="s">
        <v>664</v>
      </c>
      <c r="Q141" s="154">
        <v>48</v>
      </c>
      <c r="R141" s="166">
        <v>3.306</v>
      </c>
      <c r="S141" s="168">
        <v>76300</v>
      </c>
      <c r="U141" s="154">
        <v>121.07899999999999</v>
      </c>
      <c r="V141" s="165">
        <v>0</v>
      </c>
      <c r="W141" s="165">
        <v>1.46440807694587E-2</v>
      </c>
      <c r="X141" s="165">
        <v>4.20152560935101E-3</v>
      </c>
    </row>
    <row r="142" spans="1:24">
      <c r="A142" s="5">
        <v>1182</v>
      </c>
      <c r="B142" s="5">
        <v>14769</v>
      </c>
      <c r="C142" s="5" t="s">
        <v>923</v>
      </c>
      <c r="D142" s="5" t="s">
        <v>924</v>
      </c>
      <c r="E142" s="5" t="s">
        <v>651</v>
      </c>
      <c r="F142" s="5" t="s">
        <v>925</v>
      </c>
      <c r="G142" s="5" t="s">
        <v>926</v>
      </c>
      <c r="H142" s="5" t="s">
        <v>137</v>
      </c>
      <c r="I142" s="5" t="s">
        <v>703</v>
      </c>
      <c r="J142" s="5" t="s">
        <v>572</v>
      </c>
      <c r="K142" s="5" t="s">
        <v>224</v>
      </c>
      <c r="L142" s="3" t="s">
        <v>139</v>
      </c>
      <c r="M142" s="3" t="s">
        <v>894</v>
      </c>
      <c r="N142" s="5" t="s">
        <v>927</v>
      </c>
      <c r="O142" s="5" t="s">
        <v>141</v>
      </c>
      <c r="P142" s="5" t="s">
        <v>664</v>
      </c>
      <c r="Q142" s="154">
        <v>884</v>
      </c>
      <c r="R142" s="166">
        <v>3.306</v>
      </c>
      <c r="S142" s="168">
        <v>5797</v>
      </c>
      <c r="U142" s="154">
        <v>169.41800000000001</v>
      </c>
      <c r="V142" s="165">
        <v>1.9999999999999999E-6</v>
      </c>
      <c r="W142" s="165">
        <v>2.0490469314921399E-2</v>
      </c>
      <c r="X142" s="165">
        <v>5.8789099110824897E-3</v>
      </c>
    </row>
    <row r="143" spans="1:24">
      <c r="A143" s="5">
        <v>1182</v>
      </c>
      <c r="B143" s="5">
        <v>14769</v>
      </c>
      <c r="C143" s="5" t="s">
        <v>928</v>
      </c>
      <c r="D143" s="5" t="s">
        <v>929</v>
      </c>
      <c r="E143" s="5" t="s">
        <v>651</v>
      </c>
      <c r="F143" s="5" t="s">
        <v>930</v>
      </c>
      <c r="G143" s="5" t="s">
        <v>931</v>
      </c>
      <c r="H143" s="5" t="s">
        <v>137</v>
      </c>
      <c r="I143" s="5" t="s">
        <v>703</v>
      </c>
      <c r="J143" s="5" t="s">
        <v>572</v>
      </c>
      <c r="K143" s="5" t="s">
        <v>224</v>
      </c>
      <c r="L143" s="3" t="s">
        <v>139</v>
      </c>
      <c r="M143" s="3" t="s">
        <v>894</v>
      </c>
      <c r="N143" s="5" t="s">
        <v>932</v>
      </c>
      <c r="O143" s="5" t="s">
        <v>141</v>
      </c>
      <c r="P143" s="5" t="s">
        <v>664</v>
      </c>
      <c r="Q143" s="154">
        <v>188</v>
      </c>
      <c r="R143" s="166">
        <v>3.306</v>
      </c>
      <c r="S143" s="168">
        <v>24355</v>
      </c>
      <c r="U143" s="154">
        <v>151.37299999999999</v>
      </c>
      <c r="V143" s="165">
        <v>0</v>
      </c>
      <c r="W143" s="165">
        <v>1.83080598466446E-2</v>
      </c>
      <c r="X143" s="165">
        <v>5.25275594379638E-3</v>
      </c>
    </row>
    <row r="144" spans="1:24">
      <c r="A144" s="5">
        <v>1182</v>
      </c>
      <c r="B144" s="5">
        <v>14769</v>
      </c>
      <c r="C144" s="5" t="s">
        <v>933</v>
      </c>
      <c r="D144" s="5" t="s">
        <v>934</v>
      </c>
      <c r="E144" s="5" t="s">
        <v>651</v>
      </c>
      <c r="F144" s="5" t="s">
        <v>935</v>
      </c>
      <c r="G144" s="5" t="s">
        <v>936</v>
      </c>
      <c r="H144" s="5" t="s">
        <v>137</v>
      </c>
      <c r="I144" s="5" t="s">
        <v>703</v>
      </c>
      <c r="J144" s="5" t="s">
        <v>572</v>
      </c>
      <c r="K144" s="5" t="s">
        <v>224</v>
      </c>
      <c r="L144" s="3" t="s">
        <v>139</v>
      </c>
      <c r="M144" s="3" t="s">
        <v>894</v>
      </c>
      <c r="N144" s="5" t="s">
        <v>937</v>
      </c>
      <c r="O144" s="5" t="s">
        <v>141</v>
      </c>
      <c r="P144" s="5" t="s">
        <v>664</v>
      </c>
      <c r="Q144" s="154">
        <v>1220</v>
      </c>
      <c r="R144" s="166">
        <v>3.306</v>
      </c>
      <c r="S144" s="168">
        <v>3355</v>
      </c>
      <c r="U144" s="154">
        <v>135.31800000000001</v>
      </c>
      <c r="V144" s="165">
        <v>0</v>
      </c>
      <c r="W144" s="165">
        <v>1.63662317052947E-2</v>
      </c>
      <c r="X144" s="165">
        <v>4.6956270400924597E-3</v>
      </c>
    </row>
    <row r="145" spans="1:24">
      <c r="A145" s="5">
        <v>1182</v>
      </c>
      <c r="B145" s="5">
        <v>14769</v>
      </c>
      <c r="C145" s="5" t="s">
        <v>938</v>
      </c>
      <c r="D145" s="5" t="s">
        <v>939</v>
      </c>
      <c r="E145" s="5" t="s">
        <v>651</v>
      </c>
      <c r="F145" s="5" t="s">
        <v>940</v>
      </c>
      <c r="G145" s="5" t="s">
        <v>941</v>
      </c>
      <c r="H145" s="5" t="s">
        <v>137</v>
      </c>
      <c r="I145" s="5" t="s">
        <v>703</v>
      </c>
      <c r="J145" s="5" t="s">
        <v>572</v>
      </c>
      <c r="K145" s="5" t="s">
        <v>942</v>
      </c>
      <c r="L145" s="3" t="s">
        <v>139</v>
      </c>
      <c r="M145" s="3" t="s">
        <v>498</v>
      </c>
      <c r="N145" s="5" t="s">
        <v>943</v>
      </c>
      <c r="O145" s="5" t="s">
        <v>141</v>
      </c>
      <c r="P145" s="5" t="s">
        <v>664</v>
      </c>
      <c r="Q145" s="154">
        <v>78.510000000000005</v>
      </c>
      <c r="R145" s="166">
        <v>3.306</v>
      </c>
      <c r="S145" s="168">
        <v>18175.669999999998</v>
      </c>
      <c r="U145" s="154">
        <v>47.176000000000002</v>
      </c>
      <c r="V145" s="165">
        <v>0</v>
      </c>
      <c r="W145" s="165">
        <v>5.7057369626580499E-3</v>
      </c>
      <c r="X145" s="165">
        <v>1.6370300291449801E-3</v>
      </c>
    </row>
    <row r="146" spans="1:24">
      <c r="A146" s="5">
        <v>1182</v>
      </c>
      <c r="B146" s="5">
        <v>14769</v>
      </c>
      <c r="C146" s="5" t="s">
        <v>944</v>
      </c>
      <c r="D146" s="5" t="s">
        <v>945</v>
      </c>
      <c r="E146" s="5" t="s">
        <v>651</v>
      </c>
      <c r="F146" s="5" t="s">
        <v>946</v>
      </c>
      <c r="G146" s="5" t="s">
        <v>947</v>
      </c>
      <c r="H146" s="5" t="s">
        <v>137</v>
      </c>
      <c r="I146" s="5" t="s">
        <v>703</v>
      </c>
      <c r="J146" s="5" t="s">
        <v>572</v>
      </c>
      <c r="K146" s="5" t="s">
        <v>224</v>
      </c>
      <c r="L146" s="3" t="s">
        <v>139</v>
      </c>
      <c r="M146" s="3" t="s">
        <v>894</v>
      </c>
      <c r="N146" s="5" t="s">
        <v>937</v>
      </c>
      <c r="O146" s="5" t="s">
        <v>141</v>
      </c>
      <c r="P146" s="5" t="s">
        <v>664</v>
      </c>
      <c r="Q146" s="154">
        <v>314</v>
      </c>
      <c r="R146" s="166">
        <v>3.306</v>
      </c>
      <c r="S146" s="168">
        <v>8407</v>
      </c>
      <c r="U146" s="154">
        <v>87.272000000000006</v>
      </c>
      <c r="V146" s="165">
        <v>0</v>
      </c>
      <c r="W146" s="165">
        <v>1.05552138289252E-2</v>
      </c>
      <c r="X146" s="165">
        <v>3.0283909186636002E-3</v>
      </c>
    </row>
    <row r="147" spans="1:24">
      <c r="A147" s="5">
        <v>1182</v>
      </c>
      <c r="B147" s="5">
        <v>14769</v>
      </c>
      <c r="C147" s="5" t="s">
        <v>948</v>
      </c>
      <c r="D147" s="5" t="s">
        <v>949</v>
      </c>
      <c r="E147" s="5" t="s">
        <v>651</v>
      </c>
      <c r="F147" s="5" t="s">
        <v>950</v>
      </c>
      <c r="G147" s="5" t="s">
        <v>951</v>
      </c>
      <c r="H147" s="5" t="s">
        <v>137</v>
      </c>
      <c r="I147" s="5" t="s">
        <v>703</v>
      </c>
      <c r="J147" s="5" t="s">
        <v>572</v>
      </c>
      <c r="K147" s="5" t="s">
        <v>224</v>
      </c>
      <c r="L147" s="3" t="s">
        <v>139</v>
      </c>
      <c r="M147" s="3" t="s">
        <v>914</v>
      </c>
      <c r="N147" s="5" t="s">
        <v>952</v>
      </c>
      <c r="O147" s="5" t="s">
        <v>141</v>
      </c>
      <c r="P147" s="5" t="s">
        <v>664</v>
      </c>
      <c r="Q147" s="154">
        <v>32</v>
      </c>
      <c r="R147" s="166">
        <v>3.306</v>
      </c>
      <c r="S147" s="168">
        <v>56881</v>
      </c>
      <c r="U147" s="154">
        <v>60.176000000000002</v>
      </c>
      <c r="V147" s="165">
        <v>0</v>
      </c>
      <c r="W147" s="165">
        <v>7.2780249737665397E-3</v>
      </c>
      <c r="X147" s="165">
        <v>2.0881343659719998E-3</v>
      </c>
    </row>
    <row r="148" spans="1:24">
      <c r="A148" s="5">
        <v>1182</v>
      </c>
      <c r="B148" s="5">
        <v>14769</v>
      </c>
      <c r="C148" s="5" t="s">
        <v>953</v>
      </c>
      <c r="D148" s="5" t="s">
        <v>954</v>
      </c>
      <c r="E148" s="5" t="s">
        <v>651</v>
      </c>
      <c r="F148" s="5" t="s">
        <v>955</v>
      </c>
      <c r="G148" s="5" t="s">
        <v>956</v>
      </c>
      <c r="H148" s="5" t="s">
        <v>137</v>
      </c>
      <c r="I148" s="5" t="s">
        <v>703</v>
      </c>
      <c r="J148" s="5" t="s">
        <v>572</v>
      </c>
      <c r="K148" s="5" t="s">
        <v>957</v>
      </c>
      <c r="L148" s="3" t="s">
        <v>139</v>
      </c>
      <c r="M148" s="3" t="s">
        <v>498</v>
      </c>
      <c r="N148" s="5" t="s">
        <v>958</v>
      </c>
      <c r="O148" s="5" t="s">
        <v>141</v>
      </c>
      <c r="P148" s="5" t="s">
        <v>664</v>
      </c>
      <c r="Q148" s="154">
        <v>15</v>
      </c>
      <c r="R148" s="166">
        <v>3.306</v>
      </c>
      <c r="S148" s="168">
        <v>233694</v>
      </c>
      <c r="U148" s="154">
        <v>115.889</v>
      </c>
      <c r="V148" s="165">
        <v>0</v>
      </c>
      <c r="W148" s="165">
        <v>1.4016357353120399E-2</v>
      </c>
      <c r="X148" s="165">
        <v>4.0214258099265897E-3</v>
      </c>
    </row>
    <row r="149" spans="1:24">
      <c r="A149" s="5">
        <v>1182</v>
      </c>
      <c r="B149" s="5">
        <v>14769</v>
      </c>
      <c r="C149" s="5" t="s">
        <v>959</v>
      </c>
      <c r="D149" s="5" t="s">
        <v>960</v>
      </c>
      <c r="E149" s="5" t="s">
        <v>651</v>
      </c>
      <c r="F149" s="5" t="s">
        <v>961</v>
      </c>
      <c r="G149" s="5" t="s">
        <v>962</v>
      </c>
      <c r="H149" s="5" t="s">
        <v>137</v>
      </c>
      <c r="I149" s="5" t="s">
        <v>703</v>
      </c>
      <c r="J149" s="5" t="s">
        <v>572</v>
      </c>
      <c r="K149" s="5" t="s">
        <v>224</v>
      </c>
      <c r="L149" s="3" t="s">
        <v>139</v>
      </c>
      <c r="M149" s="3" t="s">
        <v>894</v>
      </c>
      <c r="N149" s="5" t="s">
        <v>963</v>
      </c>
      <c r="O149" s="5" t="s">
        <v>141</v>
      </c>
      <c r="P149" s="5" t="s">
        <v>664</v>
      </c>
      <c r="Q149" s="154">
        <v>115</v>
      </c>
      <c r="R149" s="166">
        <v>3.306</v>
      </c>
      <c r="S149" s="168">
        <v>51795</v>
      </c>
      <c r="U149" s="154">
        <v>196.91900000000001</v>
      </c>
      <c r="V149" s="165">
        <v>0</v>
      </c>
      <c r="W149" s="165">
        <v>2.3816723677703999E-2</v>
      </c>
      <c r="X149" s="165">
        <v>6.8332438230882999E-3</v>
      </c>
    </row>
    <row r="150" spans="1:24">
      <c r="A150" s="5">
        <v>1182</v>
      </c>
      <c r="B150" s="5">
        <v>14769</v>
      </c>
      <c r="C150" s="5" t="s">
        <v>964</v>
      </c>
      <c r="D150" s="5" t="s">
        <v>965</v>
      </c>
      <c r="E150" s="5" t="s">
        <v>651</v>
      </c>
      <c r="F150" s="5" t="s">
        <v>964</v>
      </c>
      <c r="G150" s="5" t="s">
        <v>966</v>
      </c>
      <c r="H150" s="5" t="s">
        <v>137</v>
      </c>
      <c r="I150" s="5" t="s">
        <v>703</v>
      </c>
      <c r="J150" s="5" t="s">
        <v>572</v>
      </c>
      <c r="K150" s="5" t="s">
        <v>224</v>
      </c>
      <c r="L150" s="3" t="s">
        <v>139</v>
      </c>
      <c r="M150" s="3" t="s">
        <v>894</v>
      </c>
      <c r="N150" s="5" t="s">
        <v>655</v>
      </c>
      <c r="O150" s="5" t="s">
        <v>141</v>
      </c>
      <c r="P150" s="5" t="s">
        <v>664</v>
      </c>
      <c r="Q150" s="154">
        <v>167</v>
      </c>
      <c r="R150" s="166">
        <v>3.306</v>
      </c>
      <c r="S150" s="168">
        <v>2583</v>
      </c>
      <c r="U150" s="154">
        <v>14.260999999999999</v>
      </c>
      <c r="V150" s="165">
        <v>0</v>
      </c>
      <c r="W150" s="165">
        <v>1.72479393971016E-3</v>
      </c>
      <c r="X150" s="165">
        <v>4.9485973361054498E-4</v>
      </c>
    </row>
    <row r="151" spans="1:24">
      <c r="A151" s="5">
        <v>1182</v>
      </c>
      <c r="B151" s="5">
        <v>14769</v>
      </c>
      <c r="C151" s="5" t="s">
        <v>967</v>
      </c>
      <c r="D151" s="5" t="s">
        <v>968</v>
      </c>
      <c r="E151" s="5" t="s">
        <v>121</v>
      </c>
      <c r="F151" s="5" t="s">
        <v>969</v>
      </c>
      <c r="G151" s="5" t="s">
        <v>970</v>
      </c>
      <c r="H151" s="5" t="s">
        <v>137</v>
      </c>
      <c r="I151" s="5" t="s">
        <v>703</v>
      </c>
      <c r="J151" s="5" t="s">
        <v>572</v>
      </c>
      <c r="K151" s="5" t="s">
        <v>224</v>
      </c>
      <c r="L151" s="3" t="s">
        <v>139</v>
      </c>
      <c r="M151" s="3" t="s">
        <v>498</v>
      </c>
      <c r="N151" s="5" t="s">
        <v>971</v>
      </c>
      <c r="O151" s="5" t="s">
        <v>141</v>
      </c>
      <c r="P151" s="5" t="s">
        <v>664</v>
      </c>
      <c r="Q151" s="154">
        <v>163</v>
      </c>
      <c r="R151" s="166">
        <v>3.306</v>
      </c>
      <c r="S151" s="168">
        <v>14216</v>
      </c>
      <c r="U151" s="154">
        <v>76.606999999999999</v>
      </c>
      <c r="V151" s="165">
        <v>0</v>
      </c>
      <c r="W151" s="165">
        <v>9.2653399715038904E-3</v>
      </c>
      <c r="X151" s="165">
        <v>2.6583138800221301E-3</v>
      </c>
    </row>
    <row r="152" spans="1:24">
      <c r="A152" s="5">
        <v>1182</v>
      </c>
      <c r="B152" s="5">
        <v>14769</v>
      </c>
      <c r="C152" s="5" t="s">
        <v>972</v>
      </c>
      <c r="D152" s="5" t="s">
        <v>973</v>
      </c>
      <c r="E152" s="5" t="s">
        <v>651</v>
      </c>
      <c r="F152" s="5" t="s">
        <v>972</v>
      </c>
      <c r="G152" s="5" t="s">
        <v>974</v>
      </c>
      <c r="H152" s="5" t="s">
        <v>137</v>
      </c>
      <c r="I152" s="5" t="s">
        <v>703</v>
      </c>
      <c r="J152" s="5" t="s">
        <v>572</v>
      </c>
      <c r="K152" s="5" t="s">
        <v>224</v>
      </c>
      <c r="L152" s="3" t="s">
        <v>139</v>
      </c>
      <c r="M152" s="3" t="s">
        <v>914</v>
      </c>
      <c r="N152" s="5" t="s">
        <v>900</v>
      </c>
      <c r="O152" s="5" t="s">
        <v>141</v>
      </c>
      <c r="P152" s="5" t="s">
        <v>664</v>
      </c>
      <c r="Q152" s="154">
        <v>428</v>
      </c>
      <c r="R152" s="166">
        <v>3.306</v>
      </c>
      <c r="S152" s="168">
        <v>6973</v>
      </c>
      <c r="T152" s="153">
        <v>0.17100000000000001</v>
      </c>
      <c r="U152" s="154">
        <v>99.231999999999999</v>
      </c>
      <c r="V152" s="165">
        <v>0</v>
      </c>
      <c r="W152" s="165">
        <v>1.20017326481814E-2</v>
      </c>
      <c r="X152" s="165">
        <v>3.4434108819642998E-3</v>
      </c>
    </row>
    <row r="153" spans="1:24">
      <c r="A153" s="5">
        <v>1182</v>
      </c>
      <c r="B153" s="5">
        <v>14769</v>
      </c>
      <c r="C153" s="5" t="s">
        <v>975</v>
      </c>
      <c r="D153" s="5" t="s">
        <v>976</v>
      </c>
      <c r="E153" s="5" t="s">
        <v>651</v>
      </c>
      <c r="F153" s="5" t="s">
        <v>977</v>
      </c>
      <c r="G153" s="5" t="s">
        <v>978</v>
      </c>
      <c r="H153" s="5" t="s">
        <v>137</v>
      </c>
      <c r="I153" s="5" t="s">
        <v>703</v>
      </c>
      <c r="J153" s="5" t="s">
        <v>572</v>
      </c>
      <c r="K153" s="5" t="s">
        <v>224</v>
      </c>
      <c r="L153" s="3" t="s">
        <v>139</v>
      </c>
      <c r="M153" s="3" t="s">
        <v>914</v>
      </c>
      <c r="N153" s="5" t="s">
        <v>979</v>
      </c>
      <c r="O153" s="5" t="s">
        <v>141</v>
      </c>
      <c r="P153" s="5" t="s">
        <v>664</v>
      </c>
      <c r="Q153" s="154">
        <v>27</v>
      </c>
      <c r="R153" s="166">
        <v>3.306</v>
      </c>
      <c r="S153" s="168">
        <v>60932</v>
      </c>
      <c r="U153" s="154">
        <v>54.389000000000003</v>
      </c>
      <c r="V153" s="165">
        <v>0</v>
      </c>
      <c r="W153" s="165">
        <v>6.5781767406634297E-3</v>
      </c>
      <c r="X153" s="165">
        <v>1.8873412728217401E-3</v>
      </c>
    </row>
    <row r="154" spans="1:24">
      <c r="A154" s="5">
        <v>1182</v>
      </c>
      <c r="B154" s="5">
        <v>14769</v>
      </c>
      <c r="C154" s="5" t="s">
        <v>980</v>
      </c>
      <c r="D154" s="5" t="s">
        <v>981</v>
      </c>
      <c r="E154" s="5" t="s">
        <v>651</v>
      </c>
      <c r="F154" s="5" t="s">
        <v>982</v>
      </c>
      <c r="G154" s="5" t="s">
        <v>983</v>
      </c>
      <c r="H154" s="5" t="s">
        <v>137</v>
      </c>
      <c r="I154" s="5" t="s">
        <v>703</v>
      </c>
      <c r="J154" s="5" t="s">
        <v>572</v>
      </c>
      <c r="K154" s="5" t="s">
        <v>224</v>
      </c>
      <c r="L154" s="3" t="s">
        <v>139</v>
      </c>
      <c r="M154" s="3" t="s">
        <v>894</v>
      </c>
      <c r="N154" s="5" t="s">
        <v>937</v>
      </c>
      <c r="O154" s="5" t="s">
        <v>141</v>
      </c>
      <c r="P154" s="5" t="s">
        <v>664</v>
      </c>
      <c r="Q154" s="154">
        <v>235</v>
      </c>
      <c r="R154" s="166">
        <v>3.306</v>
      </c>
      <c r="S154" s="168">
        <v>18658</v>
      </c>
      <c r="T154" s="153">
        <v>2E-3</v>
      </c>
      <c r="U154" s="154">
        <v>144.964</v>
      </c>
      <c r="V154" s="165">
        <v>0</v>
      </c>
      <c r="W154" s="165">
        <v>1.7532852015938301E-2</v>
      </c>
      <c r="X154" s="165">
        <v>5.03034146762967E-3</v>
      </c>
    </row>
    <row r="155" spans="1:24">
      <c r="A155" s="5">
        <v>1182</v>
      </c>
      <c r="B155" s="5">
        <v>14769</v>
      </c>
      <c r="C155" s="5" t="s">
        <v>984</v>
      </c>
      <c r="D155" s="5" t="s">
        <v>985</v>
      </c>
      <c r="E155" s="5" t="s">
        <v>651</v>
      </c>
      <c r="F155" s="5" t="s">
        <v>984</v>
      </c>
      <c r="G155" s="5" t="s">
        <v>986</v>
      </c>
      <c r="H155" s="5" t="s">
        <v>137</v>
      </c>
      <c r="I155" s="5" t="s">
        <v>703</v>
      </c>
      <c r="J155" s="5" t="s">
        <v>572</v>
      </c>
      <c r="K155" s="5" t="s">
        <v>224</v>
      </c>
      <c r="L155" s="3" t="s">
        <v>139</v>
      </c>
      <c r="M155" s="3" t="s">
        <v>914</v>
      </c>
      <c r="N155" s="5" t="s">
        <v>987</v>
      </c>
      <c r="O155" s="5" t="s">
        <v>141</v>
      </c>
      <c r="P155" s="5" t="s">
        <v>664</v>
      </c>
      <c r="Q155" s="154">
        <v>132</v>
      </c>
      <c r="R155" s="166">
        <v>3.306</v>
      </c>
      <c r="S155" s="168">
        <v>28124</v>
      </c>
      <c r="U155" s="154">
        <v>122.73099999999999</v>
      </c>
      <c r="V155" s="165">
        <v>0</v>
      </c>
      <c r="W155" s="165">
        <v>1.48438774677681E-2</v>
      </c>
      <c r="X155" s="165">
        <v>4.25884917631476E-3</v>
      </c>
    </row>
    <row r="156" spans="1:24">
      <c r="A156" s="5">
        <v>1182</v>
      </c>
      <c r="B156" s="5">
        <v>14769</v>
      </c>
      <c r="C156" s="5" t="s">
        <v>991</v>
      </c>
      <c r="D156" s="5" t="s">
        <v>992</v>
      </c>
      <c r="E156" s="5" t="s">
        <v>651</v>
      </c>
      <c r="F156" s="5" t="s">
        <v>993</v>
      </c>
      <c r="G156" s="5" t="s">
        <v>994</v>
      </c>
      <c r="H156" s="5" t="s">
        <v>137</v>
      </c>
      <c r="I156" s="5" t="s">
        <v>703</v>
      </c>
      <c r="J156" s="5" t="s">
        <v>572</v>
      </c>
      <c r="K156" s="5" t="s">
        <v>224</v>
      </c>
      <c r="L156" s="3" t="s">
        <v>139</v>
      </c>
      <c r="M156" s="3" t="s">
        <v>914</v>
      </c>
      <c r="N156" s="5" t="s">
        <v>995</v>
      </c>
      <c r="O156" s="5" t="s">
        <v>141</v>
      </c>
      <c r="P156" s="5" t="s">
        <v>664</v>
      </c>
      <c r="Q156" s="154">
        <v>180</v>
      </c>
      <c r="R156" s="166">
        <v>3.306</v>
      </c>
      <c r="S156" s="168">
        <v>11452</v>
      </c>
      <c r="U156" s="154">
        <v>68.149000000000001</v>
      </c>
      <c r="V156" s="165">
        <v>0</v>
      </c>
      <c r="W156" s="165">
        <v>8.2423335340026799E-3</v>
      </c>
      <c r="X156" s="165">
        <v>2.36480363425399E-3</v>
      </c>
    </row>
    <row r="157" spans="1:24">
      <c r="A157" s="5">
        <v>1182</v>
      </c>
      <c r="B157" s="5">
        <v>14769</v>
      </c>
      <c r="C157" s="5" t="s">
        <v>996</v>
      </c>
      <c r="D157" s="5" t="s">
        <v>997</v>
      </c>
      <c r="E157" s="5" t="s">
        <v>651</v>
      </c>
      <c r="F157" s="5" t="s">
        <v>998</v>
      </c>
      <c r="G157" s="5" t="s">
        <v>999</v>
      </c>
      <c r="H157" s="5" t="s">
        <v>137</v>
      </c>
      <c r="I157" s="5" t="s">
        <v>703</v>
      </c>
      <c r="J157" s="5" t="s">
        <v>572</v>
      </c>
      <c r="K157" s="5" t="s">
        <v>1000</v>
      </c>
      <c r="L157" s="3" t="s">
        <v>139</v>
      </c>
      <c r="M157" s="3" t="s">
        <v>914</v>
      </c>
      <c r="N157" s="5" t="s">
        <v>937</v>
      </c>
      <c r="O157" s="5" t="s">
        <v>141</v>
      </c>
      <c r="P157" s="5" t="s">
        <v>664</v>
      </c>
      <c r="Q157" s="154">
        <v>181</v>
      </c>
      <c r="R157" s="166">
        <v>3.306</v>
      </c>
      <c r="S157" s="168">
        <v>27929</v>
      </c>
      <c r="T157" s="153">
        <v>0.11700000000000001</v>
      </c>
      <c r="U157" s="154">
        <v>167.50899999999999</v>
      </c>
      <c r="V157" s="165">
        <v>0</v>
      </c>
      <c r="W157" s="165">
        <v>2.0259620936788101E-2</v>
      </c>
      <c r="X157" s="165">
        <v>5.8126773227846398E-3</v>
      </c>
    </row>
    <row r="158" spans="1:24">
      <c r="A158" s="5">
        <v>1182</v>
      </c>
      <c r="B158" s="5">
        <v>14769</v>
      </c>
      <c r="C158" s="5" t="s">
        <v>1001</v>
      </c>
      <c r="E158" s="5" t="s">
        <v>498</v>
      </c>
      <c r="F158" s="5" t="s">
        <v>1002</v>
      </c>
      <c r="G158" s="5" t="s">
        <v>886</v>
      </c>
      <c r="H158" s="5" t="s">
        <v>137</v>
      </c>
      <c r="I158" s="5" t="s">
        <v>703</v>
      </c>
      <c r="J158" s="5" t="s">
        <v>572</v>
      </c>
      <c r="K158" s="5" t="s">
        <v>224</v>
      </c>
      <c r="L158" s="3" t="s">
        <v>139</v>
      </c>
      <c r="M158" s="3" t="s">
        <v>498</v>
      </c>
      <c r="N158" s="5" t="s">
        <v>927</v>
      </c>
      <c r="O158" s="5" t="s">
        <v>141</v>
      </c>
      <c r="P158" s="5" t="s">
        <v>664</v>
      </c>
      <c r="Q158" s="154">
        <v>440</v>
      </c>
      <c r="R158" s="166">
        <v>3.306</v>
      </c>
      <c r="S158" s="168">
        <v>4403</v>
      </c>
      <c r="U158" s="154">
        <v>64.048000000000002</v>
      </c>
      <c r="V158" s="165">
        <v>0</v>
      </c>
      <c r="W158" s="165">
        <v>7.7463604620707002E-3</v>
      </c>
      <c r="X158" s="165">
        <v>2.2225042577293302E-3</v>
      </c>
    </row>
    <row r="159" spans="1:24">
      <c r="A159" s="5">
        <v>1182</v>
      </c>
      <c r="B159" s="5">
        <v>14769</v>
      </c>
      <c r="C159" s="5" t="s">
        <v>1003</v>
      </c>
      <c r="D159" s="5" t="s">
        <v>1004</v>
      </c>
      <c r="E159" s="5" t="s">
        <v>651</v>
      </c>
      <c r="F159" s="5" t="s">
        <v>1005</v>
      </c>
      <c r="G159" s="5" t="s">
        <v>1006</v>
      </c>
      <c r="H159" s="5" t="s">
        <v>137</v>
      </c>
      <c r="I159" s="5" t="s">
        <v>703</v>
      </c>
      <c r="J159" s="5" t="s">
        <v>572</v>
      </c>
      <c r="K159" s="5" t="s">
        <v>224</v>
      </c>
      <c r="L159" s="3" t="s">
        <v>139</v>
      </c>
      <c r="M159" s="3" t="s">
        <v>914</v>
      </c>
      <c r="N159" s="5" t="s">
        <v>663</v>
      </c>
      <c r="O159" s="5" t="s">
        <v>141</v>
      </c>
      <c r="P159" s="5" t="s">
        <v>664</v>
      </c>
      <c r="Q159" s="154">
        <v>247</v>
      </c>
      <c r="R159" s="166">
        <v>3.306</v>
      </c>
      <c r="S159" s="168">
        <v>9797</v>
      </c>
      <c r="U159" s="154">
        <v>80.001000000000005</v>
      </c>
      <c r="V159" s="165">
        <v>0</v>
      </c>
      <c r="W159" s="165">
        <v>9.6757892766223107E-3</v>
      </c>
      <c r="X159" s="165">
        <v>2.7760756770201299E-3</v>
      </c>
    </row>
    <row r="160" spans="1:24">
      <c r="A160" s="5">
        <v>1182</v>
      </c>
      <c r="B160" s="5">
        <v>14769</v>
      </c>
      <c r="C160" s="5" t="s">
        <v>1007</v>
      </c>
      <c r="D160" s="5" t="s">
        <v>1008</v>
      </c>
      <c r="E160" s="5" t="s">
        <v>651</v>
      </c>
      <c r="F160" s="5" t="s">
        <v>1009</v>
      </c>
      <c r="G160" s="5" t="s">
        <v>1010</v>
      </c>
      <c r="H160" s="5" t="s">
        <v>137</v>
      </c>
      <c r="I160" s="5" t="s">
        <v>703</v>
      </c>
      <c r="J160" s="5" t="s">
        <v>572</v>
      </c>
      <c r="K160" s="5" t="s">
        <v>224</v>
      </c>
      <c r="L160" s="3" t="s">
        <v>139</v>
      </c>
      <c r="M160" s="3" t="s">
        <v>914</v>
      </c>
      <c r="N160" s="5" t="s">
        <v>905</v>
      </c>
      <c r="O160" s="5" t="s">
        <v>141</v>
      </c>
      <c r="P160" s="5" t="s">
        <v>664</v>
      </c>
      <c r="Q160" s="154">
        <v>56</v>
      </c>
      <c r="R160" s="166">
        <v>3.306</v>
      </c>
      <c r="S160" s="168">
        <v>34138</v>
      </c>
      <c r="U160" s="154">
        <v>63.201999999999998</v>
      </c>
      <c r="V160" s="165">
        <v>0</v>
      </c>
      <c r="W160" s="165">
        <v>7.6440310291709702E-3</v>
      </c>
      <c r="X160" s="165">
        <v>2.19314497327255E-3</v>
      </c>
    </row>
    <row r="161" spans="1:24">
      <c r="A161" s="5">
        <v>12904</v>
      </c>
      <c r="B161" s="5">
        <v>12905</v>
      </c>
      <c r="C161" s="5" t="s">
        <v>1011</v>
      </c>
      <c r="D161" s="5" t="s">
        <v>1012</v>
      </c>
      <c r="E161" s="5" t="s">
        <v>134</v>
      </c>
      <c r="F161" s="5" t="s">
        <v>1013</v>
      </c>
      <c r="G161" s="5" t="s">
        <v>1014</v>
      </c>
      <c r="H161" s="5" t="s">
        <v>137</v>
      </c>
      <c r="I161" s="5" t="s">
        <v>703</v>
      </c>
      <c r="J161" s="5" t="s">
        <v>30</v>
      </c>
      <c r="K161" s="5" t="s">
        <v>30</v>
      </c>
      <c r="L161" s="3" t="s">
        <v>139</v>
      </c>
      <c r="M161" s="3" t="s">
        <v>31</v>
      </c>
      <c r="N161" s="5" t="s">
        <v>829</v>
      </c>
      <c r="O161" s="5" t="s">
        <v>141</v>
      </c>
      <c r="P161" s="5" t="s">
        <v>34</v>
      </c>
      <c r="Q161" s="154">
        <v>13766</v>
      </c>
      <c r="R161" s="166">
        <v>1</v>
      </c>
      <c r="S161" s="168">
        <v>405.3</v>
      </c>
      <c r="U161" s="154">
        <v>55.793999999999997</v>
      </c>
      <c r="V161" s="165">
        <v>1.13E-4</v>
      </c>
      <c r="W161" s="165">
        <v>6.0840988209637297E-3</v>
      </c>
      <c r="X161" s="165">
        <v>1.15729687933752E-3</v>
      </c>
    </row>
    <row r="162" spans="1:24">
      <c r="A162" s="5">
        <v>12904</v>
      </c>
      <c r="B162" s="5">
        <v>12905</v>
      </c>
      <c r="C162" s="5" t="s">
        <v>147</v>
      </c>
      <c r="D162" s="5" t="s">
        <v>148</v>
      </c>
      <c r="E162" s="5" t="s">
        <v>134</v>
      </c>
      <c r="F162" s="5" t="s">
        <v>701</v>
      </c>
      <c r="G162" s="5" t="s">
        <v>702</v>
      </c>
      <c r="H162" s="5" t="s">
        <v>137</v>
      </c>
      <c r="I162" s="5" t="s">
        <v>703</v>
      </c>
      <c r="J162" s="5" t="s">
        <v>30</v>
      </c>
      <c r="K162" s="5" t="s">
        <v>30</v>
      </c>
      <c r="L162" s="3" t="s">
        <v>139</v>
      </c>
      <c r="M162" s="3" t="s">
        <v>31</v>
      </c>
      <c r="N162" s="5" t="s">
        <v>151</v>
      </c>
      <c r="O162" s="5" t="s">
        <v>141</v>
      </c>
      <c r="P162" s="5" t="s">
        <v>34</v>
      </c>
      <c r="Q162" s="154">
        <v>1248</v>
      </c>
      <c r="R162" s="166">
        <v>1</v>
      </c>
      <c r="S162" s="168">
        <v>5239</v>
      </c>
      <c r="U162" s="154">
        <v>65.382999999999996</v>
      </c>
      <c r="V162" s="165">
        <v>3.9999999999999998E-6</v>
      </c>
      <c r="W162" s="165">
        <v>7.1297593975459704E-3</v>
      </c>
      <c r="X162" s="165">
        <v>1.3561989283895799E-3</v>
      </c>
    </row>
    <row r="163" spans="1:24">
      <c r="A163" s="5">
        <v>12904</v>
      </c>
      <c r="B163" s="5">
        <v>12905</v>
      </c>
      <c r="C163" s="5" t="s">
        <v>704</v>
      </c>
      <c r="D163" s="5" t="s">
        <v>705</v>
      </c>
      <c r="E163" s="5" t="s">
        <v>651</v>
      </c>
      <c r="F163" s="5" t="s">
        <v>706</v>
      </c>
      <c r="G163" s="5" t="s">
        <v>707</v>
      </c>
      <c r="H163" s="5" t="s">
        <v>137</v>
      </c>
      <c r="I163" s="5" t="s">
        <v>703</v>
      </c>
      <c r="J163" s="5" t="s">
        <v>30</v>
      </c>
      <c r="K163" s="5" t="s">
        <v>224</v>
      </c>
      <c r="L163" s="3" t="s">
        <v>139</v>
      </c>
      <c r="M163" s="3" t="s">
        <v>31</v>
      </c>
      <c r="N163" s="5" t="s">
        <v>220</v>
      </c>
      <c r="O163" s="5" t="s">
        <v>141</v>
      </c>
      <c r="P163" s="5" t="s">
        <v>34</v>
      </c>
      <c r="Q163" s="154">
        <v>452</v>
      </c>
      <c r="R163" s="166">
        <v>1</v>
      </c>
      <c r="S163" s="168">
        <v>31800</v>
      </c>
      <c r="U163" s="154">
        <v>143.73599999999999</v>
      </c>
      <c r="V163" s="165">
        <v>7.9999999999999996E-6</v>
      </c>
      <c r="W163" s="165">
        <v>1.56739134860964E-2</v>
      </c>
      <c r="X163" s="165">
        <v>2.9814392728079401E-3</v>
      </c>
    </row>
    <row r="164" spans="1:24">
      <c r="A164" s="5">
        <v>12904</v>
      </c>
      <c r="B164" s="5">
        <v>12905</v>
      </c>
      <c r="C164" s="5" t="s">
        <v>176</v>
      </c>
      <c r="D164" s="5" t="s">
        <v>177</v>
      </c>
      <c r="E164" s="5" t="s">
        <v>134</v>
      </c>
      <c r="F164" s="5" t="s">
        <v>708</v>
      </c>
      <c r="G164" s="5" t="s">
        <v>709</v>
      </c>
      <c r="H164" s="5" t="s">
        <v>137</v>
      </c>
      <c r="I164" s="5" t="s">
        <v>703</v>
      </c>
      <c r="J164" s="5" t="s">
        <v>30</v>
      </c>
      <c r="K164" s="5" t="s">
        <v>30</v>
      </c>
      <c r="L164" s="3" t="s">
        <v>139</v>
      </c>
      <c r="M164" s="3" t="s">
        <v>31</v>
      </c>
      <c r="N164" s="5" t="s">
        <v>140</v>
      </c>
      <c r="O164" s="5" t="s">
        <v>141</v>
      </c>
      <c r="P164" s="5" t="s">
        <v>34</v>
      </c>
      <c r="Q164" s="154">
        <v>8547</v>
      </c>
      <c r="R164" s="166">
        <v>1</v>
      </c>
      <c r="S164" s="168">
        <v>2070</v>
      </c>
      <c r="U164" s="154">
        <v>176.923</v>
      </c>
      <c r="V164" s="165">
        <v>6.0000000000000002E-6</v>
      </c>
      <c r="W164" s="165">
        <v>1.9292830107344699E-2</v>
      </c>
      <c r="X164" s="165">
        <v>3.6698174592243601E-3</v>
      </c>
    </row>
    <row r="165" spans="1:24">
      <c r="A165" s="5">
        <v>12904</v>
      </c>
      <c r="B165" s="5">
        <v>12905</v>
      </c>
      <c r="C165" s="5" t="s">
        <v>710</v>
      </c>
      <c r="D165" s="5" t="s">
        <v>711</v>
      </c>
      <c r="E165" s="5" t="s">
        <v>134</v>
      </c>
      <c r="F165" s="5" t="s">
        <v>712</v>
      </c>
      <c r="G165" s="5" t="s">
        <v>713</v>
      </c>
      <c r="H165" s="5" t="s">
        <v>137</v>
      </c>
      <c r="I165" s="5" t="s">
        <v>703</v>
      </c>
      <c r="J165" s="5" t="s">
        <v>30</v>
      </c>
      <c r="K165" s="5" t="s">
        <v>30</v>
      </c>
      <c r="L165" s="3" t="s">
        <v>139</v>
      </c>
      <c r="M165" s="3" t="s">
        <v>31</v>
      </c>
      <c r="N165" s="5" t="s">
        <v>170</v>
      </c>
      <c r="O165" s="5" t="s">
        <v>141</v>
      </c>
      <c r="P165" s="5" t="s">
        <v>34</v>
      </c>
      <c r="Q165" s="154">
        <v>516</v>
      </c>
      <c r="R165" s="166">
        <v>1</v>
      </c>
      <c r="S165" s="168">
        <v>20440</v>
      </c>
      <c r="U165" s="154">
        <v>105.47</v>
      </c>
      <c r="V165" s="165">
        <v>3.4999999999999997E-5</v>
      </c>
      <c r="W165" s="165">
        <v>1.1501182201703E-2</v>
      </c>
      <c r="X165" s="165">
        <v>2.1877163179632301E-3</v>
      </c>
    </row>
    <row r="166" spans="1:24">
      <c r="A166" s="5">
        <v>12904</v>
      </c>
      <c r="B166" s="5">
        <v>12905</v>
      </c>
      <c r="C166" s="5" t="s">
        <v>714</v>
      </c>
      <c r="D166" s="5" t="s">
        <v>715</v>
      </c>
      <c r="E166" s="5" t="s">
        <v>134</v>
      </c>
      <c r="F166" s="5" t="s">
        <v>716</v>
      </c>
      <c r="G166" s="5" t="s">
        <v>717</v>
      </c>
      <c r="H166" s="5" t="s">
        <v>137</v>
      </c>
      <c r="I166" s="5" t="s">
        <v>703</v>
      </c>
      <c r="J166" s="5" t="s">
        <v>30</v>
      </c>
      <c r="K166" s="5" t="s">
        <v>30</v>
      </c>
      <c r="L166" s="3" t="s">
        <v>139</v>
      </c>
      <c r="M166" s="3" t="s">
        <v>31</v>
      </c>
      <c r="N166" s="5" t="s">
        <v>718</v>
      </c>
      <c r="O166" s="5" t="s">
        <v>141</v>
      </c>
      <c r="P166" s="5" t="s">
        <v>34</v>
      </c>
      <c r="Q166" s="154">
        <v>600</v>
      </c>
      <c r="R166" s="166">
        <v>1</v>
      </c>
      <c r="S166" s="168">
        <v>2180</v>
      </c>
      <c r="U166" s="154">
        <v>13.08</v>
      </c>
      <c r="V166" s="165">
        <v>3.9999999999999998E-6</v>
      </c>
      <c r="W166" s="165">
        <v>1.4263287443517399E-3</v>
      </c>
      <c r="X166" s="165">
        <v>2.7131147164473698E-4</v>
      </c>
    </row>
    <row r="167" spans="1:24">
      <c r="A167" s="5">
        <v>12904</v>
      </c>
      <c r="B167" s="5">
        <v>12905</v>
      </c>
      <c r="C167" s="5" t="s">
        <v>723</v>
      </c>
      <c r="D167" s="5" t="s">
        <v>724</v>
      </c>
      <c r="E167" s="5" t="s">
        <v>134</v>
      </c>
      <c r="F167" s="5" t="s">
        <v>725</v>
      </c>
      <c r="G167" s="5" t="s">
        <v>726</v>
      </c>
      <c r="H167" s="5" t="s">
        <v>137</v>
      </c>
      <c r="I167" s="5" t="s">
        <v>703</v>
      </c>
      <c r="J167" s="5" t="s">
        <v>30</v>
      </c>
      <c r="K167" s="5" t="s">
        <v>30</v>
      </c>
      <c r="L167" s="3" t="s">
        <v>139</v>
      </c>
      <c r="M167" s="3" t="s">
        <v>31</v>
      </c>
      <c r="N167" s="5" t="s">
        <v>727</v>
      </c>
      <c r="O167" s="5" t="s">
        <v>141</v>
      </c>
      <c r="P167" s="5" t="s">
        <v>34</v>
      </c>
      <c r="Q167" s="154">
        <v>59</v>
      </c>
      <c r="R167" s="166">
        <v>1</v>
      </c>
      <c r="S167" s="168">
        <v>167700</v>
      </c>
      <c r="U167" s="154">
        <v>98.942999999999998</v>
      </c>
      <c r="V167" s="165">
        <v>9.9999999999999995E-7</v>
      </c>
      <c r="W167" s="165">
        <v>1.07893918159323E-2</v>
      </c>
      <c r="X167" s="165">
        <v>2.0523219372282201E-3</v>
      </c>
    </row>
    <row r="168" spans="1:24">
      <c r="A168" s="5">
        <v>12904</v>
      </c>
      <c r="B168" s="5">
        <v>12905</v>
      </c>
      <c r="C168" s="5" t="s">
        <v>195</v>
      </c>
      <c r="D168" s="5" t="s">
        <v>196</v>
      </c>
      <c r="E168" s="5" t="s">
        <v>134</v>
      </c>
      <c r="F168" s="5" t="s">
        <v>728</v>
      </c>
      <c r="G168" s="5" t="s">
        <v>729</v>
      </c>
      <c r="H168" s="5" t="s">
        <v>137</v>
      </c>
      <c r="I168" s="5" t="s">
        <v>703</v>
      </c>
      <c r="J168" s="5" t="s">
        <v>30</v>
      </c>
      <c r="K168" s="5" t="s">
        <v>30</v>
      </c>
      <c r="L168" s="3" t="s">
        <v>139</v>
      </c>
      <c r="M168" s="3" t="s">
        <v>31</v>
      </c>
      <c r="N168" s="5" t="s">
        <v>199</v>
      </c>
      <c r="O168" s="5" t="s">
        <v>141</v>
      </c>
      <c r="P168" s="5" t="s">
        <v>34</v>
      </c>
      <c r="Q168" s="154">
        <v>21</v>
      </c>
      <c r="R168" s="166">
        <v>1</v>
      </c>
      <c r="S168" s="168">
        <v>192960</v>
      </c>
      <c r="T168" s="153">
        <v>0.25800000000000001</v>
      </c>
      <c r="U168" s="154">
        <v>40.779000000000003</v>
      </c>
      <c r="V168" s="165">
        <v>5.0000000000000004E-6</v>
      </c>
      <c r="W168" s="165">
        <v>4.4468372103511501E-3</v>
      </c>
      <c r="X168" s="165">
        <v>8.4586246507517896E-4</v>
      </c>
    </row>
    <row r="169" spans="1:24">
      <c r="A169" s="5">
        <v>12904</v>
      </c>
      <c r="B169" s="5">
        <v>12905</v>
      </c>
      <c r="C169" s="5" t="s">
        <v>730</v>
      </c>
      <c r="D169" s="5" t="s">
        <v>731</v>
      </c>
      <c r="E169" s="5" t="s">
        <v>134</v>
      </c>
      <c r="F169" s="5" t="s">
        <v>732</v>
      </c>
      <c r="G169" s="5" t="s">
        <v>733</v>
      </c>
      <c r="H169" s="5" t="s">
        <v>137</v>
      </c>
      <c r="I169" s="5" t="s">
        <v>703</v>
      </c>
      <c r="J169" s="5" t="s">
        <v>30</v>
      </c>
      <c r="K169" s="5" t="s">
        <v>30</v>
      </c>
      <c r="L169" s="3" t="s">
        <v>139</v>
      </c>
      <c r="M169" s="3" t="s">
        <v>31</v>
      </c>
      <c r="N169" s="5" t="s">
        <v>734</v>
      </c>
      <c r="O169" s="5" t="s">
        <v>141</v>
      </c>
      <c r="P169" s="5" t="s">
        <v>34</v>
      </c>
      <c r="Q169" s="154">
        <v>441</v>
      </c>
      <c r="R169" s="166">
        <v>1</v>
      </c>
      <c r="S169" s="168">
        <v>11550</v>
      </c>
      <c r="U169" s="154">
        <v>50.935000000000002</v>
      </c>
      <c r="V169" s="165">
        <v>1.8E-5</v>
      </c>
      <c r="W169" s="165">
        <v>5.5543400426550397E-3</v>
      </c>
      <c r="X169" s="165">
        <v>1.05652794066976E-3</v>
      </c>
    </row>
    <row r="170" spans="1:24">
      <c r="A170" s="5">
        <v>12904</v>
      </c>
      <c r="B170" s="5">
        <v>12905</v>
      </c>
      <c r="C170" s="5" t="s">
        <v>216</v>
      </c>
      <c r="D170" s="5" t="s">
        <v>217</v>
      </c>
      <c r="E170" s="5" t="s">
        <v>134</v>
      </c>
      <c r="F170" s="5" t="s">
        <v>735</v>
      </c>
      <c r="G170" s="5" t="s">
        <v>736</v>
      </c>
      <c r="H170" s="5" t="s">
        <v>137</v>
      </c>
      <c r="I170" s="5" t="s">
        <v>703</v>
      </c>
      <c r="J170" s="5" t="s">
        <v>30</v>
      </c>
      <c r="K170" s="5" t="s">
        <v>224</v>
      </c>
      <c r="L170" s="3" t="s">
        <v>139</v>
      </c>
      <c r="M170" s="3" t="s">
        <v>31</v>
      </c>
      <c r="N170" s="5" t="s">
        <v>220</v>
      </c>
      <c r="O170" s="5" t="s">
        <v>141</v>
      </c>
      <c r="P170" s="5" t="s">
        <v>34</v>
      </c>
      <c r="Q170" s="154">
        <v>439.9</v>
      </c>
      <c r="R170" s="166">
        <v>1</v>
      </c>
      <c r="S170" s="168">
        <v>10190</v>
      </c>
      <c r="U170" s="154">
        <v>44.826000000000001</v>
      </c>
      <c r="V170" s="165">
        <v>3.0000000000000001E-6</v>
      </c>
      <c r="W170" s="165">
        <v>4.8880994871444601E-3</v>
      </c>
      <c r="X170" s="165">
        <v>9.2979789593022498E-4</v>
      </c>
    </row>
    <row r="171" spans="1:24">
      <c r="A171" s="5">
        <v>12904</v>
      </c>
      <c r="B171" s="5">
        <v>12905</v>
      </c>
      <c r="C171" s="5" t="s">
        <v>737</v>
      </c>
      <c r="D171" s="5" t="s">
        <v>738</v>
      </c>
      <c r="E171" s="5" t="s">
        <v>651</v>
      </c>
      <c r="F171" s="5" t="s">
        <v>739</v>
      </c>
      <c r="G171" s="5" t="s">
        <v>740</v>
      </c>
      <c r="H171" s="5" t="s">
        <v>137</v>
      </c>
      <c r="I171" s="5" t="s">
        <v>703</v>
      </c>
      <c r="J171" s="5" t="s">
        <v>30</v>
      </c>
      <c r="K171" s="5" t="s">
        <v>566</v>
      </c>
      <c r="L171" s="3" t="s">
        <v>139</v>
      </c>
      <c r="M171" s="3" t="s">
        <v>31</v>
      </c>
      <c r="N171" s="5" t="s">
        <v>369</v>
      </c>
      <c r="O171" s="5" t="s">
        <v>141</v>
      </c>
      <c r="P171" s="5" t="s">
        <v>34</v>
      </c>
      <c r="Q171" s="154">
        <v>1108</v>
      </c>
      <c r="R171" s="166">
        <v>1</v>
      </c>
      <c r="S171" s="168">
        <v>3825</v>
      </c>
      <c r="T171" s="153">
        <v>1.105</v>
      </c>
      <c r="U171" s="154">
        <v>43.485999999999997</v>
      </c>
      <c r="V171" s="165">
        <v>6.0000000000000002E-6</v>
      </c>
      <c r="W171" s="165">
        <v>4.7419509522568497E-3</v>
      </c>
      <c r="X171" s="165">
        <v>9.0199801162157598E-4</v>
      </c>
    </row>
    <row r="172" spans="1:24">
      <c r="A172" s="5">
        <v>12904</v>
      </c>
      <c r="B172" s="5">
        <v>12905</v>
      </c>
      <c r="C172" s="5" t="s">
        <v>232</v>
      </c>
      <c r="D172" s="5" t="s">
        <v>233</v>
      </c>
      <c r="E172" s="5" t="s">
        <v>134</v>
      </c>
      <c r="F172" s="5" t="s">
        <v>741</v>
      </c>
      <c r="G172" s="5" t="s">
        <v>742</v>
      </c>
      <c r="H172" s="5" t="s">
        <v>137</v>
      </c>
      <c r="I172" s="5" t="s">
        <v>703</v>
      </c>
      <c r="J172" s="5" t="s">
        <v>30</v>
      </c>
      <c r="K172" s="5" t="s">
        <v>30</v>
      </c>
      <c r="L172" s="3" t="s">
        <v>139</v>
      </c>
      <c r="M172" s="3" t="s">
        <v>31</v>
      </c>
      <c r="N172" s="5" t="s">
        <v>208</v>
      </c>
      <c r="O172" s="5" t="s">
        <v>141</v>
      </c>
      <c r="P172" s="5" t="s">
        <v>34</v>
      </c>
      <c r="Q172" s="154">
        <v>244</v>
      </c>
      <c r="R172" s="166">
        <v>1</v>
      </c>
      <c r="S172" s="168">
        <v>21010</v>
      </c>
      <c r="U172" s="154">
        <v>51.264000000000003</v>
      </c>
      <c r="V172" s="165">
        <v>6.0000000000000002E-6</v>
      </c>
      <c r="W172" s="165">
        <v>5.5902054496899996E-3</v>
      </c>
      <c r="X172" s="165">
        <v>1.0633501381486601E-3</v>
      </c>
    </row>
    <row r="173" spans="1:24">
      <c r="A173" s="5">
        <v>12904</v>
      </c>
      <c r="B173" s="5">
        <v>12905</v>
      </c>
      <c r="C173" s="5" t="s">
        <v>747</v>
      </c>
      <c r="D173" s="5" t="s">
        <v>748</v>
      </c>
      <c r="E173" s="5" t="s">
        <v>134</v>
      </c>
      <c r="F173" s="5" t="s">
        <v>749</v>
      </c>
      <c r="G173" s="5" t="s">
        <v>750</v>
      </c>
      <c r="H173" s="5" t="s">
        <v>137</v>
      </c>
      <c r="I173" s="5" t="s">
        <v>703</v>
      </c>
      <c r="J173" s="5" t="s">
        <v>30</v>
      </c>
      <c r="K173" s="5" t="s">
        <v>30</v>
      </c>
      <c r="L173" s="3" t="s">
        <v>139</v>
      </c>
      <c r="M173" s="3" t="s">
        <v>31</v>
      </c>
      <c r="N173" s="5" t="s">
        <v>727</v>
      </c>
      <c r="O173" s="5" t="s">
        <v>141</v>
      </c>
      <c r="P173" s="5" t="s">
        <v>34</v>
      </c>
      <c r="Q173" s="154">
        <v>2000</v>
      </c>
      <c r="R173" s="166">
        <v>1</v>
      </c>
      <c r="S173" s="168">
        <v>1792</v>
      </c>
      <c r="U173" s="154">
        <v>35.840000000000003</v>
      </c>
      <c r="V173" s="165">
        <v>2.6999999999999999E-5</v>
      </c>
      <c r="W173" s="165">
        <v>3.90822799675583E-3</v>
      </c>
      <c r="X173" s="165">
        <v>7.4341002628037904E-4</v>
      </c>
    </row>
    <row r="174" spans="1:24">
      <c r="A174" s="5">
        <v>12904</v>
      </c>
      <c r="B174" s="5">
        <v>12905</v>
      </c>
      <c r="C174" s="5" t="s">
        <v>751</v>
      </c>
      <c r="D174" s="5" t="s">
        <v>752</v>
      </c>
      <c r="E174" s="5" t="s">
        <v>492</v>
      </c>
      <c r="F174" s="5" t="s">
        <v>751</v>
      </c>
      <c r="G174" s="5" t="s">
        <v>753</v>
      </c>
      <c r="H174" s="5" t="s">
        <v>137</v>
      </c>
      <c r="I174" s="5" t="s">
        <v>703</v>
      </c>
      <c r="J174" s="5" t="s">
        <v>30</v>
      </c>
      <c r="K174" s="5" t="s">
        <v>654</v>
      </c>
      <c r="L174" s="3" t="s">
        <v>139</v>
      </c>
      <c r="M174" s="3" t="s">
        <v>31</v>
      </c>
      <c r="N174" s="5" t="s">
        <v>208</v>
      </c>
      <c r="O174" s="5" t="s">
        <v>141</v>
      </c>
      <c r="P174" s="5" t="s">
        <v>34</v>
      </c>
      <c r="Q174" s="154">
        <v>585</v>
      </c>
      <c r="R174" s="166">
        <v>1</v>
      </c>
      <c r="S174" s="168">
        <v>11110</v>
      </c>
      <c r="U174" s="154">
        <v>64.992999999999995</v>
      </c>
      <c r="V174" s="165">
        <v>2.6999999999999999E-5</v>
      </c>
      <c r="W174" s="165">
        <v>7.0873163032128999E-3</v>
      </c>
      <c r="X174" s="165">
        <v>1.3481255452861001E-3</v>
      </c>
    </row>
    <row r="175" spans="1:24">
      <c r="A175" s="5">
        <v>12904</v>
      </c>
      <c r="B175" s="5">
        <v>12905</v>
      </c>
      <c r="C175" s="5" t="s">
        <v>254</v>
      </c>
      <c r="D175" s="5" t="s">
        <v>255</v>
      </c>
      <c r="E175" s="5" t="s">
        <v>134</v>
      </c>
      <c r="F175" s="5" t="s">
        <v>754</v>
      </c>
      <c r="G175" s="5" t="s">
        <v>755</v>
      </c>
      <c r="H175" s="5" t="s">
        <v>137</v>
      </c>
      <c r="I175" s="5" t="s">
        <v>703</v>
      </c>
      <c r="J175" s="5" t="s">
        <v>30</v>
      </c>
      <c r="K175" s="5" t="s">
        <v>30</v>
      </c>
      <c r="L175" s="3" t="s">
        <v>139</v>
      </c>
      <c r="M175" s="3" t="s">
        <v>31</v>
      </c>
      <c r="N175" s="5" t="s">
        <v>162</v>
      </c>
      <c r="O175" s="5" t="s">
        <v>141</v>
      </c>
      <c r="P175" s="5" t="s">
        <v>34</v>
      </c>
      <c r="Q175" s="154">
        <v>1434</v>
      </c>
      <c r="R175" s="166">
        <v>1</v>
      </c>
      <c r="S175" s="168">
        <v>6966</v>
      </c>
      <c r="U175" s="154">
        <v>99.891999999999996</v>
      </c>
      <c r="V175" s="165">
        <v>1.2999999999999999E-5</v>
      </c>
      <c r="W175" s="165">
        <v>1.08929249629535E-2</v>
      </c>
      <c r="X175" s="165">
        <v>2.0720156653351298E-3</v>
      </c>
    </row>
    <row r="176" spans="1:24">
      <c r="A176" s="5">
        <v>12904</v>
      </c>
      <c r="B176" s="5">
        <v>12905</v>
      </c>
      <c r="C176" s="5" t="s">
        <v>758</v>
      </c>
      <c r="D176" s="5" t="s">
        <v>759</v>
      </c>
      <c r="E176" s="5" t="s">
        <v>134</v>
      </c>
      <c r="F176" s="5" t="s">
        <v>760</v>
      </c>
      <c r="G176" s="5" t="s">
        <v>761</v>
      </c>
      <c r="H176" s="5" t="s">
        <v>137</v>
      </c>
      <c r="I176" s="5" t="s">
        <v>703</v>
      </c>
      <c r="J176" s="5" t="s">
        <v>30</v>
      </c>
      <c r="K176" s="5" t="s">
        <v>30</v>
      </c>
      <c r="L176" s="3" t="s">
        <v>139</v>
      </c>
      <c r="M176" s="3" t="s">
        <v>31</v>
      </c>
      <c r="N176" s="5" t="s">
        <v>612</v>
      </c>
      <c r="O176" s="5" t="s">
        <v>141</v>
      </c>
      <c r="P176" s="5" t="s">
        <v>34</v>
      </c>
      <c r="Q176" s="154">
        <v>28276</v>
      </c>
      <c r="R176" s="166">
        <v>1</v>
      </c>
      <c r="S176" s="168">
        <v>634.70000000000005</v>
      </c>
      <c r="T176" s="153">
        <v>5.9450000000000003</v>
      </c>
      <c r="U176" s="154">
        <v>185.41300000000001</v>
      </c>
      <c r="V176" s="165">
        <v>1.0000000000000001E-5</v>
      </c>
      <c r="W176" s="165">
        <v>2.0218608189150299E-2</v>
      </c>
      <c r="X176" s="165">
        <v>3.8459158620545398E-3</v>
      </c>
    </row>
    <row r="177" spans="1:24">
      <c r="A177" s="5">
        <v>12904</v>
      </c>
      <c r="B177" s="5">
        <v>12905</v>
      </c>
      <c r="C177" s="5" t="s">
        <v>267</v>
      </c>
      <c r="D177" s="5" t="s">
        <v>268</v>
      </c>
      <c r="E177" s="5" t="s">
        <v>134</v>
      </c>
      <c r="F177" s="5" t="s">
        <v>762</v>
      </c>
      <c r="G177" s="5" t="s">
        <v>763</v>
      </c>
      <c r="H177" s="5" t="s">
        <v>137</v>
      </c>
      <c r="I177" s="5" t="s">
        <v>703</v>
      </c>
      <c r="J177" s="5" t="s">
        <v>30</v>
      </c>
      <c r="K177" s="5" t="s">
        <v>30</v>
      </c>
      <c r="L177" s="3" t="s">
        <v>139</v>
      </c>
      <c r="M177" s="3" t="s">
        <v>31</v>
      </c>
      <c r="N177" s="5" t="s">
        <v>186</v>
      </c>
      <c r="O177" s="5" t="s">
        <v>141</v>
      </c>
      <c r="P177" s="5" t="s">
        <v>34</v>
      </c>
      <c r="Q177" s="154">
        <v>196</v>
      </c>
      <c r="R177" s="166">
        <v>1</v>
      </c>
      <c r="S177" s="168">
        <v>68050</v>
      </c>
      <c r="U177" s="154">
        <v>133.37799999999999</v>
      </c>
      <c r="V177" s="165">
        <v>7.9999999999999996E-6</v>
      </c>
      <c r="W177" s="165">
        <v>1.45444094238644E-2</v>
      </c>
      <c r="X177" s="165">
        <v>2.7665887970207701E-3</v>
      </c>
    </row>
    <row r="178" spans="1:24">
      <c r="A178" s="5">
        <v>12904</v>
      </c>
      <c r="B178" s="5">
        <v>12905</v>
      </c>
      <c r="C178" s="5" t="s">
        <v>764</v>
      </c>
      <c r="D178" s="5" t="s">
        <v>765</v>
      </c>
      <c r="E178" s="5" t="s">
        <v>134</v>
      </c>
      <c r="F178" s="5" t="s">
        <v>766</v>
      </c>
      <c r="G178" s="5" t="s">
        <v>767</v>
      </c>
      <c r="H178" s="5" t="s">
        <v>137</v>
      </c>
      <c r="I178" s="5" t="s">
        <v>703</v>
      </c>
      <c r="J178" s="5" t="s">
        <v>30</v>
      </c>
      <c r="K178" s="5" t="s">
        <v>30</v>
      </c>
      <c r="L178" s="3" t="s">
        <v>139</v>
      </c>
      <c r="M178" s="3" t="s">
        <v>31</v>
      </c>
      <c r="N178" s="5" t="s">
        <v>285</v>
      </c>
      <c r="O178" s="5" t="s">
        <v>141</v>
      </c>
      <c r="P178" s="5" t="s">
        <v>34</v>
      </c>
      <c r="Q178" s="154">
        <v>96</v>
      </c>
      <c r="R178" s="166">
        <v>1</v>
      </c>
      <c r="S178" s="168">
        <v>23710</v>
      </c>
      <c r="U178" s="154">
        <v>22.762</v>
      </c>
      <c r="V178" s="165">
        <v>9.9999999999999995E-7</v>
      </c>
      <c r="W178" s="165">
        <v>2.4820737268682401E-3</v>
      </c>
      <c r="X178" s="165">
        <v>4.7213174258324401E-4</v>
      </c>
    </row>
    <row r="179" spans="1:24">
      <c r="A179" s="5">
        <v>12904</v>
      </c>
      <c r="B179" s="5">
        <v>12905</v>
      </c>
      <c r="C179" s="5" t="s">
        <v>768</v>
      </c>
      <c r="D179" s="5" t="s">
        <v>769</v>
      </c>
      <c r="E179" s="5" t="s">
        <v>134</v>
      </c>
      <c r="F179" s="5" t="s">
        <v>770</v>
      </c>
      <c r="G179" s="5" t="s">
        <v>771</v>
      </c>
      <c r="H179" s="5" t="s">
        <v>137</v>
      </c>
      <c r="I179" s="5" t="s">
        <v>703</v>
      </c>
      <c r="J179" s="5" t="s">
        <v>30</v>
      </c>
      <c r="K179" s="5" t="s">
        <v>30</v>
      </c>
      <c r="L179" s="3" t="s">
        <v>139</v>
      </c>
      <c r="M179" s="3" t="s">
        <v>31</v>
      </c>
      <c r="N179" s="5" t="s">
        <v>718</v>
      </c>
      <c r="O179" s="5" t="s">
        <v>141</v>
      </c>
      <c r="P179" s="5" t="s">
        <v>34</v>
      </c>
      <c r="Q179" s="154">
        <v>347</v>
      </c>
      <c r="R179" s="166">
        <v>1</v>
      </c>
      <c r="S179" s="168">
        <v>67920</v>
      </c>
      <c r="U179" s="154">
        <v>235.68199999999999</v>
      </c>
      <c r="V179" s="165">
        <v>3.8000000000000002E-5</v>
      </c>
      <c r="W179" s="165">
        <v>2.57003502796486E-2</v>
      </c>
      <c r="X179" s="165">
        <v>4.8886344636669297E-3</v>
      </c>
    </row>
    <row r="180" spans="1:24">
      <c r="A180" s="5">
        <v>12904</v>
      </c>
      <c r="B180" s="5">
        <v>12905</v>
      </c>
      <c r="C180" s="5" t="s">
        <v>772</v>
      </c>
      <c r="D180" s="5" t="s">
        <v>773</v>
      </c>
      <c r="E180" s="5" t="s">
        <v>134</v>
      </c>
      <c r="F180" s="5" t="s">
        <v>774</v>
      </c>
      <c r="G180" s="5" t="s">
        <v>775</v>
      </c>
      <c r="H180" s="5" t="s">
        <v>137</v>
      </c>
      <c r="I180" s="5" t="s">
        <v>703</v>
      </c>
      <c r="J180" s="5" t="s">
        <v>30</v>
      </c>
      <c r="K180" s="5" t="s">
        <v>30</v>
      </c>
      <c r="L180" s="3" t="s">
        <v>139</v>
      </c>
      <c r="M180" s="3" t="s">
        <v>31</v>
      </c>
      <c r="N180" s="5" t="s">
        <v>285</v>
      </c>
      <c r="O180" s="5" t="s">
        <v>141</v>
      </c>
      <c r="P180" s="5" t="s">
        <v>34</v>
      </c>
      <c r="Q180" s="154">
        <v>7041</v>
      </c>
      <c r="R180" s="166">
        <v>1</v>
      </c>
      <c r="S180" s="168">
        <v>3274</v>
      </c>
      <c r="U180" s="154">
        <v>230.52199999999999</v>
      </c>
      <c r="V180" s="165">
        <v>6.0000000000000002E-6</v>
      </c>
      <c r="W180" s="165">
        <v>2.5137663590001899E-2</v>
      </c>
      <c r="X180" s="165">
        <v>4.7816020881030798E-3</v>
      </c>
    </row>
    <row r="181" spans="1:24">
      <c r="A181" s="5">
        <v>12904</v>
      </c>
      <c r="B181" s="5">
        <v>12905</v>
      </c>
      <c r="C181" s="5" t="s">
        <v>1015</v>
      </c>
      <c r="D181" s="5" t="s">
        <v>1016</v>
      </c>
      <c r="E181" s="5" t="s">
        <v>134</v>
      </c>
      <c r="F181" s="5" t="s">
        <v>1017</v>
      </c>
      <c r="G181" s="5" t="s">
        <v>1018</v>
      </c>
      <c r="H181" s="5" t="s">
        <v>137</v>
      </c>
      <c r="I181" s="5" t="s">
        <v>703</v>
      </c>
      <c r="J181" s="5" t="s">
        <v>30</v>
      </c>
      <c r="K181" s="5" t="s">
        <v>30</v>
      </c>
      <c r="L181" s="3" t="s">
        <v>139</v>
      </c>
      <c r="M181" s="3" t="s">
        <v>31</v>
      </c>
      <c r="N181" s="5" t="s">
        <v>369</v>
      </c>
      <c r="O181" s="5" t="s">
        <v>141</v>
      </c>
      <c r="P181" s="5" t="s">
        <v>34</v>
      </c>
      <c r="Q181" s="154">
        <v>98</v>
      </c>
      <c r="R181" s="166">
        <v>1</v>
      </c>
      <c r="S181" s="168">
        <v>80070</v>
      </c>
      <c r="U181" s="154">
        <v>78.468999999999994</v>
      </c>
      <c r="V181" s="165">
        <v>5.0000000000000004E-6</v>
      </c>
      <c r="W181" s="165">
        <v>8.5567293355534191E-3</v>
      </c>
      <c r="X181" s="165">
        <v>1.62763236574176E-3</v>
      </c>
    </row>
    <row r="182" spans="1:24">
      <c r="A182" s="5">
        <v>12904</v>
      </c>
      <c r="B182" s="5">
        <v>12905</v>
      </c>
      <c r="C182" s="5" t="s">
        <v>776</v>
      </c>
      <c r="D182" s="5" t="s">
        <v>777</v>
      </c>
      <c r="E182" s="5" t="s">
        <v>134</v>
      </c>
      <c r="F182" s="5" t="s">
        <v>778</v>
      </c>
      <c r="G182" s="5" t="s">
        <v>779</v>
      </c>
      <c r="H182" s="5" t="s">
        <v>137</v>
      </c>
      <c r="I182" s="5" t="s">
        <v>703</v>
      </c>
      <c r="J182" s="5" t="s">
        <v>30</v>
      </c>
      <c r="K182" s="5" t="s">
        <v>30</v>
      </c>
      <c r="L182" s="3" t="s">
        <v>139</v>
      </c>
      <c r="M182" s="3" t="s">
        <v>31</v>
      </c>
      <c r="N182" s="5" t="s">
        <v>780</v>
      </c>
      <c r="O182" s="5" t="s">
        <v>141</v>
      </c>
      <c r="P182" s="5" t="s">
        <v>34</v>
      </c>
      <c r="Q182" s="154">
        <v>924</v>
      </c>
      <c r="R182" s="166">
        <v>1</v>
      </c>
      <c r="S182" s="168">
        <v>17410</v>
      </c>
      <c r="U182" s="154">
        <v>160.86799999999999</v>
      </c>
      <c r="V182" s="165">
        <v>3.4E-5</v>
      </c>
      <c r="W182" s="165">
        <v>1.7542142429501001E-2</v>
      </c>
      <c r="X182" s="165">
        <v>3.3368075187411401E-3</v>
      </c>
    </row>
    <row r="183" spans="1:24">
      <c r="A183" s="5">
        <v>12904</v>
      </c>
      <c r="B183" s="5">
        <v>12905</v>
      </c>
      <c r="C183" s="5" t="s">
        <v>781</v>
      </c>
      <c r="D183" s="5" t="s">
        <v>782</v>
      </c>
      <c r="E183" s="5" t="s">
        <v>134</v>
      </c>
      <c r="F183" s="5" t="s">
        <v>783</v>
      </c>
      <c r="G183" s="5" t="s">
        <v>784</v>
      </c>
      <c r="H183" s="5" t="s">
        <v>137</v>
      </c>
      <c r="I183" s="5" t="s">
        <v>703</v>
      </c>
      <c r="J183" s="5" t="s">
        <v>30</v>
      </c>
      <c r="K183" s="5" t="s">
        <v>30</v>
      </c>
      <c r="L183" s="3" t="s">
        <v>139</v>
      </c>
      <c r="M183" s="3" t="s">
        <v>31</v>
      </c>
      <c r="N183" s="5" t="s">
        <v>465</v>
      </c>
      <c r="O183" s="5" t="s">
        <v>141</v>
      </c>
      <c r="P183" s="5" t="s">
        <v>34</v>
      </c>
      <c r="Q183" s="154">
        <v>22281</v>
      </c>
      <c r="R183" s="166">
        <v>1</v>
      </c>
      <c r="S183" s="168">
        <v>745.1</v>
      </c>
      <c r="U183" s="154">
        <v>166.01599999999999</v>
      </c>
      <c r="V183" s="165">
        <v>2.42E-4</v>
      </c>
      <c r="W183" s="165">
        <v>1.8103441065738999E-2</v>
      </c>
      <c r="X183" s="165">
        <v>3.4435758634393499E-3</v>
      </c>
    </row>
    <row r="184" spans="1:24">
      <c r="A184" s="5">
        <v>12904</v>
      </c>
      <c r="B184" s="5">
        <v>12905</v>
      </c>
      <c r="C184" s="5" t="s">
        <v>785</v>
      </c>
      <c r="D184" s="5" t="s">
        <v>786</v>
      </c>
      <c r="E184" s="5" t="s">
        <v>134</v>
      </c>
      <c r="F184" s="5" t="s">
        <v>787</v>
      </c>
      <c r="G184" s="5" t="s">
        <v>788</v>
      </c>
      <c r="H184" s="5" t="s">
        <v>137</v>
      </c>
      <c r="I184" s="5" t="s">
        <v>703</v>
      </c>
      <c r="J184" s="5" t="s">
        <v>30</v>
      </c>
      <c r="K184" s="5" t="s">
        <v>30</v>
      </c>
      <c r="L184" s="3" t="s">
        <v>139</v>
      </c>
      <c r="M184" s="3" t="s">
        <v>31</v>
      </c>
      <c r="N184" s="5" t="s">
        <v>170</v>
      </c>
      <c r="O184" s="5" t="s">
        <v>141</v>
      </c>
      <c r="P184" s="5" t="s">
        <v>34</v>
      </c>
      <c r="Q184" s="154">
        <v>1357</v>
      </c>
      <c r="R184" s="166">
        <v>1</v>
      </c>
      <c r="S184" s="168">
        <v>12400</v>
      </c>
      <c r="U184" s="154">
        <v>168.268</v>
      </c>
      <c r="V184" s="165">
        <v>5.0000000000000004E-6</v>
      </c>
      <c r="W184" s="165">
        <v>1.8349043207536601E-2</v>
      </c>
      <c r="X184" s="165">
        <v>3.4902934794125802E-3</v>
      </c>
    </row>
    <row r="185" spans="1:24">
      <c r="A185" s="5">
        <v>12904</v>
      </c>
      <c r="B185" s="5">
        <v>12905</v>
      </c>
      <c r="C185" s="5" t="s">
        <v>789</v>
      </c>
      <c r="D185" s="5" t="s">
        <v>790</v>
      </c>
      <c r="E185" s="5" t="s">
        <v>134</v>
      </c>
      <c r="F185" s="5" t="s">
        <v>791</v>
      </c>
      <c r="G185" s="5" t="s">
        <v>792</v>
      </c>
      <c r="H185" s="5" t="s">
        <v>137</v>
      </c>
      <c r="I185" s="5" t="s">
        <v>703</v>
      </c>
      <c r="J185" s="5" t="s">
        <v>30</v>
      </c>
      <c r="K185" s="5" t="s">
        <v>30</v>
      </c>
      <c r="L185" s="3" t="s">
        <v>139</v>
      </c>
      <c r="M185" s="3" t="s">
        <v>31</v>
      </c>
      <c r="N185" s="5" t="s">
        <v>140</v>
      </c>
      <c r="O185" s="5" t="s">
        <v>141</v>
      </c>
      <c r="P185" s="5" t="s">
        <v>34</v>
      </c>
      <c r="Q185" s="154">
        <v>11</v>
      </c>
      <c r="R185" s="166">
        <v>1</v>
      </c>
      <c r="S185" s="168">
        <v>103430</v>
      </c>
      <c r="U185" s="154">
        <v>11.377000000000001</v>
      </c>
      <c r="V185" s="165">
        <v>9.9999999999999995E-7</v>
      </c>
      <c r="W185" s="165">
        <v>1.2406552005438101E-3</v>
      </c>
      <c r="X185" s="165">
        <v>2.35993272656243E-4</v>
      </c>
    </row>
    <row r="186" spans="1:24">
      <c r="A186" s="5">
        <v>12904</v>
      </c>
      <c r="B186" s="5">
        <v>12905</v>
      </c>
      <c r="C186" s="5" t="s">
        <v>793</v>
      </c>
      <c r="D186" s="5" t="s">
        <v>794</v>
      </c>
      <c r="E186" s="5" t="s">
        <v>134</v>
      </c>
      <c r="F186" s="5" t="s">
        <v>795</v>
      </c>
      <c r="G186" s="5" t="s">
        <v>796</v>
      </c>
      <c r="H186" s="5" t="s">
        <v>137</v>
      </c>
      <c r="I186" s="5" t="s">
        <v>703</v>
      </c>
      <c r="J186" s="5" t="s">
        <v>30</v>
      </c>
      <c r="K186" s="5" t="s">
        <v>797</v>
      </c>
      <c r="L186" s="3" t="s">
        <v>139</v>
      </c>
      <c r="M186" s="3" t="s">
        <v>31</v>
      </c>
      <c r="N186" s="5" t="s">
        <v>798</v>
      </c>
      <c r="O186" s="5" t="s">
        <v>141</v>
      </c>
      <c r="P186" s="5" t="s">
        <v>34</v>
      </c>
      <c r="Q186" s="154">
        <v>1023</v>
      </c>
      <c r="R186" s="166">
        <v>1</v>
      </c>
      <c r="S186" s="168">
        <v>23540</v>
      </c>
      <c r="U186" s="154">
        <v>240.81399999999999</v>
      </c>
      <c r="V186" s="165">
        <v>9.0000000000000002E-6</v>
      </c>
      <c r="W186" s="165">
        <v>2.6259955314072499E-2</v>
      </c>
      <c r="X186" s="165">
        <v>4.9950806571062599E-3</v>
      </c>
    </row>
    <row r="187" spans="1:24">
      <c r="A187" s="5">
        <v>12904</v>
      </c>
      <c r="B187" s="5">
        <v>12905</v>
      </c>
      <c r="C187" s="5" t="s">
        <v>568</v>
      </c>
      <c r="D187" s="5" t="s">
        <v>569</v>
      </c>
      <c r="E187" s="5" t="s">
        <v>134</v>
      </c>
      <c r="F187" s="5" t="s">
        <v>799</v>
      </c>
      <c r="G187" s="5" t="s">
        <v>800</v>
      </c>
      <c r="H187" s="5" t="s">
        <v>137</v>
      </c>
      <c r="I187" s="5" t="s">
        <v>703</v>
      </c>
      <c r="J187" s="5" t="s">
        <v>30</v>
      </c>
      <c r="K187" s="5" t="s">
        <v>224</v>
      </c>
      <c r="L187" s="3" t="s">
        <v>139</v>
      </c>
      <c r="M187" s="3" t="s">
        <v>31</v>
      </c>
      <c r="N187" s="5" t="s">
        <v>573</v>
      </c>
      <c r="O187" s="5" t="s">
        <v>141</v>
      </c>
      <c r="P187" s="5" t="s">
        <v>34</v>
      </c>
      <c r="Q187" s="154">
        <v>5660</v>
      </c>
      <c r="R187" s="166">
        <v>1</v>
      </c>
      <c r="S187" s="168">
        <v>6440</v>
      </c>
      <c r="U187" s="154">
        <v>364.50400000000002</v>
      </c>
      <c r="V187" s="165">
        <v>5.0000000000000004E-6</v>
      </c>
      <c r="W187" s="165">
        <v>3.9747900048255798E-2</v>
      </c>
      <c r="X187" s="165">
        <v>7.56071228290467E-3</v>
      </c>
    </row>
    <row r="188" spans="1:24">
      <c r="A188" s="5">
        <v>12904</v>
      </c>
      <c r="B188" s="5">
        <v>12905</v>
      </c>
      <c r="C188" s="5" t="s">
        <v>801</v>
      </c>
      <c r="D188" s="5" t="s">
        <v>802</v>
      </c>
      <c r="E188" s="5" t="s">
        <v>134</v>
      </c>
      <c r="F188" s="5" t="s">
        <v>803</v>
      </c>
      <c r="G188" s="5" t="s">
        <v>804</v>
      </c>
      <c r="H188" s="5" t="s">
        <v>137</v>
      </c>
      <c r="I188" s="5" t="s">
        <v>703</v>
      </c>
      <c r="J188" s="5" t="s">
        <v>30</v>
      </c>
      <c r="K188" s="5" t="s">
        <v>30</v>
      </c>
      <c r="L188" s="3" t="s">
        <v>139</v>
      </c>
      <c r="M188" s="3" t="s">
        <v>31</v>
      </c>
      <c r="N188" s="5" t="s">
        <v>734</v>
      </c>
      <c r="O188" s="5" t="s">
        <v>141</v>
      </c>
      <c r="P188" s="5" t="s">
        <v>34</v>
      </c>
      <c r="Q188" s="154">
        <v>5000</v>
      </c>
      <c r="R188" s="166">
        <v>1</v>
      </c>
      <c r="S188" s="168">
        <v>862.4</v>
      </c>
      <c r="U188" s="154">
        <v>43.12</v>
      </c>
      <c r="V188" s="165">
        <v>4.6E-5</v>
      </c>
      <c r="W188" s="165">
        <v>4.7020868085968599E-3</v>
      </c>
      <c r="X188" s="165">
        <v>8.9441518786858101E-4</v>
      </c>
    </row>
    <row r="189" spans="1:24">
      <c r="A189" s="5">
        <v>12904</v>
      </c>
      <c r="B189" s="5">
        <v>12905</v>
      </c>
      <c r="C189" s="5" t="s">
        <v>805</v>
      </c>
      <c r="D189" s="5" t="s">
        <v>806</v>
      </c>
      <c r="E189" s="5" t="s">
        <v>134</v>
      </c>
      <c r="F189" s="5" t="s">
        <v>807</v>
      </c>
      <c r="G189" s="5" t="s">
        <v>808</v>
      </c>
      <c r="H189" s="5" t="s">
        <v>137</v>
      </c>
      <c r="I189" s="5" t="s">
        <v>703</v>
      </c>
      <c r="J189" s="5" t="s">
        <v>30</v>
      </c>
      <c r="K189" s="5" t="s">
        <v>30</v>
      </c>
      <c r="L189" s="3" t="s">
        <v>139</v>
      </c>
      <c r="M189" s="3" t="s">
        <v>31</v>
      </c>
      <c r="N189" s="5" t="s">
        <v>555</v>
      </c>
      <c r="O189" s="5" t="s">
        <v>141</v>
      </c>
      <c r="P189" s="5" t="s">
        <v>34</v>
      </c>
      <c r="Q189" s="154">
        <v>1000</v>
      </c>
      <c r="R189" s="166">
        <v>1</v>
      </c>
      <c r="S189" s="168">
        <v>2875</v>
      </c>
      <c r="U189" s="154">
        <v>28.75</v>
      </c>
      <c r="V189" s="165">
        <v>7.9999999999999996E-6</v>
      </c>
      <c r="W189" s="165">
        <v>3.1350880275315299E-3</v>
      </c>
      <c r="X189" s="165">
        <v>5.9634593346989098E-4</v>
      </c>
    </row>
    <row r="190" spans="1:24">
      <c r="A190" s="5">
        <v>12904</v>
      </c>
      <c r="B190" s="5">
        <v>12905</v>
      </c>
      <c r="C190" s="5" t="s">
        <v>809</v>
      </c>
      <c r="D190" s="5" t="s">
        <v>810</v>
      </c>
      <c r="E190" s="5" t="s">
        <v>134</v>
      </c>
      <c r="F190" s="5" t="s">
        <v>811</v>
      </c>
      <c r="G190" s="5" t="s">
        <v>812</v>
      </c>
      <c r="H190" s="5" t="s">
        <v>137</v>
      </c>
      <c r="I190" s="5" t="s">
        <v>703</v>
      </c>
      <c r="J190" s="5" t="s">
        <v>30</v>
      </c>
      <c r="K190" s="5" t="s">
        <v>30</v>
      </c>
      <c r="L190" s="3" t="s">
        <v>139</v>
      </c>
      <c r="M190" s="3" t="s">
        <v>31</v>
      </c>
      <c r="N190" s="5" t="s">
        <v>378</v>
      </c>
      <c r="O190" s="5" t="s">
        <v>141</v>
      </c>
      <c r="P190" s="5" t="s">
        <v>34</v>
      </c>
      <c r="Q190" s="154">
        <v>10914</v>
      </c>
      <c r="R190" s="166">
        <v>1</v>
      </c>
      <c r="S190" s="168">
        <v>1338</v>
      </c>
      <c r="U190" s="154">
        <v>146.029</v>
      </c>
      <c r="V190" s="165">
        <v>3.4E-5</v>
      </c>
      <c r="W190" s="165">
        <v>1.5923992097411199E-2</v>
      </c>
      <c r="X190" s="165">
        <v>3.0290083878042901E-3</v>
      </c>
    </row>
    <row r="191" spans="1:24">
      <c r="A191" s="5">
        <v>12904</v>
      </c>
      <c r="B191" s="5">
        <v>12905</v>
      </c>
      <c r="C191" s="5" t="s">
        <v>595</v>
      </c>
      <c r="D191" s="5" t="s">
        <v>596</v>
      </c>
      <c r="E191" s="5" t="s">
        <v>134</v>
      </c>
      <c r="F191" s="5" t="s">
        <v>813</v>
      </c>
      <c r="G191" s="5" t="s">
        <v>814</v>
      </c>
      <c r="H191" s="5" t="s">
        <v>137</v>
      </c>
      <c r="I191" s="5" t="s">
        <v>703</v>
      </c>
      <c r="J191" s="5" t="s">
        <v>30</v>
      </c>
      <c r="K191" s="5" t="s">
        <v>30</v>
      </c>
      <c r="L191" s="3" t="s">
        <v>139</v>
      </c>
      <c r="M191" s="3" t="s">
        <v>31</v>
      </c>
      <c r="N191" s="5" t="s">
        <v>170</v>
      </c>
      <c r="O191" s="5" t="s">
        <v>141</v>
      </c>
      <c r="P191" s="5" t="s">
        <v>34</v>
      </c>
      <c r="Q191" s="154">
        <v>1286</v>
      </c>
      <c r="R191" s="166">
        <v>1</v>
      </c>
      <c r="S191" s="168">
        <v>16970</v>
      </c>
      <c r="U191" s="154">
        <v>218.23400000000001</v>
      </c>
      <c r="V191" s="165">
        <v>1.5999999999999999E-5</v>
      </c>
      <c r="W191" s="165">
        <v>2.37976844388843E-2</v>
      </c>
      <c r="X191" s="165">
        <v>4.52671574657582E-3</v>
      </c>
    </row>
    <row r="192" spans="1:24">
      <c r="A192" s="5">
        <v>12904</v>
      </c>
      <c r="B192" s="5">
        <v>12905</v>
      </c>
      <c r="C192" s="5" t="s">
        <v>380</v>
      </c>
      <c r="D192" s="5" t="s">
        <v>381</v>
      </c>
      <c r="E192" s="5" t="s">
        <v>134</v>
      </c>
      <c r="F192" s="5" t="s">
        <v>815</v>
      </c>
      <c r="G192" s="5" t="s">
        <v>816</v>
      </c>
      <c r="H192" s="5" t="s">
        <v>137</v>
      </c>
      <c r="I192" s="5" t="s">
        <v>703</v>
      </c>
      <c r="J192" s="5" t="s">
        <v>30</v>
      </c>
      <c r="K192" s="5" t="s">
        <v>30</v>
      </c>
      <c r="L192" s="3" t="s">
        <v>139</v>
      </c>
      <c r="M192" s="3" t="s">
        <v>31</v>
      </c>
      <c r="N192" s="5" t="s">
        <v>285</v>
      </c>
      <c r="O192" s="5" t="s">
        <v>141</v>
      </c>
      <c r="P192" s="5" t="s">
        <v>34</v>
      </c>
      <c r="Q192" s="154">
        <v>8157</v>
      </c>
      <c r="R192" s="166">
        <v>1</v>
      </c>
      <c r="S192" s="168">
        <v>6529</v>
      </c>
      <c r="U192" s="154">
        <v>532.57100000000003</v>
      </c>
      <c r="V192" s="165">
        <v>5.0000000000000004E-6</v>
      </c>
      <c r="W192" s="165">
        <v>5.8074973649360803E-2</v>
      </c>
      <c r="X192" s="165">
        <v>1.10468267774402E-2</v>
      </c>
    </row>
    <row r="193" spans="1:24">
      <c r="A193" s="5">
        <v>12904</v>
      </c>
      <c r="B193" s="5">
        <v>12905</v>
      </c>
      <c r="C193" s="5" t="s">
        <v>398</v>
      </c>
      <c r="D193" s="5" t="s">
        <v>399</v>
      </c>
      <c r="E193" s="5" t="s">
        <v>134</v>
      </c>
      <c r="F193" s="5" t="s">
        <v>817</v>
      </c>
      <c r="G193" s="5" t="s">
        <v>818</v>
      </c>
      <c r="H193" s="5" t="s">
        <v>137</v>
      </c>
      <c r="I193" s="5" t="s">
        <v>703</v>
      </c>
      <c r="J193" s="5" t="s">
        <v>30</v>
      </c>
      <c r="K193" s="5" t="s">
        <v>30</v>
      </c>
      <c r="L193" s="3" t="s">
        <v>139</v>
      </c>
      <c r="M193" s="3" t="s">
        <v>31</v>
      </c>
      <c r="N193" s="5" t="s">
        <v>186</v>
      </c>
      <c r="O193" s="5" t="s">
        <v>141</v>
      </c>
      <c r="P193" s="5" t="s">
        <v>34</v>
      </c>
      <c r="Q193" s="154">
        <v>11029</v>
      </c>
      <c r="R193" s="166">
        <v>1</v>
      </c>
      <c r="S193" s="168">
        <v>1292</v>
      </c>
      <c r="U193" s="154">
        <v>142.495</v>
      </c>
      <c r="V193" s="165">
        <v>1.5E-5</v>
      </c>
      <c r="W193" s="165">
        <v>1.55385518349543E-2</v>
      </c>
      <c r="X193" s="165">
        <v>2.9556912333597702E-3</v>
      </c>
    </row>
    <row r="194" spans="1:24">
      <c r="A194" s="5">
        <v>12904</v>
      </c>
      <c r="B194" s="5">
        <v>12905</v>
      </c>
      <c r="C194" s="5" t="s">
        <v>821</v>
      </c>
      <c r="D194" s="5" t="s">
        <v>822</v>
      </c>
      <c r="E194" s="5" t="s">
        <v>134</v>
      </c>
      <c r="F194" s="5" t="s">
        <v>823</v>
      </c>
      <c r="G194" s="5" t="s">
        <v>824</v>
      </c>
      <c r="H194" s="5" t="s">
        <v>137</v>
      </c>
      <c r="I194" s="5" t="s">
        <v>703</v>
      </c>
      <c r="J194" s="5" t="s">
        <v>30</v>
      </c>
      <c r="K194" s="5" t="s">
        <v>30</v>
      </c>
      <c r="L194" s="3" t="s">
        <v>139</v>
      </c>
      <c r="M194" s="3" t="s">
        <v>31</v>
      </c>
      <c r="N194" s="5" t="s">
        <v>285</v>
      </c>
      <c r="O194" s="5" t="s">
        <v>141</v>
      </c>
      <c r="P194" s="5" t="s">
        <v>34</v>
      </c>
      <c r="Q194" s="154">
        <v>701</v>
      </c>
      <c r="R194" s="166">
        <v>1</v>
      </c>
      <c r="S194" s="168">
        <v>21790</v>
      </c>
      <c r="U194" s="154">
        <v>152.74799999999999</v>
      </c>
      <c r="V194" s="165">
        <v>3.0000000000000001E-6</v>
      </c>
      <c r="W194" s="165">
        <v>1.6656630000715999E-2</v>
      </c>
      <c r="X194" s="165">
        <v>3.16836831342837E-3</v>
      </c>
    </row>
    <row r="195" spans="1:24">
      <c r="A195" s="5">
        <v>12904</v>
      </c>
      <c r="B195" s="5">
        <v>12905</v>
      </c>
      <c r="C195" s="5" t="s">
        <v>825</v>
      </c>
      <c r="D195" s="5" t="s">
        <v>826</v>
      </c>
      <c r="E195" s="5" t="s">
        <v>134</v>
      </c>
      <c r="F195" s="5" t="s">
        <v>827</v>
      </c>
      <c r="G195" s="5" t="s">
        <v>828</v>
      </c>
      <c r="H195" s="5" t="s">
        <v>137</v>
      </c>
      <c r="I195" s="5" t="s">
        <v>703</v>
      </c>
      <c r="J195" s="5" t="s">
        <v>30</v>
      </c>
      <c r="K195" s="5" t="s">
        <v>30</v>
      </c>
      <c r="L195" s="3" t="s">
        <v>139</v>
      </c>
      <c r="M195" s="3" t="s">
        <v>31</v>
      </c>
      <c r="N195" s="5" t="s">
        <v>829</v>
      </c>
      <c r="O195" s="5" t="s">
        <v>141</v>
      </c>
      <c r="P195" s="5" t="s">
        <v>34</v>
      </c>
      <c r="Q195" s="154">
        <v>60</v>
      </c>
      <c r="R195" s="166">
        <v>1</v>
      </c>
      <c r="S195" s="168">
        <v>11650</v>
      </c>
      <c r="T195" s="153">
        <v>5.0999999999999997E-2</v>
      </c>
      <c r="U195" s="154">
        <v>7.0410000000000004</v>
      </c>
      <c r="V195" s="165">
        <v>9.9999999999999995E-7</v>
      </c>
      <c r="W195" s="165">
        <v>7.67796688759984E-4</v>
      </c>
      <c r="X195" s="165">
        <v>1.4604771191518301E-4</v>
      </c>
    </row>
    <row r="196" spans="1:24">
      <c r="A196" s="5">
        <v>12904</v>
      </c>
      <c r="B196" s="5">
        <v>12905</v>
      </c>
      <c r="C196" s="5" t="s">
        <v>429</v>
      </c>
      <c r="D196" s="5" t="s">
        <v>430</v>
      </c>
      <c r="E196" s="5" t="s">
        <v>134</v>
      </c>
      <c r="F196" s="5" t="s">
        <v>830</v>
      </c>
      <c r="G196" s="5" t="s">
        <v>831</v>
      </c>
      <c r="H196" s="5" t="s">
        <v>137</v>
      </c>
      <c r="I196" s="5" t="s">
        <v>703</v>
      </c>
      <c r="J196" s="5" t="s">
        <v>30</v>
      </c>
      <c r="K196" s="5" t="s">
        <v>30</v>
      </c>
      <c r="L196" s="3" t="s">
        <v>139</v>
      </c>
      <c r="M196" s="3" t="s">
        <v>31</v>
      </c>
      <c r="N196" s="5" t="s">
        <v>186</v>
      </c>
      <c r="O196" s="5" t="s">
        <v>141</v>
      </c>
      <c r="P196" s="5" t="s">
        <v>34</v>
      </c>
      <c r="Q196" s="154">
        <v>242</v>
      </c>
      <c r="R196" s="166">
        <v>1</v>
      </c>
      <c r="S196" s="168">
        <v>40000</v>
      </c>
      <c r="U196" s="154">
        <v>96.8</v>
      </c>
      <c r="V196" s="165">
        <v>5.0000000000000004E-6</v>
      </c>
      <c r="W196" s="165">
        <v>1.05557050805236E-2</v>
      </c>
      <c r="X196" s="165">
        <v>2.00787082990906E-3</v>
      </c>
    </row>
    <row r="197" spans="1:24">
      <c r="A197" s="5">
        <v>12904</v>
      </c>
      <c r="B197" s="5">
        <v>12905</v>
      </c>
      <c r="C197" s="5" t="s">
        <v>832</v>
      </c>
      <c r="D197" s="5" t="s">
        <v>833</v>
      </c>
      <c r="E197" s="5" t="s">
        <v>134</v>
      </c>
      <c r="F197" s="5" t="s">
        <v>834</v>
      </c>
      <c r="G197" s="5" t="s">
        <v>835</v>
      </c>
      <c r="H197" s="5" t="s">
        <v>137</v>
      </c>
      <c r="I197" s="5" t="s">
        <v>703</v>
      </c>
      <c r="J197" s="5" t="s">
        <v>30</v>
      </c>
      <c r="K197" s="5" t="s">
        <v>30</v>
      </c>
      <c r="L197" s="3" t="s">
        <v>139</v>
      </c>
      <c r="M197" s="3" t="s">
        <v>31</v>
      </c>
      <c r="N197" s="5" t="s">
        <v>170</v>
      </c>
      <c r="O197" s="5" t="s">
        <v>141</v>
      </c>
      <c r="P197" s="5" t="s">
        <v>34</v>
      </c>
      <c r="Q197" s="154">
        <v>344</v>
      </c>
      <c r="R197" s="166">
        <v>1</v>
      </c>
      <c r="S197" s="168">
        <v>32500</v>
      </c>
      <c r="U197" s="154">
        <v>111.8</v>
      </c>
      <c r="V197" s="165">
        <v>5.0000000000000004E-6</v>
      </c>
      <c r="W197" s="165">
        <v>1.2191403181844401E-2</v>
      </c>
      <c r="X197" s="165">
        <v>2.3190078386759599E-3</v>
      </c>
    </row>
    <row r="198" spans="1:24">
      <c r="A198" s="5">
        <v>12904</v>
      </c>
      <c r="B198" s="5">
        <v>12905</v>
      </c>
      <c r="C198" s="5" t="s">
        <v>836</v>
      </c>
      <c r="D198" s="5" t="s">
        <v>837</v>
      </c>
      <c r="E198" s="5" t="s">
        <v>134</v>
      </c>
      <c r="F198" s="5" t="s">
        <v>838</v>
      </c>
      <c r="G198" s="5" t="s">
        <v>839</v>
      </c>
      <c r="H198" s="5" t="s">
        <v>137</v>
      </c>
      <c r="I198" s="5" t="s">
        <v>703</v>
      </c>
      <c r="J198" s="5" t="s">
        <v>30</v>
      </c>
      <c r="K198" s="5" t="s">
        <v>30</v>
      </c>
      <c r="L198" s="3" t="s">
        <v>139</v>
      </c>
      <c r="M198" s="3" t="s">
        <v>31</v>
      </c>
      <c r="N198" s="5" t="s">
        <v>734</v>
      </c>
      <c r="O198" s="5" t="s">
        <v>141</v>
      </c>
      <c r="P198" s="5" t="s">
        <v>34</v>
      </c>
      <c r="Q198" s="154">
        <v>1000</v>
      </c>
      <c r="R198" s="166">
        <v>1</v>
      </c>
      <c r="S198" s="168">
        <v>2066</v>
      </c>
      <c r="U198" s="154">
        <v>20.66</v>
      </c>
      <c r="V198" s="165">
        <v>6.9999999999999999E-6</v>
      </c>
      <c r="W198" s="165">
        <v>2.2529015182191801E-3</v>
      </c>
      <c r="X198" s="165">
        <v>4.2853937340827698E-4</v>
      </c>
    </row>
    <row r="199" spans="1:24">
      <c r="A199" s="5">
        <v>12904</v>
      </c>
      <c r="B199" s="5">
        <v>12905</v>
      </c>
      <c r="C199" s="5" t="s">
        <v>467</v>
      </c>
      <c r="D199" s="5" t="s">
        <v>468</v>
      </c>
      <c r="E199" s="5" t="s">
        <v>366</v>
      </c>
      <c r="F199" s="5" t="s">
        <v>840</v>
      </c>
      <c r="G199" s="5" t="s">
        <v>841</v>
      </c>
      <c r="H199" s="5" t="s">
        <v>137</v>
      </c>
      <c r="I199" s="5" t="s">
        <v>703</v>
      </c>
      <c r="J199" s="5" t="s">
        <v>30</v>
      </c>
      <c r="K199" s="5" t="s">
        <v>224</v>
      </c>
      <c r="L199" s="3" t="s">
        <v>139</v>
      </c>
      <c r="M199" s="3" t="s">
        <v>31</v>
      </c>
      <c r="N199" s="5" t="s">
        <v>369</v>
      </c>
      <c r="O199" s="5" t="s">
        <v>141</v>
      </c>
      <c r="P199" s="5" t="s">
        <v>34</v>
      </c>
      <c r="Q199" s="154">
        <v>100</v>
      </c>
      <c r="R199" s="166">
        <v>1</v>
      </c>
      <c r="S199" s="168">
        <v>11190</v>
      </c>
      <c r="U199" s="154">
        <v>11.19</v>
      </c>
      <c r="V199" s="165">
        <v>9.9999999999999995E-7</v>
      </c>
      <c r="W199" s="165">
        <v>1.22023078358532E-3</v>
      </c>
      <c r="X199" s="165">
        <v>2.32108208540107E-4</v>
      </c>
    </row>
    <row r="200" spans="1:24">
      <c r="A200" s="5">
        <v>12904</v>
      </c>
      <c r="B200" s="5">
        <v>12905</v>
      </c>
      <c r="C200" s="5" t="s">
        <v>842</v>
      </c>
      <c r="D200" s="5" t="s">
        <v>843</v>
      </c>
      <c r="E200" s="5" t="s">
        <v>366</v>
      </c>
      <c r="F200" s="5" t="s">
        <v>844</v>
      </c>
      <c r="G200" s="5" t="s">
        <v>845</v>
      </c>
      <c r="H200" s="5" t="s">
        <v>137</v>
      </c>
      <c r="I200" s="5" t="s">
        <v>703</v>
      </c>
      <c r="J200" s="5" t="s">
        <v>30</v>
      </c>
      <c r="K200" s="5" t="s">
        <v>30</v>
      </c>
      <c r="L200" s="3" t="s">
        <v>139</v>
      </c>
      <c r="M200" s="3" t="s">
        <v>31</v>
      </c>
      <c r="N200" s="5" t="s">
        <v>369</v>
      </c>
      <c r="O200" s="5" t="s">
        <v>141</v>
      </c>
      <c r="P200" s="5" t="s">
        <v>34</v>
      </c>
      <c r="Q200" s="154">
        <v>4489</v>
      </c>
      <c r="R200" s="166">
        <v>1</v>
      </c>
      <c r="S200" s="168">
        <v>1744</v>
      </c>
      <c r="U200" s="154">
        <v>78.287999999999997</v>
      </c>
      <c r="V200" s="165">
        <v>3.9999999999999998E-6</v>
      </c>
      <c r="W200" s="165">
        <v>8.5370529778599404E-3</v>
      </c>
      <c r="X200" s="165">
        <v>1.6238895949509599E-3</v>
      </c>
    </row>
    <row r="201" spans="1:24">
      <c r="A201" s="5">
        <v>12904</v>
      </c>
      <c r="B201" s="5">
        <v>12905</v>
      </c>
      <c r="C201" s="5" t="s">
        <v>846</v>
      </c>
      <c r="D201" s="5" t="s">
        <v>847</v>
      </c>
      <c r="E201" s="5" t="s">
        <v>134</v>
      </c>
      <c r="F201" s="5" t="s">
        <v>848</v>
      </c>
      <c r="G201" s="5" t="s">
        <v>849</v>
      </c>
      <c r="H201" s="5" t="s">
        <v>137</v>
      </c>
      <c r="I201" s="5" t="s">
        <v>703</v>
      </c>
      <c r="J201" s="5" t="s">
        <v>30</v>
      </c>
      <c r="K201" s="5" t="s">
        <v>224</v>
      </c>
      <c r="L201" s="3" t="s">
        <v>139</v>
      </c>
      <c r="M201" s="3" t="s">
        <v>31</v>
      </c>
      <c r="N201" s="5" t="s">
        <v>480</v>
      </c>
      <c r="O201" s="5" t="s">
        <v>141</v>
      </c>
      <c r="P201" s="5" t="s">
        <v>34</v>
      </c>
      <c r="Q201" s="154">
        <v>248</v>
      </c>
      <c r="R201" s="166">
        <v>1</v>
      </c>
      <c r="S201" s="168">
        <v>48800</v>
      </c>
      <c r="U201" s="154">
        <v>121.024</v>
      </c>
      <c r="V201" s="165">
        <v>3.0000000000000001E-6</v>
      </c>
      <c r="W201" s="165">
        <v>1.31972484676166E-2</v>
      </c>
      <c r="X201" s="165">
        <v>2.5103363566003501E-3</v>
      </c>
    </row>
    <row r="202" spans="1:24">
      <c r="A202" s="5">
        <v>12904</v>
      </c>
      <c r="B202" s="5">
        <v>12905</v>
      </c>
      <c r="C202" s="5" t="s">
        <v>506</v>
      </c>
      <c r="D202" s="5" t="s">
        <v>507</v>
      </c>
      <c r="E202" s="5" t="s">
        <v>134</v>
      </c>
      <c r="F202" s="5" t="s">
        <v>850</v>
      </c>
      <c r="G202" s="5" t="s">
        <v>851</v>
      </c>
      <c r="H202" s="5" t="s">
        <v>137</v>
      </c>
      <c r="I202" s="5" t="s">
        <v>703</v>
      </c>
      <c r="J202" s="5" t="s">
        <v>30</v>
      </c>
      <c r="K202" s="5" t="s">
        <v>30</v>
      </c>
      <c r="L202" s="3" t="s">
        <v>139</v>
      </c>
      <c r="M202" s="3" t="s">
        <v>31</v>
      </c>
      <c r="N202" s="5" t="s">
        <v>186</v>
      </c>
      <c r="O202" s="5" t="s">
        <v>141</v>
      </c>
      <c r="P202" s="5" t="s">
        <v>34</v>
      </c>
      <c r="Q202" s="154">
        <v>585</v>
      </c>
      <c r="R202" s="166">
        <v>1</v>
      </c>
      <c r="S202" s="168">
        <v>32870</v>
      </c>
      <c r="U202" s="154">
        <v>192.29</v>
      </c>
      <c r="V202" s="165">
        <v>5.0000000000000004E-6</v>
      </c>
      <c r="W202" s="165">
        <v>2.0968504670261699E-2</v>
      </c>
      <c r="X202" s="165">
        <v>3.9885586564855201E-3</v>
      </c>
    </row>
    <row r="203" spans="1:24">
      <c r="A203" s="5">
        <v>12904</v>
      </c>
      <c r="B203" s="5">
        <v>12905</v>
      </c>
      <c r="C203" s="5" t="s">
        <v>522</v>
      </c>
      <c r="D203" s="5" t="s">
        <v>523</v>
      </c>
      <c r="E203" s="5" t="s">
        <v>134</v>
      </c>
      <c r="F203" s="5" t="s">
        <v>852</v>
      </c>
      <c r="G203" s="5" t="s">
        <v>853</v>
      </c>
      <c r="H203" s="5" t="s">
        <v>137</v>
      </c>
      <c r="I203" s="5" t="s">
        <v>703</v>
      </c>
      <c r="J203" s="5" t="s">
        <v>30</v>
      </c>
      <c r="K203" s="5" t="s">
        <v>30</v>
      </c>
      <c r="L203" s="3" t="s">
        <v>139</v>
      </c>
      <c r="M203" s="3" t="s">
        <v>31</v>
      </c>
      <c r="N203" s="5" t="s">
        <v>285</v>
      </c>
      <c r="O203" s="5" t="s">
        <v>141</v>
      </c>
      <c r="P203" s="5" t="s">
        <v>34</v>
      </c>
      <c r="Q203" s="154">
        <v>6033</v>
      </c>
      <c r="R203" s="166">
        <v>1</v>
      </c>
      <c r="S203" s="168">
        <v>6732</v>
      </c>
      <c r="U203" s="154">
        <v>406.142</v>
      </c>
      <c r="V203" s="165">
        <v>5.0000000000000004E-6</v>
      </c>
      <c r="W203" s="165">
        <v>4.4288331903964501E-2</v>
      </c>
      <c r="X203" s="165">
        <v>8.42437800762149E-3</v>
      </c>
    </row>
    <row r="204" spans="1:24">
      <c r="A204" s="5">
        <v>12904</v>
      </c>
      <c r="B204" s="5">
        <v>12905</v>
      </c>
      <c r="C204" s="5" t="s">
        <v>644</v>
      </c>
      <c r="D204" s="5" t="s">
        <v>645</v>
      </c>
      <c r="E204" s="5" t="s">
        <v>134</v>
      </c>
      <c r="F204" s="5" t="s">
        <v>854</v>
      </c>
      <c r="G204" s="5" t="s">
        <v>855</v>
      </c>
      <c r="H204" s="5" t="s">
        <v>137</v>
      </c>
      <c r="I204" s="5" t="s">
        <v>703</v>
      </c>
      <c r="J204" s="5" t="s">
        <v>30</v>
      </c>
      <c r="K204" s="5" t="s">
        <v>30</v>
      </c>
      <c r="L204" s="3" t="s">
        <v>139</v>
      </c>
      <c r="M204" s="3" t="s">
        <v>31</v>
      </c>
      <c r="N204" s="5" t="s">
        <v>612</v>
      </c>
      <c r="O204" s="5" t="s">
        <v>141</v>
      </c>
      <c r="P204" s="5" t="s">
        <v>34</v>
      </c>
      <c r="Q204" s="154">
        <v>2998</v>
      </c>
      <c r="R204" s="166">
        <v>1</v>
      </c>
      <c r="S204" s="168">
        <v>3170</v>
      </c>
      <c r="U204" s="154">
        <v>95.037000000000006</v>
      </c>
      <c r="V204" s="165">
        <v>1.5999999999999999E-5</v>
      </c>
      <c r="W204" s="165">
        <v>1.03634124117323E-2</v>
      </c>
      <c r="X204" s="165">
        <v>1.9712935631584199E-3</v>
      </c>
    </row>
    <row r="205" spans="1:24">
      <c r="A205" s="5">
        <v>12904</v>
      </c>
      <c r="B205" s="5">
        <v>12905</v>
      </c>
      <c r="C205" s="5" t="s">
        <v>540</v>
      </c>
      <c r="D205" s="5" t="s">
        <v>541</v>
      </c>
      <c r="E205" s="5" t="s">
        <v>134</v>
      </c>
      <c r="F205" s="5" t="s">
        <v>856</v>
      </c>
      <c r="G205" s="5" t="s">
        <v>857</v>
      </c>
      <c r="H205" s="5" t="s">
        <v>137</v>
      </c>
      <c r="I205" s="5" t="s">
        <v>703</v>
      </c>
      <c r="J205" s="5" t="s">
        <v>30</v>
      </c>
      <c r="K205" s="5" t="s">
        <v>30</v>
      </c>
      <c r="L205" s="3" t="s">
        <v>139</v>
      </c>
      <c r="M205" s="3" t="s">
        <v>31</v>
      </c>
      <c r="N205" s="5" t="s">
        <v>544</v>
      </c>
      <c r="O205" s="5" t="s">
        <v>141</v>
      </c>
      <c r="P205" s="5" t="s">
        <v>34</v>
      </c>
      <c r="Q205" s="154">
        <v>58</v>
      </c>
      <c r="R205" s="166">
        <v>1</v>
      </c>
      <c r="S205" s="168">
        <v>55350</v>
      </c>
      <c r="U205" s="154">
        <v>32.103000000000002</v>
      </c>
      <c r="V205" s="165">
        <v>3.9999999999999998E-6</v>
      </c>
      <c r="W205" s="165">
        <v>3.5007210764467799E-3</v>
      </c>
      <c r="X205" s="165">
        <v>6.6589542616291898E-4</v>
      </c>
    </row>
    <row r="206" spans="1:24">
      <c r="A206" s="5">
        <v>12904</v>
      </c>
      <c r="B206" s="5">
        <v>12905</v>
      </c>
      <c r="C206" s="5" t="s">
        <v>858</v>
      </c>
      <c r="D206" s="5" t="s">
        <v>859</v>
      </c>
      <c r="E206" s="5" t="s">
        <v>134</v>
      </c>
      <c r="F206" s="5" t="s">
        <v>860</v>
      </c>
      <c r="G206" s="5" t="s">
        <v>861</v>
      </c>
      <c r="H206" s="5" t="s">
        <v>137</v>
      </c>
      <c r="I206" s="5" t="s">
        <v>703</v>
      </c>
      <c r="J206" s="5" t="s">
        <v>30</v>
      </c>
      <c r="K206" s="5" t="s">
        <v>30</v>
      </c>
      <c r="L206" s="3" t="s">
        <v>139</v>
      </c>
      <c r="M206" s="3" t="s">
        <v>31</v>
      </c>
      <c r="N206" s="5" t="s">
        <v>718</v>
      </c>
      <c r="O206" s="5" t="s">
        <v>141</v>
      </c>
      <c r="P206" s="5" t="s">
        <v>34</v>
      </c>
      <c r="Q206" s="154">
        <v>6521</v>
      </c>
      <c r="R206" s="166">
        <v>1</v>
      </c>
      <c r="S206" s="168">
        <v>875.3</v>
      </c>
      <c r="U206" s="154">
        <v>57.078000000000003</v>
      </c>
      <c r="V206" s="165">
        <v>2.3E-5</v>
      </c>
      <c r="W206" s="165">
        <v>6.2241925467129604E-3</v>
      </c>
      <c r="X206" s="165">
        <v>1.1839450381520599E-3</v>
      </c>
    </row>
    <row r="207" spans="1:24">
      <c r="A207" s="5">
        <v>12904</v>
      </c>
      <c r="B207" s="5">
        <v>12905</v>
      </c>
      <c r="C207" s="5" t="s">
        <v>866</v>
      </c>
      <c r="D207" s="5" t="s">
        <v>867</v>
      </c>
      <c r="E207" s="5" t="s">
        <v>134</v>
      </c>
      <c r="F207" s="5" t="s">
        <v>868</v>
      </c>
      <c r="G207" s="5" t="s">
        <v>869</v>
      </c>
      <c r="H207" s="5" t="s">
        <v>137</v>
      </c>
      <c r="I207" s="5" t="s">
        <v>703</v>
      </c>
      <c r="J207" s="5" t="s">
        <v>30</v>
      </c>
      <c r="K207" s="5" t="s">
        <v>30</v>
      </c>
      <c r="L207" s="3" t="s">
        <v>139</v>
      </c>
      <c r="M207" s="3" t="s">
        <v>31</v>
      </c>
      <c r="N207" s="5" t="s">
        <v>734</v>
      </c>
      <c r="O207" s="5" t="s">
        <v>141</v>
      </c>
      <c r="P207" s="5" t="s">
        <v>34</v>
      </c>
      <c r="Q207" s="154">
        <v>314</v>
      </c>
      <c r="R207" s="166">
        <v>1</v>
      </c>
      <c r="S207" s="168">
        <v>30530</v>
      </c>
      <c r="U207" s="154">
        <v>95.864000000000004</v>
      </c>
      <c r="V207" s="165">
        <v>2.3E-5</v>
      </c>
      <c r="W207" s="165">
        <v>1.04536593283092E-2</v>
      </c>
      <c r="X207" s="165">
        <v>1.9884600290554599E-3</v>
      </c>
    </row>
    <row r="208" spans="1:24">
      <c r="A208" s="5">
        <v>12904</v>
      </c>
      <c r="B208" s="5">
        <v>12905</v>
      </c>
      <c r="C208" s="5" t="s">
        <v>870</v>
      </c>
      <c r="D208" s="5" t="s">
        <v>871</v>
      </c>
      <c r="E208" s="5" t="s">
        <v>366</v>
      </c>
      <c r="F208" s="5" t="s">
        <v>872</v>
      </c>
      <c r="G208" s="5" t="s">
        <v>873</v>
      </c>
      <c r="H208" s="5" t="s">
        <v>137</v>
      </c>
      <c r="I208" s="5" t="s">
        <v>703</v>
      </c>
      <c r="J208" s="5" t="s">
        <v>30</v>
      </c>
      <c r="K208" s="5" t="s">
        <v>30</v>
      </c>
      <c r="L208" s="3" t="s">
        <v>139</v>
      </c>
      <c r="M208" s="3" t="s">
        <v>31</v>
      </c>
      <c r="N208" s="5" t="s">
        <v>369</v>
      </c>
      <c r="O208" s="5" t="s">
        <v>141</v>
      </c>
      <c r="P208" s="5" t="s">
        <v>34</v>
      </c>
      <c r="Q208" s="154">
        <v>13244</v>
      </c>
      <c r="R208" s="166">
        <v>1</v>
      </c>
      <c r="S208" s="168">
        <v>454.7</v>
      </c>
      <c r="U208" s="154">
        <v>60.22</v>
      </c>
      <c r="V208" s="165">
        <v>1.2E-5</v>
      </c>
      <c r="W208" s="165">
        <v>6.56683367788334E-3</v>
      </c>
      <c r="X208" s="165">
        <v>1.24912108533752E-3</v>
      </c>
    </row>
    <row r="209" spans="1:24">
      <c r="A209" s="5">
        <v>12904</v>
      </c>
      <c r="B209" s="5">
        <v>12905</v>
      </c>
      <c r="C209" s="5" t="s">
        <v>874</v>
      </c>
      <c r="D209" s="5" t="s">
        <v>875</v>
      </c>
      <c r="E209" s="5" t="s">
        <v>134</v>
      </c>
      <c r="F209" s="5" t="s">
        <v>876</v>
      </c>
      <c r="G209" s="5" t="s">
        <v>877</v>
      </c>
      <c r="H209" s="5" t="s">
        <v>137</v>
      </c>
      <c r="I209" s="5" t="s">
        <v>703</v>
      </c>
      <c r="J209" s="5" t="s">
        <v>30</v>
      </c>
      <c r="K209" s="5" t="s">
        <v>30</v>
      </c>
      <c r="L209" s="3" t="s">
        <v>139</v>
      </c>
      <c r="M209" s="3" t="s">
        <v>31</v>
      </c>
      <c r="N209" s="5" t="s">
        <v>878</v>
      </c>
      <c r="O209" s="5" t="s">
        <v>141</v>
      </c>
      <c r="P209" s="5" t="s">
        <v>34</v>
      </c>
      <c r="Q209" s="154">
        <v>1124</v>
      </c>
      <c r="R209" s="166">
        <v>1</v>
      </c>
      <c r="S209" s="168">
        <v>9361</v>
      </c>
      <c r="U209" s="154">
        <v>105.218</v>
      </c>
      <c r="V209" s="165">
        <v>1.0000000000000001E-5</v>
      </c>
      <c r="W209" s="165">
        <v>1.14736195982304E-2</v>
      </c>
      <c r="X209" s="165">
        <v>2.1824734519408301E-3</v>
      </c>
    </row>
    <row r="210" spans="1:24">
      <c r="A210" s="5">
        <v>12904</v>
      </c>
      <c r="B210" s="5">
        <v>12905</v>
      </c>
      <c r="C210" s="5" t="s">
        <v>879</v>
      </c>
      <c r="D210" s="5" t="s">
        <v>880</v>
      </c>
      <c r="E210" s="5" t="s">
        <v>134</v>
      </c>
      <c r="F210" s="5" t="s">
        <v>881</v>
      </c>
      <c r="G210" s="5" t="s">
        <v>882</v>
      </c>
      <c r="H210" s="5" t="s">
        <v>137</v>
      </c>
      <c r="I210" s="5" t="s">
        <v>703</v>
      </c>
      <c r="J210" s="5" t="s">
        <v>30</v>
      </c>
      <c r="K210" s="5" t="s">
        <v>30</v>
      </c>
      <c r="L210" s="3" t="s">
        <v>139</v>
      </c>
      <c r="M210" s="3" t="s">
        <v>31</v>
      </c>
      <c r="N210" s="5" t="s">
        <v>718</v>
      </c>
      <c r="O210" s="5" t="s">
        <v>141</v>
      </c>
      <c r="P210" s="5" t="s">
        <v>34</v>
      </c>
      <c r="Q210" s="154">
        <v>2013</v>
      </c>
      <c r="R210" s="166">
        <v>1</v>
      </c>
      <c r="S210" s="168">
        <v>2708</v>
      </c>
      <c r="U210" s="154">
        <v>54.512</v>
      </c>
      <c r="V210" s="165">
        <v>6.0000000000000002E-6</v>
      </c>
      <c r="W210" s="165">
        <v>5.9443493551415696E-3</v>
      </c>
      <c r="X210" s="165">
        <v>1.13071420449211E-3</v>
      </c>
    </row>
    <row r="211" spans="1:24">
      <c r="A211" s="5">
        <v>12904</v>
      </c>
      <c r="B211" s="5">
        <v>12905</v>
      </c>
      <c r="C211" s="5" t="s">
        <v>883</v>
      </c>
      <c r="D211" s="5" t="s">
        <v>884</v>
      </c>
      <c r="E211" s="5" t="s">
        <v>134</v>
      </c>
      <c r="F211" s="5" t="s">
        <v>885</v>
      </c>
      <c r="G211" s="5" t="s">
        <v>886</v>
      </c>
      <c r="H211" s="5" t="s">
        <v>137</v>
      </c>
      <c r="I211" s="5" t="s">
        <v>703</v>
      </c>
      <c r="J211" s="5" t="s">
        <v>30</v>
      </c>
      <c r="K211" s="5" t="s">
        <v>797</v>
      </c>
      <c r="L211" s="3" t="s">
        <v>139</v>
      </c>
      <c r="M211" s="3" t="s">
        <v>31</v>
      </c>
      <c r="N211" s="5" t="s">
        <v>887</v>
      </c>
      <c r="O211" s="5" t="s">
        <v>141</v>
      </c>
      <c r="P211" s="5" t="s">
        <v>34</v>
      </c>
      <c r="Q211" s="154">
        <v>425</v>
      </c>
      <c r="R211" s="166">
        <v>1</v>
      </c>
      <c r="S211" s="168">
        <v>13500</v>
      </c>
      <c r="U211" s="154">
        <v>57.375</v>
      </c>
      <c r="V211" s="165">
        <v>3.1999999999999999E-5</v>
      </c>
      <c r="W211" s="165">
        <v>6.2565452375520601E-3</v>
      </c>
      <c r="X211" s="165">
        <v>1.19009905853339E-3</v>
      </c>
    </row>
    <row r="212" spans="1:24">
      <c r="A212" s="5">
        <v>12904</v>
      </c>
      <c r="B212" s="5">
        <v>12905</v>
      </c>
      <c r="C212" s="5" t="s">
        <v>619</v>
      </c>
      <c r="D212" s="5" t="s">
        <v>620</v>
      </c>
      <c r="E212" s="5" t="s">
        <v>134</v>
      </c>
      <c r="F212" s="5" t="s">
        <v>888</v>
      </c>
      <c r="G212" s="5" t="s">
        <v>889</v>
      </c>
      <c r="H212" s="5" t="s">
        <v>137</v>
      </c>
      <c r="I212" s="5" t="s">
        <v>703</v>
      </c>
      <c r="J212" s="5" t="s">
        <v>30</v>
      </c>
      <c r="K212" s="5" t="s">
        <v>30</v>
      </c>
      <c r="L212" s="3" t="s">
        <v>139</v>
      </c>
      <c r="M212" s="3" t="s">
        <v>31</v>
      </c>
      <c r="N212" s="5" t="s">
        <v>555</v>
      </c>
      <c r="O212" s="5" t="s">
        <v>141</v>
      </c>
      <c r="P212" s="5" t="s">
        <v>34</v>
      </c>
      <c r="Q212" s="154">
        <v>402</v>
      </c>
      <c r="R212" s="166">
        <v>1</v>
      </c>
      <c r="S212" s="168">
        <v>16620</v>
      </c>
      <c r="U212" s="154">
        <v>66.811999999999998</v>
      </c>
      <c r="V212" s="165">
        <v>4.6999999999999997E-5</v>
      </c>
      <c r="W212" s="165">
        <v>7.2856610549790601E-3</v>
      </c>
      <c r="X212" s="165">
        <v>1.3858540189691699E-3</v>
      </c>
    </row>
    <row r="213" spans="1:24">
      <c r="A213" s="5">
        <v>12904</v>
      </c>
      <c r="B213" s="5">
        <v>12905</v>
      </c>
      <c r="C213" s="5" t="s">
        <v>890</v>
      </c>
      <c r="D213" s="5" t="s">
        <v>891</v>
      </c>
      <c r="E213" s="5" t="s">
        <v>651</v>
      </c>
      <c r="F213" s="5" t="s">
        <v>892</v>
      </c>
      <c r="G213" s="5" t="s">
        <v>893</v>
      </c>
      <c r="H213" s="5" t="s">
        <v>137</v>
      </c>
      <c r="I213" s="5" t="s">
        <v>703</v>
      </c>
      <c r="J213" s="5" t="s">
        <v>572</v>
      </c>
      <c r="K213" s="5" t="s">
        <v>224</v>
      </c>
      <c r="L213" s="3" t="s">
        <v>139</v>
      </c>
      <c r="M213" s="3" t="s">
        <v>894</v>
      </c>
      <c r="N213" s="5" t="s">
        <v>895</v>
      </c>
      <c r="O213" s="5" t="s">
        <v>141</v>
      </c>
      <c r="P213" s="5" t="s">
        <v>664</v>
      </c>
      <c r="Q213" s="154">
        <v>184</v>
      </c>
      <c r="R213" s="166">
        <v>3.306</v>
      </c>
      <c r="S213" s="168">
        <v>12142</v>
      </c>
      <c r="U213" s="154">
        <v>73.86</v>
      </c>
      <c r="V213" s="165">
        <v>9.9999999999999995E-7</v>
      </c>
      <c r="W213" s="165">
        <v>8.0542070766676296E-3</v>
      </c>
      <c r="X213" s="165">
        <v>1.5320442664817199E-3</v>
      </c>
    </row>
    <row r="214" spans="1:24">
      <c r="A214" s="5">
        <v>12904</v>
      </c>
      <c r="B214" s="5">
        <v>12905</v>
      </c>
      <c r="C214" s="5" t="s">
        <v>896</v>
      </c>
      <c r="D214" s="5" t="s">
        <v>897</v>
      </c>
      <c r="E214" s="5" t="s">
        <v>651</v>
      </c>
      <c r="F214" s="5" t="s">
        <v>898</v>
      </c>
      <c r="G214" s="5" t="s">
        <v>899</v>
      </c>
      <c r="H214" s="5" t="s">
        <v>137</v>
      </c>
      <c r="I214" s="5" t="s">
        <v>703</v>
      </c>
      <c r="J214" s="5" t="s">
        <v>572</v>
      </c>
      <c r="K214" s="5" t="s">
        <v>224</v>
      </c>
      <c r="L214" s="3" t="s">
        <v>139</v>
      </c>
      <c r="M214" s="3" t="s">
        <v>894</v>
      </c>
      <c r="N214" s="5" t="s">
        <v>900</v>
      </c>
      <c r="O214" s="5" t="s">
        <v>141</v>
      </c>
      <c r="P214" s="5" t="s">
        <v>664</v>
      </c>
      <c r="Q214" s="154">
        <v>245</v>
      </c>
      <c r="R214" s="166">
        <v>3.306</v>
      </c>
      <c r="S214" s="168">
        <v>21957</v>
      </c>
      <c r="U214" s="154">
        <v>177.845</v>
      </c>
      <c r="V214" s="165">
        <v>0</v>
      </c>
      <c r="W214" s="165">
        <v>1.9393394233314199E-2</v>
      </c>
      <c r="X214" s="165">
        <v>3.6889464301011702E-3</v>
      </c>
    </row>
    <row r="215" spans="1:24">
      <c r="A215" s="5">
        <v>12904</v>
      </c>
      <c r="B215" s="5">
        <v>12905</v>
      </c>
      <c r="C215" s="5" t="s">
        <v>901</v>
      </c>
      <c r="D215" s="5" t="s">
        <v>902</v>
      </c>
      <c r="E215" s="5" t="s">
        <v>651</v>
      </c>
      <c r="F215" s="5" t="s">
        <v>903</v>
      </c>
      <c r="G215" s="5" t="s">
        <v>904</v>
      </c>
      <c r="H215" s="5" t="s">
        <v>137</v>
      </c>
      <c r="I215" s="5" t="s">
        <v>703</v>
      </c>
      <c r="J215" s="5" t="s">
        <v>572</v>
      </c>
      <c r="K215" s="5" t="s">
        <v>224</v>
      </c>
      <c r="L215" s="3" t="s">
        <v>139</v>
      </c>
      <c r="M215" s="3" t="s">
        <v>894</v>
      </c>
      <c r="N215" s="5" t="s">
        <v>905</v>
      </c>
      <c r="O215" s="5" t="s">
        <v>141</v>
      </c>
      <c r="P215" s="5" t="s">
        <v>664</v>
      </c>
      <c r="Q215" s="154">
        <v>58</v>
      </c>
      <c r="R215" s="166">
        <v>3.306</v>
      </c>
      <c r="S215" s="168">
        <v>50274</v>
      </c>
      <c r="U215" s="154">
        <v>96.399000000000001</v>
      </c>
      <c r="V215" s="165">
        <v>0</v>
      </c>
      <c r="W215" s="165">
        <v>1.0512019893756599E-2</v>
      </c>
      <c r="X215" s="165">
        <v>1.9995611801472001E-3</v>
      </c>
    </row>
    <row r="216" spans="1:24">
      <c r="A216" s="5">
        <v>12904</v>
      </c>
      <c r="B216" s="5">
        <v>12905</v>
      </c>
      <c r="C216" s="5" t="s">
        <v>906</v>
      </c>
      <c r="D216" s="5" t="s">
        <v>907</v>
      </c>
      <c r="E216" s="5" t="s">
        <v>651</v>
      </c>
      <c r="F216" s="5" t="s">
        <v>908</v>
      </c>
      <c r="G216" s="5" t="s">
        <v>909</v>
      </c>
      <c r="H216" s="5" t="s">
        <v>137</v>
      </c>
      <c r="I216" s="5" t="s">
        <v>703</v>
      </c>
      <c r="J216" s="5" t="s">
        <v>572</v>
      </c>
      <c r="K216" s="5" t="s">
        <v>224</v>
      </c>
      <c r="L216" s="3" t="s">
        <v>139</v>
      </c>
      <c r="M216" s="3" t="s">
        <v>894</v>
      </c>
      <c r="N216" s="5" t="s">
        <v>655</v>
      </c>
      <c r="O216" s="5" t="s">
        <v>141</v>
      </c>
      <c r="P216" s="5" t="s">
        <v>664</v>
      </c>
      <c r="Q216" s="154">
        <v>142</v>
      </c>
      <c r="R216" s="166">
        <v>3.306</v>
      </c>
      <c r="S216" s="168">
        <v>14008</v>
      </c>
      <c r="U216" s="154">
        <v>65.760999999999996</v>
      </c>
      <c r="V216" s="165">
        <v>9.9999999999999995E-7</v>
      </c>
      <c r="W216" s="165">
        <v>7.17099165654535E-3</v>
      </c>
      <c r="X216" s="165">
        <v>1.36404199045551E-3</v>
      </c>
    </row>
    <row r="217" spans="1:24">
      <c r="A217" s="5">
        <v>12904</v>
      </c>
      <c r="B217" s="5">
        <v>12905</v>
      </c>
      <c r="C217" s="5" t="s">
        <v>915</v>
      </c>
      <c r="D217" s="5" t="s">
        <v>916</v>
      </c>
      <c r="E217" s="5" t="s">
        <v>651</v>
      </c>
      <c r="F217" s="5" t="s">
        <v>915</v>
      </c>
      <c r="G217" s="5" t="s">
        <v>917</v>
      </c>
      <c r="H217" s="5" t="s">
        <v>137</v>
      </c>
      <c r="I217" s="5" t="s">
        <v>703</v>
      </c>
      <c r="J217" s="5" t="s">
        <v>572</v>
      </c>
      <c r="K217" s="5" t="s">
        <v>797</v>
      </c>
      <c r="L217" s="3" t="s">
        <v>139</v>
      </c>
      <c r="M217" s="3" t="s">
        <v>894</v>
      </c>
      <c r="N217" s="5" t="s">
        <v>918</v>
      </c>
      <c r="O217" s="5" t="s">
        <v>141</v>
      </c>
      <c r="P217" s="5" t="s">
        <v>664</v>
      </c>
      <c r="Q217" s="154">
        <v>21</v>
      </c>
      <c r="R217" s="166">
        <v>3.306</v>
      </c>
      <c r="S217" s="168">
        <v>92563</v>
      </c>
      <c r="U217" s="154">
        <v>64.263000000000005</v>
      </c>
      <c r="V217" s="165">
        <v>0</v>
      </c>
      <c r="W217" s="165">
        <v>7.00763472924976E-3</v>
      </c>
      <c r="X217" s="165">
        <v>1.33296878343823E-3</v>
      </c>
    </row>
    <row r="218" spans="1:24">
      <c r="A218" s="5">
        <v>12904</v>
      </c>
      <c r="B218" s="5">
        <v>12905</v>
      </c>
      <c r="C218" s="5" t="s">
        <v>919</v>
      </c>
      <c r="D218" s="5" t="s">
        <v>920</v>
      </c>
      <c r="E218" s="5" t="s">
        <v>651</v>
      </c>
      <c r="F218" s="5" t="s">
        <v>921</v>
      </c>
      <c r="G218" s="5" t="s">
        <v>922</v>
      </c>
      <c r="H218" s="5" t="s">
        <v>137</v>
      </c>
      <c r="I218" s="5" t="s">
        <v>703</v>
      </c>
      <c r="J218" s="5" t="s">
        <v>572</v>
      </c>
      <c r="K218" s="5" t="s">
        <v>224</v>
      </c>
      <c r="L218" s="3" t="s">
        <v>139</v>
      </c>
      <c r="M218" s="3" t="s">
        <v>914</v>
      </c>
      <c r="N218" s="5" t="s">
        <v>655</v>
      </c>
      <c r="O218" s="5" t="s">
        <v>141</v>
      </c>
      <c r="P218" s="5" t="s">
        <v>664</v>
      </c>
      <c r="Q218" s="154">
        <v>63</v>
      </c>
      <c r="R218" s="166">
        <v>3.306</v>
      </c>
      <c r="S218" s="168">
        <v>76300</v>
      </c>
      <c r="U218" s="154">
        <v>158.916</v>
      </c>
      <c r="V218" s="165">
        <v>0</v>
      </c>
      <c r="W218" s="165">
        <v>1.7329252395938698E-2</v>
      </c>
      <c r="X218" s="165">
        <v>3.29631229032131E-3</v>
      </c>
    </row>
    <row r="219" spans="1:24">
      <c r="A219" s="5">
        <v>12904</v>
      </c>
      <c r="B219" s="5">
        <v>12905</v>
      </c>
      <c r="C219" s="5" t="s">
        <v>923</v>
      </c>
      <c r="D219" s="5" t="s">
        <v>924</v>
      </c>
      <c r="E219" s="5" t="s">
        <v>651</v>
      </c>
      <c r="F219" s="5" t="s">
        <v>925</v>
      </c>
      <c r="G219" s="5" t="s">
        <v>926</v>
      </c>
      <c r="H219" s="5" t="s">
        <v>137</v>
      </c>
      <c r="I219" s="5" t="s">
        <v>703</v>
      </c>
      <c r="J219" s="5" t="s">
        <v>572</v>
      </c>
      <c r="K219" s="5" t="s">
        <v>224</v>
      </c>
      <c r="L219" s="3" t="s">
        <v>139</v>
      </c>
      <c r="M219" s="3" t="s">
        <v>894</v>
      </c>
      <c r="N219" s="5" t="s">
        <v>927</v>
      </c>
      <c r="O219" s="5" t="s">
        <v>141</v>
      </c>
      <c r="P219" s="5" t="s">
        <v>664</v>
      </c>
      <c r="Q219" s="154">
        <v>880</v>
      </c>
      <c r="R219" s="166">
        <v>3.306</v>
      </c>
      <c r="S219" s="168">
        <v>5797</v>
      </c>
      <c r="U219" s="154">
        <v>168.65100000000001</v>
      </c>
      <c r="V219" s="165">
        <v>1.9999999999999999E-6</v>
      </c>
      <c r="W219" s="165">
        <v>1.83908038450032E-2</v>
      </c>
      <c r="X219" s="165">
        <v>3.4982370478590201E-3</v>
      </c>
    </row>
    <row r="220" spans="1:24">
      <c r="A220" s="5">
        <v>12904</v>
      </c>
      <c r="B220" s="5">
        <v>12905</v>
      </c>
      <c r="C220" s="5" t="s">
        <v>928</v>
      </c>
      <c r="D220" s="5" t="s">
        <v>929</v>
      </c>
      <c r="E220" s="5" t="s">
        <v>651</v>
      </c>
      <c r="F220" s="5" t="s">
        <v>930</v>
      </c>
      <c r="G220" s="5" t="s">
        <v>931</v>
      </c>
      <c r="H220" s="5" t="s">
        <v>137</v>
      </c>
      <c r="I220" s="5" t="s">
        <v>703</v>
      </c>
      <c r="J220" s="5" t="s">
        <v>572</v>
      </c>
      <c r="K220" s="5" t="s">
        <v>224</v>
      </c>
      <c r="L220" s="3" t="s">
        <v>139</v>
      </c>
      <c r="M220" s="3" t="s">
        <v>894</v>
      </c>
      <c r="N220" s="5" t="s">
        <v>932</v>
      </c>
      <c r="O220" s="5" t="s">
        <v>141</v>
      </c>
      <c r="P220" s="5" t="s">
        <v>664</v>
      </c>
      <c r="Q220" s="154">
        <v>266</v>
      </c>
      <c r="R220" s="166">
        <v>3.306</v>
      </c>
      <c r="S220" s="168">
        <v>24355</v>
      </c>
      <c r="U220" s="154">
        <v>214.17699999999999</v>
      </c>
      <c r="V220" s="165">
        <v>0</v>
      </c>
      <c r="W220" s="165">
        <v>2.3355249453789501E-2</v>
      </c>
      <c r="X220" s="165">
        <v>4.4425572470794599E-3</v>
      </c>
    </row>
    <row r="221" spans="1:24">
      <c r="A221" s="5">
        <v>12904</v>
      </c>
      <c r="B221" s="5">
        <v>12905</v>
      </c>
      <c r="C221" s="5" t="s">
        <v>933</v>
      </c>
      <c r="D221" s="5" t="s">
        <v>934</v>
      </c>
      <c r="E221" s="5" t="s">
        <v>651</v>
      </c>
      <c r="F221" s="5" t="s">
        <v>935</v>
      </c>
      <c r="G221" s="5" t="s">
        <v>936</v>
      </c>
      <c r="H221" s="5" t="s">
        <v>137</v>
      </c>
      <c r="I221" s="5" t="s">
        <v>703</v>
      </c>
      <c r="J221" s="5" t="s">
        <v>572</v>
      </c>
      <c r="K221" s="5" t="s">
        <v>224</v>
      </c>
      <c r="L221" s="3" t="s">
        <v>139</v>
      </c>
      <c r="M221" s="3" t="s">
        <v>894</v>
      </c>
      <c r="N221" s="5" t="s">
        <v>937</v>
      </c>
      <c r="O221" s="5" t="s">
        <v>141</v>
      </c>
      <c r="P221" s="5" t="s">
        <v>664</v>
      </c>
      <c r="Q221" s="154">
        <v>926</v>
      </c>
      <c r="R221" s="166">
        <v>3.306</v>
      </c>
      <c r="S221" s="168">
        <v>3355</v>
      </c>
      <c r="U221" s="154">
        <v>102.708</v>
      </c>
      <c r="V221" s="165">
        <v>0</v>
      </c>
      <c r="W221" s="165">
        <v>1.12000058865453E-2</v>
      </c>
      <c r="X221" s="165">
        <v>2.1304275690590402E-3</v>
      </c>
    </row>
    <row r="222" spans="1:24">
      <c r="A222" s="5">
        <v>12904</v>
      </c>
      <c r="B222" s="5">
        <v>12905</v>
      </c>
      <c r="C222" s="5" t="s">
        <v>938</v>
      </c>
      <c r="D222" s="5" t="s">
        <v>939</v>
      </c>
      <c r="E222" s="5" t="s">
        <v>651</v>
      </c>
      <c r="F222" s="5" t="s">
        <v>940</v>
      </c>
      <c r="G222" s="5" t="s">
        <v>941</v>
      </c>
      <c r="H222" s="5" t="s">
        <v>137</v>
      </c>
      <c r="I222" s="5" t="s">
        <v>703</v>
      </c>
      <c r="J222" s="5" t="s">
        <v>572</v>
      </c>
      <c r="K222" s="5" t="s">
        <v>942</v>
      </c>
      <c r="L222" s="3" t="s">
        <v>139</v>
      </c>
      <c r="M222" s="3" t="s">
        <v>498</v>
      </c>
      <c r="N222" s="5" t="s">
        <v>943</v>
      </c>
      <c r="O222" s="5" t="s">
        <v>141</v>
      </c>
      <c r="P222" s="5" t="s">
        <v>664</v>
      </c>
      <c r="Q222" s="154">
        <v>277.8</v>
      </c>
      <c r="R222" s="166">
        <v>3.306</v>
      </c>
      <c r="S222" s="168">
        <v>18175.669999999998</v>
      </c>
      <c r="U222" s="154">
        <v>166.92699999999999</v>
      </c>
      <c r="V222" s="165">
        <v>0</v>
      </c>
      <c r="W222" s="165">
        <v>1.8202767003747001E-2</v>
      </c>
      <c r="X222" s="165">
        <v>3.4624693103534501E-3</v>
      </c>
    </row>
    <row r="223" spans="1:24">
      <c r="A223" s="5">
        <v>12904</v>
      </c>
      <c r="B223" s="5">
        <v>12905</v>
      </c>
      <c r="C223" s="5" t="s">
        <v>944</v>
      </c>
      <c r="D223" s="5" t="s">
        <v>945</v>
      </c>
      <c r="E223" s="5" t="s">
        <v>651</v>
      </c>
      <c r="F223" s="5" t="s">
        <v>946</v>
      </c>
      <c r="G223" s="5" t="s">
        <v>947</v>
      </c>
      <c r="H223" s="5" t="s">
        <v>137</v>
      </c>
      <c r="I223" s="5" t="s">
        <v>703</v>
      </c>
      <c r="J223" s="5" t="s">
        <v>572</v>
      </c>
      <c r="K223" s="5" t="s">
        <v>224</v>
      </c>
      <c r="L223" s="3" t="s">
        <v>139</v>
      </c>
      <c r="M223" s="3" t="s">
        <v>894</v>
      </c>
      <c r="N223" s="5" t="s">
        <v>937</v>
      </c>
      <c r="O223" s="5" t="s">
        <v>141</v>
      </c>
      <c r="P223" s="5" t="s">
        <v>664</v>
      </c>
      <c r="Q223" s="154">
        <v>340</v>
      </c>
      <c r="R223" s="166">
        <v>3.306</v>
      </c>
      <c r="S223" s="168">
        <v>8407</v>
      </c>
      <c r="U223" s="154">
        <v>94.498000000000005</v>
      </c>
      <c r="V223" s="165">
        <v>9.9999999999999995E-7</v>
      </c>
      <c r="W223" s="165">
        <v>1.03046846124328E-2</v>
      </c>
      <c r="X223" s="165">
        <v>1.96012255807456E-3</v>
      </c>
    </row>
    <row r="224" spans="1:24">
      <c r="A224" s="5">
        <v>12904</v>
      </c>
      <c r="B224" s="5">
        <v>12905</v>
      </c>
      <c r="C224" s="5" t="s">
        <v>948</v>
      </c>
      <c r="D224" s="5" t="s">
        <v>949</v>
      </c>
      <c r="E224" s="5" t="s">
        <v>651</v>
      </c>
      <c r="F224" s="5" t="s">
        <v>950</v>
      </c>
      <c r="G224" s="5" t="s">
        <v>951</v>
      </c>
      <c r="H224" s="5" t="s">
        <v>137</v>
      </c>
      <c r="I224" s="5" t="s">
        <v>703</v>
      </c>
      <c r="J224" s="5" t="s">
        <v>572</v>
      </c>
      <c r="K224" s="5" t="s">
        <v>224</v>
      </c>
      <c r="L224" s="3" t="s">
        <v>139</v>
      </c>
      <c r="M224" s="3" t="s">
        <v>914</v>
      </c>
      <c r="N224" s="5" t="s">
        <v>952</v>
      </c>
      <c r="O224" s="5" t="s">
        <v>141</v>
      </c>
      <c r="P224" s="5" t="s">
        <v>664</v>
      </c>
      <c r="Q224" s="154">
        <v>68</v>
      </c>
      <c r="R224" s="166">
        <v>3.306</v>
      </c>
      <c r="S224" s="168">
        <v>56881</v>
      </c>
      <c r="U224" s="154">
        <v>127.873</v>
      </c>
      <c r="V224" s="165">
        <v>0</v>
      </c>
      <c r="W224" s="165">
        <v>1.39441124167905E-2</v>
      </c>
      <c r="X224" s="165">
        <v>2.65240231297346E-3</v>
      </c>
    </row>
    <row r="225" spans="1:24">
      <c r="A225" s="5">
        <v>12904</v>
      </c>
      <c r="B225" s="5">
        <v>12905</v>
      </c>
      <c r="C225" s="5" t="s">
        <v>953</v>
      </c>
      <c r="D225" s="5" t="s">
        <v>954</v>
      </c>
      <c r="E225" s="5" t="s">
        <v>651</v>
      </c>
      <c r="F225" s="5" t="s">
        <v>955</v>
      </c>
      <c r="G225" s="5" t="s">
        <v>956</v>
      </c>
      <c r="H225" s="5" t="s">
        <v>137</v>
      </c>
      <c r="I225" s="5" t="s">
        <v>703</v>
      </c>
      <c r="J225" s="5" t="s">
        <v>572</v>
      </c>
      <c r="K225" s="5" t="s">
        <v>957</v>
      </c>
      <c r="L225" s="3" t="s">
        <v>139</v>
      </c>
      <c r="M225" s="3" t="s">
        <v>498</v>
      </c>
      <c r="N225" s="5" t="s">
        <v>958</v>
      </c>
      <c r="O225" s="5" t="s">
        <v>141</v>
      </c>
      <c r="P225" s="5" t="s">
        <v>664</v>
      </c>
      <c r="Q225" s="154">
        <v>13</v>
      </c>
      <c r="R225" s="166">
        <v>3.306</v>
      </c>
      <c r="S225" s="168">
        <v>233694</v>
      </c>
      <c r="U225" s="154">
        <v>100.437</v>
      </c>
      <c r="V225" s="165">
        <v>0</v>
      </c>
      <c r="W225" s="165">
        <v>1.09523081450445E-2</v>
      </c>
      <c r="X225" s="165">
        <v>2.0833113351362699E-3</v>
      </c>
    </row>
    <row r="226" spans="1:24">
      <c r="A226" s="5">
        <v>12904</v>
      </c>
      <c r="B226" s="5">
        <v>12905</v>
      </c>
      <c r="C226" s="5" t="s">
        <v>959</v>
      </c>
      <c r="D226" s="5" t="s">
        <v>960</v>
      </c>
      <c r="E226" s="5" t="s">
        <v>651</v>
      </c>
      <c r="F226" s="5" t="s">
        <v>961</v>
      </c>
      <c r="G226" s="5" t="s">
        <v>962</v>
      </c>
      <c r="H226" s="5" t="s">
        <v>137</v>
      </c>
      <c r="I226" s="5" t="s">
        <v>703</v>
      </c>
      <c r="J226" s="5" t="s">
        <v>572</v>
      </c>
      <c r="K226" s="5" t="s">
        <v>224</v>
      </c>
      <c r="L226" s="3" t="s">
        <v>139</v>
      </c>
      <c r="M226" s="3" t="s">
        <v>894</v>
      </c>
      <c r="N226" s="5" t="s">
        <v>963</v>
      </c>
      <c r="O226" s="5" t="s">
        <v>141</v>
      </c>
      <c r="P226" s="5" t="s">
        <v>664</v>
      </c>
      <c r="Q226" s="154">
        <v>116</v>
      </c>
      <c r="R226" s="166">
        <v>3.306</v>
      </c>
      <c r="S226" s="168">
        <v>51795</v>
      </c>
      <c r="U226" s="154">
        <v>198.63200000000001</v>
      </c>
      <c r="V226" s="165">
        <v>0</v>
      </c>
      <c r="W226" s="165">
        <v>2.1660105438084099E-2</v>
      </c>
      <c r="X226" s="165">
        <v>4.1201126357848696E-3</v>
      </c>
    </row>
    <row r="227" spans="1:24">
      <c r="A227" s="5">
        <v>12904</v>
      </c>
      <c r="B227" s="5">
        <v>12905</v>
      </c>
      <c r="C227" s="5" t="s">
        <v>964</v>
      </c>
      <c r="D227" s="5" t="s">
        <v>965</v>
      </c>
      <c r="E227" s="5" t="s">
        <v>651</v>
      </c>
      <c r="F227" s="5" t="s">
        <v>964</v>
      </c>
      <c r="G227" s="5" t="s">
        <v>966</v>
      </c>
      <c r="H227" s="5" t="s">
        <v>137</v>
      </c>
      <c r="I227" s="5" t="s">
        <v>703</v>
      </c>
      <c r="J227" s="5" t="s">
        <v>572</v>
      </c>
      <c r="K227" s="5" t="s">
        <v>224</v>
      </c>
      <c r="L227" s="3" t="s">
        <v>139</v>
      </c>
      <c r="M227" s="3" t="s">
        <v>894</v>
      </c>
      <c r="N227" s="5" t="s">
        <v>655</v>
      </c>
      <c r="O227" s="5" t="s">
        <v>141</v>
      </c>
      <c r="P227" s="5" t="s">
        <v>664</v>
      </c>
      <c r="Q227" s="154">
        <v>163</v>
      </c>
      <c r="R227" s="166">
        <v>3.306</v>
      </c>
      <c r="S227" s="168">
        <v>2583</v>
      </c>
      <c r="U227" s="154">
        <v>13.919</v>
      </c>
      <c r="V227" s="165">
        <v>0</v>
      </c>
      <c r="W227" s="165">
        <v>1.5178426443257899E-3</v>
      </c>
      <c r="X227" s="165">
        <v>2.8871893887571798E-4</v>
      </c>
    </row>
    <row r="228" spans="1:24">
      <c r="A228" s="5">
        <v>12904</v>
      </c>
      <c r="B228" s="5">
        <v>12905</v>
      </c>
      <c r="C228" s="5" t="s">
        <v>967</v>
      </c>
      <c r="D228" s="5" t="s">
        <v>968</v>
      </c>
      <c r="E228" s="5" t="s">
        <v>121</v>
      </c>
      <c r="F228" s="5" t="s">
        <v>969</v>
      </c>
      <c r="G228" s="5" t="s">
        <v>970</v>
      </c>
      <c r="H228" s="5" t="s">
        <v>137</v>
      </c>
      <c r="I228" s="5" t="s">
        <v>703</v>
      </c>
      <c r="J228" s="5" t="s">
        <v>572</v>
      </c>
      <c r="K228" s="5" t="s">
        <v>224</v>
      </c>
      <c r="L228" s="3" t="s">
        <v>139</v>
      </c>
      <c r="M228" s="3" t="s">
        <v>498</v>
      </c>
      <c r="N228" s="5" t="s">
        <v>971</v>
      </c>
      <c r="O228" s="5" t="s">
        <v>141</v>
      </c>
      <c r="P228" s="5" t="s">
        <v>664</v>
      </c>
      <c r="Q228" s="154">
        <v>206</v>
      </c>
      <c r="R228" s="166">
        <v>3.306</v>
      </c>
      <c r="S228" s="168">
        <v>14216</v>
      </c>
      <c r="U228" s="154">
        <v>96.816000000000003</v>
      </c>
      <c r="V228" s="165">
        <v>0</v>
      </c>
      <c r="W228" s="165">
        <v>1.0557458304623899E-2</v>
      </c>
      <c r="X228" s="165">
        <v>2.0082043223193301E-3</v>
      </c>
    </row>
    <row r="229" spans="1:24">
      <c r="A229" s="5">
        <v>12904</v>
      </c>
      <c r="B229" s="5">
        <v>12905</v>
      </c>
      <c r="C229" s="5" t="s">
        <v>972</v>
      </c>
      <c r="D229" s="5" t="s">
        <v>973</v>
      </c>
      <c r="E229" s="5" t="s">
        <v>651</v>
      </c>
      <c r="F229" s="5" t="s">
        <v>972</v>
      </c>
      <c r="G229" s="5" t="s">
        <v>974</v>
      </c>
      <c r="H229" s="5" t="s">
        <v>137</v>
      </c>
      <c r="I229" s="5" t="s">
        <v>703</v>
      </c>
      <c r="J229" s="5" t="s">
        <v>572</v>
      </c>
      <c r="K229" s="5" t="s">
        <v>224</v>
      </c>
      <c r="L229" s="3" t="s">
        <v>139</v>
      </c>
      <c r="M229" s="3" t="s">
        <v>914</v>
      </c>
      <c r="N229" s="5" t="s">
        <v>900</v>
      </c>
      <c r="O229" s="5" t="s">
        <v>141</v>
      </c>
      <c r="P229" s="5" t="s">
        <v>664</v>
      </c>
      <c r="Q229" s="154">
        <v>386</v>
      </c>
      <c r="R229" s="166">
        <v>3.306</v>
      </c>
      <c r="S229" s="168">
        <v>6973</v>
      </c>
      <c r="T229" s="153">
        <v>0.154</v>
      </c>
      <c r="U229" s="154">
        <v>89.494</v>
      </c>
      <c r="V229" s="165">
        <v>0</v>
      </c>
      <c r="W229" s="165">
        <v>9.7590127030620696E-3</v>
      </c>
      <c r="X229" s="165">
        <v>1.8563266769687299E-3</v>
      </c>
    </row>
    <row r="230" spans="1:24">
      <c r="A230" s="5">
        <v>12904</v>
      </c>
      <c r="B230" s="5">
        <v>12905</v>
      </c>
      <c r="C230" s="5" t="s">
        <v>975</v>
      </c>
      <c r="D230" s="5" t="s">
        <v>976</v>
      </c>
      <c r="E230" s="5" t="s">
        <v>651</v>
      </c>
      <c r="F230" s="5" t="s">
        <v>977</v>
      </c>
      <c r="G230" s="5" t="s">
        <v>978</v>
      </c>
      <c r="H230" s="5" t="s">
        <v>137</v>
      </c>
      <c r="I230" s="5" t="s">
        <v>703</v>
      </c>
      <c r="J230" s="5" t="s">
        <v>572</v>
      </c>
      <c r="K230" s="5" t="s">
        <v>224</v>
      </c>
      <c r="L230" s="3" t="s">
        <v>139</v>
      </c>
      <c r="M230" s="3" t="s">
        <v>914</v>
      </c>
      <c r="N230" s="5" t="s">
        <v>979</v>
      </c>
      <c r="O230" s="5" t="s">
        <v>141</v>
      </c>
      <c r="P230" s="5" t="s">
        <v>664</v>
      </c>
      <c r="Q230" s="154">
        <v>51</v>
      </c>
      <c r="R230" s="166">
        <v>3.306</v>
      </c>
      <c r="S230" s="168">
        <v>60932</v>
      </c>
      <c r="U230" s="154">
        <v>102.735</v>
      </c>
      <c r="V230" s="165">
        <v>0</v>
      </c>
      <c r="W230" s="165">
        <v>1.1202897159594801E-2</v>
      </c>
      <c r="X230" s="165">
        <v>2.13097753732484E-3</v>
      </c>
    </row>
    <row r="231" spans="1:24">
      <c r="A231" s="5">
        <v>12904</v>
      </c>
      <c r="B231" s="5">
        <v>12905</v>
      </c>
      <c r="C231" s="5" t="s">
        <v>980</v>
      </c>
      <c r="D231" s="5" t="s">
        <v>981</v>
      </c>
      <c r="E231" s="5" t="s">
        <v>651</v>
      </c>
      <c r="F231" s="5" t="s">
        <v>982</v>
      </c>
      <c r="G231" s="5" t="s">
        <v>983</v>
      </c>
      <c r="H231" s="5" t="s">
        <v>137</v>
      </c>
      <c r="I231" s="5" t="s">
        <v>703</v>
      </c>
      <c r="J231" s="5" t="s">
        <v>572</v>
      </c>
      <c r="K231" s="5" t="s">
        <v>224</v>
      </c>
      <c r="L231" s="3" t="s">
        <v>139</v>
      </c>
      <c r="M231" s="3" t="s">
        <v>894</v>
      </c>
      <c r="N231" s="5" t="s">
        <v>937</v>
      </c>
      <c r="O231" s="5" t="s">
        <v>141</v>
      </c>
      <c r="P231" s="5" t="s">
        <v>664</v>
      </c>
      <c r="Q231" s="154">
        <v>418</v>
      </c>
      <c r="R231" s="166">
        <v>3.306</v>
      </c>
      <c r="S231" s="168">
        <v>18658</v>
      </c>
      <c r="T231" s="153">
        <v>4.0000000000000001E-3</v>
      </c>
      <c r="U231" s="154">
        <v>257.85000000000002</v>
      </c>
      <c r="V231" s="165">
        <v>0</v>
      </c>
      <c r="W231" s="165">
        <v>2.81176736671311E-2</v>
      </c>
      <c r="X231" s="165">
        <v>5.3484496137831102E-3</v>
      </c>
    </row>
    <row r="232" spans="1:24">
      <c r="A232" s="5">
        <v>12904</v>
      </c>
      <c r="B232" s="5">
        <v>12905</v>
      </c>
      <c r="C232" s="5" t="s">
        <v>984</v>
      </c>
      <c r="D232" s="5" t="s">
        <v>985</v>
      </c>
      <c r="E232" s="5" t="s">
        <v>651</v>
      </c>
      <c r="F232" s="5" t="s">
        <v>984</v>
      </c>
      <c r="G232" s="5" t="s">
        <v>986</v>
      </c>
      <c r="H232" s="5" t="s">
        <v>137</v>
      </c>
      <c r="I232" s="5" t="s">
        <v>703</v>
      </c>
      <c r="J232" s="5" t="s">
        <v>572</v>
      </c>
      <c r="K232" s="5" t="s">
        <v>224</v>
      </c>
      <c r="L232" s="3" t="s">
        <v>139</v>
      </c>
      <c r="M232" s="3" t="s">
        <v>914</v>
      </c>
      <c r="N232" s="5" t="s">
        <v>987</v>
      </c>
      <c r="O232" s="5" t="s">
        <v>141</v>
      </c>
      <c r="P232" s="5" t="s">
        <v>664</v>
      </c>
      <c r="Q232" s="154">
        <v>113</v>
      </c>
      <c r="R232" s="166">
        <v>3.306</v>
      </c>
      <c r="S232" s="168">
        <v>28124</v>
      </c>
      <c r="U232" s="154">
        <v>105.065</v>
      </c>
      <c r="V232" s="165">
        <v>0</v>
      </c>
      <c r="W232" s="165">
        <v>1.1456983100401901E-2</v>
      </c>
      <c r="X232" s="165">
        <v>2.1793089131017102E-3</v>
      </c>
    </row>
    <row r="233" spans="1:24">
      <c r="A233" s="5">
        <v>12904</v>
      </c>
      <c r="B233" s="5">
        <v>12905</v>
      </c>
      <c r="C233" s="5" t="s">
        <v>991</v>
      </c>
      <c r="D233" s="5" t="s">
        <v>992</v>
      </c>
      <c r="E233" s="5" t="s">
        <v>651</v>
      </c>
      <c r="F233" s="5" t="s">
        <v>993</v>
      </c>
      <c r="G233" s="5" t="s">
        <v>994</v>
      </c>
      <c r="H233" s="5" t="s">
        <v>137</v>
      </c>
      <c r="I233" s="5" t="s">
        <v>703</v>
      </c>
      <c r="J233" s="5" t="s">
        <v>572</v>
      </c>
      <c r="K233" s="5" t="s">
        <v>224</v>
      </c>
      <c r="L233" s="3" t="s">
        <v>139</v>
      </c>
      <c r="M233" s="3" t="s">
        <v>914</v>
      </c>
      <c r="N233" s="5" t="s">
        <v>995</v>
      </c>
      <c r="O233" s="5" t="s">
        <v>141</v>
      </c>
      <c r="P233" s="5" t="s">
        <v>664</v>
      </c>
      <c r="Q233" s="154">
        <v>225</v>
      </c>
      <c r="R233" s="166">
        <v>3.306</v>
      </c>
      <c r="S233" s="168">
        <v>11452</v>
      </c>
      <c r="U233" s="154">
        <v>85.186000000000007</v>
      </c>
      <c r="V233" s="165">
        <v>0</v>
      </c>
      <c r="W233" s="165">
        <v>9.2892060680719694E-3</v>
      </c>
      <c r="X233" s="165">
        <v>1.7669616339992299E-3</v>
      </c>
    </row>
    <row r="234" spans="1:24">
      <c r="A234" s="5">
        <v>12904</v>
      </c>
      <c r="B234" s="5">
        <v>12905</v>
      </c>
      <c r="C234" s="5" t="s">
        <v>996</v>
      </c>
      <c r="D234" s="5" t="s">
        <v>997</v>
      </c>
      <c r="E234" s="5" t="s">
        <v>651</v>
      </c>
      <c r="F234" s="5" t="s">
        <v>998</v>
      </c>
      <c r="G234" s="5" t="s">
        <v>999</v>
      </c>
      <c r="H234" s="5" t="s">
        <v>137</v>
      </c>
      <c r="I234" s="5" t="s">
        <v>703</v>
      </c>
      <c r="J234" s="5" t="s">
        <v>572</v>
      </c>
      <c r="K234" s="5" t="s">
        <v>1000</v>
      </c>
      <c r="L234" s="3" t="s">
        <v>139</v>
      </c>
      <c r="M234" s="3" t="s">
        <v>914</v>
      </c>
      <c r="N234" s="5" t="s">
        <v>937</v>
      </c>
      <c r="O234" s="5" t="s">
        <v>141</v>
      </c>
      <c r="P234" s="5" t="s">
        <v>664</v>
      </c>
      <c r="Q234" s="154">
        <v>301</v>
      </c>
      <c r="R234" s="166">
        <v>3.306</v>
      </c>
      <c r="S234" s="168">
        <v>27929</v>
      </c>
      <c r="T234" s="153">
        <v>0.19400000000000001</v>
      </c>
      <c r="U234" s="154">
        <v>278.56400000000002</v>
      </c>
      <c r="V234" s="165">
        <v>0</v>
      </c>
      <c r="W234" s="165">
        <v>3.0376486709515899E-2</v>
      </c>
      <c r="X234" s="165">
        <v>5.77811345749838E-3</v>
      </c>
    </row>
    <row r="235" spans="1:24">
      <c r="A235" s="5">
        <v>12904</v>
      </c>
      <c r="B235" s="5">
        <v>12905</v>
      </c>
      <c r="C235" s="5" t="s">
        <v>1001</v>
      </c>
      <c r="E235" s="5" t="s">
        <v>498</v>
      </c>
      <c r="F235" s="5" t="s">
        <v>1002</v>
      </c>
      <c r="G235" s="5" t="s">
        <v>886</v>
      </c>
      <c r="H235" s="5" t="s">
        <v>137</v>
      </c>
      <c r="I235" s="5" t="s">
        <v>703</v>
      </c>
      <c r="J235" s="5" t="s">
        <v>572</v>
      </c>
      <c r="K235" s="5" t="s">
        <v>224</v>
      </c>
      <c r="L235" s="3" t="s">
        <v>139</v>
      </c>
      <c r="M235" s="3" t="s">
        <v>498</v>
      </c>
      <c r="N235" s="5" t="s">
        <v>927</v>
      </c>
      <c r="O235" s="5" t="s">
        <v>141</v>
      </c>
      <c r="P235" s="5" t="s">
        <v>664</v>
      </c>
      <c r="Q235" s="154">
        <v>470</v>
      </c>
      <c r="R235" s="166">
        <v>3.306</v>
      </c>
      <c r="S235" s="168">
        <v>4403</v>
      </c>
      <c r="U235" s="154">
        <v>68.415000000000006</v>
      </c>
      <c r="V235" s="165">
        <v>0</v>
      </c>
      <c r="W235" s="165">
        <v>7.4603857373108304E-3</v>
      </c>
      <c r="X235" s="165">
        <v>1.4190895622363301E-3</v>
      </c>
    </row>
    <row r="236" spans="1:24">
      <c r="A236" s="5">
        <v>12904</v>
      </c>
      <c r="B236" s="5">
        <v>12905</v>
      </c>
      <c r="C236" s="5" t="s">
        <v>1003</v>
      </c>
      <c r="D236" s="5" t="s">
        <v>1004</v>
      </c>
      <c r="E236" s="5" t="s">
        <v>651</v>
      </c>
      <c r="F236" s="5" t="s">
        <v>1005</v>
      </c>
      <c r="G236" s="5" t="s">
        <v>1006</v>
      </c>
      <c r="H236" s="5" t="s">
        <v>137</v>
      </c>
      <c r="I236" s="5" t="s">
        <v>703</v>
      </c>
      <c r="J236" s="5" t="s">
        <v>572</v>
      </c>
      <c r="K236" s="5" t="s">
        <v>224</v>
      </c>
      <c r="L236" s="3" t="s">
        <v>139</v>
      </c>
      <c r="M236" s="3" t="s">
        <v>914</v>
      </c>
      <c r="N236" s="5" t="s">
        <v>663</v>
      </c>
      <c r="O236" s="5" t="s">
        <v>141</v>
      </c>
      <c r="P236" s="5" t="s">
        <v>664</v>
      </c>
      <c r="Q236" s="154">
        <v>315</v>
      </c>
      <c r="R236" s="166">
        <v>3.306</v>
      </c>
      <c r="S236" s="168">
        <v>9797</v>
      </c>
      <c r="U236" s="154">
        <v>102.02500000000001</v>
      </c>
      <c r="V236" s="165">
        <v>0</v>
      </c>
      <c r="W236" s="165">
        <v>1.1125470886173701E-2</v>
      </c>
      <c r="X236" s="165">
        <v>2.1162497711846601E-3</v>
      </c>
    </row>
    <row r="237" spans="1:24">
      <c r="A237" s="5">
        <v>12904</v>
      </c>
      <c r="B237" s="5">
        <v>12905</v>
      </c>
      <c r="C237" s="5" t="s">
        <v>1007</v>
      </c>
      <c r="D237" s="5" t="s">
        <v>1008</v>
      </c>
      <c r="E237" s="5" t="s">
        <v>651</v>
      </c>
      <c r="F237" s="5" t="s">
        <v>1009</v>
      </c>
      <c r="G237" s="5" t="s">
        <v>1010</v>
      </c>
      <c r="H237" s="5" t="s">
        <v>137</v>
      </c>
      <c r="I237" s="5" t="s">
        <v>703</v>
      </c>
      <c r="J237" s="5" t="s">
        <v>572</v>
      </c>
      <c r="K237" s="5" t="s">
        <v>224</v>
      </c>
      <c r="L237" s="3" t="s">
        <v>139</v>
      </c>
      <c r="M237" s="3" t="s">
        <v>914</v>
      </c>
      <c r="N237" s="5" t="s">
        <v>905</v>
      </c>
      <c r="O237" s="5" t="s">
        <v>141</v>
      </c>
      <c r="P237" s="5" t="s">
        <v>664</v>
      </c>
      <c r="Q237" s="154">
        <v>121</v>
      </c>
      <c r="R237" s="166">
        <v>3.306</v>
      </c>
      <c r="S237" s="168">
        <v>34138</v>
      </c>
      <c r="U237" s="154">
        <v>136.56100000000001</v>
      </c>
      <c r="V237" s="165">
        <v>0</v>
      </c>
      <c r="W237" s="165">
        <v>1.48914910261081E-2</v>
      </c>
      <c r="X237" s="165">
        <v>2.8326094957260698E-3</v>
      </c>
    </row>
    <row r="238" spans="1:24">
      <c r="A238" s="5">
        <v>12904</v>
      </c>
      <c r="B238" s="5">
        <v>13680</v>
      </c>
      <c r="C238" s="5" t="s">
        <v>1011</v>
      </c>
      <c r="D238" s="5" t="s">
        <v>1012</v>
      </c>
      <c r="E238" s="5" t="s">
        <v>134</v>
      </c>
      <c r="F238" s="5" t="s">
        <v>1013</v>
      </c>
      <c r="G238" s="5" t="s">
        <v>1014</v>
      </c>
      <c r="H238" s="5" t="s">
        <v>137</v>
      </c>
      <c r="I238" s="5" t="s">
        <v>703</v>
      </c>
      <c r="J238" s="5" t="s">
        <v>30</v>
      </c>
      <c r="K238" s="5" t="s">
        <v>30</v>
      </c>
      <c r="L238" s="3" t="s">
        <v>139</v>
      </c>
      <c r="M238" s="3" t="s">
        <v>31</v>
      </c>
      <c r="N238" s="5" t="s">
        <v>829</v>
      </c>
      <c r="O238" s="5" t="s">
        <v>141</v>
      </c>
      <c r="P238" s="5" t="s">
        <v>34</v>
      </c>
      <c r="Q238" s="154">
        <v>17213</v>
      </c>
      <c r="R238" s="166">
        <v>1</v>
      </c>
      <c r="S238" s="168">
        <v>405.3</v>
      </c>
      <c r="U238" s="154">
        <v>69.763999999999996</v>
      </c>
      <c r="V238" s="165">
        <v>1.4100000000000001E-4</v>
      </c>
      <c r="W238" s="165">
        <v>3.9399509039518502E-3</v>
      </c>
      <c r="X238" s="165">
        <v>1.30240524083428E-3</v>
      </c>
    </row>
    <row r="239" spans="1:24">
      <c r="A239" s="5">
        <v>12904</v>
      </c>
      <c r="B239" s="5">
        <v>13680</v>
      </c>
      <c r="C239" s="5" t="s">
        <v>147</v>
      </c>
      <c r="D239" s="5" t="s">
        <v>148</v>
      </c>
      <c r="E239" s="5" t="s">
        <v>134</v>
      </c>
      <c r="F239" s="5" t="s">
        <v>701</v>
      </c>
      <c r="G239" s="5" t="s">
        <v>702</v>
      </c>
      <c r="H239" s="5" t="s">
        <v>137</v>
      </c>
      <c r="I239" s="5" t="s">
        <v>703</v>
      </c>
      <c r="J239" s="5" t="s">
        <v>30</v>
      </c>
      <c r="K239" s="5" t="s">
        <v>30</v>
      </c>
      <c r="L239" s="3" t="s">
        <v>139</v>
      </c>
      <c r="M239" s="3" t="s">
        <v>31</v>
      </c>
      <c r="N239" s="5" t="s">
        <v>151</v>
      </c>
      <c r="O239" s="5" t="s">
        <v>141</v>
      </c>
      <c r="P239" s="5" t="s">
        <v>34</v>
      </c>
      <c r="Q239" s="154">
        <v>2747</v>
      </c>
      <c r="R239" s="166">
        <v>1</v>
      </c>
      <c r="S239" s="168">
        <v>5239</v>
      </c>
      <c r="U239" s="154">
        <v>143.91499999999999</v>
      </c>
      <c r="V239" s="165">
        <v>9.0000000000000002E-6</v>
      </c>
      <c r="W239" s="165">
        <v>8.1276444245855992E-3</v>
      </c>
      <c r="X239" s="165">
        <v>2.6867052286363201E-3</v>
      </c>
    </row>
    <row r="240" spans="1:24">
      <c r="A240" s="5">
        <v>12904</v>
      </c>
      <c r="B240" s="5">
        <v>13680</v>
      </c>
      <c r="C240" s="5" t="s">
        <v>704</v>
      </c>
      <c r="D240" s="5" t="s">
        <v>705</v>
      </c>
      <c r="E240" s="5" t="s">
        <v>651</v>
      </c>
      <c r="F240" s="5" t="s">
        <v>706</v>
      </c>
      <c r="G240" s="5" t="s">
        <v>707</v>
      </c>
      <c r="H240" s="5" t="s">
        <v>137</v>
      </c>
      <c r="I240" s="5" t="s">
        <v>703</v>
      </c>
      <c r="J240" s="5" t="s">
        <v>30</v>
      </c>
      <c r="K240" s="5" t="s">
        <v>224</v>
      </c>
      <c r="L240" s="3" t="s">
        <v>139</v>
      </c>
      <c r="M240" s="3" t="s">
        <v>31</v>
      </c>
      <c r="N240" s="5" t="s">
        <v>220</v>
      </c>
      <c r="O240" s="5" t="s">
        <v>141</v>
      </c>
      <c r="P240" s="5" t="s">
        <v>34</v>
      </c>
      <c r="Q240" s="154">
        <v>1177</v>
      </c>
      <c r="R240" s="166">
        <v>1</v>
      </c>
      <c r="S240" s="168">
        <v>31800</v>
      </c>
      <c r="U240" s="154">
        <v>374.286</v>
      </c>
      <c r="V240" s="165">
        <v>2.0999999999999999E-5</v>
      </c>
      <c r="W240" s="165">
        <v>2.1137869892668502E-2</v>
      </c>
      <c r="X240" s="165">
        <v>6.98741512252638E-3</v>
      </c>
    </row>
    <row r="241" spans="1:24">
      <c r="A241" s="5">
        <v>12904</v>
      </c>
      <c r="B241" s="5">
        <v>13680</v>
      </c>
      <c r="C241" s="5" t="s">
        <v>176</v>
      </c>
      <c r="D241" s="5" t="s">
        <v>177</v>
      </c>
      <c r="E241" s="5" t="s">
        <v>134</v>
      </c>
      <c r="F241" s="5" t="s">
        <v>708</v>
      </c>
      <c r="G241" s="5" t="s">
        <v>709</v>
      </c>
      <c r="H241" s="5" t="s">
        <v>137</v>
      </c>
      <c r="I241" s="5" t="s">
        <v>703</v>
      </c>
      <c r="J241" s="5" t="s">
        <v>30</v>
      </c>
      <c r="K241" s="5" t="s">
        <v>30</v>
      </c>
      <c r="L241" s="3" t="s">
        <v>139</v>
      </c>
      <c r="M241" s="3" t="s">
        <v>31</v>
      </c>
      <c r="N241" s="5" t="s">
        <v>140</v>
      </c>
      <c r="O241" s="5" t="s">
        <v>141</v>
      </c>
      <c r="P241" s="5" t="s">
        <v>34</v>
      </c>
      <c r="Q241" s="154">
        <v>17338</v>
      </c>
      <c r="R241" s="166">
        <v>1</v>
      </c>
      <c r="S241" s="168">
        <v>2070</v>
      </c>
      <c r="U241" s="154">
        <v>358.89699999999999</v>
      </c>
      <c r="V241" s="165">
        <v>1.2999999999999999E-5</v>
      </c>
      <c r="W241" s="165">
        <v>2.0268750729979398E-2</v>
      </c>
      <c r="X241" s="165">
        <v>6.7001157677906804E-3</v>
      </c>
    </row>
    <row r="242" spans="1:24">
      <c r="A242" s="5">
        <v>12904</v>
      </c>
      <c r="B242" s="5">
        <v>13680</v>
      </c>
      <c r="C242" s="5" t="s">
        <v>710</v>
      </c>
      <c r="D242" s="5" t="s">
        <v>711</v>
      </c>
      <c r="E242" s="5" t="s">
        <v>134</v>
      </c>
      <c r="F242" s="5" t="s">
        <v>712</v>
      </c>
      <c r="G242" s="5" t="s">
        <v>713</v>
      </c>
      <c r="H242" s="5" t="s">
        <v>137</v>
      </c>
      <c r="I242" s="5" t="s">
        <v>703</v>
      </c>
      <c r="J242" s="5" t="s">
        <v>30</v>
      </c>
      <c r="K242" s="5" t="s">
        <v>30</v>
      </c>
      <c r="L242" s="3" t="s">
        <v>139</v>
      </c>
      <c r="M242" s="3" t="s">
        <v>31</v>
      </c>
      <c r="N242" s="5" t="s">
        <v>170</v>
      </c>
      <c r="O242" s="5" t="s">
        <v>141</v>
      </c>
      <c r="P242" s="5" t="s">
        <v>34</v>
      </c>
      <c r="Q242" s="154">
        <v>1153</v>
      </c>
      <c r="R242" s="166">
        <v>1</v>
      </c>
      <c r="S242" s="168">
        <v>20440</v>
      </c>
      <c r="U242" s="154">
        <v>235.673</v>
      </c>
      <c r="V242" s="165">
        <v>7.7999999999999999E-5</v>
      </c>
      <c r="W242" s="165">
        <v>1.3309686813797E-2</v>
      </c>
      <c r="X242" s="165">
        <v>4.3997009817470702E-3</v>
      </c>
    </row>
    <row r="243" spans="1:24">
      <c r="A243" s="5">
        <v>12904</v>
      </c>
      <c r="B243" s="5">
        <v>13680</v>
      </c>
      <c r="C243" s="5" t="s">
        <v>714</v>
      </c>
      <c r="D243" s="5" t="s">
        <v>715</v>
      </c>
      <c r="E243" s="5" t="s">
        <v>134</v>
      </c>
      <c r="F243" s="5" t="s">
        <v>716</v>
      </c>
      <c r="G243" s="5" t="s">
        <v>717</v>
      </c>
      <c r="H243" s="5" t="s">
        <v>137</v>
      </c>
      <c r="I243" s="5" t="s">
        <v>703</v>
      </c>
      <c r="J243" s="5" t="s">
        <v>30</v>
      </c>
      <c r="K243" s="5" t="s">
        <v>30</v>
      </c>
      <c r="L243" s="3" t="s">
        <v>139</v>
      </c>
      <c r="M243" s="3" t="s">
        <v>31</v>
      </c>
      <c r="N243" s="5" t="s">
        <v>718</v>
      </c>
      <c r="O243" s="5" t="s">
        <v>141</v>
      </c>
      <c r="P243" s="5" t="s">
        <v>34</v>
      </c>
      <c r="Q243" s="154">
        <v>791</v>
      </c>
      <c r="R243" s="166">
        <v>1</v>
      </c>
      <c r="S243" s="168">
        <v>2180</v>
      </c>
      <c r="U243" s="154">
        <v>17.244</v>
      </c>
      <c r="V243" s="165">
        <v>5.0000000000000004E-6</v>
      </c>
      <c r="W243" s="165">
        <v>9.7384673980644798E-4</v>
      </c>
      <c r="X243" s="165">
        <v>3.2191850320295302E-4</v>
      </c>
    </row>
    <row r="244" spans="1:24">
      <c r="A244" s="5">
        <v>12904</v>
      </c>
      <c r="B244" s="5">
        <v>13680</v>
      </c>
      <c r="C244" s="5" t="s">
        <v>723</v>
      </c>
      <c r="D244" s="5" t="s">
        <v>724</v>
      </c>
      <c r="E244" s="5" t="s">
        <v>134</v>
      </c>
      <c r="F244" s="5" t="s">
        <v>725</v>
      </c>
      <c r="G244" s="5" t="s">
        <v>726</v>
      </c>
      <c r="H244" s="5" t="s">
        <v>137</v>
      </c>
      <c r="I244" s="5" t="s">
        <v>703</v>
      </c>
      <c r="J244" s="5" t="s">
        <v>30</v>
      </c>
      <c r="K244" s="5" t="s">
        <v>30</v>
      </c>
      <c r="L244" s="3" t="s">
        <v>139</v>
      </c>
      <c r="M244" s="3" t="s">
        <v>31</v>
      </c>
      <c r="N244" s="5" t="s">
        <v>727</v>
      </c>
      <c r="O244" s="5" t="s">
        <v>141</v>
      </c>
      <c r="P244" s="5" t="s">
        <v>34</v>
      </c>
      <c r="Q244" s="154">
        <v>210</v>
      </c>
      <c r="R244" s="166">
        <v>1</v>
      </c>
      <c r="S244" s="168">
        <v>167700</v>
      </c>
      <c r="U244" s="154">
        <v>352.17</v>
      </c>
      <c r="V244" s="165">
        <v>5.0000000000000004E-6</v>
      </c>
      <c r="W244" s="165">
        <v>1.9888864772128902E-2</v>
      </c>
      <c r="X244" s="165">
        <v>6.5745392125276299E-3</v>
      </c>
    </row>
    <row r="245" spans="1:24">
      <c r="A245" s="5">
        <v>12904</v>
      </c>
      <c r="B245" s="5">
        <v>13680</v>
      </c>
      <c r="C245" s="5" t="s">
        <v>195</v>
      </c>
      <c r="D245" s="5" t="s">
        <v>196</v>
      </c>
      <c r="E245" s="5" t="s">
        <v>134</v>
      </c>
      <c r="F245" s="5" t="s">
        <v>728</v>
      </c>
      <c r="G245" s="5" t="s">
        <v>729</v>
      </c>
      <c r="H245" s="5" t="s">
        <v>137</v>
      </c>
      <c r="I245" s="5" t="s">
        <v>703</v>
      </c>
      <c r="J245" s="5" t="s">
        <v>30</v>
      </c>
      <c r="K245" s="5" t="s">
        <v>30</v>
      </c>
      <c r="L245" s="3" t="s">
        <v>139</v>
      </c>
      <c r="M245" s="3" t="s">
        <v>31</v>
      </c>
      <c r="N245" s="5" t="s">
        <v>199</v>
      </c>
      <c r="O245" s="5" t="s">
        <v>141</v>
      </c>
      <c r="P245" s="5" t="s">
        <v>34</v>
      </c>
      <c r="Q245" s="154">
        <v>54</v>
      </c>
      <c r="R245" s="166">
        <v>1</v>
      </c>
      <c r="S245" s="168">
        <v>192960</v>
      </c>
      <c r="T245" s="153">
        <v>0.66300000000000003</v>
      </c>
      <c r="U245" s="154">
        <v>104.861</v>
      </c>
      <c r="V245" s="165">
        <v>1.2999999999999999E-5</v>
      </c>
      <c r="W245" s="165">
        <v>5.9220406495111002E-3</v>
      </c>
      <c r="X245" s="165">
        <v>1.9576124084746201E-3</v>
      </c>
    </row>
    <row r="246" spans="1:24">
      <c r="A246" s="5">
        <v>12904</v>
      </c>
      <c r="B246" s="5">
        <v>13680</v>
      </c>
      <c r="C246" s="5" t="s">
        <v>730</v>
      </c>
      <c r="D246" s="5" t="s">
        <v>731</v>
      </c>
      <c r="E246" s="5" t="s">
        <v>134</v>
      </c>
      <c r="F246" s="5" t="s">
        <v>732</v>
      </c>
      <c r="G246" s="5" t="s">
        <v>733</v>
      </c>
      <c r="H246" s="5" t="s">
        <v>137</v>
      </c>
      <c r="I246" s="5" t="s">
        <v>703</v>
      </c>
      <c r="J246" s="5" t="s">
        <v>30</v>
      </c>
      <c r="K246" s="5" t="s">
        <v>30</v>
      </c>
      <c r="L246" s="3" t="s">
        <v>139</v>
      </c>
      <c r="M246" s="3" t="s">
        <v>31</v>
      </c>
      <c r="N246" s="5" t="s">
        <v>734</v>
      </c>
      <c r="O246" s="5" t="s">
        <v>141</v>
      </c>
      <c r="P246" s="5" t="s">
        <v>34</v>
      </c>
      <c r="Q246" s="154">
        <v>971</v>
      </c>
      <c r="R246" s="166">
        <v>1</v>
      </c>
      <c r="S246" s="168">
        <v>11550</v>
      </c>
      <c r="U246" s="154">
        <v>112.15</v>
      </c>
      <c r="V246" s="165">
        <v>3.8999999999999999E-5</v>
      </c>
      <c r="W246" s="165">
        <v>6.3337198757039102E-3</v>
      </c>
      <c r="X246" s="165">
        <v>2.0936986681278401E-3</v>
      </c>
    </row>
    <row r="247" spans="1:24">
      <c r="A247" s="5">
        <v>12904</v>
      </c>
      <c r="B247" s="5">
        <v>13680</v>
      </c>
      <c r="C247" s="5" t="s">
        <v>216</v>
      </c>
      <c r="D247" s="5" t="s">
        <v>217</v>
      </c>
      <c r="E247" s="5" t="s">
        <v>134</v>
      </c>
      <c r="F247" s="5" t="s">
        <v>735</v>
      </c>
      <c r="G247" s="5" t="s">
        <v>736</v>
      </c>
      <c r="H247" s="5" t="s">
        <v>137</v>
      </c>
      <c r="I247" s="5" t="s">
        <v>703</v>
      </c>
      <c r="J247" s="5" t="s">
        <v>30</v>
      </c>
      <c r="K247" s="5" t="s">
        <v>224</v>
      </c>
      <c r="L247" s="3" t="s">
        <v>139</v>
      </c>
      <c r="M247" s="3" t="s">
        <v>31</v>
      </c>
      <c r="N247" s="5" t="s">
        <v>220</v>
      </c>
      <c r="O247" s="5" t="s">
        <v>141</v>
      </c>
      <c r="P247" s="5" t="s">
        <v>34</v>
      </c>
      <c r="Q247" s="154">
        <v>2674.9</v>
      </c>
      <c r="R247" s="166">
        <v>1</v>
      </c>
      <c r="S247" s="168">
        <v>10190</v>
      </c>
      <c r="U247" s="154">
        <v>272.572</v>
      </c>
      <c r="V247" s="165">
        <v>2.0000000000000002E-5</v>
      </c>
      <c r="W247" s="165">
        <v>1.53935707590562E-2</v>
      </c>
      <c r="X247" s="165">
        <v>5.08855762939557E-3</v>
      </c>
    </row>
    <row r="248" spans="1:24">
      <c r="A248" s="5">
        <v>12904</v>
      </c>
      <c r="B248" s="5">
        <v>13680</v>
      </c>
      <c r="C248" s="5" t="s">
        <v>737</v>
      </c>
      <c r="D248" s="5" t="s">
        <v>738</v>
      </c>
      <c r="E248" s="5" t="s">
        <v>651</v>
      </c>
      <c r="F248" s="5" t="s">
        <v>739</v>
      </c>
      <c r="G248" s="5" t="s">
        <v>740</v>
      </c>
      <c r="H248" s="5" t="s">
        <v>137</v>
      </c>
      <c r="I248" s="5" t="s">
        <v>703</v>
      </c>
      <c r="J248" s="5" t="s">
        <v>30</v>
      </c>
      <c r="K248" s="5" t="s">
        <v>566</v>
      </c>
      <c r="L248" s="3" t="s">
        <v>139</v>
      </c>
      <c r="M248" s="3" t="s">
        <v>31</v>
      </c>
      <c r="N248" s="5" t="s">
        <v>369</v>
      </c>
      <c r="O248" s="5" t="s">
        <v>141</v>
      </c>
      <c r="P248" s="5" t="s">
        <v>34</v>
      </c>
      <c r="Q248" s="154">
        <v>1932</v>
      </c>
      <c r="R248" s="166">
        <v>1</v>
      </c>
      <c r="S248" s="168">
        <v>3825</v>
      </c>
      <c r="T248" s="153">
        <v>1.9259999999999999</v>
      </c>
      <c r="U248" s="154">
        <v>75.825000000000003</v>
      </c>
      <c r="V248" s="165">
        <v>1.0000000000000001E-5</v>
      </c>
      <c r="W248" s="165">
        <v>4.2822312242250197E-3</v>
      </c>
      <c r="X248" s="165">
        <v>1.41555073270097E-3</v>
      </c>
    </row>
    <row r="249" spans="1:24">
      <c r="A249" s="5">
        <v>12904</v>
      </c>
      <c r="B249" s="5">
        <v>13680</v>
      </c>
      <c r="C249" s="5" t="s">
        <v>232</v>
      </c>
      <c r="D249" s="5" t="s">
        <v>233</v>
      </c>
      <c r="E249" s="5" t="s">
        <v>134</v>
      </c>
      <c r="F249" s="5" t="s">
        <v>741</v>
      </c>
      <c r="G249" s="5" t="s">
        <v>742</v>
      </c>
      <c r="H249" s="5" t="s">
        <v>137</v>
      </c>
      <c r="I249" s="5" t="s">
        <v>703</v>
      </c>
      <c r="J249" s="5" t="s">
        <v>30</v>
      </c>
      <c r="K249" s="5" t="s">
        <v>30</v>
      </c>
      <c r="L249" s="3" t="s">
        <v>139</v>
      </c>
      <c r="M249" s="3" t="s">
        <v>31</v>
      </c>
      <c r="N249" s="5" t="s">
        <v>208</v>
      </c>
      <c r="O249" s="5" t="s">
        <v>141</v>
      </c>
      <c r="P249" s="5" t="s">
        <v>34</v>
      </c>
      <c r="Q249" s="154">
        <v>489</v>
      </c>
      <c r="R249" s="166">
        <v>1</v>
      </c>
      <c r="S249" s="168">
        <v>21010</v>
      </c>
      <c r="U249" s="154">
        <v>102.739</v>
      </c>
      <c r="V249" s="165">
        <v>1.2999999999999999E-5</v>
      </c>
      <c r="W249" s="165">
        <v>5.8021980547385598E-3</v>
      </c>
      <c r="X249" s="165">
        <v>1.9179967819574499E-3</v>
      </c>
    </row>
    <row r="250" spans="1:24">
      <c r="A250" s="5">
        <v>12904</v>
      </c>
      <c r="B250" s="5">
        <v>13680</v>
      </c>
      <c r="C250" s="5" t="s">
        <v>747</v>
      </c>
      <c r="D250" s="5" t="s">
        <v>748</v>
      </c>
      <c r="E250" s="5" t="s">
        <v>134</v>
      </c>
      <c r="F250" s="5" t="s">
        <v>749</v>
      </c>
      <c r="G250" s="5" t="s">
        <v>750</v>
      </c>
      <c r="H250" s="5" t="s">
        <v>137</v>
      </c>
      <c r="I250" s="5" t="s">
        <v>703</v>
      </c>
      <c r="J250" s="5" t="s">
        <v>30</v>
      </c>
      <c r="K250" s="5" t="s">
        <v>30</v>
      </c>
      <c r="L250" s="3" t="s">
        <v>139</v>
      </c>
      <c r="M250" s="3" t="s">
        <v>31</v>
      </c>
      <c r="N250" s="5" t="s">
        <v>727</v>
      </c>
      <c r="O250" s="5" t="s">
        <v>141</v>
      </c>
      <c r="P250" s="5" t="s">
        <v>34</v>
      </c>
      <c r="Q250" s="154">
        <v>4000</v>
      </c>
      <c r="R250" s="166">
        <v>1</v>
      </c>
      <c r="S250" s="168">
        <v>1792</v>
      </c>
      <c r="U250" s="154">
        <v>71.680000000000007</v>
      </c>
      <c r="V250" s="165">
        <v>5.3999999999999998E-5</v>
      </c>
      <c r="W250" s="165">
        <v>4.04814103094018E-3</v>
      </c>
      <c r="X250" s="165">
        <v>1.3381689830308701E-3</v>
      </c>
    </row>
    <row r="251" spans="1:24">
      <c r="A251" s="5">
        <v>12904</v>
      </c>
      <c r="B251" s="5">
        <v>13680</v>
      </c>
      <c r="C251" s="5" t="s">
        <v>751</v>
      </c>
      <c r="D251" s="5" t="s">
        <v>752</v>
      </c>
      <c r="E251" s="5" t="s">
        <v>492</v>
      </c>
      <c r="F251" s="5" t="s">
        <v>751</v>
      </c>
      <c r="G251" s="5" t="s">
        <v>753</v>
      </c>
      <c r="H251" s="5" t="s">
        <v>137</v>
      </c>
      <c r="I251" s="5" t="s">
        <v>703</v>
      </c>
      <c r="J251" s="5" t="s">
        <v>30</v>
      </c>
      <c r="K251" s="5" t="s">
        <v>654</v>
      </c>
      <c r="L251" s="3" t="s">
        <v>139</v>
      </c>
      <c r="M251" s="3" t="s">
        <v>31</v>
      </c>
      <c r="N251" s="5" t="s">
        <v>208</v>
      </c>
      <c r="O251" s="5" t="s">
        <v>141</v>
      </c>
      <c r="P251" s="5" t="s">
        <v>34</v>
      </c>
      <c r="Q251" s="154">
        <v>900</v>
      </c>
      <c r="R251" s="166">
        <v>1</v>
      </c>
      <c r="S251" s="168">
        <v>11110</v>
      </c>
      <c r="U251" s="154">
        <v>99.99</v>
      </c>
      <c r="V251" s="165">
        <v>4.1E-5</v>
      </c>
      <c r="W251" s="165">
        <v>5.6469534275070902E-3</v>
      </c>
      <c r="X251" s="165">
        <v>1.86667852418047E-3</v>
      </c>
    </row>
    <row r="252" spans="1:24">
      <c r="A252" s="5">
        <v>12904</v>
      </c>
      <c r="B252" s="5">
        <v>13680</v>
      </c>
      <c r="C252" s="5" t="s">
        <v>254</v>
      </c>
      <c r="D252" s="5" t="s">
        <v>255</v>
      </c>
      <c r="E252" s="5" t="s">
        <v>134</v>
      </c>
      <c r="F252" s="5" t="s">
        <v>754</v>
      </c>
      <c r="G252" s="5" t="s">
        <v>755</v>
      </c>
      <c r="H252" s="5" t="s">
        <v>137</v>
      </c>
      <c r="I252" s="5" t="s">
        <v>703</v>
      </c>
      <c r="J252" s="5" t="s">
        <v>30</v>
      </c>
      <c r="K252" s="5" t="s">
        <v>30</v>
      </c>
      <c r="L252" s="3" t="s">
        <v>139</v>
      </c>
      <c r="M252" s="3" t="s">
        <v>31</v>
      </c>
      <c r="N252" s="5" t="s">
        <v>162</v>
      </c>
      <c r="O252" s="5" t="s">
        <v>141</v>
      </c>
      <c r="P252" s="5" t="s">
        <v>34</v>
      </c>
      <c r="Q252" s="154">
        <v>2717</v>
      </c>
      <c r="R252" s="166">
        <v>1</v>
      </c>
      <c r="S252" s="168">
        <v>6966</v>
      </c>
      <c r="U252" s="154">
        <v>189.26599999999999</v>
      </c>
      <c r="V252" s="165">
        <v>2.4000000000000001E-5</v>
      </c>
      <c r="W252" s="165">
        <v>1.06888441818213E-2</v>
      </c>
      <c r="X252" s="165">
        <v>3.5333452167898502E-3</v>
      </c>
    </row>
    <row r="253" spans="1:24">
      <c r="A253" s="5">
        <v>12904</v>
      </c>
      <c r="B253" s="5">
        <v>13680</v>
      </c>
      <c r="C253" s="5" t="s">
        <v>259</v>
      </c>
      <c r="D253" s="5" t="s">
        <v>260</v>
      </c>
      <c r="E253" s="5" t="s">
        <v>134</v>
      </c>
      <c r="F253" s="5" t="s">
        <v>756</v>
      </c>
      <c r="G253" s="5" t="s">
        <v>757</v>
      </c>
      <c r="H253" s="5" t="s">
        <v>137</v>
      </c>
      <c r="I253" s="5" t="s">
        <v>703</v>
      </c>
      <c r="J253" s="5" t="s">
        <v>30</v>
      </c>
      <c r="K253" s="5" t="s">
        <v>30</v>
      </c>
      <c r="L253" s="3" t="s">
        <v>139</v>
      </c>
      <c r="M253" s="3" t="s">
        <v>31</v>
      </c>
      <c r="N253" s="5" t="s">
        <v>151</v>
      </c>
      <c r="O253" s="5" t="s">
        <v>141</v>
      </c>
      <c r="P253" s="5" t="s">
        <v>34</v>
      </c>
      <c r="Q253" s="154">
        <v>21035</v>
      </c>
      <c r="R253" s="166">
        <v>1</v>
      </c>
      <c r="S253" s="168">
        <v>89.4</v>
      </c>
      <c r="U253" s="154">
        <v>18.805</v>
      </c>
      <c r="V253" s="165">
        <v>6.9999999999999999E-6</v>
      </c>
      <c r="W253" s="165">
        <v>1.06203217142479E-3</v>
      </c>
      <c r="X253" s="165">
        <v>3.5106941678153601E-4</v>
      </c>
    </row>
    <row r="254" spans="1:24">
      <c r="A254" s="5">
        <v>12904</v>
      </c>
      <c r="B254" s="5">
        <v>13680</v>
      </c>
      <c r="C254" s="5" t="s">
        <v>758</v>
      </c>
      <c r="D254" s="5" t="s">
        <v>759</v>
      </c>
      <c r="E254" s="5" t="s">
        <v>134</v>
      </c>
      <c r="F254" s="5" t="s">
        <v>760</v>
      </c>
      <c r="G254" s="5" t="s">
        <v>761</v>
      </c>
      <c r="H254" s="5" t="s">
        <v>137</v>
      </c>
      <c r="I254" s="5" t="s">
        <v>703</v>
      </c>
      <c r="J254" s="5" t="s">
        <v>30</v>
      </c>
      <c r="K254" s="5" t="s">
        <v>30</v>
      </c>
      <c r="L254" s="3" t="s">
        <v>139</v>
      </c>
      <c r="M254" s="3" t="s">
        <v>31</v>
      </c>
      <c r="N254" s="5" t="s">
        <v>612</v>
      </c>
      <c r="O254" s="5" t="s">
        <v>141</v>
      </c>
      <c r="P254" s="5" t="s">
        <v>34</v>
      </c>
      <c r="Q254" s="154">
        <v>59159</v>
      </c>
      <c r="R254" s="166">
        <v>1</v>
      </c>
      <c r="S254" s="168">
        <v>634.70000000000005</v>
      </c>
      <c r="T254" s="153">
        <v>12.438000000000001</v>
      </c>
      <c r="U254" s="154">
        <v>387.92</v>
      </c>
      <c r="V254" s="165">
        <v>2.0999999999999999E-5</v>
      </c>
      <c r="W254" s="165">
        <v>2.1907854384918601E-2</v>
      </c>
      <c r="X254" s="165">
        <v>7.2419441414189496E-3</v>
      </c>
    </row>
    <row r="255" spans="1:24">
      <c r="A255" s="5">
        <v>12904</v>
      </c>
      <c r="B255" s="5">
        <v>13680</v>
      </c>
      <c r="C255" s="5" t="s">
        <v>267</v>
      </c>
      <c r="D255" s="5" t="s">
        <v>268</v>
      </c>
      <c r="E255" s="5" t="s">
        <v>134</v>
      </c>
      <c r="F255" s="5" t="s">
        <v>762</v>
      </c>
      <c r="G255" s="5" t="s">
        <v>763</v>
      </c>
      <c r="H255" s="5" t="s">
        <v>137</v>
      </c>
      <c r="I255" s="5" t="s">
        <v>703</v>
      </c>
      <c r="J255" s="5" t="s">
        <v>30</v>
      </c>
      <c r="K255" s="5" t="s">
        <v>30</v>
      </c>
      <c r="L255" s="3" t="s">
        <v>139</v>
      </c>
      <c r="M255" s="3" t="s">
        <v>31</v>
      </c>
      <c r="N255" s="5" t="s">
        <v>186</v>
      </c>
      <c r="O255" s="5" t="s">
        <v>141</v>
      </c>
      <c r="P255" s="5" t="s">
        <v>34</v>
      </c>
      <c r="Q255" s="154">
        <v>420</v>
      </c>
      <c r="R255" s="166">
        <v>1</v>
      </c>
      <c r="S255" s="168">
        <v>68050</v>
      </c>
      <c r="U255" s="154">
        <v>285.81</v>
      </c>
      <c r="V255" s="165">
        <v>1.7E-5</v>
      </c>
      <c r="W255" s="165">
        <v>1.6141171708328898E-2</v>
      </c>
      <c r="X255" s="165">
        <v>5.3356874587060796E-3</v>
      </c>
    </row>
    <row r="256" spans="1:24">
      <c r="A256" s="5">
        <v>12904</v>
      </c>
      <c r="B256" s="5">
        <v>13680</v>
      </c>
      <c r="C256" s="5" t="s">
        <v>768</v>
      </c>
      <c r="D256" s="5" t="s">
        <v>769</v>
      </c>
      <c r="E256" s="5" t="s">
        <v>134</v>
      </c>
      <c r="F256" s="5" t="s">
        <v>770</v>
      </c>
      <c r="G256" s="5" t="s">
        <v>771</v>
      </c>
      <c r="H256" s="5" t="s">
        <v>137</v>
      </c>
      <c r="I256" s="5" t="s">
        <v>703</v>
      </c>
      <c r="J256" s="5" t="s">
        <v>30</v>
      </c>
      <c r="K256" s="5" t="s">
        <v>30</v>
      </c>
      <c r="L256" s="3" t="s">
        <v>139</v>
      </c>
      <c r="M256" s="3" t="s">
        <v>31</v>
      </c>
      <c r="N256" s="5" t="s">
        <v>718</v>
      </c>
      <c r="O256" s="5" t="s">
        <v>141</v>
      </c>
      <c r="P256" s="5" t="s">
        <v>34</v>
      </c>
      <c r="Q256" s="154">
        <v>593</v>
      </c>
      <c r="R256" s="166">
        <v>1</v>
      </c>
      <c r="S256" s="168">
        <v>67920</v>
      </c>
      <c r="U256" s="154">
        <v>402.76600000000002</v>
      </c>
      <c r="V256" s="165">
        <v>6.4999999999999994E-5</v>
      </c>
      <c r="W256" s="165">
        <v>2.27462604800675E-2</v>
      </c>
      <c r="X256" s="165">
        <v>7.5190908670733402E-3</v>
      </c>
    </row>
    <row r="257" spans="1:24">
      <c r="A257" s="5">
        <v>12904</v>
      </c>
      <c r="B257" s="5">
        <v>13680</v>
      </c>
      <c r="C257" s="5" t="s">
        <v>772</v>
      </c>
      <c r="D257" s="5" t="s">
        <v>773</v>
      </c>
      <c r="E257" s="5" t="s">
        <v>134</v>
      </c>
      <c r="F257" s="5" t="s">
        <v>774</v>
      </c>
      <c r="G257" s="5" t="s">
        <v>775</v>
      </c>
      <c r="H257" s="5" t="s">
        <v>137</v>
      </c>
      <c r="I257" s="5" t="s">
        <v>703</v>
      </c>
      <c r="J257" s="5" t="s">
        <v>30</v>
      </c>
      <c r="K257" s="5" t="s">
        <v>30</v>
      </c>
      <c r="L257" s="3" t="s">
        <v>139</v>
      </c>
      <c r="M257" s="3" t="s">
        <v>31</v>
      </c>
      <c r="N257" s="5" t="s">
        <v>285</v>
      </c>
      <c r="O257" s="5" t="s">
        <v>141</v>
      </c>
      <c r="P257" s="5" t="s">
        <v>34</v>
      </c>
      <c r="Q257" s="154">
        <v>15021</v>
      </c>
      <c r="R257" s="166">
        <v>1</v>
      </c>
      <c r="S257" s="168">
        <v>3274</v>
      </c>
      <c r="U257" s="154">
        <v>491.78800000000001</v>
      </c>
      <c r="V257" s="165">
        <v>1.2E-5</v>
      </c>
      <c r="W257" s="165">
        <v>2.77737907251553E-2</v>
      </c>
      <c r="X257" s="165">
        <v>9.1810104948249396E-3</v>
      </c>
    </row>
    <row r="258" spans="1:24">
      <c r="A258" s="5">
        <v>12904</v>
      </c>
      <c r="B258" s="5">
        <v>13680</v>
      </c>
      <c r="C258" s="5" t="s">
        <v>1015</v>
      </c>
      <c r="D258" s="5" t="s">
        <v>1016</v>
      </c>
      <c r="E258" s="5" t="s">
        <v>134</v>
      </c>
      <c r="F258" s="5" t="s">
        <v>1017</v>
      </c>
      <c r="G258" s="5" t="s">
        <v>1018</v>
      </c>
      <c r="H258" s="5" t="s">
        <v>137</v>
      </c>
      <c r="I258" s="5" t="s">
        <v>703</v>
      </c>
      <c r="J258" s="5" t="s">
        <v>30</v>
      </c>
      <c r="K258" s="5" t="s">
        <v>30</v>
      </c>
      <c r="L258" s="3" t="s">
        <v>139</v>
      </c>
      <c r="M258" s="3" t="s">
        <v>31</v>
      </c>
      <c r="N258" s="5" t="s">
        <v>369</v>
      </c>
      <c r="O258" s="5" t="s">
        <v>141</v>
      </c>
      <c r="P258" s="5" t="s">
        <v>34</v>
      </c>
      <c r="Q258" s="154">
        <v>81</v>
      </c>
      <c r="R258" s="166">
        <v>1</v>
      </c>
      <c r="S258" s="168">
        <v>80070</v>
      </c>
      <c r="U258" s="154">
        <v>64.856999999999999</v>
      </c>
      <c r="V258" s="165">
        <v>3.9999999999999998E-6</v>
      </c>
      <c r="W258" s="165">
        <v>3.6627939230102899E-3</v>
      </c>
      <c r="X258" s="165">
        <v>1.2107871691090699E-3</v>
      </c>
    </row>
    <row r="259" spans="1:24">
      <c r="A259" s="5">
        <v>12904</v>
      </c>
      <c r="B259" s="5">
        <v>13680</v>
      </c>
      <c r="C259" s="5" t="s">
        <v>776</v>
      </c>
      <c r="D259" s="5" t="s">
        <v>777</v>
      </c>
      <c r="E259" s="5" t="s">
        <v>134</v>
      </c>
      <c r="F259" s="5" t="s">
        <v>778</v>
      </c>
      <c r="G259" s="5" t="s">
        <v>779</v>
      </c>
      <c r="H259" s="5" t="s">
        <v>137</v>
      </c>
      <c r="I259" s="5" t="s">
        <v>703</v>
      </c>
      <c r="J259" s="5" t="s">
        <v>30</v>
      </c>
      <c r="K259" s="5" t="s">
        <v>30</v>
      </c>
      <c r="L259" s="3" t="s">
        <v>139</v>
      </c>
      <c r="M259" s="3" t="s">
        <v>31</v>
      </c>
      <c r="N259" s="5" t="s">
        <v>780</v>
      </c>
      <c r="O259" s="5" t="s">
        <v>141</v>
      </c>
      <c r="P259" s="5" t="s">
        <v>34</v>
      </c>
      <c r="Q259" s="154">
        <v>1991</v>
      </c>
      <c r="R259" s="166">
        <v>1</v>
      </c>
      <c r="S259" s="168">
        <v>17410</v>
      </c>
      <c r="U259" s="154">
        <v>346.63299999999998</v>
      </c>
      <c r="V259" s="165">
        <v>7.3999999999999996E-5</v>
      </c>
      <c r="W259" s="165">
        <v>1.95761673380579E-2</v>
      </c>
      <c r="X259" s="165">
        <v>6.4711727526762901E-3</v>
      </c>
    </row>
    <row r="260" spans="1:24">
      <c r="A260" s="5">
        <v>12904</v>
      </c>
      <c r="B260" s="5">
        <v>13680</v>
      </c>
      <c r="C260" s="5" t="s">
        <v>781</v>
      </c>
      <c r="D260" s="5" t="s">
        <v>782</v>
      </c>
      <c r="E260" s="5" t="s">
        <v>134</v>
      </c>
      <c r="F260" s="5" t="s">
        <v>783</v>
      </c>
      <c r="G260" s="5" t="s">
        <v>784</v>
      </c>
      <c r="H260" s="5" t="s">
        <v>137</v>
      </c>
      <c r="I260" s="5" t="s">
        <v>703</v>
      </c>
      <c r="J260" s="5" t="s">
        <v>30</v>
      </c>
      <c r="K260" s="5" t="s">
        <v>30</v>
      </c>
      <c r="L260" s="3" t="s">
        <v>139</v>
      </c>
      <c r="M260" s="3" t="s">
        <v>31</v>
      </c>
      <c r="N260" s="5" t="s">
        <v>465</v>
      </c>
      <c r="O260" s="5" t="s">
        <v>141</v>
      </c>
      <c r="P260" s="5" t="s">
        <v>34</v>
      </c>
      <c r="Q260" s="154">
        <v>34749</v>
      </c>
      <c r="R260" s="166">
        <v>1</v>
      </c>
      <c r="S260" s="168">
        <v>745.1</v>
      </c>
      <c r="U260" s="154">
        <v>258.91500000000002</v>
      </c>
      <c r="V260" s="165">
        <v>3.7800000000000003E-4</v>
      </c>
      <c r="W260" s="165">
        <v>1.46222603424878E-2</v>
      </c>
      <c r="X260" s="165">
        <v>4.8335903078888303E-3</v>
      </c>
    </row>
    <row r="261" spans="1:24">
      <c r="A261" s="5">
        <v>12904</v>
      </c>
      <c r="B261" s="5">
        <v>13680</v>
      </c>
      <c r="C261" s="5" t="s">
        <v>785</v>
      </c>
      <c r="D261" s="5" t="s">
        <v>786</v>
      </c>
      <c r="E261" s="5" t="s">
        <v>134</v>
      </c>
      <c r="F261" s="5" t="s">
        <v>787</v>
      </c>
      <c r="G261" s="5" t="s">
        <v>788</v>
      </c>
      <c r="H261" s="5" t="s">
        <v>137</v>
      </c>
      <c r="I261" s="5" t="s">
        <v>703</v>
      </c>
      <c r="J261" s="5" t="s">
        <v>30</v>
      </c>
      <c r="K261" s="5" t="s">
        <v>30</v>
      </c>
      <c r="L261" s="3" t="s">
        <v>139</v>
      </c>
      <c r="M261" s="3" t="s">
        <v>31</v>
      </c>
      <c r="N261" s="5" t="s">
        <v>170</v>
      </c>
      <c r="O261" s="5" t="s">
        <v>141</v>
      </c>
      <c r="P261" s="5" t="s">
        <v>34</v>
      </c>
      <c r="Q261" s="154">
        <v>2630</v>
      </c>
      <c r="R261" s="166">
        <v>1</v>
      </c>
      <c r="S261" s="168">
        <v>12400</v>
      </c>
      <c r="U261" s="154">
        <v>326.12</v>
      </c>
      <c r="V261" s="165">
        <v>1.0000000000000001E-5</v>
      </c>
      <c r="W261" s="165">
        <v>1.8417686286414801E-2</v>
      </c>
      <c r="X261" s="165">
        <v>6.0882208251398801E-3</v>
      </c>
    </row>
    <row r="262" spans="1:24">
      <c r="A262" s="5">
        <v>12904</v>
      </c>
      <c r="B262" s="5">
        <v>13680</v>
      </c>
      <c r="C262" s="5" t="s">
        <v>789</v>
      </c>
      <c r="D262" s="5" t="s">
        <v>790</v>
      </c>
      <c r="E262" s="5" t="s">
        <v>134</v>
      </c>
      <c r="F262" s="5" t="s">
        <v>791</v>
      </c>
      <c r="G262" s="5" t="s">
        <v>792</v>
      </c>
      <c r="H262" s="5" t="s">
        <v>137</v>
      </c>
      <c r="I262" s="5" t="s">
        <v>703</v>
      </c>
      <c r="J262" s="5" t="s">
        <v>30</v>
      </c>
      <c r="K262" s="5" t="s">
        <v>30</v>
      </c>
      <c r="L262" s="3" t="s">
        <v>139</v>
      </c>
      <c r="M262" s="3" t="s">
        <v>31</v>
      </c>
      <c r="N262" s="5" t="s">
        <v>140</v>
      </c>
      <c r="O262" s="5" t="s">
        <v>141</v>
      </c>
      <c r="P262" s="5" t="s">
        <v>34</v>
      </c>
      <c r="Q262" s="154">
        <v>12</v>
      </c>
      <c r="R262" s="166">
        <v>1</v>
      </c>
      <c r="S262" s="168">
        <v>103430</v>
      </c>
      <c r="U262" s="154">
        <v>12.412000000000001</v>
      </c>
      <c r="V262" s="165">
        <v>1.9999999999999999E-6</v>
      </c>
      <c r="W262" s="165">
        <v>7.0094736634510502E-4</v>
      </c>
      <c r="X262" s="165">
        <v>2.31707842491433E-4</v>
      </c>
    </row>
    <row r="263" spans="1:24">
      <c r="A263" s="5">
        <v>12904</v>
      </c>
      <c r="B263" s="5">
        <v>13680</v>
      </c>
      <c r="C263" s="5" t="s">
        <v>793</v>
      </c>
      <c r="D263" s="5" t="s">
        <v>794</v>
      </c>
      <c r="E263" s="5" t="s">
        <v>134</v>
      </c>
      <c r="F263" s="5" t="s">
        <v>795</v>
      </c>
      <c r="G263" s="5" t="s">
        <v>796</v>
      </c>
      <c r="H263" s="5" t="s">
        <v>137</v>
      </c>
      <c r="I263" s="5" t="s">
        <v>703</v>
      </c>
      <c r="J263" s="5" t="s">
        <v>30</v>
      </c>
      <c r="K263" s="5" t="s">
        <v>797</v>
      </c>
      <c r="L263" s="3" t="s">
        <v>139</v>
      </c>
      <c r="M263" s="3" t="s">
        <v>31</v>
      </c>
      <c r="N263" s="5" t="s">
        <v>798</v>
      </c>
      <c r="O263" s="5" t="s">
        <v>141</v>
      </c>
      <c r="P263" s="5" t="s">
        <v>34</v>
      </c>
      <c r="Q263" s="154">
        <v>2067</v>
      </c>
      <c r="R263" s="166">
        <v>1</v>
      </c>
      <c r="S263" s="168">
        <v>23540</v>
      </c>
      <c r="U263" s="154">
        <v>486.572</v>
      </c>
      <c r="V263" s="165">
        <v>1.8E-5</v>
      </c>
      <c r="W263" s="165">
        <v>2.7479230860468998E-2</v>
      </c>
      <c r="X263" s="165">
        <v>9.0836396592843E-3</v>
      </c>
    </row>
    <row r="264" spans="1:24">
      <c r="A264" s="5">
        <v>12904</v>
      </c>
      <c r="B264" s="5">
        <v>13680</v>
      </c>
      <c r="C264" s="5" t="s">
        <v>568</v>
      </c>
      <c r="D264" s="5" t="s">
        <v>569</v>
      </c>
      <c r="E264" s="5" t="s">
        <v>134</v>
      </c>
      <c r="F264" s="5" t="s">
        <v>799</v>
      </c>
      <c r="G264" s="5" t="s">
        <v>800</v>
      </c>
      <c r="H264" s="5" t="s">
        <v>137</v>
      </c>
      <c r="I264" s="5" t="s">
        <v>703</v>
      </c>
      <c r="J264" s="5" t="s">
        <v>30</v>
      </c>
      <c r="K264" s="5" t="s">
        <v>224</v>
      </c>
      <c r="L264" s="3" t="s">
        <v>139</v>
      </c>
      <c r="M264" s="3" t="s">
        <v>31</v>
      </c>
      <c r="N264" s="5" t="s">
        <v>573</v>
      </c>
      <c r="O264" s="5" t="s">
        <v>141</v>
      </c>
      <c r="P264" s="5" t="s">
        <v>34</v>
      </c>
      <c r="Q264" s="154">
        <v>11195</v>
      </c>
      <c r="R264" s="166">
        <v>1</v>
      </c>
      <c r="S264" s="168">
        <v>6440</v>
      </c>
      <c r="U264" s="154">
        <v>720.95799999999997</v>
      </c>
      <c r="V264" s="165">
        <v>9.0000000000000002E-6</v>
      </c>
      <c r="W264" s="165">
        <v>4.0716234115298101E-2</v>
      </c>
      <c r="X264" s="165">
        <v>1.34593140857696E-2</v>
      </c>
    </row>
    <row r="265" spans="1:24">
      <c r="A265" s="5">
        <v>12904</v>
      </c>
      <c r="B265" s="5">
        <v>13680</v>
      </c>
      <c r="C265" s="5" t="s">
        <v>801</v>
      </c>
      <c r="D265" s="5" t="s">
        <v>802</v>
      </c>
      <c r="E265" s="5" t="s">
        <v>134</v>
      </c>
      <c r="F265" s="5" t="s">
        <v>803</v>
      </c>
      <c r="G265" s="5" t="s">
        <v>804</v>
      </c>
      <c r="H265" s="5" t="s">
        <v>137</v>
      </c>
      <c r="I265" s="5" t="s">
        <v>703</v>
      </c>
      <c r="J265" s="5" t="s">
        <v>30</v>
      </c>
      <c r="K265" s="5" t="s">
        <v>30</v>
      </c>
      <c r="L265" s="3" t="s">
        <v>139</v>
      </c>
      <c r="M265" s="3" t="s">
        <v>31</v>
      </c>
      <c r="N265" s="5" t="s">
        <v>734</v>
      </c>
      <c r="O265" s="5" t="s">
        <v>141</v>
      </c>
      <c r="P265" s="5" t="s">
        <v>34</v>
      </c>
      <c r="Q265" s="154">
        <v>7126</v>
      </c>
      <c r="R265" s="166">
        <v>1</v>
      </c>
      <c r="S265" s="168">
        <v>862.4</v>
      </c>
      <c r="U265" s="154">
        <v>61.454999999999998</v>
      </c>
      <c r="V265" s="165">
        <v>6.6000000000000005E-5</v>
      </c>
      <c r="W265" s="165">
        <v>3.4706610624358398E-3</v>
      </c>
      <c r="X265" s="165">
        <v>1.14727499582344E-3</v>
      </c>
    </row>
    <row r="266" spans="1:24">
      <c r="A266" s="5">
        <v>12904</v>
      </c>
      <c r="B266" s="5">
        <v>13680</v>
      </c>
      <c r="C266" s="5" t="s">
        <v>805</v>
      </c>
      <c r="D266" s="5" t="s">
        <v>806</v>
      </c>
      <c r="E266" s="5" t="s">
        <v>134</v>
      </c>
      <c r="F266" s="5" t="s">
        <v>807</v>
      </c>
      <c r="G266" s="5" t="s">
        <v>808</v>
      </c>
      <c r="H266" s="5" t="s">
        <v>137</v>
      </c>
      <c r="I266" s="5" t="s">
        <v>703</v>
      </c>
      <c r="J266" s="5" t="s">
        <v>30</v>
      </c>
      <c r="K266" s="5" t="s">
        <v>30</v>
      </c>
      <c r="L266" s="3" t="s">
        <v>139</v>
      </c>
      <c r="M266" s="3" t="s">
        <v>31</v>
      </c>
      <c r="N266" s="5" t="s">
        <v>555</v>
      </c>
      <c r="O266" s="5" t="s">
        <v>141</v>
      </c>
      <c r="P266" s="5" t="s">
        <v>34</v>
      </c>
      <c r="Q266" s="154">
        <v>1000</v>
      </c>
      <c r="R266" s="166">
        <v>1</v>
      </c>
      <c r="S266" s="168">
        <v>2875</v>
      </c>
      <c r="U266" s="154">
        <v>28.75</v>
      </c>
      <c r="V266" s="165">
        <v>7.9999999999999996E-6</v>
      </c>
      <c r="W266" s="165">
        <v>1.6236614765559401E-3</v>
      </c>
      <c r="X266" s="165">
        <v>5.3672374807669403E-4</v>
      </c>
    </row>
    <row r="267" spans="1:24">
      <c r="A267" s="5">
        <v>12904</v>
      </c>
      <c r="B267" s="5">
        <v>13680</v>
      </c>
      <c r="C267" s="5" t="s">
        <v>809</v>
      </c>
      <c r="D267" s="5" t="s">
        <v>810</v>
      </c>
      <c r="E267" s="5" t="s">
        <v>134</v>
      </c>
      <c r="F267" s="5" t="s">
        <v>811</v>
      </c>
      <c r="G267" s="5" t="s">
        <v>812</v>
      </c>
      <c r="H267" s="5" t="s">
        <v>137</v>
      </c>
      <c r="I267" s="5" t="s">
        <v>703</v>
      </c>
      <c r="J267" s="5" t="s">
        <v>30</v>
      </c>
      <c r="K267" s="5" t="s">
        <v>30</v>
      </c>
      <c r="L267" s="3" t="s">
        <v>139</v>
      </c>
      <c r="M267" s="3" t="s">
        <v>31</v>
      </c>
      <c r="N267" s="5" t="s">
        <v>378</v>
      </c>
      <c r="O267" s="5" t="s">
        <v>141</v>
      </c>
      <c r="P267" s="5" t="s">
        <v>34</v>
      </c>
      <c r="Q267" s="154">
        <v>24129</v>
      </c>
      <c r="R267" s="166">
        <v>1</v>
      </c>
      <c r="S267" s="168">
        <v>1338</v>
      </c>
      <c r="U267" s="154">
        <v>322.846</v>
      </c>
      <c r="V267" s="165">
        <v>7.3999999999999996E-5</v>
      </c>
      <c r="W267" s="165">
        <v>1.82327876707273E-2</v>
      </c>
      <c r="X267" s="165">
        <v>6.0271000315145502E-3</v>
      </c>
    </row>
    <row r="268" spans="1:24">
      <c r="A268" s="5">
        <v>12904</v>
      </c>
      <c r="B268" s="5">
        <v>13680</v>
      </c>
      <c r="C268" s="5" t="s">
        <v>595</v>
      </c>
      <c r="D268" s="5" t="s">
        <v>596</v>
      </c>
      <c r="E268" s="5" t="s">
        <v>134</v>
      </c>
      <c r="F268" s="5" t="s">
        <v>813</v>
      </c>
      <c r="G268" s="5" t="s">
        <v>814</v>
      </c>
      <c r="H268" s="5" t="s">
        <v>137</v>
      </c>
      <c r="I268" s="5" t="s">
        <v>703</v>
      </c>
      <c r="J268" s="5" t="s">
        <v>30</v>
      </c>
      <c r="K268" s="5" t="s">
        <v>30</v>
      </c>
      <c r="L268" s="3" t="s">
        <v>139</v>
      </c>
      <c r="M268" s="3" t="s">
        <v>31</v>
      </c>
      <c r="N268" s="5" t="s">
        <v>170</v>
      </c>
      <c r="O268" s="5" t="s">
        <v>141</v>
      </c>
      <c r="P268" s="5" t="s">
        <v>34</v>
      </c>
      <c r="Q268" s="154">
        <v>3365</v>
      </c>
      <c r="R268" s="166">
        <v>1</v>
      </c>
      <c r="S268" s="168">
        <v>16970</v>
      </c>
      <c r="U268" s="154">
        <v>571.04</v>
      </c>
      <c r="V268" s="165">
        <v>4.1999999999999998E-5</v>
      </c>
      <c r="W268" s="165">
        <v>3.2249616048808501E-2</v>
      </c>
      <c r="X268" s="165">
        <v>1.06605564335161E-2</v>
      </c>
    </row>
    <row r="269" spans="1:24">
      <c r="A269" s="5">
        <v>12904</v>
      </c>
      <c r="B269" s="5">
        <v>13680</v>
      </c>
      <c r="C269" s="5" t="s">
        <v>380</v>
      </c>
      <c r="D269" s="5" t="s">
        <v>381</v>
      </c>
      <c r="E269" s="5" t="s">
        <v>134</v>
      </c>
      <c r="F269" s="5" t="s">
        <v>815</v>
      </c>
      <c r="G269" s="5" t="s">
        <v>816</v>
      </c>
      <c r="H269" s="5" t="s">
        <v>137</v>
      </c>
      <c r="I269" s="5" t="s">
        <v>703</v>
      </c>
      <c r="J269" s="5" t="s">
        <v>30</v>
      </c>
      <c r="K269" s="5" t="s">
        <v>30</v>
      </c>
      <c r="L269" s="3" t="s">
        <v>139</v>
      </c>
      <c r="M269" s="3" t="s">
        <v>31</v>
      </c>
      <c r="N269" s="5" t="s">
        <v>285</v>
      </c>
      <c r="O269" s="5" t="s">
        <v>141</v>
      </c>
      <c r="P269" s="5" t="s">
        <v>34</v>
      </c>
      <c r="Q269" s="154">
        <v>15028</v>
      </c>
      <c r="R269" s="166">
        <v>1</v>
      </c>
      <c r="S269" s="168">
        <v>6529</v>
      </c>
      <c r="U269" s="154">
        <v>981.178</v>
      </c>
      <c r="V269" s="165">
        <v>9.0000000000000002E-6</v>
      </c>
      <c r="W269" s="165">
        <v>5.5412212698559497E-2</v>
      </c>
      <c r="X269" s="165">
        <v>1.83172729772954E-2</v>
      </c>
    </row>
    <row r="270" spans="1:24">
      <c r="A270" s="5">
        <v>12904</v>
      </c>
      <c r="B270" s="5">
        <v>13680</v>
      </c>
      <c r="C270" s="5" t="s">
        <v>1023</v>
      </c>
      <c r="D270" s="5" t="s">
        <v>1024</v>
      </c>
      <c r="E270" s="5" t="s">
        <v>134</v>
      </c>
      <c r="F270" s="5" t="s">
        <v>1025</v>
      </c>
      <c r="G270" s="5" t="s">
        <v>1026</v>
      </c>
      <c r="H270" s="5" t="s">
        <v>137</v>
      </c>
      <c r="I270" s="5" t="s">
        <v>703</v>
      </c>
      <c r="J270" s="5" t="s">
        <v>30</v>
      </c>
      <c r="K270" s="5" t="s">
        <v>30</v>
      </c>
      <c r="L270" s="3" t="s">
        <v>139</v>
      </c>
      <c r="M270" s="3" t="s">
        <v>31</v>
      </c>
      <c r="N270" s="5" t="s">
        <v>734</v>
      </c>
      <c r="O270" s="5" t="s">
        <v>141</v>
      </c>
      <c r="P270" s="5" t="s">
        <v>34</v>
      </c>
      <c r="Q270" s="154">
        <v>220</v>
      </c>
      <c r="R270" s="166">
        <v>1</v>
      </c>
      <c r="S270" s="168">
        <v>27550</v>
      </c>
      <c r="U270" s="154">
        <v>60.61</v>
      </c>
      <c r="V270" s="165">
        <v>1.5E-5</v>
      </c>
      <c r="W270" s="165">
        <v>3.4229607684889002E-3</v>
      </c>
      <c r="X270" s="165">
        <v>1.1315070042062099E-3</v>
      </c>
    </row>
    <row r="271" spans="1:24">
      <c r="A271" s="5">
        <v>12904</v>
      </c>
      <c r="B271" s="5">
        <v>13680</v>
      </c>
      <c r="C271" s="5" t="s">
        <v>398</v>
      </c>
      <c r="D271" s="5" t="s">
        <v>399</v>
      </c>
      <c r="E271" s="5" t="s">
        <v>134</v>
      </c>
      <c r="F271" s="5" t="s">
        <v>817</v>
      </c>
      <c r="G271" s="5" t="s">
        <v>818</v>
      </c>
      <c r="H271" s="5" t="s">
        <v>137</v>
      </c>
      <c r="I271" s="5" t="s">
        <v>703</v>
      </c>
      <c r="J271" s="5" t="s">
        <v>30</v>
      </c>
      <c r="K271" s="5" t="s">
        <v>30</v>
      </c>
      <c r="L271" s="3" t="s">
        <v>139</v>
      </c>
      <c r="M271" s="3" t="s">
        <v>31</v>
      </c>
      <c r="N271" s="5" t="s">
        <v>186</v>
      </c>
      <c r="O271" s="5" t="s">
        <v>141</v>
      </c>
      <c r="P271" s="5" t="s">
        <v>34</v>
      </c>
      <c r="Q271" s="154">
        <v>15670</v>
      </c>
      <c r="R271" s="166">
        <v>1</v>
      </c>
      <c r="S271" s="168">
        <v>1292</v>
      </c>
      <c r="U271" s="154">
        <v>202.45599999999999</v>
      </c>
      <c r="V271" s="165">
        <v>2.1999999999999999E-5</v>
      </c>
      <c r="W271" s="165">
        <v>1.1433761995207001E-2</v>
      </c>
      <c r="X271" s="165">
        <v>3.7795880984387601E-3</v>
      </c>
    </row>
    <row r="272" spans="1:24">
      <c r="A272" s="5">
        <v>12904</v>
      </c>
      <c r="B272" s="5">
        <v>13680</v>
      </c>
      <c r="C272" s="5" t="s">
        <v>821</v>
      </c>
      <c r="D272" s="5" t="s">
        <v>822</v>
      </c>
      <c r="E272" s="5" t="s">
        <v>134</v>
      </c>
      <c r="F272" s="5" t="s">
        <v>823</v>
      </c>
      <c r="G272" s="5" t="s">
        <v>824</v>
      </c>
      <c r="H272" s="5" t="s">
        <v>137</v>
      </c>
      <c r="I272" s="5" t="s">
        <v>703</v>
      </c>
      <c r="J272" s="5" t="s">
        <v>30</v>
      </c>
      <c r="K272" s="5" t="s">
        <v>30</v>
      </c>
      <c r="L272" s="3" t="s">
        <v>139</v>
      </c>
      <c r="M272" s="3" t="s">
        <v>31</v>
      </c>
      <c r="N272" s="5" t="s">
        <v>285</v>
      </c>
      <c r="O272" s="5" t="s">
        <v>141</v>
      </c>
      <c r="P272" s="5" t="s">
        <v>34</v>
      </c>
      <c r="Q272" s="154">
        <v>1312</v>
      </c>
      <c r="R272" s="166">
        <v>1</v>
      </c>
      <c r="S272" s="168">
        <v>21790</v>
      </c>
      <c r="U272" s="154">
        <v>285.88499999999999</v>
      </c>
      <c r="V272" s="165">
        <v>5.0000000000000004E-6</v>
      </c>
      <c r="W272" s="165">
        <v>1.6145396051927E-2</v>
      </c>
      <c r="X272" s="165">
        <v>5.3370838738836896E-3</v>
      </c>
    </row>
    <row r="273" spans="1:24">
      <c r="A273" s="5">
        <v>12904</v>
      </c>
      <c r="B273" s="5">
        <v>13680</v>
      </c>
      <c r="C273" s="5" t="s">
        <v>825</v>
      </c>
      <c r="D273" s="5" t="s">
        <v>826</v>
      </c>
      <c r="E273" s="5" t="s">
        <v>134</v>
      </c>
      <c r="F273" s="5" t="s">
        <v>827</v>
      </c>
      <c r="G273" s="5" t="s">
        <v>828</v>
      </c>
      <c r="H273" s="5" t="s">
        <v>137</v>
      </c>
      <c r="I273" s="5" t="s">
        <v>703</v>
      </c>
      <c r="J273" s="5" t="s">
        <v>30</v>
      </c>
      <c r="K273" s="5" t="s">
        <v>30</v>
      </c>
      <c r="L273" s="3" t="s">
        <v>139</v>
      </c>
      <c r="M273" s="3" t="s">
        <v>31</v>
      </c>
      <c r="N273" s="5" t="s">
        <v>829</v>
      </c>
      <c r="O273" s="5" t="s">
        <v>141</v>
      </c>
      <c r="P273" s="5" t="s">
        <v>34</v>
      </c>
      <c r="Q273" s="154">
        <v>153</v>
      </c>
      <c r="R273" s="166">
        <v>1</v>
      </c>
      <c r="S273" s="168">
        <v>11650</v>
      </c>
      <c r="T273" s="153">
        <v>0.13</v>
      </c>
      <c r="U273" s="154">
        <v>17.954999999999998</v>
      </c>
      <c r="V273" s="165">
        <v>1.9999999999999999E-6</v>
      </c>
      <c r="W273" s="165">
        <v>1.0139864752660001E-3</v>
      </c>
      <c r="X273" s="165">
        <v>3.3518724768801401E-4</v>
      </c>
    </row>
    <row r="274" spans="1:24">
      <c r="A274" s="5">
        <v>12904</v>
      </c>
      <c r="B274" s="5">
        <v>13680</v>
      </c>
      <c r="C274" s="5" t="s">
        <v>429</v>
      </c>
      <c r="D274" s="5" t="s">
        <v>430</v>
      </c>
      <c r="E274" s="5" t="s">
        <v>134</v>
      </c>
      <c r="F274" s="5" t="s">
        <v>830</v>
      </c>
      <c r="G274" s="5" t="s">
        <v>831</v>
      </c>
      <c r="H274" s="5" t="s">
        <v>137</v>
      </c>
      <c r="I274" s="5" t="s">
        <v>703</v>
      </c>
      <c r="J274" s="5" t="s">
        <v>30</v>
      </c>
      <c r="K274" s="5" t="s">
        <v>30</v>
      </c>
      <c r="L274" s="3" t="s">
        <v>139</v>
      </c>
      <c r="M274" s="3" t="s">
        <v>31</v>
      </c>
      <c r="N274" s="5" t="s">
        <v>186</v>
      </c>
      <c r="O274" s="5" t="s">
        <v>141</v>
      </c>
      <c r="P274" s="5" t="s">
        <v>34</v>
      </c>
      <c r="Q274" s="154">
        <v>500</v>
      </c>
      <c r="R274" s="166">
        <v>1</v>
      </c>
      <c r="S274" s="168">
        <v>40000</v>
      </c>
      <c r="U274" s="154">
        <v>200</v>
      </c>
      <c r="V274" s="165">
        <v>1.0000000000000001E-5</v>
      </c>
      <c r="W274" s="165">
        <v>1.129503635865E-2</v>
      </c>
      <c r="X274" s="165">
        <v>3.7337304214030901E-3</v>
      </c>
    </row>
    <row r="275" spans="1:24">
      <c r="A275" s="5">
        <v>12904</v>
      </c>
      <c r="B275" s="5">
        <v>13680</v>
      </c>
      <c r="C275" s="5" t="s">
        <v>832</v>
      </c>
      <c r="D275" s="5" t="s">
        <v>833</v>
      </c>
      <c r="E275" s="5" t="s">
        <v>134</v>
      </c>
      <c r="F275" s="5" t="s">
        <v>834</v>
      </c>
      <c r="G275" s="5" t="s">
        <v>835</v>
      </c>
      <c r="H275" s="5" t="s">
        <v>137</v>
      </c>
      <c r="I275" s="5" t="s">
        <v>703</v>
      </c>
      <c r="J275" s="5" t="s">
        <v>30</v>
      </c>
      <c r="K275" s="5" t="s">
        <v>30</v>
      </c>
      <c r="L275" s="3" t="s">
        <v>139</v>
      </c>
      <c r="M275" s="3" t="s">
        <v>31</v>
      </c>
      <c r="N275" s="5" t="s">
        <v>170</v>
      </c>
      <c r="O275" s="5" t="s">
        <v>141</v>
      </c>
      <c r="P275" s="5" t="s">
        <v>34</v>
      </c>
      <c r="Q275" s="154">
        <v>851</v>
      </c>
      <c r="R275" s="166">
        <v>1</v>
      </c>
      <c r="S275" s="168">
        <v>32500</v>
      </c>
      <c r="U275" s="154">
        <v>276.57499999999999</v>
      </c>
      <c r="V275" s="165">
        <v>1.2999999999999999E-5</v>
      </c>
      <c r="W275" s="165">
        <v>1.5619623404468199E-2</v>
      </c>
      <c r="X275" s="165">
        <v>5.16328245649779E-3</v>
      </c>
    </row>
    <row r="276" spans="1:24">
      <c r="A276" s="5">
        <v>12904</v>
      </c>
      <c r="B276" s="5">
        <v>13680</v>
      </c>
      <c r="C276" s="5" t="s">
        <v>677</v>
      </c>
      <c r="D276" s="5" t="s">
        <v>678</v>
      </c>
      <c r="E276" s="5" t="s">
        <v>134</v>
      </c>
      <c r="F276" s="5" t="s">
        <v>1027</v>
      </c>
      <c r="G276" s="5" t="s">
        <v>1028</v>
      </c>
      <c r="H276" s="5" t="s">
        <v>137</v>
      </c>
      <c r="I276" s="5" t="s">
        <v>703</v>
      </c>
      <c r="J276" s="5" t="s">
        <v>30</v>
      </c>
      <c r="K276" s="5" t="s">
        <v>30</v>
      </c>
      <c r="L276" s="3" t="s">
        <v>139</v>
      </c>
      <c r="M276" s="3" t="s">
        <v>31</v>
      </c>
      <c r="N276" s="5" t="s">
        <v>186</v>
      </c>
      <c r="O276" s="5" t="s">
        <v>141</v>
      </c>
      <c r="P276" s="5" t="s">
        <v>34</v>
      </c>
      <c r="Q276" s="154">
        <v>1981</v>
      </c>
      <c r="R276" s="166">
        <v>1</v>
      </c>
      <c r="S276" s="168">
        <v>220.8</v>
      </c>
      <c r="U276" s="154">
        <v>4.3739999999999997</v>
      </c>
      <c r="V276" s="165">
        <v>3.0000000000000001E-6</v>
      </c>
      <c r="W276" s="165">
        <v>2.4702515597240302E-4</v>
      </c>
      <c r="X276" s="165">
        <v>8.1657580411386604E-5</v>
      </c>
    </row>
    <row r="277" spans="1:24">
      <c r="A277" s="5">
        <v>12904</v>
      </c>
      <c r="B277" s="5">
        <v>13680</v>
      </c>
      <c r="C277" s="5" t="s">
        <v>836</v>
      </c>
      <c r="D277" s="5" t="s">
        <v>837</v>
      </c>
      <c r="E277" s="5" t="s">
        <v>134</v>
      </c>
      <c r="F277" s="5" t="s">
        <v>838</v>
      </c>
      <c r="G277" s="5" t="s">
        <v>839</v>
      </c>
      <c r="H277" s="5" t="s">
        <v>137</v>
      </c>
      <c r="I277" s="5" t="s">
        <v>703</v>
      </c>
      <c r="J277" s="5" t="s">
        <v>30</v>
      </c>
      <c r="K277" s="5" t="s">
        <v>30</v>
      </c>
      <c r="L277" s="3" t="s">
        <v>139</v>
      </c>
      <c r="M277" s="3" t="s">
        <v>31</v>
      </c>
      <c r="N277" s="5" t="s">
        <v>734</v>
      </c>
      <c r="O277" s="5" t="s">
        <v>141</v>
      </c>
      <c r="P277" s="5" t="s">
        <v>34</v>
      </c>
      <c r="Q277" s="154">
        <v>861</v>
      </c>
      <c r="R277" s="166">
        <v>1</v>
      </c>
      <c r="S277" s="168">
        <v>2066</v>
      </c>
      <c r="U277" s="154">
        <v>17.788</v>
      </c>
      <c r="V277" s="165">
        <v>6.0000000000000002E-6</v>
      </c>
      <c r="W277" s="165">
        <v>1.0045952172855999E-3</v>
      </c>
      <c r="X277" s="165">
        <v>3.3208283752913798E-4</v>
      </c>
    </row>
    <row r="278" spans="1:24">
      <c r="A278" s="5">
        <v>12904</v>
      </c>
      <c r="B278" s="5">
        <v>13680</v>
      </c>
      <c r="C278" s="5" t="s">
        <v>467</v>
      </c>
      <c r="D278" s="5" t="s">
        <v>468</v>
      </c>
      <c r="E278" s="5" t="s">
        <v>366</v>
      </c>
      <c r="F278" s="5" t="s">
        <v>840</v>
      </c>
      <c r="G278" s="5" t="s">
        <v>841</v>
      </c>
      <c r="H278" s="5" t="s">
        <v>137</v>
      </c>
      <c r="I278" s="5" t="s">
        <v>703</v>
      </c>
      <c r="J278" s="5" t="s">
        <v>30</v>
      </c>
      <c r="K278" s="5" t="s">
        <v>224</v>
      </c>
      <c r="L278" s="3" t="s">
        <v>139</v>
      </c>
      <c r="M278" s="3" t="s">
        <v>31</v>
      </c>
      <c r="N278" s="5" t="s">
        <v>369</v>
      </c>
      <c r="O278" s="5" t="s">
        <v>141</v>
      </c>
      <c r="P278" s="5" t="s">
        <v>34</v>
      </c>
      <c r="Q278" s="154">
        <v>300</v>
      </c>
      <c r="R278" s="166">
        <v>1</v>
      </c>
      <c r="S278" s="168">
        <v>11190</v>
      </c>
      <c r="U278" s="154">
        <v>33.57</v>
      </c>
      <c r="V278" s="165">
        <v>3.0000000000000001E-6</v>
      </c>
      <c r="W278" s="165">
        <v>1.89587185279941E-3</v>
      </c>
      <c r="X278" s="165">
        <v>6.2670665123250801E-4</v>
      </c>
    </row>
    <row r="279" spans="1:24">
      <c r="A279" s="5">
        <v>12904</v>
      </c>
      <c r="B279" s="5">
        <v>13680</v>
      </c>
      <c r="C279" s="5" t="s">
        <v>842</v>
      </c>
      <c r="D279" s="5" t="s">
        <v>843</v>
      </c>
      <c r="E279" s="5" t="s">
        <v>366</v>
      </c>
      <c r="F279" s="5" t="s">
        <v>844</v>
      </c>
      <c r="G279" s="5" t="s">
        <v>845</v>
      </c>
      <c r="H279" s="5" t="s">
        <v>137</v>
      </c>
      <c r="I279" s="5" t="s">
        <v>703</v>
      </c>
      <c r="J279" s="5" t="s">
        <v>30</v>
      </c>
      <c r="K279" s="5" t="s">
        <v>30</v>
      </c>
      <c r="L279" s="3" t="s">
        <v>139</v>
      </c>
      <c r="M279" s="3" t="s">
        <v>31</v>
      </c>
      <c r="N279" s="5" t="s">
        <v>369</v>
      </c>
      <c r="O279" s="5" t="s">
        <v>141</v>
      </c>
      <c r="P279" s="5" t="s">
        <v>34</v>
      </c>
      <c r="Q279" s="154">
        <v>11612</v>
      </c>
      <c r="R279" s="166">
        <v>1</v>
      </c>
      <c r="S279" s="168">
        <v>1744</v>
      </c>
      <c r="U279" s="154">
        <v>202.51300000000001</v>
      </c>
      <c r="V279" s="165">
        <v>1.0000000000000001E-5</v>
      </c>
      <c r="W279" s="165">
        <v>1.14369743035474E-2</v>
      </c>
      <c r="X279" s="165">
        <v>3.7806499713706099E-3</v>
      </c>
    </row>
    <row r="280" spans="1:24">
      <c r="A280" s="5">
        <v>12904</v>
      </c>
      <c r="B280" s="5">
        <v>13680</v>
      </c>
      <c r="C280" s="5" t="s">
        <v>846</v>
      </c>
      <c r="D280" s="5" t="s">
        <v>847</v>
      </c>
      <c r="E280" s="5" t="s">
        <v>134</v>
      </c>
      <c r="F280" s="5" t="s">
        <v>848</v>
      </c>
      <c r="G280" s="5" t="s">
        <v>849</v>
      </c>
      <c r="H280" s="5" t="s">
        <v>137</v>
      </c>
      <c r="I280" s="5" t="s">
        <v>703</v>
      </c>
      <c r="J280" s="5" t="s">
        <v>30</v>
      </c>
      <c r="K280" s="5" t="s">
        <v>224</v>
      </c>
      <c r="L280" s="3" t="s">
        <v>139</v>
      </c>
      <c r="M280" s="3" t="s">
        <v>31</v>
      </c>
      <c r="N280" s="5" t="s">
        <v>480</v>
      </c>
      <c r="O280" s="5" t="s">
        <v>141</v>
      </c>
      <c r="P280" s="5" t="s">
        <v>34</v>
      </c>
      <c r="Q280" s="154">
        <v>588</v>
      </c>
      <c r="R280" s="166">
        <v>1</v>
      </c>
      <c r="S280" s="168">
        <v>48800</v>
      </c>
      <c r="U280" s="154">
        <v>286.94400000000002</v>
      </c>
      <c r="V280" s="165">
        <v>7.9999999999999996E-6</v>
      </c>
      <c r="W280" s="165">
        <v>1.6205214564482401E-2</v>
      </c>
      <c r="X280" s="165">
        <v>5.3568577101954402E-3</v>
      </c>
    </row>
    <row r="281" spans="1:24">
      <c r="A281" s="5">
        <v>12904</v>
      </c>
      <c r="B281" s="5">
        <v>13680</v>
      </c>
      <c r="C281" s="5" t="s">
        <v>506</v>
      </c>
      <c r="D281" s="5" t="s">
        <v>507</v>
      </c>
      <c r="E281" s="5" t="s">
        <v>134</v>
      </c>
      <c r="F281" s="5" t="s">
        <v>850</v>
      </c>
      <c r="G281" s="5" t="s">
        <v>851</v>
      </c>
      <c r="H281" s="5" t="s">
        <v>137</v>
      </c>
      <c r="I281" s="5" t="s">
        <v>703</v>
      </c>
      <c r="J281" s="5" t="s">
        <v>30</v>
      </c>
      <c r="K281" s="5" t="s">
        <v>30</v>
      </c>
      <c r="L281" s="3" t="s">
        <v>139</v>
      </c>
      <c r="M281" s="3" t="s">
        <v>31</v>
      </c>
      <c r="N281" s="5" t="s">
        <v>186</v>
      </c>
      <c r="O281" s="5" t="s">
        <v>141</v>
      </c>
      <c r="P281" s="5" t="s">
        <v>34</v>
      </c>
      <c r="Q281" s="154">
        <v>1112</v>
      </c>
      <c r="R281" s="166">
        <v>1</v>
      </c>
      <c r="S281" s="168">
        <v>32870</v>
      </c>
      <c r="U281" s="154">
        <v>365.51400000000001</v>
      </c>
      <c r="V281" s="165">
        <v>9.0000000000000002E-6</v>
      </c>
      <c r="W281" s="165">
        <v>2.0642492188050799E-2</v>
      </c>
      <c r="X281" s="165">
        <v>6.8236611737044796E-3</v>
      </c>
    </row>
    <row r="282" spans="1:24">
      <c r="A282" s="5">
        <v>12904</v>
      </c>
      <c r="B282" s="5">
        <v>13680</v>
      </c>
      <c r="C282" s="5" t="s">
        <v>522</v>
      </c>
      <c r="D282" s="5" t="s">
        <v>523</v>
      </c>
      <c r="E282" s="5" t="s">
        <v>134</v>
      </c>
      <c r="F282" s="5" t="s">
        <v>852</v>
      </c>
      <c r="G282" s="5" t="s">
        <v>853</v>
      </c>
      <c r="H282" s="5" t="s">
        <v>137</v>
      </c>
      <c r="I282" s="5" t="s">
        <v>703</v>
      </c>
      <c r="J282" s="5" t="s">
        <v>30</v>
      </c>
      <c r="K282" s="5" t="s">
        <v>30</v>
      </c>
      <c r="L282" s="3" t="s">
        <v>139</v>
      </c>
      <c r="M282" s="3" t="s">
        <v>31</v>
      </c>
      <c r="N282" s="5" t="s">
        <v>285</v>
      </c>
      <c r="O282" s="5" t="s">
        <v>141</v>
      </c>
      <c r="P282" s="5" t="s">
        <v>34</v>
      </c>
      <c r="Q282" s="154">
        <v>14408</v>
      </c>
      <c r="R282" s="166">
        <v>1</v>
      </c>
      <c r="S282" s="168">
        <v>6732</v>
      </c>
      <c r="U282" s="154">
        <v>969.947</v>
      </c>
      <c r="V282" s="165">
        <v>1.1E-5</v>
      </c>
      <c r="W282" s="165">
        <v>5.4777908305737699E-2</v>
      </c>
      <c r="X282" s="165">
        <v>1.8107594891036399E-2</v>
      </c>
    </row>
    <row r="283" spans="1:24">
      <c r="A283" s="5">
        <v>12904</v>
      </c>
      <c r="B283" s="5">
        <v>13680</v>
      </c>
      <c r="C283" s="5" t="s">
        <v>644</v>
      </c>
      <c r="D283" s="5" t="s">
        <v>645</v>
      </c>
      <c r="E283" s="5" t="s">
        <v>134</v>
      </c>
      <c r="F283" s="5" t="s">
        <v>854</v>
      </c>
      <c r="G283" s="5" t="s">
        <v>855</v>
      </c>
      <c r="H283" s="5" t="s">
        <v>137</v>
      </c>
      <c r="I283" s="5" t="s">
        <v>703</v>
      </c>
      <c r="J283" s="5" t="s">
        <v>30</v>
      </c>
      <c r="K283" s="5" t="s">
        <v>30</v>
      </c>
      <c r="L283" s="3" t="s">
        <v>139</v>
      </c>
      <c r="M283" s="3" t="s">
        <v>31</v>
      </c>
      <c r="N283" s="5" t="s">
        <v>612</v>
      </c>
      <c r="O283" s="5" t="s">
        <v>141</v>
      </c>
      <c r="P283" s="5" t="s">
        <v>34</v>
      </c>
      <c r="Q283" s="154">
        <v>6478</v>
      </c>
      <c r="R283" s="166">
        <v>1</v>
      </c>
      <c r="S283" s="168">
        <v>3170</v>
      </c>
      <c r="U283" s="154">
        <v>205.35300000000001</v>
      </c>
      <c r="V283" s="165">
        <v>3.4E-5</v>
      </c>
      <c r="W283" s="165">
        <v>1.1597325416716601E-2</v>
      </c>
      <c r="X283" s="165">
        <v>3.8336562486711002E-3</v>
      </c>
    </row>
    <row r="284" spans="1:24">
      <c r="A284" s="5">
        <v>12904</v>
      </c>
      <c r="B284" s="5">
        <v>13680</v>
      </c>
      <c r="C284" s="5" t="s">
        <v>540</v>
      </c>
      <c r="D284" s="5" t="s">
        <v>541</v>
      </c>
      <c r="E284" s="5" t="s">
        <v>134</v>
      </c>
      <c r="F284" s="5" t="s">
        <v>856</v>
      </c>
      <c r="G284" s="5" t="s">
        <v>857</v>
      </c>
      <c r="H284" s="5" t="s">
        <v>137</v>
      </c>
      <c r="I284" s="5" t="s">
        <v>703</v>
      </c>
      <c r="J284" s="5" t="s">
        <v>30</v>
      </c>
      <c r="K284" s="5" t="s">
        <v>30</v>
      </c>
      <c r="L284" s="3" t="s">
        <v>139</v>
      </c>
      <c r="M284" s="3" t="s">
        <v>31</v>
      </c>
      <c r="N284" s="5" t="s">
        <v>544</v>
      </c>
      <c r="O284" s="5" t="s">
        <v>141</v>
      </c>
      <c r="P284" s="5" t="s">
        <v>34</v>
      </c>
      <c r="Q284" s="154">
        <v>135</v>
      </c>
      <c r="R284" s="166">
        <v>1</v>
      </c>
      <c r="S284" s="168">
        <v>55350</v>
      </c>
      <c r="U284" s="154">
        <v>74.721999999999994</v>
      </c>
      <c r="V284" s="165">
        <v>7.9999999999999996E-6</v>
      </c>
      <c r="W284" s="165">
        <v>4.2199667715461398E-3</v>
      </c>
      <c r="X284" s="165">
        <v>1.3949683570664601E-3</v>
      </c>
    </row>
    <row r="285" spans="1:24">
      <c r="A285" s="5">
        <v>12904</v>
      </c>
      <c r="B285" s="5">
        <v>13680</v>
      </c>
      <c r="C285" s="5" t="s">
        <v>858</v>
      </c>
      <c r="D285" s="5" t="s">
        <v>859</v>
      </c>
      <c r="E285" s="5" t="s">
        <v>134</v>
      </c>
      <c r="F285" s="5" t="s">
        <v>860</v>
      </c>
      <c r="G285" s="5" t="s">
        <v>861</v>
      </c>
      <c r="H285" s="5" t="s">
        <v>137</v>
      </c>
      <c r="I285" s="5" t="s">
        <v>703</v>
      </c>
      <c r="J285" s="5" t="s">
        <v>30</v>
      </c>
      <c r="K285" s="5" t="s">
        <v>30</v>
      </c>
      <c r="L285" s="3" t="s">
        <v>139</v>
      </c>
      <c r="M285" s="3" t="s">
        <v>31</v>
      </c>
      <c r="N285" s="5" t="s">
        <v>718</v>
      </c>
      <c r="O285" s="5" t="s">
        <v>141</v>
      </c>
      <c r="P285" s="5" t="s">
        <v>34</v>
      </c>
      <c r="Q285" s="154">
        <v>9299</v>
      </c>
      <c r="R285" s="166">
        <v>1</v>
      </c>
      <c r="S285" s="168">
        <v>875.3</v>
      </c>
      <c r="U285" s="154">
        <v>81.394000000000005</v>
      </c>
      <c r="V285" s="165">
        <v>3.1999999999999999E-5</v>
      </c>
      <c r="W285" s="165">
        <v>4.59674924873153E-3</v>
      </c>
      <c r="X285" s="165">
        <v>1.51951901389027E-3</v>
      </c>
    </row>
    <row r="286" spans="1:24">
      <c r="A286" s="5">
        <v>12904</v>
      </c>
      <c r="B286" s="5">
        <v>13680</v>
      </c>
      <c r="C286" s="5" t="s">
        <v>866</v>
      </c>
      <c r="D286" s="5" t="s">
        <v>867</v>
      </c>
      <c r="E286" s="5" t="s">
        <v>134</v>
      </c>
      <c r="F286" s="5" t="s">
        <v>868</v>
      </c>
      <c r="G286" s="5" t="s">
        <v>869</v>
      </c>
      <c r="H286" s="5" t="s">
        <v>137</v>
      </c>
      <c r="I286" s="5" t="s">
        <v>703</v>
      </c>
      <c r="J286" s="5" t="s">
        <v>30</v>
      </c>
      <c r="K286" s="5" t="s">
        <v>30</v>
      </c>
      <c r="L286" s="3" t="s">
        <v>139</v>
      </c>
      <c r="M286" s="3" t="s">
        <v>31</v>
      </c>
      <c r="N286" s="5" t="s">
        <v>734</v>
      </c>
      <c r="O286" s="5" t="s">
        <v>141</v>
      </c>
      <c r="P286" s="5" t="s">
        <v>34</v>
      </c>
      <c r="Q286" s="154">
        <v>683</v>
      </c>
      <c r="R286" s="166">
        <v>1</v>
      </c>
      <c r="S286" s="168">
        <v>30530</v>
      </c>
      <c r="U286" s="154">
        <v>208.52</v>
      </c>
      <c r="V286" s="165">
        <v>5.0000000000000002E-5</v>
      </c>
      <c r="W286" s="165">
        <v>1.17761992600104E-2</v>
      </c>
      <c r="X286" s="165">
        <v>3.89278547048965E-3</v>
      </c>
    </row>
    <row r="287" spans="1:24">
      <c r="A287" s="5">
        <v>12904</v>
      </c>
      <c r="B287" s="5">
        <v>13680</v>
      </c>
      <c r="C287" s="5" t="s">
        <v>870</v>
      </c>
      <c r="D287" s="5" t="s">
        <v>871</v>
      </c>
      <c r="E287" s="5" t="s">
        <v>366</v>
      </c>
      <c r="F287" s="5" t="s">
        <v>872</v>
      </c>
      <c r="G287" s="5" t="s">
        <v>873</v>
      </c>
      <c r="H287" s="5" t="s">
        <v>137</v>
      </c>
      <c r="I287" s="5" t="s">
        <v>703</v>
      </c>
      <c r="J287" s="5" t="s">
        <v>30</v>
      </c>
      <c r="K287" s="5" t="s">
        <v>30</v>
      </c>
      <c r="L287" s="3" t="s">
        <v>139</v>
      </c>
      <c r="M287" s="3" t="s">
        <v>31</v>
      </c>
      <c r="N287" s="5" t="s">
        <v>369</v>
      </c>
      <c r="O287" s="5" t="s">
        <v>141</v>
      </c>
      <c r="P287" s="5" t="s">
        <v>34</v>
      </c>
      <c r="Q287" s="154">
        <v>20855</v>
      </c>
      <c r="R287" s="166">
        <v>1</v>
      </c>
      <c r="S287" s="168">
        <v>454.7</v>
      </c>
      <c r="U287" s="154">
        <v>94.828000000000003</v>
      </c>
      <c r="V287" s="165">
        <v>1.9000000000000001E-5</v>
      </c>
      <c r="W287" s="165">
        <v>5.35541074940807E-3</v>
      </c>
      <c r="X287" s="165">
        <v>1.77030506137865E-3</v>
      </c>
    </row>
    <row r="288" spans="1:24">
      <c r="A288" s="5">
        <v>12904</v>
      </c>
      <c r="B288" s="5">
        <v>13680</v>
      </c>
      <c r="C288" s="5" t="s">
        <v>874</v>
      </c>
      <c r="D288" s="5" t="s">
        <v>875</v>
      </c>
      <c r="E288" s="5" t="s">
        <v>134</v>
      </c>
      <c r="F288" s="5" t="s">
        <v>876</v>
      </c>
      <c r="G288" s="5" t="s">
        <v>877</v>
      </c>
      <c r="H288" s="5" t="s">
        <v>137</v>
      </c>
      <c r="I288" s="5" t="s">
        <v>703</v>
      </c>
      <c r="J288" s="5" t="s">
        <v>30</v>
      </c>
      <c r="K288" s="5" t="s">
        <v>30</v>
      </c>
      <c r="L288" s="3" t="s">
        <v>139</v>
      </c>
      <c r="M288" s="3" t="s">
        <v>31</v>
      </c>
      <c r="N288" s="5" t="s">
        <v>878</v>
      </c>
      <c r="O288" s="5" t="s">
        <v>141</v>
      </c>
      <c r="P288" s="5" t="s">
        <v>34</v>
      </c>
      <c r="Q288" s="154">
        <v>1934</v>
      </c>
      <c r="R288" s="166">
        <v>1</v>
      </c>
      <c r="S288" s="168">
        <v>9361</v>
      </c>
      <c r="U288" s="154">
        <v>181.042</v>
      </c>
      <c r="V288" s="165">
        <v>1.5999999999999999E-5</v>
      </c>
      <c r="W288" s="165">
        <v>1.02243651786663E-2</v>
      </c>
      <c r="X288" s="165">
        <v>3.37980526090874E-3</v>
      </c>
    </row>
    <row r="289" spans="1:24">
      <c r="A289" s="5">
        <v>12904</v>
      </c>
      <c r="B289" s="5">
        <v>13680</v>
      </c>
      <c r="C289" s="5" t="s">
        <v>879</v>
      </c>
      <c r="D289" s="5" t="s">
        <v>880</v>
      </c>
      <c r="E289" s="5" t="s">
        <v>134</v>
      </c>
      <c r="F289" s="5" t="s">
        <v>881</v>
      </c>
      <c r="G289" s="5" t="s">
        <v>882</v>
      </c>
      <c r="H289" s="5" t="s">
        <v>137</v>
      </c>
      <c r="I289" s="5" t="s">
        <v>703</v>
      </c>
      <c r="J289" s="5" t="s">
        <v>30</v>
      </c>
      <c r="K289" s="5" t="s">
        <v>30</v>
      </c>
      <c r="L289" s="3" t="s">
        <v>139</v>
      </c>
      <c r="M289" s="3" t="s">
        <v>31</v>
      </c>
      <c r="N289" s="5" t="s">
        <v>718</v>
      </c>
      <c r="O289" s="5" t="s">
        <v>141</v>
      </c>
      <c r="P289" s="5" t="s">
        <v>34</v>
      </c>
      <c r="Q289" s="154">
        <v>4848</v>
      </c>
      <c r="R289" s="166">
        <v>1</v>
      </c>
      <c r="S289" s="168">
        <v>2708</v>
      </c>
      <c r="U289" s="154">
        <v>131.28399999999999</v>
      </c>
      <c r="V289" s="165">
        <v>1.4E-5</v>
      </c>
      <c r="W289" s="165">
        <v>7.41427873051598E-3</v>
      </c>
      <c r="X289" s="165">
        <v>2.4508923362330801E-3</v>
      </c>
    </row>
    <row r="290" spans="1:24">
      <c r="A290" s="5">
        <v>12904</v>
      </c>
      <c r="B290" s="5">
        <v>13680</v>
      </c>
      <c r="C290" s="5" t="s">
        <v>883</v>
      </c>
      <c r="D290" s="5" t="s">
        <v>884</v>
      </c>
      <c r="E290" s="5" t="s">
        <v>134</v>
      </c>
      <c r="F290" s="5" t="s">
        <v>885</v>
      </c>
      <c r="G290" s="5" t="s">
        <v>886</v>
      </c>
      <c r="H290" s="5" t="s">
        <v>137</v>
      </c>
      <c r="I290" s="5" t="s">
        <v>703</v>
      </c>
      <c r="J290" s="5" t="s">
        <v>30</v>
      </c>
      <c r="K290" s="5" t="s">
        <v>797</v>
      </c>
      <c r="L290" s="3" t="s">
        <v>139</v>
      </c>
      <c r="M290" s="3" t="s">
        <v>31</v>
      </c>
      <c r="N290" s="5" t="s">
        <v>887</v>
      </c>
      <c r="O290" s="5" t="s">
        <v>141</v>
      </c>
      <c r="P290" s="5" t="s">
        <v>34</v>
      </c>
      <c r="Q290" s="154">
        <v>600</v>
      </c>
      <c r="R290" s="166">
        <v>1</v>
      </c>
      <c r="S290" s="168">
        <v>13500</v>
      </c>
      <c r="U290" s="154">
        <v>81</v>
      </c>
      <c r="V290" s="165">
        <v>4.6E-5</v>
      </c>
      <c r="W290" s="165">
        <v>4.5744897252532699E-3</v>
      </c>
      <c r="X290" s="165">
        <v>1.51216082066825E-3</v>
      </c>
    </row>
    <row r="291" spans="1:24">
      <c r="A291" s="5">
        <v>12904</v>
      </c>
      <c r="B291" s="5">
        <v>13680</v>
      </c>
      <c r="C291" s="5" t="s">
        <v>619</v>
      </c>
      <c r="D291" s="5" t="s">
        <v>620</v>
      </c>
      <c r="E291" s="5" t="s">
        <v>134</v>
      </c>
      <c r="F291" s="5" t="s">
        <v>888</v>
      </c>
      <c r="G291" s="5" t="s">
        <v>889</v>
      </c>
      <c r="H291" s="5" t="s">
        <v>137</v>
      </c>
      <c r="I291" s="5" t="s">
        <v>703</v>
      </c>
      <c r="J291" s="5" t="s">
        <v>30</v>
      </c>
      <c r="K291" s="5" t="s">
        <v>30</v>
      </c>
      <c r="L291" s="3" t="s">
        <v>139</v>
      </c>
      <c r="M291" s="3" t="s">
        <v>31</v>
      </c>
      <c r="N291" s="5" t="s">
        <v>555</v>
      </c>
      <c r="O291" s="5" t="s">
        <v>141</v>
      </c>
      <c r="P291" s="5" t="s">
        <v>34</v>
      </c>
      <c r="Q291" s="154">
        <v>554</v>
      </c>
      <c r="R291" s="166">
        <v>1</v>
      </c>
      <c r="S291" s="168">
        <v>16620</v>
      </c>
      <c r="U291" s="154">
        <v>92.075000000000003</v>
      </c>
      <c r="V291" s="165">
        <v>6.4999999999999994E-5</v>
      </c>
      <c r="W291" s="165">
        <v>5.19994106857716E-3</v>
      </c>
      <c r="X291" s="165">
        <v>1.7189124090230201E-3</v>
      </c>
    </row>
    <row r="292" spans="1:24">
      <c r="A292" s="5">
        <v>12904</v>
      </c>
      <c r="B292" s="5">
        <v>13680</v>
      </c>
      <c r="C292" s="5" t="s">
        <v>890</v>
      </c>
      <c r="D292" s="5" t="s">
        <v>891</v>
      </c>
      <c r="E292" s="5" t="s">
        <v>651</v>
      </c>
      <c r="F292" s="5" t="s">
        <v>892</v>
      </c>
      <c r="G292" s="5" t="s">
        <v>893</v>
      </c>
      <c r="H292" s="5" t="s">
        <v>137</v>
      </c>
      <c r="I292" s="5" t="s">
        <v>703</v>
      </c>
      <c r="J292" s="5" t="s">
        <v>572</v>
      </c>
      <c r="K292" s="5" t="s">
        <v>224</v>
      </c>
      <c r="L292" s="3" t="s">
        <v>139</v>
      </c>
      <c r="M292" s="3" t="s">
        <v>894</v>
      </c>
      <c r="N292" s="5" t="s">
        <v>895</v>
      </c>
      <c r="O292" s="5" t="s">
        <v>141</v>
      </c>
      <c r="P292" s="5" t="s">
        <v>664</v>
      </c>
      <c r="Q292" s="154">
        <v>297</v>
      </c>
      <c r="R292" s="166">
        <v>3.306</v>
      </c>
      <c r="S292" s="168">
        <v>12142</v>
      </c>
      <c r="U292" s="154">
        <v>119.22</v>
      </c>
      <c r="V292" s="165">
        <v>9.9999999999999995E-7</v>
      </c>
      <c r="W292" s="165">
        <v>6.7329775234607299E-3</v>
      </c>
      <c r="X292" s="165">
        <v>2.2256788033016201E-3</v>
      </c>
    </row>
    <row r="293" spans="1:24">
      <c r="A293" s="5">
        <v>12904</v>
      </c>
      <c r="B293" s="5">
        <v>13680</v>
      </c>
      <c r="C293" s="5" t="s">
        <v>896</v>
      </c>
      <c r="D293" s="5" t="s">
        <v>897</v>
      </c>
      <c r="E293" s="5" t="s">
        <v>651</v>
      </c>
      <c r="F293" s="5" t="s">
        <v>898</v>
      </c>
      <c r="G293" s="5" t="s">
        <v>899</v>
      </c>
      <c r="H293" s="5" t="s">
        <v>137</v>
      </c>
      <c r="I293" s="5" t="s">
        <v>703</v>
      </c>
      <c r="J293" s="5" t="s">
        <v>572</v>
      </c>
      <c r="K293" s="5" t="s">
        <v>224</v>
      </c>
      <c r="L293" s="3" t="s">
        <v>139</v>
      </c>
      <c r="M293" s="3" t="s">
        <v>894</v>
      </c>
      <c r="N293" s="5" t="s">
        <v>900</v>
      </c>
      <c r="O293" s="5" t="s">
        <v>141</v>
      </c>
      <c r="P293" s="5" t="s">
        <v>664</v>
      </c>
      <c r="Q293" s="154">
        <v>359</v>
      </c>
      <c r="R293" s="166">
        <v>3.306</v>
      </c>
      <c r="S293" s="168">
        <v>21957</v>
      </c>
      <c r="U293" s="154">
        <v>260.59800000000001</v>
      </c>
      <c r="V293" s="165">
        <v>0</v>
      </c>
      <c r="W293" s="165">
        <v>1.4717293038623E-2</v>
      </c>
      <c r="X293" s="165">
        <v>4.8650046794163704E-3</v>
      </c>
    </row>
    <row r="294" spans="1:24">
      <c r="A294" s="5">
        <v>12904</v>
      </c>
      <c r="B294" s="5">
        <v>13680</v>
      </c>
      <c r="C294" s="5" t="s">
        <v>901</v>
      </c>
      <c r="D294" s="5" t="s">
        <v>902</v>
      </c>
      <c r="E294" s="5" t="s">
        <v>651</v>
      </c>
      <c r="F294" s="5" t="s">
        <v>903</v>
      </c>
      <c r="G294" s="5" t="s">
        <v>904</v>
      </c>
      <c r="H294" s="5" t="s">
        <v>137</v>
      </c>
      <c r="I294" s="5" t="s">
        <v>703</v>
      </c>
      <c r="J294" s="5" t="s">
        <v>572</v>
      </c>
      <c r="K294" s="5" t="s">
        <v>224</v>
      </c>
      <c r="L294" s="3" t="s">
        <v>139</v>
      </c>
      <c r="M294" s="3" t="s">
        <v>894</v>
      </c>
      <c r="N294" s="5" t="s">
        <v>905</v>
      </c>
      <c r="O294" s="5" t="s">
        <v>141</v>
      </c>
      <c r="P294" s="5" t="s">
        <v>664</v>
      </c>
      <c r="Q294" s="154">
        <v>77</v>
      </c>
      <c r="R294" s="166">
        <v>3.306</v>
      </c>
      <c r="S294" s="168">
        <v>50274</v>
      </c>
      <c r="U294" s="154">
        <v>127.97799999999999</v>
      </c>
      <c r="V294" s="165">
        <v>0</v>
      </c>
      <c r="W294" s="165">
        <v>7.2276090463504498E-3</v>
      </c>
      <c r="X294" s="165">
        <v>2.3891860914374398E-3</v>
      </c>
    </row>
    <row r="295" spans="1:24">
      <c r="A295" s="5">
        <v>12904</v>
      </c>
      <c r="B295" s="5">
        <v>13680</v>
      </c>
      <c r="C295" s="5" t="s">
        <v>906</v>
      </c>
      <c r="D295" s="5" t="s">
        <v>907</v>
      </c>
      <c r="E295" s="5" t="s">
        <v>651</v>
      </c>
      <c r="F295" s="5" t="s">
        <v>908</v>
      </c>
      <c r="G295" s="5" t="s">
        <v>909</v>
      </c>
      <c r="H295" s="5" t="s">
        <v>137</v>
      </c>
      <c r="I295" s="5" t="s">
        <v>703</v>
      </c>
      <c r="J295" s="5" t="s">
        <v>572</v>
      </c>
      <c r="K295" s="5" t="s">
        <v>224</v>
      </c>
      <c r="L295" s="3" t="s">
        <v>139</v>
      </c>
      <c r="M295" s="3" t="s">
        <v>894</v>
      </c>
      <c r="N295" s="5" t="s">
        <v>655</v>
      </c>
      <c r="O295" s="5" t="s">
        <v>141</v>
      </c>
      <c r="P295" s="5" t="s">
        <v>664</v>
      </c>
      <c r="Q295" s="154">
        <v>245</v>
      </c>
      <c r="R295" s="166">
        <v>3.306</v>
      </c>
      <c r="S295" s="168">
        <v>14008</v>
      </c>
      <c r="U295" s="154">
        <v>113.461</v>
      </c>
      <c r="V295" s="165">
        <v>9.9999999999999995E-7</v>
      </c>
      <c r="W295" s="165">
        <v>6.4077078758308101E-3</v>
      </c>
      <c r="X295" s="165">
        <v>2.1181564244484698E-3</v>
      </c>
    </row>
    <row r="296" spans="1:24">
      <c r="A296" s="5">
        <v>12904</v>
      </c>
      <c r="B296" s="5">
        <v>13680</v>
      </c>
      <c r="C296" s="5" t="s">
        <v>915</v>
      </c>
      <c r="D296" s="5" t="s">
        <v>916</v>
      </c>
      <c r="E296" s="5" t="s">
        <v>651</v>
      </c>
      <c r="F296" s="5" t="s">
        <v>915</v>
      </c>
      <c r="G296" s="5" t="s">
        <v>917</v>
      </c>
      <c r="H296" s="5" t="s">
        <v>137</v>
      </c>
      <c r="I296" s="5" t="s">
        <v>703</v>
      </c>
      <c r="J296" s="5" t="s">
        <v>572</v>
      </c>
      <c r="K296" s="5" t="s">
        <v>797</v>
      </c>
      <c r="L296" s="3" t="s">
        <v>139</v>
      </c>
      <c r="M296" s="3" t="s">
        <v>894</v>
      </c>
      <c r="N296" s="5" t="s">
        <v>918</v>
      </c>
      <c r="O296" s="5" t="s">
        <v>141</v>
      </c>
      <c r="P296" s="5" t="s">
        <v>664</v>
      </c>
      <c r="Q296" s="154">
        <v>46</v>
      </c>
      <c r="R296" s="166">
        <v>3.306</v>
      </c>
      <c r="S296" s="168">
        <v>92563</v>
      </c>
      <c r="U296" s="154">
        <v>140.76599999999999</v>
      </c>
      <c r="V296" s="165">
        <v>0</v>
      </c>
      <c r="W296" s="165">
        <v>7.9497915328512799E-3</v>
      </c>
      <c r="X296" s="165">
        <v>2.6279134964703201E-3</v>
      </c>
    </row>
    <row r="297" spans="1:24">
      <c r="A297" s="5">
        <v>12904</v>
      </c>
      <c r="B297" s="5">
        <v>13680</v>
      </c>
      <c r="C297" s="5" t="s">
        <v>919</v>
      </c>
      <c r="D297" s="5" t="s">
        <v>920</v>
      </c>
      <c r="E297" s="5" t="s">
        <v>651</v>
      </c>
      <c r="F297" s="5" t="s">
        <v>921</v>
      </c>
      <c r="G297" s="5" t="s">
        <v>922</v>
      </c>
      <c r="H297" s="5" t="s">
        <v>137</v>
      </c>
      <c r="I297" s="5" t="s">
        <v>703</v>
      </c>
      <c r="J297" s="5" t="s">
        <v>572</v>
      </c>
      <c r="K297" s="5" t="s">
        <v>224</v>
      </c>
      <c r="L297" s="3" t="s">
        <v>139</v>
      </c>
      <c r="M297" s="3" t="s">
        <v>914</v>
      </c>
      <c r="N297" s="5" t="s">
        <v>655</v>
      </c>
      <c r="O297" s="5" t="s">
        <v>141</v>
      </c>
      <c r="P297" s="5" t="s">
        <v>664</v>
      </c>
      <c r="Q297" s="154">
        <v>99</v>
      </c>
      <c r="R297" s="166">
        <v>3.306</v>
      </c>
      <c r="S297" s="168">
        <v>76300</v>
      </c>
      <c r="U297" s="154">
        <v>249.72499999999999</v>
      </c>
      <c r="V297" s="165">
        <v>0</v>
      </c>
      <c r="W297" s="165">
        <v>1.4103282958328E-2</v>
      </c>
      <c r="X297" s="165">
        <v>4.66203515873041E-3</v>
      </c>
    </row>
    <row r="298" spans="1:24">
      <c r="A298" s="5">
        <v>12904</v>
      </c>
      <c r="B298" s="5">
        <v>13680</v>
      </c>
      <c r="C298" s="5" t="s">
        <v>923</v>
      </c>
      <c r="D298" s="5" t="s">
        <v>924</v>
      </c>
      <c r="E298" s="5" t="s">
        <v>651</v>
      </c>
      <c r="F298" s="5" t="s">
        <v>925</v>
      </c>
      <c r="G298" s="5" t="s">
        <v>926</v>
      </c>
      <c r="H298" s="5" t="s">
        <v>137</v>
      </c>
      <c r="I298" s="5" t="s">
        <v>703</v>
      </c>
      <c r="J298" s="5" t="s">
        <v>572</v>
      </c>
      <c r="K298" s="5" t="s">
        <v>224</v>
      </c>
      <c r="L298" s="3" t="s">
        <v>139</v>
      </c>
      <c r="M298" s="3" t="s">
        <v>894</v>
      </c>
      <c r="N298" s="5" t="s">
        <v>927</v>
      </c>
      <c r="O298" s="5" t="s">
        <v>141</v>
      </c>
      <c r="P298" s="5" t="s">
        <v>664</v>
      </c>
      <c r="Q298" s="154">
        <v>1521</v>
      </c>
      <c r="R298" s="166">
        <v>3.306</v>
      </c>
      <c r="S298" s="168">
        <v>5797</v>
      </c>
      <c r="U298" s="154">
        <v>291.49799999999999</v>
      </c>
      <c r="V298" s="165">
        <v>3.9999999999999998E-6</v>
      </c>
      <c r="W298" s="165">
        <v>1.6462394365891999E-2</v>
      </c>
      <c r="X298" s="165">
        <v>5.4418720490433297E-3</v>
      </c>
    </row>
    <row r="299" spans="1:24">
      <c r="A299" s="5">
        <v>12904</v>
      </c>
      <c r="B299" s="5">
        <v>13680</v>
      </c>
      <c r="C299" s="5" t="s">
        <v>928</v>
      </c>
      <c r="D299" s="5" t="s">
        <v>929</v>
      </c>
      <c r="E299" s="5" t="s">
        <v>651</v>
      </c>
      <c r="F299" s="5" t="s">
        <v>930</v>
      </c>
      <c r="G299" s="5" t="s">
        <v>931</v>
      </c>
      <c r="H299" s="5" t="s">
        <v>137</v>
      </c>
      <c r="I299" s="5" t="s">
        <v>703</v>
      </c>
      <c r="J299" s="5" t="s">
        <v>572</v>
      </c>
      <c r="K299" s="5" t="s">
        <v>224</v>
      </c>
      <c r="L299" s="3" t="s">
        <v>139</v>
      </c>
      <c r="M299" s="3" t="s">
        <v>894</v>
      </c>
      <c r="N299" s="5" t="s">
        <v>932</v>
      </c>
      <c r="O299" s="5" t="s">
        <v>141</v>
      </c>
      <c r="P299" s="5" t="s">
        <v>664</v>
      </c>
      <c r="Q299" s="154">
        <v>466</v>
      </c>
      <c r="R299" s="166">
        <v>3.306</v>
      </c>
      <c r="S299" s="168">
        <v>24355</v>
      </c>
      <c r="U299" s="154">
        <v>375.21199999999999</v>
      </c>
      <c r="V299" s="165">
        <v>0</v>
      </c>
      <c r="W299" s="165">
        <v>2.1190174709842299E-2</v>
      </c>
      <c r="X299" s="165">
        <v>7.0047052029534804E-3</v>
      </c>
    </row>
    <row r="300" spans="1:24">
      <c r="A300" s="5">
        <v>12904</v>
      </c>
      <c r="B300" s="5">
        <v>13680</v>
      </c>
      <c r="C300" s="5" t="s">
        <v>933</v>
      </c>
      <c r="D300" s="5" t="s">
        <v>934</v>
      </c>
      <c r="E300" s="5" t="s">
        <v>651</v>
      </c>
      <c r="F300" s="5" t="s">
        <v>935</v>
      </c>
      <c r="G300" s="5" t="s">
        <v>936</v>
      </c>
      <c r="H300" s="5" t="s">
        <v>137</v>
      </c>
      <c r="I300" s="5" t="s">
        <v>703</v>
      </c>
      <c r="J300" s="5" t="s">
        <v>572</v>
      </c>
      <c r="K300" s="5" t="s">
        <v>224</v>
      </c>
      <c r="L300" s="3" t="s">
        <v>139</v>
      </c>
      <c r="M300" s="3" t="s">
        <v>894</v>
      </c>
      <c r="N300" s="5" t="s">
        <v>937</v>
      </c>
      <c r="O300" s="5" t="s">
        <v>141</v>
      </c>
      <c r="P300" s="5" t="s">
        <v>664</v>
      </c>
      <c r="Q300" s="154">
        <v>2275</v>
      </c>
      <c r="R300" s="166">
        <v>3.306</v>
      </c>
      <c r="S300" s="168">
        <v>3355</v>
      </c>
      <c r="U300" s="154">
        <v>252.33500000000001</v>
      </c>
      <c r="V300" s="165">
        <v>9.9999999999999995E-7</v>
      </c>
      <c r="W300" s="165">
        <v>1.4250641419411399E-2</v>
      </c>
      <c r="X300" s="165">
        <v>4.7107465352614897E-3</v>
      </c>
    </row>
    <row r="301" spans="1:24">
      <c r="A301" s="5">
        <v>12904</v>
      </c>
      <c r="B301" s="5">
        <v>13680</v>
      </c>
      <c r="C301" s="5" t="s">
        <v>938</v>
      </c>
      <c r="D301" s="5" t="s">
        <v>939</v>
      </c>
      <c r="E301" s="5" t="s">
        <v>651</v>
      </c>
      <c r="F301" s="5" t="s">
        <v>940</v>
      </c>
      <c r="G301" s="5" t="s">
        <v>941</v>
      </c>
      <c r="H301" s="5" t="s">
        <v>137</v>
      </c>
      <c r="I301" s="5" t="s">
        <v>703</v>
      </c>
      <c r="J301" s="5" t="s">
        <v>572</v>
      </c>
      <c r="K301" s="5" t="s">
        <v>942</v>
      </c>
      <c r="L301" s="3" t="s">
        <v>139</v>
      </c>
      <c r="M301" s="3" t="s">
        <v>498</v>
      </c>
      <c r="N301" s="5" t="s">
        <v>943</v>
      </c>
      <c r="O301" s="5" t="s">
        <v>141</v>
      </c>
      <c r="P301" s="5" t="s">
        <v>664</v>
      </c>
      <c r="Q301" s="154">
        <v>150.97999999999999</v>
      </c>
      <c r="R301" s="166">
        <v>3.306</v>
      </c>
      <c r="S301" s="168">
        <v>18175.669999999998</v>
      </c>
      <c r="U301" s="154">
        <v>90.721999999999994</v>
      </c>
      <c r="V301" s="165">
        <v>0</v>
      </c>
      <c r="W301" s="165">
        <v>5.1235424268513104E-3</v>
      </c>
      <c r="X301" s="165">
        <v>1.6936577817949099E-3</v>
      </c>
    </row>
    <row r="302" spans="1:24">
      <c r="A302" s="5">
        <v>12904</v>
      </c>
      <c r="B302" s="5">
        <v>13680</v>
      </c>
      <c r="C302" s="5" t="s">
        <v>944</v>
      </c>
      <c r="D302" s="5" t="s">
        <v>945</v>
      </c>
      <c r="E302" s="5" t="s">
        <v>651</v>
      </c>
      <c r="F302" s="5" t="s">
        <v>946</v>
      </c>
      <c r="G302" s="5" t="s">
        <v>947</v>
      </c>
      <c r="H302" s="5" t="s">
        <v>137</v>
      </c>
      <c r="I302" s="5" t="s">
        <v>703</v>
      </c>
      <c r="J302" s="5" t="s">
        <v>572</v>
      </c>
      <c r="K302" s="5" t="s">
        <v>224</v>
      </c>
      <c r="L302" s="3" t="s">
        <v>139</v>
      </c>
      <c r="M302" s="3" t="s">
        <v>894</v>
      </c>
      <c r="N302" s="5" t="s">
        <v>937</v>
      </c>
      <c r="O302" s="5" t="s">
        <v>141</v>
      </c>
      <c r="P302" s="5" t="s">
        <v>664</v>
      </c>
      <c r="Q302" s="154">
        <v>615</v>
      </c>
      <c r="R302" s="166">
        <v>3.306</v>
      </c>
      <c r="S302" s="168">
        <v>8407</v>
      </c>
      <c r="U302" s="154">
        <v>170.93</v>
      </c>
      <c r="V302" s="165">
        <v>9.9999999999999995E-7</v>
      </c>
      <c r="W302" s="165">
        <v>9.6533188233392606E-3</v>
      </c>
      <c r="X302" s="165">
        <v>3.1910379934812902E-3</v>
      </c>
    </row>
    <row r="303" spans="1:24">
      <c r="A303" s="5">
        <v>12904</v>
      </c>
      <c r="B303" s="5">
        <v>13680</v>
      </c>
      <c r="C303" s="5" t="s">
        <v>948</v>
      </c>
      <c r="D303" s="5" t="s">
        <v>949</v>
      </c>
      <c r="E303" s="5" t="s">
        <v>651</v>
      </c>
      <c r="F303" s="5" t="s">
        <v>950</v>
      </c>
      <c r="G303" s="5" t="s">
        <v>951</v>
      </c>
      <c r="H303" s="5" t="s">
        <v>137</v>
      </c>
      <c r="I303" s="5" t="s">
        <v>703</v>
      </c>
      <c r="J303" s="5" t="s">
        <v>572</v>
      </c>
      <c r="K303" s="5" t="s">
        <v>224</v>
      </c>
      <c r="L303" s="3" t="s">
        <v>139</v>
      </c>
      <c r="M303" s="3" t="s">
        <v>914</v>
      </c>
      <c r="N303" s="5" t="s">
        <v>952</v>
      </c>
      <c r="O303" s="5" t="s">
        <v>141</v>
      </c>
      <c r="P303" s="5" t="s">
        <v>664</v>
      </c>
      <c r="Q303" s="154">
        <v>80</v>
      </c>
      <c r="R303" s="166">
        <v>3.306</v>
      </c>
      <c r="S303" s="168">
        <v>56881</v>
      </c>
      <c r="U303" s="154">
        <v>150.43899999999999</v>
      </c>
      <c r="V303" s="165">
        <v>0</v>
      </c>
      <c r="W303" s="165">
        <v>8.4960624642509194E-3</v>
      </c>
      <c r="X303" s="165">
        <v>2.8084909050001398E-3</v>
      </c>
    </row>
    <row r="304" spans="1:24">
      <c r="A304" s="5">
        <v>12904</v>
      </c>
      <c r="B304" s="5">
        <v>13680</v>
      </c>
      <c r="C304" s="5" t="s">
        <v>953</v>
      </c>
      <c r="D304" s="5" t="s">
        <v>954</v>
      </c>
      <c r="E304" s="5" t="s">
        <v>651</v>
      </c>
      <c r="F304" s="5" t="s">
        <v>955</v>
      </c>
      <c r="G304" s="5" t="s">
        <v>956</v>
      </c>
      <c r="H304" s="5" t="s">
        <v>137</v>
      </c>
      <c r="I304" s="5" t="s">
        <v>703</v>
      </c>
      <c r="J304" s="5" t="s">
        <v>572</v>
      </c>
      <c r="K304" s="5" t="s">
        <v>957</v>
      </c>
      <c r="L304" s="3" t="s">
        <v>139</v>
      </c>
      <c r="M304" s="3" t="s">
        <v>498</v>
      </c>
      <c r="N304" s="5" t="s">
        <v>958</v>
      </c>
      <c r="O304" s="5" t="s">
        <v>141</v>
      </c>
      <c r="P304" s="5" t="s">
        <v>664</v>
      </c>
      <c r="Q304" s="154">
        <v>31</v>
      </c>
      <c r="R304" s="166">
        <v>3.306</v>
      </c>
      <c r="S304" s="168">
        <v>233694</v>
      </c>
      <c r="U304" s="154">
        <v>239.50399999999999</v>
      </c>
      <c r="V304" s="165">
        <v>9.9999999999999995E-7</v>
      </c>
      <c r="W304" s="165">
        <v>1.35260112047829E-2</v>
      </c>
      <c r="X304" s="165">
        <v>4.4712099998563204E-3</v>
      </c>
    </row>
    <row r="305" spans="1:24">
      <c r="A305" s="5">
        <v>12904</v>
      </c>
      <c r="B305" s="5">
        <v>13680</v>
      </c>
      <c r="C305" s="5" t="s">
        <v>959</v>
      </c>
      <c r="D305" s="5" t="s">
        <v>960</v>
      </c>
      <c r="E305" s="5" t="s">
        <v>651</v>
      </c>
      <c r="F305" s="5" t="s">
        <v>961</v>
      </c>
      <c r="G305" s="5" t="s">
        <v>962</v>
      </c>
      <c r="H305" s="5" t="s">
        <v>137</v>
      </c>
      <c r="I305" s="5" t="s">
        <v>703</v>
      </c>
      <c r="J305" s="5" t="s">
        <v>572</v>
      </c>
      <c r="K305" s="5" t="s">
        <v>224</v>
      </c>
      <c r="L305" s="3" t="s">
        <v>139</v>
      </c>
      <c r="M305" s="3" t="s">
        <v>894</v>
      </c>
      <c r="N305" s="5" t="s">
        <v>963</v>
      </c>
      <c r="O305" s="5" t="s">
        <v>141</v>
      </c>
      <c r="P305" s="5" t="s">
        <v>664</v>
      </c>
      <c r="Q305" s="154">
        <v>221</v>
      </c>
      <c r="R305" s="166">
        <v>3.306</v>
      </c>
      <c r="S305" s="168">
        <v>51795</v>
      </c>
      <c r="U305" s="154">
        <v>378.428</v>
      </c>
      <c r="V305" s="165">
        <v>0</v>
      </c>
      <c r="W305" s="165">
        <v>2.13717752257407E-2</v>
      </c>
      <c r="X305" s="165">
        <v>7.0647357640975404E-3</v>
      </c>
    </row>
    <row r="306" spans="1:24">
      <c r="A306" s="5">
        <v>12904</v>
      </c>
      <c r="B306" s="5">
        <v>13680</v>
      </c>
      <c r="C306" s="5" t="s">
        <v>964</v>
      </c>
      <c r="D306" s="5" t="s">
        <v>965</v>
      </c>
      <c r="E306" s="5" t="s">
        <v>651</v>
      </c>
      <c r="F306" s="5" t="s">
        <v>964</v>
      </c>
      <c r="G306" s="5" t="s">
        <v>966</v>
      </c>
      <c r="H306" s="5" t="s">
        <v>137</v>
      </c>
      <c r="I306" s="5" t="s">
        <v>703</v>
      </c>
      <c r="J306" s="5" t="s">
        <v>572</v>
      </c>
      <c r="K306" s="5" t="s">
        <v>224</v>
      </c>
      <c r="L306" s="3" t="s">
        <v>139</v>
      </c>
      <c r="M306" s="3" t="s">
        <v>894</v>
      </c>
      <c r="N306" s="5" t="s">
        <v>655</v>
      </c>
      <c r="O306" s="5" t="s">
        <v>141</v>
      </c>
      <c r="P306" s="5" t="s">
        <v>664</v>
      </c>
      <c r="Q306" s="154">
        <v>676</v>
      </c>
      <c r="R306" s="166">
        <v>3.306</v>
      </c>
      <c r="S306" s="168">
        <v>2583</v>
      </c>
      <c r="U306" s="154">
        <v>57.725999999999999</v>
      </c>
      <c r="V306" s="165">
        <v>1.9999999999999999E-6</v>
      </c>
      <c r="W306" s="165">
        <v>3.2601050081152399E-3</v>
      </c>
      <c r="X306" s="165">
        <v>1.0776727811457199E-3</v>
      </c>
    </row>
    <row r="307" spans="1:24">
      <c r="A307" s="5">
        <v>12904</v>
      </c>
      <c r="B307" s="5">
        <v>13680</v>
      </c>
      <c r="C307" s="5" t="s">
        <v>967</v>
      </c>
      <c r="D307" s="5" t="s">
        <v>968</v>
      </c>
      <c r="E307" s="5" t="s">
        <v>121</v>
      </c>
      <c r="F307" s="5" t="s">
        <v>969</v>
      </c>
      <c r="G307" s="5" t="s">
        <v>970</v>
      </c>
      <c r="H307" s="5" t="s">
        <v>137</v>
      </c>
      <c r="I307" s="5" t="s">
        <v>703</v>
      </c>
      <c r="J307" s="5" t="s">
        <v>572</v>
      </c>
      <c r="K307" s="5" t="s">
        <v>224</v>
      </c>
      <c r="L307" s="3" t="s">
        <v>139</v>
      </c>
      <c r="M307" s="3" t="s">
        <v>498</v>
      </c>
      <c r="N307" s="5" t="s">
        <v>971</v>
      </c>
      <c r="O307" s="5" t="s">
        <v>141</v>
      </c>
      <c r="P307" s="5" t="s">
        <v>664</v>
      </c>
      <c r="Q307" s="154">
        <v>318</v>
      </c>
      <c r="R307" s="166">
        <v>3.306</v>
      </c>
      <c r="S307" s="168">
        <v>14216</v>
      </c>
      <c r="U307" s="154">
        <v>149.45400000000001</v>
      </c>
      <c r="V307" s="165">
        <v>0</v>
      </c>
      <c r="W307" s="165">
        <v>8.4404387294064794E-3</v>
      </c>
      <c r="X307" s="165">
        <v>2.79010371045324E-3</v>
      </c>
    </row>
    <row r="308" spans="1:24">
      <c r="A308" s="5">
        <v>12904</v>
      </c>
      <c r="B308" s="5">
        <v>13680</v>
      </c>
      <c r="C308" s="5" t="s">
        <v>972</v>
      </c>
      <c r="D308" s="5" t="s">
        <v>973</v>
      </c>
      <c r="E308" s="5" t="s">
        <v>651</v>
      </c>
      <c r="F308" s="5" t="s">
        <v>972</v>
      </c>
      <c r="G308" s="5" t="s">
        <v>974</v>
      </c>
      <c r="H308" s="5" t="s">
        <v>137</v>
      </c>
      <c r="I308" s="5" t="s">
        <v>703</v>
      </c>
      <c r="J308" s="5" t="s">
        <v>572</v>
      </c>
      <c r="K308" s="5" t="s">
        <v>224</v>
      </c>
      <c r="L308" s="3" t="s">
        <v>139</v>
      </c>
      <c r="M308" s="3" t="s">
        <v>914</v>
      </c>
      <c r="N308" s="5" t="s">
        <v>900</v>
      </c>
      <c r="O308" s="5" t="s">
        <v>141</v>
      </c>
      <c r="P308" s="5" t="s">
        <v>664</v>
      </c>
      <c r="Q308" s="154">
        <v>1098</v>
      </c>
      <c r="R308" s="166">
        <v>3.306</v>
      </c>
      <c r="S308" s="168">
        <v>6973</v>
      </c>
      <c r="T308" s="153">
        <v>0.439</v>
      </c>
      <c r="U308" s="154">
        <v>254.571</v>
      </c>
      <c r="V308" s="165">
        <v>9.9999999999999995E-7</v>
      </c>
      <c r="W308" s="165">
        <v>1.4376946804699101E-2</v>
      </c>
      <c r="X308" s="165">
        <v>4.75249852653106E-3</v>
      </c>
    </row>
    <row r="309" spans="1:24">
      <c r="A309" s="5">
        <v>12904</v>
      </c>
      <c r="B309" s="5">
        <v>13680</v>
      </c>
      <c r="C309" s="5" t="s">
        <v>975</v>
      </c>
      <c r="D309" s="5" t="s">
        <v>976</v>
      </c>
      <c r="E309" s="5" t="s">
        <v>651</v>
      </c>
      <c r="F309" s="5" t="s">
        <v>977</v>
      </c>
      <c r="G309" s="5" t="s">
        <v>978</v>
      </c>
      <c r="H309" s="5" t="s">
        <v>137</v>
      </c>
      <c r="I309" s="5" t="s">
        <v>703</v>
      </c>
      <c r="J309" s="5" t="s">
        <v>572</v>
      </c>
      <c r="K309" s="5" t="s">
        <v>224</v>
      </c>
      <c r="L309" s="3" t="s">
        <v>139</v>
      </c>
      <c r="M309" s="3" t="s">
        <v>914</v>
      </c>
      <c r="N309" s="5" t="s">
        <v>979</v>
      </c>
      <c r="O309" s="5" t="s">
        <v>141</v>
      </c>
      <c r="P309" s="5" t="s">
        <v>664</v>
      </c>
      <c r="Q309" s="154">
        <v>89</v>
      </c>
      <c r="R309" s="166">
        <v>3.306</v>
      </c>
      <c r="S309" s="168">
        <v>60932</v>
      </c>
      <c r="U309" s="154">
        <v>179.28299999999999</v>
      </c>
      <c r="V309" s="165">
        <v>9.9999999999999995E-7</v>
      </c>
      <c r="W309" s="165">
        <v>1.0125020865575599E-2</v>
      </c>
      <c r="X309" s="165">
        <v>3.3469656247887502E-3</v>
      </c>
    </row>
    <row r="310" spans="1:24">
      <c r="A310" s="5">
        <v>12904</v>
      </c>
      <c r="B310" s="5">
        <v>13680</v>
      </c>
      <c r="C310" s="5" t="s">
        <v>980</v>
      </c>
      <c r="D310" s="5" t="s">
        <v>981</v>
      </c>
      <c r="E310" s="5" t="s">
        <v>651</v>
      </c>
      <c r="F310" s="5" t="s">
        <v>982</v>
      </c>
      <c r="G310" s="5" t="s">
        <v>983</v>
      </c>
      <c r="H310" s="5" t="s">
        <v>137</v>
      </c>
      <c r="I310" s="5" t="s">
        <v>703</v>
      </c>
      <c r="J310" s="5" t="s">
        <v>572</v>
      </c>
      <c r="K310" s="5" t="s">
        <v>224</v>
      </c>
      <c r="L310" s="3" t="s">
        <v>139</v>
      </c>
      <c r="M310" s="3" t="s">
        <v>894</v>
      </c>
      <c r="N310" s="5" t="s">
        <v>937</v>
      </c>
      <c r="O310" s="5" t="s">
        <v>141</v>
      </c>
      <c r="P310" s="5" t="s">
        <v>664</v>
      </c>
      <c r="Q310" s="154">
        <v>593</v>
      </c>
      <c r="R310" s="166">
        <v>3.306</v>
      </c>
      <c r="S310" s="168">
        <v>18658</v>
      </c>
      <c r="T310" s="153">
        <v>6.0000000000000001E-3</v>
      </c>
      <c r="U310" s="154">
        <v>365.80200000000002</v>
      </c>
      <c r="V310" s="165">
        <v>0</v>
      </c>
      <c r="W310" s="165">
        <v>2.0658726443283201E-2</v>
      </c>
      <c r="X310" s="165">
        <v>6.8290276312089598E-3</v>
      </c>
    </row>
    <row r="311" spans="1:24">
      <c r="A311" s="5">
        <v>12904</v>
      </c>
      <c r="B311" s="5">
        <v>13680</v>
      </c>
      <c r="C311" s="5" t="s">
        <v>984</v>
      </c>
      <c r="D311" s="5" t="s">
        <v>985</v>
      </c>
      <c r="E311" s="5" t="s">
        <v>651</v>
      </c>
      <c r="F311" s="5" t="s">
        <v>984</v>
      </c>
      <c r="G311" s="5" t="s">
        <v>986</v>
      </c>
      <c r="H311" s="5" t="s">
        <v>137</v>
      </c>
      <c r="I311" s="5" t="s">
        <v>703</v>
      </c>
      <c r="J311" s="5" t="s">
        <v>572</v>
      </c>
      <c r="K311" s="5" t="s">
        <v>224</v>
      </c>
      <c r="L311" s="3" t="s">
        <v>139</v>
      </c>
      <c r="M311" s="3" t="s">
        <v>914</v>
      </c>
      <c r="N311" s="5" t="s">
        <v>987</v>
      </c>
      <c r="O311" s="5" t="s">
        <v>141</v>
      </c>
      <c r="P311" s="5" t="s">
        <v>664</v>
      </c>
      <c r="Q311" s="154">
        <v>253</v>
      </c>
      <c r="R311" s="166">
        <v>3.306</v>
      </c>
      <c r="S311" s="168">
        <v>28124</v>
      </c>
      <c r="U311" s="154">
        <v>235.23400000000001</v>
      </c>
      <c r="V311" s="165">
        <v>0</v>
      </c>
      <c r="W311" s="165">
        <v>1.32848941141115E-2</v>
      </c>
      <c r="X311" s="165">
        <v>4.3915054121087599E-3</v>
      </c>
    </row>
    <row r="312" spans="1:24">
      <c r="A312" s="5">
        <v>12904</v>
      </c>
      <c r="B312" s="5">
        <v>13680</v>
      </c>
      <c r="C312" s="5" t="s">
        <v>991</v>
      </c>
      <c r="D312" s="5" t="s">
        <v>992</v>
      </c>
      <c r="E312" s="5" t="s">
        <v>651</v>
      </c>
      <c r="F312" s="5" t="s">
        <v>993</v>
      </c>
      <c r="G312" s="5" t="s">
        <v>994</v>
      </c>
      <c r="H312" s="5" t="s">
        <v>137</v>
      </c>
      <c r="I312" s="5" t="s">
        <v>703</v>
      </c>
      <c r="J312" s="5" t="s">
        <v>572</v>
      </c>
      <c r="K312" s="5" t="s">
        <v>224</v>
      </c>
      <c r="L312" s="3" t="s">
        <v>139</v>
      </c>
      <c r="M312" s="3" t="s">
        <v>914</v>
      </c>
      <c r="N312" s="5" t="s">
        <v>995</v>
      </c>
      <c r="O312" s="5" t="s">
        <v>141</v>
      </c>
      <c r="P312" s="5" t="s">
        <v>664</v>
      </c>
      <c r="Q312" s="154">
        <v>360</v>
      </c>
      <c r="R312" s="166">
        <v>3.306</v>
      </c>
      <c r="S312" s="168">
        <v>11452</v>
      </c>
      <c r="U312" s="154">
        <v>136.297</v>
      </c>
      <c r="V312" s="165">
        <v>0</v>
      </c>
      <c r="W312" s="165">
        <v>7.6974048106170298E-3</v>
      </c>
      <c r="X312" s="165">
        <v>2.5444835762078199E-3</v>
      </c>
    </row>
    <row r="313" spans="1:24">
      <c r="A313" s="5">
        <v>12904</v>
      </c>
      <c r="B313" s="5">
        <v>13680</v>
      </c>
      <c r="C313" s="5" t="s">
        <v>996</v>
      </c>
      <c r="D313" s="5" t="s">
        <v>997</v>
      </c>
      <c r="E313" s="5" t="s">
        <v>651</v>
      </c>
      <c r="F313" s="5" t="s">
        <v>998</v>
      </c>
      <c r="G313" s="5" t="s">
        <v>999</v>
      </c>
      <c r="H313" s="5" t="s">
        <v>137</v>
      </c>
      <c r="I313" s="5" t="s">
        <v>703</v>
      </c>
      <c r="J313" s="5" t="s">
        <v>572</v>
      </c>
      <c r="K313" s="5" t="s">
        <v>1000</v>
      </c>
      <c r="L313" s="3" t="s">
        <v>139</v>
      </c>
      <c r="M313" s="3" t="s">
        <v>914</v>
      </c>
      <c r="N313" s="5" t="s">
        <v>937</v>
      </c>
      <c r="O313" s="5" t="s">
        <v>141</v>
      </c>
      <c r="P313" s="5" t="s">
        <v>664</v>
      </c>
      <c r="Q313" s="154">
        <v>523</v>
      </c>
      <c r="R313" s="166">
        <v>3.306</v>
      </c>
      <c r="S313" s="168">
        <v>27929</v>
      </c>
      <c r="T313" s="153">
        <v>0.33700000000000002</v>
      </c>
      <c r="U313" s="154">
        <v>484.017</v>
      </c>
      <c r="V313" s="165">
        <v>0</v>
      </c>
      <c r="W313" s="165">
        <v>2.7334964049629599E-2</v>
      </c>
      <c r="X313" s="165">
        <v>9.0359502704832097E-3</v>
      </c>
    </row>
    <row r="314" spans="1:24">
      <c r="A314" s="5">
        <v>12904</v>
      </c>
      <c r="B314" s="5">
        <v>13680</v>
      </c>
      <c r="C314" s="5" t="s">
        <v>1001</v>
      </c>
      <c r="E314" s="5" t="s">
        <v>498</v>
      </c>
      <c r="F314" s="5" t="s">
        <v>1002</v>
      </c>
      <c r="G314" s="5" t="s">
        <v>886</v>
      </c>
      <c r="H314" s="5" t="s">
        <v>137</v>
      </c>
      <c r="I314" s="5" t="s">
        <v>703</v>
      </c>
      <c r="J314" s="5" t="s">
        <v>572</v>
      </c>
      <c r="K314" s="5" t="s">
        <v>224</v>
      </c>
      <c r="L314" s="3" t="s">
        <v>139</v>
      </c>
      <c r="M314" s="3" t="s">
        <v>498</v>
      </c>
      <c r="N314" s="5" t="s">
        <v>927</v>
      </c>
      <c r="O314" s="5" t="s">
        <v>141</v>
      </c>
      <c r="P314" s="5" t="s">
        <v>664</v>
      </c>
      <c r="Q314" s="154">
        <v>850</v>
      </c>
      <c r="R314" s="166">
        <v>3.306</v>
      </c>
      <c r="S314" s="168">
        <v>4403</v>
      </c>
      <c r="U314" s="154">
        <v>123.729</v>
      </c>
      <c r="V314" s="165">
        <v>0</v>
      </c>
      <c r="W314" s="165">
        <v>6.9876009949680698E-3</v>
      </c>
      <c r="X314" s="165">
        <v>2.3098481119592398E-3</v>
      </c>
    </row>
    <row r="315" spans="1:24">
      <c r="A315" s="5">
        <v>12904</v>
      </c>
      <c r="B315" s="5">
        <v>13680</v>
      </c>
      <c r="C315" s="5" t="s">
        <v>1003</v>
      </c>
      <c r="D315" s="5" t="s">
        <v>1004</v>
      </c>
      <c r="E315" s="5" t="s">
        <v>651</v>
      </c>
      <c r="F315" s="5" t="s">
        <v>1005</v>
      </c>
      <c r="G315" s="5" t="s">
        <v>1006</v>
      </c>
      <c r="H315" s="5" t="s">
        <v>137</v>
      </c>
      <c r="I315" s="5" t="s">
        <v>703</v>
      </c>
      <c r="J315" s="5" t="s">
        <v>572</v>
      </c>
      <c r="K315" s="5" t="s">
        <v>224</v>
      </c>
      <c r="L315" s="3" t="s">
        <v>139</v>
      </c>
      <c r="M315" s="3" t="s">
        <v>914</v>
      </c>
      <c r="N315" s="5" t="s">
        <v>663</v>
      </c>
      <c r="O315" s="5" t="s">
        <v>141</v>
      </c>
      <c r="P315" s="5" t="s">
        <v>664</v>
      </c>
      <c r="Q315" s="154">
        <v>507</v>
      </c>
      <c r="R315" s="166">
        <v>3.306</v>
      </c>
      <c r="S315" s="168">
        <v>9797</v>
      </c>
      <c r="U315" s="154">
        <v>164.21199999999999</v>
      </c>
      <c r="V315" s="165">
        <v>0</v>
      </c>
      <c r="W315" s="165">
        <v>9.2738817550827597E-3</v>
      </c>
      <c r="X315" s="165">
        <v>3.06560982487939E-3</v>
      </c>
    </row>
    <row r="316" spans="1:24">
      <c r="A316" s="5">
        <v>12904</v>
      </c>
      <c r="B316" s="5">
        <v>13680</v>
      </c>
      <c r="C316" s="5" t="s">
        <v>1007</v>
      </c>
      <c r="D316" s="5" t="s">
        <v>1008</v>
      </c>
      <c r="E316" s="5" t="s">
        <v>651</v>
      </c>
      <c r="F316" s="5" t="s">
        <v>1009</v>
      </c>
      <c r="G316" s="5" t="s">
        <v>1010</v>
      </c>
      <c r="H316" s="5" t="s">
        <v>137</v>
      </c>
      <c r="I316" s="5" t="s">
        <v>703</v>
      </c>
      <c r="J316" s="5" t="s">
        <v>572</v>
      </c>
      <c r="K316" s="5" t="s">
        <v>224</v>
      </c>
      <c r="L316" s="3" t="s">
        <v>139</v>
      </c>
      <c r="M316" s="3" t="s">
        <v>914</v>
      </c>
      <c r="N316" s="5" t="s">
        <v>905</v>
      </c>
      <c r="O316" s="5" t="s">
        <v>141</v>
      </c>
      <c r="P316" s="5" t="s">
        <v>664</v>
      </c>
      <c r="Q316" s="154">
        <v>152</v>
      </c>
      <c r="R316" s="166">
        <v>3.306</v>
      </c>
      <c r="S316" s="168">
        <v>34138</v>
      </c>
      <c r="U316" s="154">
        <v>171.548</v>
      </c>
      <c r="V316" s="165">
        <v>0</v>
      </c>
      <c r="W316" s="165">
        <v>9.6881788781620608E-3</v>
      </c>
      <c r="X316" s="165">
        <v>3.2025614665406698E-3</v>
      </c>
    </row>
    <row r="317" spans="1:24">
      <c r="A317" s="5">
        <v>424</v>
      </c>
      <c r="B317" s="5">
        <v>7228</v>
      </c>
      <c r="C317" s="5" t="s">
        <v>1029</v>
      </c>
      <c r="D317" s="5" t="s">
        <v>1030</v>
      </c>
      <c r="E317" s="5" t="s">
        <v>134</v>
      </c>
      <c r="F317" s="5" t="s">
        <v>1031</v>
      </c>
      <c r="G317" s="5" t="s">
        <v>1032</v>
      </c>
      <c r="H317" s="5" t="s">
        <v>137</v>
      </c>
      <c r="I317" s="5" t="s">
        <v>703</v>
      </c>
      <c r="J317" s="5" t="s">
        <v>30</v>
      </c>
      <c r="K317" s="5" t="s">
        <v>30</v>
      </c>
      <c r="L317" s="3" t="s">
        <v>139</v>
      </c>
      <c r="M317" s="3" t="s">
        <v>31</v>
      </c>
      <c r="N317" s="5" t="s">
        <v>186</v>
      </c>
      <c r="O317" s="5" t="s">
        <v>141</v>
      </c>
      <c r="P317" s="5" t="s">
        <v>34</v>
      </c>
      <c r="Q317" s="154">
        <v>2469</v>
      </c>
      <c r="R317" s="166">
        <v>1</v>
      </c>
      <c r="S317" s="168">
        <v>27000</v>
      </c>
      <c r="U317" s="154">
        <v>666.63</v>
      </c>
      <c r="V317" s="165">
        <v>1.2569E-2</v>
      </c>
      <c r="W317" s="165">
        <v>1.3603934384069801E-3</v>
      </c>
      <c r="X317" s="165">
        <v>2.6086461293400599E-4</v>
      </c>
    </row>
    <row r="318" spans="1:24">
      <c r="A318" s="5">
        <v>424</v>
      </c>
      <c r="B318" s="5">
        <v>7228</v>
      </c>
      <c r="C318" s="5" t="s">
        <v>1029</v>
      </c>
      <c r="D318" s="5" t="s">
        <v>1030</v>
      </c>
      <c r="E318" s="5" t="s">
        <v>134</v>
      </c>
      <c r="F318" s="5" t="s">
        <v>1033</v>
      </c>
      <c r="G318" s="5" t="s">
        <v>1034</v>
      </c>
      <c r="H318" s="5" t="s">
        <v>137</v>
      </c>
      <c r="I318" s="5" t="s">
        <v>703</v>
      </c>
      <c r="J318" s="5" t="s">
        <v>30</v>
      </c>
      <c r="K318" s="5" t="s">
        <v>30</v>
      </c>
      <c r="L318" s="3" t="s">
        <v>139</v>
      </c>
      <c r="M318" s="3" t="s">
        <v>31</v>
      </c>
      <c r="N318" s="5" t="s">
        <v>186</v>
      </c>
      <c r="O318" s="5" t="s">
        <v>141</v>
      </c>
      <c r="P318" s="5" t="s">
        <v>34</v>
      </c>
      <c r="Q318" s="154">
        <v>801</v>
      </c>
      <c r="R318" s="166">
        <v>1</v>
      </c>
      <c r="S318" s="168">
        <v>124360</v>
      </c>
      <c r="U318" s="154">
        <v>996.12400000000002</v>
      </c>
      <c r="V318" s="165">
        <v>7.5523000000000007E-2</v>
      </c>
      <c r="W318" s="165">
        <v>2.0327918174734699E-3</v>
      </c>
      <c r="X318" s="165">
        <v>3.89801535107074E-4</v>
      </c>
    </row>
    <row r="319" spans="1:24">
      <c r="A319" s="5">
        <v>424</v>
      </c>
      <c r="B319" s="5">
        <v>7228</v>
      </c>
      <c r="C319" s="5" t="s">
        <v>147</v>
      </c>
      <c r="D319" s="5" t="s">
        <v>148</v>
      </c>
      <c r="E319" s="5" t="s">
        <v>134</v>
      </c>
      <c r="F319" s="5" t="s">
        <v>701</v>
      </c>
      <c r="G319" s="5" t="s">
        <v>702</v>
      </c>
      <c r="H319" s="5" t="s">
        <v>137</v>
      </c>
      <c r="I319" s="5" t="s">
        <v>703</v>
      </c>
      <c r="J319" s="5" t="s">
        <v>30</v>
      </c>
      <c r="K319" s="5" t="s">
        <v>30</v>
      </c>
      <c r="L319" s="3" t="s">
        <v>139</v>
      </c>
      <c r="M319" s="3" t="s">
        <v>31</v>
      </c>
      <c r="N319" s="5" t="s">
        <v>151</v>
      </c>
      <c r="O319" s="5" t="s">
        <v>141</v>
      </c>
      <c r="P319" s="5" t="s">
        <v>34</v>
      </c>
      <c r="Q319" s="154">
        <v>59941</v>
      </c>
      <c r="R319" s="166">
        <v>1</v>
      </c>
      <c r="S319" s="168">
        <v>5239</v>
      </c>
      <c r="U319" s="154">
        <v>3140.3090000000002</v>
      </c>
      <c r="V319" s="165">
        <v>2.02E-4</v>
      </c>
      <c r="W319" s="165">
        <v>6.4084360808341102E-3</v>
      </c>
      <c r="X319" s="165">
        <v>1.22886082109945E-3</v>
      </c>
    </row>
    <row r="320" spans="1:24">
      <c r="A320" s="5">
        <v>424</v>
      </c>
      <c r="B320" s="5">
        <v>7228</v>
      </c>
      <c r="C320" s="5" t="s">
        <v>704</v>
      </c>
      <c r="D320" s="5" t="s">
        <v>705</v>
      </c>
      <c r="E320" s="5" t="s">
        <v>651</v>
      </c>
      <c r="F320" s="5" t="s">
        <v>706</v>
      </c>
      <c r="G320" s="5" t="s">
        <v>707</v>
      </c>
      <c r="H320" s="5" t="s">
        <v>137</v>
      </c>
      <c r="I320" s="5" t="s">
        <v>703</v>
      </c>
      <c r="J320" s="5" t="s">
        <v>30</v>
      </c>
      <c r="K320" s="5" t="s">
        <v>224</v>
      </c>
      <c r="L320" s="3" t="s">
        <v>139</v>
      </c>
      <c r="M320" s="3" t="s">
        <v>31</v>
      </c>
      <c r="N320" s="5" t="s">
        <v>220</v>
      </c>
      <c r="O320" s="5" t="s">
        <v>141</v>
      </c>
      <c r="P320" s="5" t="s">
        <v>34</v>
      </c>
      <c r="Q320" s="154">
        <v>24586.39</v>
      </c>
      <c r="R320" s="166">
        <v>1</v>
      </c>
      <c r="S320" s="168">
        <v>31800</v>
      </c>
      <c r="U320" s="154">
        <v>7818.4719999999998</v>
      </c>
      <c r="V320" s="165">
        <v>4.3100000000000001E-4</v>
      </c>
      <c r="W320" s="165">
        <v>1.59551745861671E-2</v>
      </c>
      <c r="X320" s="165">
        <v>3.0595122890248799E-3</v>
      </c>
    </row>
    <row r="321" spans="1:24">
      <c r="A321" s="5">
        <v>424</v>
      </c>
      <c r="B321" s="5">
        <v>7228</v>
      </c>
      <c r="C321" s="5" t="s">
        <v>176</v>
      </c>
      <c r="D321" s="5" t="s">
        <v>177</v>
      </c>
      <c r="E321" s="5" t="s">
        <v>134</v>
      </c>
      <c r="F321" s="5" t="s">
        <v>708</v>
      </c>
      <c r="G321" s="5" t="s">
        <v>709</v>
      </c>
      <c r="H321" s="5" t="s">
        <v>137</v>
      </c>
      <c r="I321" s="5" t="s">
        <v>703</v>
      </c>
      <c r="J321" s="5" t="s">
        <v>30</v>
      </c>
      <c r="K321" s="5" t="s">
        <v>30</v>
      </c>
      <c r="L321" s="3" t="s">
        <v>139</v>
      </c>
      <c r="M321" s="3" t="s">
        <v>31</v>
      </c>
      <c r="N321" s="5" t="s">
        <v>140</v>
      </c>
      <c r="O321" s="5" t="s">
        <v>141</v>
      </c>
      <c r="P321" s="5" t="s">
        <v>34</v>
      </c>
      <c r="Q321" s="154">
        <v>386941</v>
      </c>
      <c r="R321" s="166">
        <v>1</v>
      </c>
      <c r="S321" s="168">
        <v>2070</v>
      </c>
      <c r="U321" s="154">
        <v>8009.6790000000001</v>
      </c>
      <c r="V321" s="165">
        <v>2.9399999999999999E-4</v>
      </c>
      <c r="W321" s="165">
        <v>1.6345370516220599E-2</v>
      </c>
      <c r="X321" s="165">
        <v>3.1343349891262799E-3</v>
      </c>
    </row>
    <row r="322" spans="1:24">
      <c r="A322" s="5">
        <v>424</v>
      </c>
      <c r="B322" s="5">
        <v>7228</v>
      </c>
      <c r="C322" s="5" t="s">
        <v>710</v>
      </c>
      <c r="D322" s="5" t="s">
        <v>711</v>
      </c>
      <c r="E322" s="5" t="s">
        <v>134</v>
      </c>
      <c r="F322" s="5" t="s">
        <v>712</v>
      </c>
      <c r="G322" s="5" t="s">
        <v>713</v>
      </c>
      <c r="H322" s="5" t="s">
        <v>137</v>
      </c>
      <c r="I322" s="5" t="s">
        <v>703</v>
      </c>
      <c r="J322" s="5" t="s">
        <v>30</v>
      </c>
      <c r="K322" s="5" t="s">
        <v>30</v>
      </c>
      <c r="L322" s="3" t="s">
        <v>139</v>
      </c>
      <c r="M322" s="3" t="s">
        <v>31</v>
      </c>
      <c r="N322" s="5" t="s">
        <v>170</v>
      </c>
      <c r="O322" s="5" t="s">
        <v>141</v>
      </c>
      <c r="P322" s="5" t="s">
        <v>34</v>
      </c>
      <c r="Q322" s="154">
        <v>28768</v>
      </c>
      <c r="R322" s="166">
        <v>1</v>
      </c>
      <c r="S322" s="168">
        <v>20440</v>
      </c>
      <c r="U322" s="154">
        <v>5880.1790000000001</v>
      </c>
      <c r="V322" s="165">
        <v>1.9469999999999999E-3</v>
      </c>
      <c r="W322" s="165">
        <v>1.1999695783773899E-2</v>
      </c>
      <c r="X322" s="165">
        <v>2.3010225627268402E-3</v>
      </c>
    </row>
    <row r="323" spans="1:24">
      <c r="A323" s="5">
        <v>424</v>
      </c>
      <c r="B323" s="5">
        <v>7228</v>
      </c>
      <c r="C323" s="5" t="s">
        <v>714</v>
      </c>
      <c r="D323" s="5" t="s">
        <v>715</v>
      </c>
      <c r="E323" s="5" t="s">
        <v>134</v>
      </c>
      <c r="F323" s="5" t="s">
        <v>716</v>
      </c>
      <c r="G323" s="5" t="s">
        <v>717</v>
      </c>
      <c r="H323" s="5" t="s">
        <v>137</v>
      </c>
      <c r="I323" s="5" t="s">
        <v>703</v>
      </c>
      <c r="J323" s="5" t="s">
        <v>30</v>
      </c>
      <c r="K323" s="5" t="s">
        <v>30</v>
      </c>
      <c r="L323" s="3" t="s">
        <v>139</v>
      </c>
      <c r="M323" s="3" t="s">
        <v>31</v>
      </c>
      <c r="N323" s="5" t="s">
        <v>718</v>
      </c>
      <c r="O323" s="5" t="s">
        <v>141</v>
      </c>
      <c r="P323" s="5" t="s">
        <v>34</v>
      </c>
      <c r="Q323" s="154">
        <v>123139</v>
      </c>
      <c r="R323" s="166">
        <v>1</v>
      </c>
      <c r="S323" s="168">
        <v>2180</v>
      </c>
      <c r="U323" s="154">
        <v>2684.43</v>
      </c>
      <c r="V323" s="165">
        <v>8.3000000000000001E-4</v>
      </c>
      <c r="W323" s="165">
        <v>5.4781231416850904E-3</v>
      </c>
      <c r="X323" s="165">
        <v>1.0504670432944199E-3</v>
      </c>
    </row>
    <row r="324" spans="1:24">
      <c r="A324" s="5">
        <v>424</v>
      </c>
      <c r="B324" s="5">
        <v>7228</v>
      </c>
      <c r="C324" s="5" t="s">
        <v>719</v>
      </c>
      <c r="D324" s="5" t="s">
        <v>720</v>
      </c>
      <c r="E324" s="5" t="s">
        <v>134</v>
      </c>
      <c r="F324" s="5" t="s">
        <v>721</v>
      </c>
      <c r="G324" s="5" t="s">
        <v>722</v>
      </c>
      <c r="H324" s="5" t="s">
        <v>137</v>
      </c>
      <c r="I324" s="5" t="s">
        <v>703</v>
      </c>
      <c r="J324" s="5" t="s">
        <v>30</v>
      </c>
      <c r="K324" s="5" t="s">
        <v>30</v>
      </c>
      <c r="L324" s="3" t="s">
        <v>139</v>
      </c>
      <c r="M324" s="3" t="s">
        <v>31</v>
      </c>
      <c r="N324" s="5" t="s">
        <v>465</v>
      </c>
      <c r="O324" s="5" t="s">
        <v>141</v>
      </c>
      <c r="P324" s="5" t="s">
        <v>34</v>
      </c>
      <c r="Q324" s="154">
        <v>0</v>
      </c>
      <c r="R324" s="166">
        <v>1</v>
      </c>
      <c r="S324" s="168">
        <v>0</v>
      </c>
      <c r="T324" s="153">
        <v>1E-3</v>
      </c>
      <c r="U324" s="154">
        <v>1E-3</v>
      </c>
      <c r="V324" s="165">
        <v>0</v>
      </c>
      <c r="W324" s="165">
        <v>1.06116524604598E-9</v>
      </c>
      <c r="X324" s="165">
        <v>2.0348558979596302E-10</v>
      </c>
    </row>
    <row r="325" spans="1:24">
      <c r="A325" s="5">
        <v>424</v>
      </c>
      <c r="B325" s="5">
        <v>7228</v>
      </c>
      <c r="C325" s="5" t="s">
        <v>723</v>
      </c>
      <c r="D325" s="5" t="s">
        <v>724</v>
      </c>
      <c r="E325" s="5" t="s">
        <v>134</v>
      </c>
      <c r="F325" s="5" t="s">
        <v>725</v>
      </c>
      <c r="G325" s="5" t="s">
        <v>726</v>
      </c>
      <c r="H325" s="5" t="s">
        <v>137</v>
      </c>
      <c r="I325" s="5" t="s">
        <v>703</v>
      </c>
      <c r="J325" s="5" t="s">
        <v>30</v>
      </c>
      <c r="K325" s="5" t="s">
        <v>30</v>
      </c>
      <c r="L325" s="3" t="s">
        <v>139</v>
      </c>
      <c r="M325" s="3" t="s">
        <v>31</v>
      </c>
      <c r="N325" s="5" t="s">
        <v>727</v>
      </c>
      <c r="O325" s="5" t="s">
        <v>141</v>
      </c>
      <c r="P325" s="5" t="s">
        <v>34</v>
      </c>
      <c r="Q325" s="154">
        <v>6412.67</v>
      </c>
      <c r="R325" s="166">
        <v>1</v>
      </c>
      <c r="S325" s="168">
        <v>167700</v>
      </c>
      <c r="U325" s="154">
        <v>10754.048000000001</v>
      </c>
      <c r="V325" s="165">
        <v>1.3799999999999999E-4</v>
      </c>
      <c r="W325" s="165">
        <v>2.1945810686216299E-2</v>
      </c>
      <c r="X325" s="165">
        <v>4.2082571472019398E-3</v>
      </c>
    </row>
    <row r="326" spans="1:24">
      <c r="A326" s="5">
        <v>424</v>
      </c>
      <c r="B326" s="5">
        <v>7228</v>
      </c>
      <c r="C326" s="5" t="s">
        <v>195</v>
      </c>
      <c r="D326" s="5" t="s">
        <v>196</v>
      </c>
      <c r="E326" s="5" t="s">
        <v>134</v>
      </c>
      <c r="F326" s="5" t="s">
        <v>728</v>
      </c>
      <c r="G326" s="5" t="s">
        <v>729</v>
      </c>
      <c r="H326" s="5" t="s">
        <v>137</v>
      </c>
      <c r="I326" s="5" t="s">
        <v>703</v>
      </c>
      <c r="J326" s="5" t="s">
        <v>30</v>
      </c>
      <c r="K326" s="5" t="s">
        <v>30</v>
      </c>
      <c r="L326" s="3" t="s">
        <v>139</v>
      </c>
      <c r="M326" s="3" t="s">
        <v>31</v>
      </c>
      <c r="N326" s="5" t="s">
        <v>199</v>
      </c>
      <c r="O326" s="5" t="s">
        <v>141</v>
      </c>
      <c r="P326" s="5" t="s">
        <v>34</v>
      </c>
      <c r="Q326" s="154">
        <v>1207</v>
      </c>
      <c r="R326" s="166">
        <v>1</v>
      </c>
      <c r="S326" s="168">
        <v>192960</v>
      </c>
      <c r="T326" s="153">
        <v>14.808999999999999</v>
      </c>
      <c r="U326" s="154">
        <v>2343.8359999999998</v>
      </c>
      <c r="V326" s="165">
        <v>2.9700000000000001E-4</v>
      </c>
      <c r="W326" s="165">
        <v>4.7830722313674497E-3</v>
      </c>
      <c r="X326" s="165">
        <v>9.1718634554144795E-4</v>
      </c>
    </row>
    <row r="327" spans="1:24">
      <c r="A327" s="5">
        <v>424</v>
      </c>
      <c r="B327" s="5">
        <v>7228</v>
      </c>
      <c r="C327" s="5" t="s">
        <v>730</v>
      </c>
      <c r="D327" s="5" t="s">
        <v>731</v>
      </c>
      <c r="E327" s="5" t="s">
        <v>134</v>
      </c>
      <c r="F327" s="5" t="s">
        <v>732</v>
      </c>
      <c r="G327" s="5" t="s">
        <v>733</v>
      </c>
      <c r="H327" s="5" t="s">
        <v>137</v>
      </c>
      <c r="I327" s="5" t="s">
        <v>703</v>
      </c>
      <c r="J327" s="5" t="s">
        <v>30</v>
      </c>
      <c r="K327" s="5" t="s">
        <v>30</v>
      </c>
      <c r="L327" s="3" t="s">
        <v>139</v>
      </c>
      <c r="M327" s="3" t="s">
        <v>31</v>
      </c>
      <c r="N327" s="5" t="s">
        <v>734</v>
      </c>
      <c r="O327" s="5" t="s">
        <v>141</v>
      </c>
      <c r="P327" s="5" t="s">
        <v>34</v>
      </c>
      <c r="Q327" s="154">
        <v>21186</v>
      </c>
      <c r="R327" s="166">
        <v>1</v>
      </c>
      <c r="S327" s="168">
        <v>11550</v>
      </c>
      <c r="U327" s="154">
        <v>2446.9830000000002</v>
      </c>
      <c r="V327" s="165">
        <v>8.4199999999999998E-4</v>
      </c>
      <c r="W327" s="165">
        <v>4.9935640716640703E-3</v>
      </c>
      <c r="X327" s="165">
        <v>9.5754957495326103E-4</v>
      </c>
    </row>
    <row r="328" spans="1:24">
      <c r="A328" s="5">
        <v>424</v>
      </c>
      <c r="B328" s="5">
        <v>7228</v>
      </c>
      <c r="C328" s="5" t="s">
        <v>216</v>
      </c>
      <c r="D328" s="5" t="s">
        <v>217</v>
      </c>
      <c r="E328" s="5" t="s">
        <v>134</v>
      </c>
      <c r="F328" s="5" t="s">
        <v>735</v>
      </c>
      <c r="G328" s="5" t="s">
        <v>736</v>
      </c>
      <c r="H328" s="5" t="s">
        <v>137</v>
      </c>
      <c r="I328" s="5" t="s">
        <v>703</v>
      </c>
      <c r="J328" s="5" t="s">
        <v>30</v>
      </c>
      <c r="K328" s="5" t="s">
        <v>224</v>
      </c>
      <c r="L328" s="3" t="s">
        <v>139</v>
      </c>
      <c r="M328" s="3" t="s">
        <v>31</v>
      </c>
      <c r="N328" s="5" t="s">
        <v>220</v>
      </c>
      <c r="O328" s="5" t="s">
        <v>141</v>
      </c>
      <c r="P328" s="5" t="s">
        <v>34</v>
      </c>
      <c r="Q328" s="154">
        <v>44408.800000000003</v>
      </c>
      <c r="R328" s="166">
        <v>1</v>
      </c>
      <c r="S328" s="168">
        <v>10190</v>
      </c>
      <c r="U328" s="154">
        <v>4525.2569999999996</v>
      </c>
      <c r="V328" s="165">
        <v>3.3700000000000001E-4</v>
      </c>
      <c r="W328" s="165">
        <v>9.2347022321153903E-3</v>
      </c>
      <c r="X328" s="165">
        <v>1.77081640893721E-3</v>
      </c>
    </row>
    <row r="329" spans="1:24">
      <c r="A329" s="5">
        <v>424</v>
      </c>
      <c r="B329" s="5">
        <v>7228</v>
      </c>
      <c r="C329" s="5" t="s">
        <v>737</v>
      </c>
      <c r="D329" s="5" t="s">
        <v>738</v>
      </c>
      <c r="E329" s="5" t="s">
        <v>651</v>
      </c>
      <c r="F329" s="5" t="s">
        <v>739</v>
      </c>
      <c r="G329" s="5" t="s">
        <v>740</v>
      </c>
      <c r="H329" s="5" t="s">
        <v>137</v>
      </c>
      <c r="I329" s="5" t="s">
        <v>703</v>
      </c>
      <c r="J329" s="5" t="s">
        <v>30</v>
      </c>
      <c r="K329" s="5" t="s">
        <v>566</v>
      </c>
      <c r="L329" s="3" t="s">
        <v>139</v>
      </c>
      <c r="M329" s="3" t="s">
        <v>31</v>
      </c>
      <c r="N329" s="5" t="s">
        <v>369</v>
      </c>
      <c r="O329" s="5" t="s">
        <v>141</v>
      </c>
      <c r="P329" s="5" t="s">
        <v>34</v>
      </c>
      <c r="Q329" s="154">
        <v>53421</v>
      </c>
      <c r="R329" s="166">
        <v>1</v>
      </c>
      <c r="S329" s="168">
        <v>3825</v>
      </c>
      <c r="T329" s="153">
        <v>53.255000000000003</v>
      </c>
      <c r="U329" s="154">
        <v>2096.6089999999999</v>
      </c>
      <c r="V329" s="165">
        <v>2.9E-4</v>
      </c>
      <c r="W329" s="165">
        <v>4.27855427563023E-3</v>
      </c>
      <c r="X329" s="165">
        <v>8.2044162631098603E-4</v>
      </c>
    </row>
    <row r="330" spans="1:24">
      <c r="A330" s="5">
        <v>424</v>
      </c>
      <c r="B330" s="5">
        <v>7228</v>
      </c>
      <c r="C330" s="5" t="s">
        <v>232</v>
      </c>
      <c r="D330" s="5" t="s">
        <v>233</v>
      </c>
      <c r="E330" s="5" t="s">
        <v>134</v>
      </c>
      <c r="F330" s="5" t="s">
        <v>741</v>
      </c>
      <c r="G330" s="5" t="s">
        <v>742</v>
      </c>
      <c r="H330" s="5" t="s">
        <v>137</v>
      </c>
      <c r="I330" s="5" t="s">
        <v>703</v>
      </c>
      <c r="J330" s="5" t="s">
        <v>30</v>
      </c>
      <c r="K330" s="5" t="s">
        <v>30</v>
      </c>
      <c r="L330" s="3" t="s">
        <v>139</v>
      </c>
      <c r="M330" s="3" t="s">
        <v>31</v>
      </c>
      <c r="N330" s="5" t="s">
        <v>208</v>
      </c>
      <c r="O330" s="5" t="s">
        <v>141</v>
      </c>
      <c r="P330" s="5" t="s">
        <v>34</v>
      </c>
      <c r="Q330" s="154">
        <v>9641</v>
      </c>
      <c r="R330" s="166">
        <v>1</v>
      </c>
      <c r="S330" s="168">
        <v>21010</v>
      </c>
      <c r="U330" s="154">
        <v>2025.5740000000001</v>
      </c>
      <c r="V330" s="165">
        <v>2.4899999999999998E-4</v>
      </c>
      <c r="W330" s="165">
        <v>4.13359391963626E-3</v>
      </c>
      <c r="X330" s="165">
        <v>7.9264450079601502E-4</v>
      </c>
    </row>
    <row r="331" spans="1:24">
      <c r="A331" s="5">
        <v>424</v>
      </c>
      <c r="B331" s="5">
        <v>7228</v>
      </c>
      <c r="C331" s="5" t="s">
        <v>747</v>
      </c>
      <c r="D331" s="5" t="s">
        <v>748</v>
      </c>
      <c r="E331" s="5" t="s">
        <v>134</v>
      </c>
      <c r="F331" s="5" t="s">
        <v>749</v>
      </c>
      <c r="G331" s="5" t="s">
        <v>750</v>
      </c>
      <c r="H331" s="5" t="s">
        <v>137</v>
      </c>
      <c r="I331" s="5" t="s">
        <v>703</v>
      </c>
      <c r="J331" s="5" t="s">
        <v>30</v>
      </c>
      <c r="K331" s="5" t="s">
        <v>30</v>
      </c>
      <c r="L331" s="3" t="s">
        <v>139</v>
      </c>
      <c r="M331" s="3" t="s">
        <v>31</v>
      </c>
      <c r="N331" s="5" t="s">
        <v>727</v>
      </c>
      <c r="O331" s="5" t="s">
        <v>141</v>
      </c>
      <c r="P331" s="5" t="s">
        <v>34</v>
      </c>
      <c r="Q331" s="154">
        <v>104000</v>
      </c>
      <c r="R331" s="166">
        <v>1</v>
      </c>
      <c r="S331" s="168">
        <v>1792</v>
      </c>
      <c r="U331" s="154">
        <v>1863.68</v>
      </c>
      <c r="V331" s="165">
        <v>1.402E-3</v>
      </c>
      <c r="W331" s="165">
        <v>3.80321624182878E-3</v>
      </c>
      <c r="X331" s="165">
        <v>7.2929235382873301E-4</v>
      </c>
    </row>
    <row r="332" spans="1:24">
      <c r="A332" s="5">
        <v>424</v>
      </c>
      <c r="B332" s="5">
        <v>7228</v>
      </c>
      <c r="C332" s="5" t="s">
        <v>751</v>
      </c>
      <c r="D332" s="5" t="s">
        <v>752</v>
      </c>
      <c r="E332" s="5" t="s">
        <v>492</v>
      </c>
      <c r="F332" s="5" t="s">
        <v>751</v>
      </c>
      <c r="G332" s="5" t="s">
        <v>753</v>
      </c>
      <c r="H332" s="5" t="s">
        <v>137</v>
      </c>
      <c r="I332" s="5" t="s">
        <v>703</v>
      </c>
      <c r="J332" s="5" t="s">
        <v>30</v>
      </c>
      <c r="K332" s="5" t="s">
        <v>654</v>
      </c>
      <c r="L332" s="3" t="s">
        <v>139</v>
      </c>
      <c r="M332" s="3" t="s">
        <v>31</v>
      </c>
      <c r="N332" s="5" t="s">
        <v>208</v>
      </c>
      <c r="O332" s="5" t="s">
        <v>141</v>
      </c>
      <c r="P332" s="5" t="s">
        <v>34</v>
      </c>
      <c r="Q332" s="154">
        <v>22400</v>
      </c>
      <c r="R332" s="166">
        <v>1</v>
      </c>
      <c r="S332" s="168">
        <v>11110</v>
      </c>
      <c r="U332" s="154">
        <v>2488.64</v>
      </c>
      <c r="V332" s="165">
        <v>1.029E-3</v>
      </c>
      <c r="W332" s="165">
        <v>5.0785736113843401E-3</v>
      </c>
      <c r="X332" s="165">
        <v>9.7385072728812801E-4</v>
      </c>
    </row>
    <row r="333" spans="1:24">
      <c r="A333" s="5">
        <v>424</v>
      </c>
      <c r="B333" s="5">
        <v>7228</v>
      </c>
      <c r="C333" s="5" t="s">
        <v>254</v>
      </c>
      <c r="D333" s="5" t="s">
        <v>255</v>
      </c>
      <c r="E333" s="5" t="s">
        <v>134</v>
      </c>
      <c r="F333" s="5" t="s">
        <v>754</v>
      </c>
      <c r="G333" s="5" t="s">
        <v>755</v>
      </c>
      <c r="H333" s="5" t="s">
        <v>137</v>
      </c>
      <c r="I333" s="5" t="s">
        <v>703</v>
      </c>
      <c r="J333" s="5" t="s">
        <v>30</v>
      </c>
      <c r="K333" s="5" t="s">
        <v>30</v>
      </c>
      <c r="L333" s="3" t="s">
        <v>139</v>
      </c>
      <c r="M333" s="3" t="s">
        <v>31</v>
      </c>
      <c r="N333" s="5" t="s">
        <v>162</v>
      </c>
      <c r="O333" s="5" t="s">
        <v>141</v>
      </c>
      <c r="P333" s="5" t="s">
        <v>34</v>
      </c>
      <c r="Q333" s="154">
        <v>119359</v>
      </c>
      <c r="R333" s="166">
        <v>1</v>
      </c>
      <c r="S333" s="168">
        <v>6966</v>
      </c>
      <c r="U333" s="154">
        <v>8314.5480000000007</v>
      </c>
      <c r="V333" s="165">
        <v>1.07E-3</v>
      </c>
      <c r="W333" s="165">
        <v>1.6967517904829199E-2</v>
      </c>
      <c r="X333" s="165">
        <v>3.2536359451109899E-3</v>
      </c>
    </row>
    <row r="334" spans="1:24">
      <c r="A334" s="5">
        <v>424</v>
      </c>
      <c r="B334" s="5">
        <v>7228</v>
      </c>
      <c r="C334" s="5" t="s">
        <v>1035</v>
      </c>
      <c r="D334" s="5" t="s">
        <v>1036</v>
      </c>
      <c r="E334" s="5" t="s">
        <v>134</v>
      </c>
      <c r="F334" s="5" t="s">
        <v>1037</v>
      </c>
      <c r="G334" s="5" t="s">
        <v>1038</v>
      </c>
      <c r="H334" s="5" t="s">
        <v>137</v>
      </c>
      <c r="I334" s="5" t="s">
        <v>703</v>
      </c>
      <c r="J334" s="5" t="s">
        <v>30</v>
      </c>
      <c r="K334" s="5" t="s">
        <v>224</v>
      </c>
      <c r="L334" s="3" t="s">
        <v>139</v>
      </c>
      <c r="M334" s="3" t="s">
        <v>31</v>
      </c>
      <c r="N334" s="5" t="s">
        <v>208</v>
      </c>
      <c r="O334" s="5" t="s">
        <v>141</v>
      </c>
      <c r="P334" s="5" t="s">
        <v>34</v>
      </c>
      <c r="Q334" s="154">
        <v>88270</v>
      </c>
      <c r="R334" s="166">
        <v>1</v>
      </c>
      <c r="S334" s="168">
        <v>700</v>
      </c>
      <c r="U334" s="154">
        <v>617.89</v>
      </c>
      <c r="V334" s="165">
        <v>1.575E-3</v>
      </c>
      <c r="W334" s="165">
        <v>1.2609296036141301E-3</v>
      </c>
      <c r="X334" s="165">
        <v>2.4179175207505299E-4</v>
      </c>
    </row>
    <row r="335" spans="1:24">
      <c r="A335" s="5">
        <v>424</v>
      </c>
      <c r="B335" s="5">
        <v>7228</v>
      </c>
      <c r="C335" s="5" t="s">
        <v>259</v>
      </c>
      <c r="D335" s="5" t="s">
        <v>260</v>
      </c>
      <c r="E335" s="5" t="s">
        <v>134</v>
      </c>
      <c r="F335" s="5" t="s">
        <v>756</v>
      </c>
      <c r="G335" s="5" t="s">
        <v>757</v>
      </c>
      <c r="H335" s="5" t="s">
        <v>137</v>
      </c>
      <c r="I335" s="5" t="s">
        <v>703</v>
      </c>
      <c r="J335" s="5" t="s">
        <v>30</v>
      </c>
      <c r="K335" s="5" t="s">
        <v>30</v>
      </c>
      <c r="L335" s="3" t="s">
        <v>139</v>
      </c>
      <c r="M335" s="3" t="s">
        <v>31</v>
      </c>
      <c r="N335" s="5" t="s">
        <v>151</v>
      </c>
      <c r="O335" s="5" t="s">
        <v>141</v>
      </c>
      <c r="P335" s="5" t="s">
        <v>34</v>
      </c>
      <c r="Q335" s="154">
        <v>1287364</v>
      </c>
      <c r="R335" s="166">
        <v>1</v>
      </c>
      <c r="S335" s="168">
        <v>89.4</v>
      </c>
      <c r="U335" s="154">
        <v>1150.903</v>
      </c>
      <c r="V335" s="165">
        <v>4.0000000000000002E-4</v>
      </c>
      <c r="W335" s="165">
        <v>2.3486513588746E-3</v>
      </c>
      <c r="X335" s="165">
        <v>4.5036973154413299E-4</v>
      </c>
    </row>
    <row r="336" spans="1:24">
      <c r="A336" s="5">
        <v>424</v>
      </c>
      <c r="B336" s="5">
        <v>7228</v>
      </c>
      <c r="C336" s="5" t="s">
        <v>758</v>
      </c>
      <c r="D336" s="5" t="s">
        <v>759</v>
      </c>
      <c r="E336" s="5" t="s">
        <v>134</v>
      </c>
      <c r="F336" s="5" t="s">
        <v>760</v>
      </c>
      <c r="G336" s="5" t="s">
        <v>761</v>
      </c>
      <c r="H336" s="5" t="s">
        <v>137</v>
      </c>
      <c r="I336" s="5" t="s">
        <v>703</v>
      </c>
      <c r="J336" s="5" t="s">
        <v>30</v>
      </c>
      <c r="K336" s="5" t="s">
        <v>30</v>
      </c>
      <c r="L336" s="3" t="s">
        <v>139</v>
      </c>
      <c r="M336" s="3" t="s">
        <v>31</v>
      </c>
      <c r="N336" s="5" t="s">
        <v>612</v>
      </c>
      <c r="O336" s="5" t="s">
        <v>141</v>
      </c>
      <c r="P336" s="5" t="s">
        <v>34</v>
      </c>
      <c r="Q336" s="154">
        <v>1405325.76</v>
      </c>
      <c r="R336" s="166">
        <v>1</v>
      </c>
      <c r="S336" s="168">
        <v>634.70000000000005</v>
      </c>
      <c r="T336" s="153">
        <v>295.46199999999999</v>
      </c>
      <c r="U336" s="154">
        <v>9215.0650000000005</v>
      </c>
      <c r="V336" s="165">
        <v>5.0699999999999996E-4</v>
      </c>
      <c r="W336" s="165">
        <v>1.8805204714240499E-2</v>
      </c>
      <c r="X336" s="165">
        <v>3.6060247796178501E-3</v>
      </c>
    </row>
    <row r="337" spans="1:24">
      <c r="A337" s="5">
        <v>424</v>
      </c>
      <c r="B337" s="5">
        <v>7228</v>
      </c>
      <c r="C337" s="5" t="s">
        <v>267</v>
      </c>
      <c r="D337" s="5" t="s">
        <v>268</v>
      </c>
      <c r="E337" s="5" t="s">
        <v>134</v>
      </c>
      <c r="F337" s="5" t="s">
        <v>762</v>
      </c>
      <c r="G337" s="5" t="s">
        <v>763</v>
      </c>
      <c r="H337" s="5" t="s">
        <v>137</v>
      </c>
      <c r="I337" s="5" t="s">
        <v>703</v>
      </c>
      <c r="J337" s="5" t="s">
        <v>30</v>
      </c>
      <c r="K337" s="5" t="s">
        <v>30</v>
      </c>
      <c r="L337" s="3" t="s">
        <v>139</v>
      </c>
      <c r="M337" s="3" t="s">
        <v>31</v>
      </c>
      <c r="N337" s="5" t="s">
        <v>186</v>
      </c>
      <c r="O337" s="5" t="s">
        <v>141</v>
      </c>
      <c r="P337" s="5" t="s">
        <v>34</v>
      </c>
      <c r="Q337" s="154">
        <v>8930.8799999999992</v>
      </c>
      <c r="R337" s="166">
        <v>1</v>
      </c>
      <c r="S337" s="168">
        <v>68050</v>
      </c>
      <c r="U337" s="154">
        <v>6077.4639999999999</v>
      </c>
      <c r="V337" s="165">
        <v>3.59E-4</v>
      </c>
      <c r="W337" s="165">
        <v>1.24022950213637E-2</v>
      </c>
      <c r="X337" s="165">
        <v>2.3782236806654598E-3</v>
      </c>
    </row>
    <row r="338" spans="1:24">
      <c r="A338" s="5">
        <v>424</v>
      </c>
      <c r="B338" s="5">
        <v>7228</v>
      </c>
      <c r="C338" s="5" t="s">
        <v>768</v>
      </c>
      <c r="D338" s="5" t="s">
        <v>769</v>
      </c>
      <c r="E338" s="5" t="s">
        <v>134</v>
      </c>
      <c r="F338" s="5" t="s">
        <v>770</v>
      </c>
      <c r="G338" s="5" t="s">
        <v>771</v>
      </c>
      <c r="H338" s="5" t="s">
        <v>137</v>
      </c>
      <c r="I338" s="5" t="s">
        <v>703</v>
      </c>
      <c r="J338" s="5" t="s">
        <v>30</v>
      </c>
      <c r="K338" s="5" t="s">
        <v>30</v>
      </c>
      <c r="L338" s="3" t="s">
        <v>139</v>
      </c>
      <c r="M338" s="3" t="s">
        <v>31</v>
      </c>
      <c r="N338" s="5" t="s">
        <v>718</v>
      </c>
      <c r="O338" s="5" t="s">
        <v>141</v>
      </c>
      <c r="P338" s="5" t="s">
        <v>34</v>
      </c>
      <c r="Q338" s="154">
        <v>13519</v>
      </c>
      <c r="R338" s="166">
        <v>1</v>
      </c>
      <c r="S338" s="168">
        <v>67920</v>
      </c>
      <c r="U338" s="154">
        <v>9182.1049999999996</v>
      </c>
      <c r="V338" s="165">
        <v>1.4790000000000001E-3</v>
      </c>
      <c r="W338" s="165">
        <v>1.8737943267907599E-2</v>
      </c>
      <c r="X338" s="165">
        <v>3.59312694383913E-3</v>
      </c>
    </row>
    <row r="339" spans="1:24">
      <c r="A339" s="5">
        <v>424</v>
      </c>
      <c r="B339" s="5">
        <v>7228</v>
      </c>
      <c r="C339" s="5" t="s">
        <v>772</v>
      </c>
      <c r="D339" s="5" t="s">
        <v>773</v>
      </c>
      <c r="E339" s="5" t="s">
        <v>134</v>
      </c>
      <c r="F339" s="5" t="s">
        <v>774</v>
      </c>
      <c r="G339" s="5" t="s">
        <v>775</v>
      </c>
      <c r="H339" s="5" t="s">
        <v>137</v>
      </c>
      <c r="I339" s="5" t="s">
        <v>703</v>
      </c>
      <c r="J339" s="5" t="s">
        <v>30</v>
      </c>
      <c r="K339" s="5" t="s">
        <v>30</v>
      </c>
      <c r="L339" s="3" t="s">
        <v>139</v>
      </c>
      <c r="M339" s="3" t="s">
        <v>31</v>
      </c>
      <c r="N339" s="5" t="s">
        <v>285</v>
      </c>
      <c r="O339" s="5" t="s">
        <v>141</v>
      </c>
      <c r="P339" s="5" t="s">
        <v>34</v>
      </c>
      <c r="Q339" s="154">
        <v>316632</v>
      </c>
      <c r="R339" s="166">
        <v>1</v>
      </c>
      <c r="S339" s="168">
        <v>3274</v>
      </c>
      <c r="U339" s="154">
        <v>10366.531999999999</v>
      </c>
      <c r="V339" s="165">
        <v>2.5599999999999999E-4</v>
      </c>
      <c r="W339" s="165">
        <v>2.1155006040097301E-2</v>
      </c>
      <c r="X339" s="165">
        <v>4.0566150250833403E-3</v>
      </c>
    </row>
    <row r="340" spans="1:24">
      <c r="A340" s="5">
        <v>424</v>
      </c>
      <c r="B340" s="5">
        <v>7228</v>
      </c>
      <c r="C340" s="5" t="s">
        <v>776</v>
      </c>
      <c r="D340" s="5" t="s">
        <v>777</v>
      </c>
      <c r="E340" s="5" t="s">
        <v>134</v>
      </c>
      <c r="F340" s="5" t="s">
        <v>778</v>
      </c>
      <c r="G340" s="5" t="s">
        <v>779</v>
      </c>
      <c r="H340" s="5" t="s">
        <v>137</v>
      </c>
      <c r="I340" s="5" t="s">
        <v>703</v>
      </c>
      <c r="J340" s="5" t="s">
        <v>30</v>
      </c>
      <c r="K340" s="5" t="s">
        <v>30</v>
      </c>
      <c r="L340" s="3" t="s">
        <v>139</v>
      </c>
      <c r="M340" s="3" t="s">
        <v>31</v>
      </c>
      <c r="N340" s="5" t="s">
        <v>780</v>
      </c>
      <c r="O340" s="5" t="s">
        <v>141</v>
      </c>
      <c r="P340" s="5" t="s">
        <v>34</v>
      </c>
      <c r="Q340" s="154">
        <v>49898</v>
      </c>
      <c r="R340" s="166">
        <v>1</v>
      </c>
      <c r="S340" s="168">
        <v>17410</v>
      </c>
      <c r="U340" s="154">
        <v>8687.2420000000002</v>
      </c>
      <c r="V340" s="165">
        <v>1.853E-3</v>
      </c>
      <c r="W340" s="165">
        <v>1.77280751579959E-2</v>
      </c>
      <c r="X340" s="165">
        <v>3.39947792571759E-3</v>
      </c>
    </row>
    <row r="341" spans="1:24">
      <c r="A341" s="5">
        <v>424</v>
      </c>
      <c r="B341" s="5">
        <v>7228</v>
      </c>
      <c r="C341" s="5" t="s">
        <v>781</v>
      </c>
      <c r="D341" s="5" t="s">
        <v>782</v>
      </c>
      <c r="E341" s="5" t="s">
        <v>134</v>
      </c>
      <c r="F341" s="5" t="s">
        <v>783</v>
      </c>
      <c r="G341" s="5" t="s">
        <v>784</v>
      </c>
      <c r="H341" s="5" t="s">
        <v>137</v>
      </c>
      <c r="I341" s="5" t="s">
        <v>703</v>
      </c>
      <c r="J341" s="5" t="s">
        <v>30</v>
      </c>
      <c r="K341" s="5" t="s">
        <v>30</v>
      </c>
      <c r="L341" s="3" t="s">
        <v>139</v>
      </c>
      <c r="M341" s="3" t="s">
        <v>31</v>
      </c>
      <c r="N341" s="5" t="s">
        <v>465</v>
      </c>
      <c r="O341" s="5" t="s">
        <v>141</v>
      </c>
      <c r="P341" s="5" t="s">
        <v>34</v>
      </c>
      <c r="Q341" s="154">
        <v>622408</v>
      </c>
      <c r="R341" s="166">
        <v>1</v>
      </c>
      <c r="S341" s="168">
        <v>745.1</v>
      </c>
      <c r="U341" s="154">
        <v>4637.5619999999999</v>
      </c>
      <c r="V341" s="165">
        <v>6.7720000000000002E-3</v>
      </c>
      <c r="W341" s="165">
        <v>9.4638839024476697E-3</v>
      </c>
      <c r="X341" s="165">
        <v>1.81476353925622E-3</v>
      </c>
    </row>
    <row r="342" spans="1:24">
      <c r="A342" s="5">
        <v>424</v>
      </c>
      <c r="B342" s="5">
        <v>7228</v>
      </c>
      <c r="C342" s="5" t="s">
        <v>785</v>
      </c>
      <c r="D342" s="5" t="s">
        <v>786</v>
      </c>
      <c r="E342" s="5" t="s">
        <v>134</v>
      </c>
      <c r="F342" s="5" t="s">
        <v>787</v>
      </c>
      <c r="G342" s="5" t="s">
        <v>788</v>
      </c>
      <c r="H342" s="5" t="s">
        <v>137</v>
      </c>
      <c r="I342" s="5" t="s">
        <v>703</v>
      </c>
      <c r="J342" s="5" t="s">
        <v>30</v>
      </c>
      <c r="K342" s="5" t="s">
        <v>30</v>
      </c>
      <c r="L342" s="3" t="s">
        <v>139</v>
      </c>
      <c r="M342" s="3" t="s">
        <v>31</v>
      </c>
      <c r="N342" s="5" t="s">
        <v>170</v>
      </c>
      <c r="O342" s="5" t="s">
        <v>141</v>
      </c>
      <c r="P342" s="5" t="s">
        <v>34</v>
      </c>
      <c r="Q342" s="154">
        <v>113784</v>
      </c>
      <c r="R342" s="166">
        <v>1</v>
      </c>
      <c r="S342" s="168">
        <v>12400</v>
      </c>
      <c r="U342" s="154">
        <v>14109.216</v>
      </c>
      <c r="V342" s="165">
        <v>4.3199999999999998E-4</v>
      </c>
      <c r="W342" s="165">
        <v>2.8792710900299601E-2</v>
      </c>
      <c r="X342" s="165">
        <v>5.5211964217666198E-3</v>
      </c>
    </row>
    <row r="343" spans="1:24">
      <c r="A343" s="5">
        <v>424</v>
      </c>
      <c r="B343" s="5">
        <v>7228</v>
      </c>
      <c r="C343" s="5" t="s">
        <v>789</v>
      </c>
      <c r="D343" s="5" t="s">
        <v>790</v>
      </c>
      <c r="E343" s="5" t="s">
        <v>134</v>
      </c>
      <c r="F343" s="5" t="s">
        <v>791</v>
      </c>
      <c r="G343" s="5" t="s">
        <v>792</v>
      </c>
      <c r="H343" s="5" t="s">
        <v>137</v>
      </c>
      <c r="I343" s="5" t="s">
        <v>703</v>
      </c>
      <c r="J343" s="5" t="s">
        <v>30</v>
      </c>
      <c r="K343" s="5" t="s">
        <v>30</v>
      </c>
      <c r="L343" s="3" t="s">
        <v>139</v>
      </c>
      <c r="M343" s="3" t="s">
        <v>31</v>
      </c>
      <c r="N343" s="5" t="s">
        <v>140</v>
      </c>
      <c r="O343" s="5" t="s">
        <v>141</v>
      </c>
      <c r="P343" s="5" t="s">
        <v>34</v>
      </c>
      <c r="Q343" s="154">
        <v>1785</v>
      </c>
      <c r="R343" s="166">
        <v>1</v>
      </c>
      <c r="S343" s="168">
        <v>103430</v>
      </c>
      <c r="U343" s="154">
        <v>1846.2260000000001</v>
      </c>
      <c r="V343" s="165">
        <v>2.32E-4</v>
      </c>
      <c r="W343" s="165">
        <v>3.7675968018535599E-3</v>
      </c>
      <c r="X343" s="165">
        <v>7.2246208608432196E-4</v>
      </c>
    </row>
    <row r="344" spans="1:24">
      <c r="A344" s="5">
        <v>424</v>
      </c>
      <c r="B344" s="5">
        <v>7228</v>
      </c>
      <c r="C344" s="5" t="s">
        <v>793</v>
      </c>
      <c r="D344" s="5" t="s">
        <v>794</v>
      </c>
      <c r="E344" s="5" t="s">
        <v>134</v>
      </c>
      <c r="F344" s="5" t="s">
        <v>795</v>
      </c>
      <c r="G344" s="5" t="s">
        <v>796</v>
      </c>
      <c r="H344" s="5" t="s">
        <v>137</v>
      </c>
      <c r="I344" s="5" t="s">
        <v>703</v>
      </c>
      <c r="J344" s="5" t="s">
        <v>30</v>
      </c>
      <c r="K344" s="5" t="s">
        <v>797</v>
      </c>
      <c r="L344" s="3" t="s">
        <v>139</v>
      </c>
      <c r="M344" s="3" t="s">
        <v>31</v>
      </c>
      <c r="N344" s="5" t="s">
        <v>798</v>
      </c>
      <c r="O344" s="5" t="s">
        <v>141</v>
      </c>
      <c r="P344" s="5" t="s">
        <v>34</v>
      </c>
      <c r="Q344" s="154">
        <v>54548.32</v>
      </c>
      <c r="R344" s="166">
        <v>1</v>
      </c>
      <c r="S344" s="168">
        <v>23540</v>
      </c>
      <c r="U344" s="154">
        <v>12840.674999999999</v>
      </c>
      <c r="V344" s="165">
        <v>4.8700000000000002E-4</v>
      </c>
      <c r="W344" s="165">
        <v>2.6203995278656599E-2</v>
      </c>
      <c r="X344" s="165">
        <v>5.0247927494386198E-3</v>
      </c>
    </row>
    <row r="345" spans="1:24">
      <c r="A345" s="5">
        <v>424</v>
      </c>
      <c r="B345" s="5">
        <v>7228</v>
      </c>
      <c r="C345" s="5" t="s">
        <v>568</v>
      </c>
      <c r="D345" s="5" t="s">
        <v>569</v>
      </c>
      <c r="E345" s="5" t="s">
        <v>134</v>
      </c>
      <c r="F345" s="5" t="s">
        <v>799</v>
      </c>
      <c r="G345" s="5" t="s">
        <v>800</v>
      </c>
      <c r="H345" s="5" t="s">
        <v>137</v>
      </c>
      <c r="I345" s="5" t="s">
        <v>703</v>
      </c>
      <c r="J345" s="5" t="s">
        <v>30</v>
      </c>
      <c r="K345" s="5" t="s">
        <v>224</v>
      </c>
      <c r="L345" s="3" t="s">
        <v>139</v>
      </c>
      <c r="M345" s="3" t="s">
        <v>31</v>
      </c>
      <c r="N345" s="5" t="s">
        <v>573</v>
      </c>
      <c r="O345" s="5" t="s">
        <v>141</v>
      </c>
      <c r="P345" s="5" t="s">
        <v>34</v>
      </c>
      <c r="Q345" s="154">
        <v>262688</v>
      </c>
      <c r="R345" s="166">
        <v>1</v>
      </c>
      <c r="S345" s="168">
        <v>6440</v>
      </c>
      <c r="U345" s="154">
        <v>16917.107</v>
      </c>
      <c r="V345" s="165">
        <v>2.1000000000000001E-4</v>
      </c>
      <c r="W345" s="165">
        <v>3.4522781200527201E-2</v>
      </c>
      <c r="X345" s="165">
        <v>6.6199760312183401E-3</v>
      </c>
    </row>
    <row r="346" spans="1:24">
      <c r="A346" s="5">
        <v>424</v>
      </c>
      <c r="B346" s="5">
        <v>7228</v>
      </c>
      <c r="C346" s="5" t="s">
        <v>801</v>
      </c>
      <c r="D346" s="5" t="s">
        <v>802</v>
      </c>
      <c r="E346" s="5" t="s">
        <v>134</v>
      </c>
      <c r="F346" s="5" t="s">
        <v>803</v>
      </c>
      <c r="G346" s="5" t="s">
        <v>804</v>
      </c>
      <c r="H346" s="5" t="s">
        <v>137</v>
      </c>
      <c r="I346" s="5" t="s">
        <v>703</v>
      </c>
      <c r="J346" s="5" t="s">
        <v>30</v>
      </c>
      <c r="K346" s="5" t="s">
        <v>30</v>
      </c>
      <c r="L346" s="3" t="s">
        <v>139</v>
      </c>
      <c r="M346" s="3" t="s">
        <v>31</v>
      </c>
      <c r="N346" s="5" t="s">
        <v>734</v>
      </c>
      <c r="O346" s="5" t="s">
        <v>141</v>
      </c>
      <c r="P346" s="5" t="s">
        <v>34</v>
      </c>
      <c r="Q346" s="154">
        <v>317285</v>
      </c>
      <c r="R346" s="166">
        <v>1</v>
      </c>
      <c r="S346" s="168">
        <v>862.4</v>
      </c>
      <c r="U346" s="154">
        <v>2736.2660000000001</v>
      </c>
      <c r="V346" s="165">
        <v>2.9169999999999999E-3</v>
      </c>
      <c r="W346" s="165">
        <v>5.5839042564438399E-3</v>
      </c>
      <c r="X346" s="165">
        <v>1.0707512851749E-3</v>
      </c>
    </row>
    <row r="347" spans="1:24">
      <c r="A347" s="5">
        <v>424</v>
      </c>
      <c r="B347" s="5">
        <v>7228</v>
      </c>
      <c r="C347" s="5" t="s">
        <v>805</v>
      </c>
      <c r="D347" s="5" t="s">
        <v>806</v>
      </c>
      <c r="E347" s="5" t="s">
        <v>134</v>
      </c>
      <c r="F347" s="5" t="s">
        <v>807</v>
      </c>
      <c r="G347" s="5" t="s">
        <v>808</v>
      </c>
      <c r="H347" s="5" t="s">
        <v>137</v>
      </c>
      <c r="I347" s="5" t="s">
        <v>703</v>
      </c>
      <c r="J347" s="5" t="s">
        <v>30</v>
      </c>
      <c r="K347" s="5" t="s">
        <v>30</v>
      </c>
      <c r="L347" s="3" t="s">
        <v>139</v>
      </c>
      <c r="M347" s="3" t="s">
        <v>31</v>
      </c>
      <c r="N347" s="5" t="s">
        <v>555</v>
      </c>
      <c r="O347" s="5" t="s">
        <v>141</v>
      </c>
      <c r="P347" s="5" t="s">
        <v>34</v>
      </c>
      <c r="Q347" s="154">
        <v>38000</v>
      </c>
      <c r="R347" s="166">
        <v>1</v>
      </c>
      <c r="S347" s="168">
        <v>2875</v>
      </c>
      <c r="U347" s="154">
        <v>1092.5</v>
      </c>
      <c r="V347" s="165">
        <v>3.0200000000000002E-4</v>
      </c>
      <c r="W347" s="165">
        <v>2.2294673678946702E-3</v>
      </c>
      <c r="X347" s="165">
        <v>4.2751539779248098E-4</v>
      </c>
    </row>
    <row r="348" spans="1:24">
      <c r="A348" s="5">
        <v>424</v>
      </c>
      <c r="B348" s="5">
        <v>7228</v>
      </c>
      <c r="C348" s="5" t="s">
        <v>809</v>
      </c>
      <c r="D348" s="5" t="s">
        <v>810</v>
      </c>
      <c r="E348" s="5" t="s">
        <v>134</v>
      </c>
      <c r="F348" s="5" t="s">
        <v>811</v>
      </c>
      <c r="G348" s="5" t="s">
        <v>812</v>
      </c>
      <c r="H348" s="5" t="s">
        <v>137</v>
      </c>
      <c r="I348" s="5" t="s">
        <v>703</v>
      </c>
      <c r="J348" s="5" t="s">
        <v>30</v>
      </c>
      <c r="K348" s="5" t="s">
        <v>30</v>
      </c>
      <c r="L348" s="3" t="s">
        <v>139</v>
      </c>
      <c r="M348" s="3" t="s">
        <v>31</v>
      </c>
      <c r="N348" s="5" t="s">
        <v>378</v>
      </c>
      <c r="O348" s="5" t="s">
        <v>141</v>
      </c>
      <c r="P348" s="5" t="s">
        <v>34</v>
      </c>
      <c r="Q348" s="154">
        <v>582194</v>
      </c>
      <c r="R348" s="166">
        <v>1</v>
      </c>
      <c r="S348" s="168">
        <v>1338</v>
      </c>
      <c r="U348" s="154">
        <v>7789.7560000000003</v>
      </c>
      <c r="V348" s="165">
        <v>1.789E-3</v>
      </c>
      <c r="W348" s="165">
        <v>1.5896573163945899E-2</v>
      </c>
      <c r="X348" s="165">
        <v>3.04827507125131E-3</v>
      </c>
    </row>
    <row r="349" spans="1:24">
      <c r="A349" s="5">
        <v>424</v>
      </c>
      <c r="B349" s="5">
        <v>7228</v>
      </c>
      <c r="C349" s="5" t="s">
        <v>595</v>
      </c>
      <c r="D349" s="5" t="s">
        <v>596</v>
      </c>
      <c r="E349" s="5" t="s">
        <v>134</v>
      </c>
      <c r="F349" s="5" t="s">
        <v>813</v>
      </c>
      <c r="G349" s="5" t="s">
        <v>814</v>
      </c>
      <c r="H349" s="5" t="s">
        <v>137</v>
      </c>
      <c r="I349" s="5" t="s">
        <v>703</v>
      </c>
      <c r="J349" s="5" t="s">
        <v>30</v>
      </c>
      <c r="K349" s="5" t="s">
        <v>30</v>
      </c>
      <c r="L349" s="3" t="s">
        <v>139</v>
      </c>
      <c r="M349" s="3" t="s">
        <v>31</v>
      </c>
      <c r="N349" s="5" t="s">
        <v>170</v>
      </c>
      <c r="O349" s="5" t="s">
        <v>141</v>
      </c>
      <c r="P349" s="5" t="s">
        <v>34</v>
      </c>
      <c r="Q349" s="154">
        <v>72602</v>
      </c>
      <c r="R349" s="166">
        <v>1</v>
      </c>
      <c r="S349" s="168">
        <v>16970</v>
      </c>
      <c r="U349" s="154">
        <v>12320.558999999999</v>
      </c>
      <c r="V349" s="165">
        <v>9.0700000000000004E-4</v>
      </c>
      <c r="W349" s="165">
        <v>2.5142595090625101E-2</v>
      </c>
      <c r="X349" s="165">
        <v>4.8212621079330798E-3</v>
      </c>
    </row>
    <row r="350" spans="1:24">
      <c r="A350" s="5">
        <v>424</v>
      </c>
      <c r="B350" s="5">
        <v>7228</v>
      </c>
      <c r="C350" s="5" t="s">
        <v>380</v>
      </c>
      <c r="D350" s="5" t="s">
        <v>381</v>
      </c>
      <c r="E350" s="5" t="s">
        <v>134</v>
      </c>
      <c r="F350" s="5" t="s">
        <v>815</v>
      </c>
      <c r="G350" s="5" t="s">
        <v>816</v>
      </c>
      <c r="H350" s="5" t="s">
        <v>137</v>
      </c>
      <c r="I350" s="5" t="s">
        <v>703</v>
      </c>
      <c r="J350" s="5" t="s">
        <v>30</v>
      </c>
      <c r="K350" s="5" t="s">
        <v>30</v>
      </c>
      <c r="L350" s="3" t="s">
        <v>139</v>
      </c>
      <c r="M350" s="3" t="s">
        <v>31</v>
      </c>
      <c r="N350" s="5" t="s">
        <v>285</v>
      </c>
      <c r="O350" s="5" t="s">
        <v>141</v>
      </c>
      <c r="P350" s="5" t="s">
        <v>34</v>
      </c>
      <c r="Q350" s="154">
        <v>357564</v>
      </c>
      <c r="R350" s="166">
        <v>1</v>
      </c>
      <c r="S350" s="168">
        <v>6529</v>
      </c>
      <c r="U350" s="154">
        <v>23345.353999999999</v>
      </c>
      <c r="V350" s="165">
        <v>2.2100000000000001E-4</v>
      </c>
      <c r="W350" s="165">
        <v>4.7640918951014799E-2</v>
      </c>
      <c r="X350" s="165">
        <v>9.1354673810613296E-3</v>
      </c>
    </row>
    <row r="351" spans="1:24">
      <c r="A351" s="5">
        <v>424</v>
      </c>
      <c r="B351" s="5">
        <v>7228</v>
      </c>
      <c r="C351" s="5" t="s">
        <v>398</v>
      </c>
      <c r="D351" s="5" t="s">
        <v>399</v>
      </c>
      <c r="E351" s="5" t="s">
        <v>134</v>
      </c>
      <c r="F351" s="5" t="s">
        <v>817</v>
      </c>
      <c r="G351" s="5" t="s">
        <v>818</v>
      </c>
      <c r="H351" s="5" t="s">
        <v>137</v>
      </c>
      <c r="I351" s="5" t="s">
        <v>703</v>
      </c>
      <c r="J351" s="5" t="s">
        <v>30</v>
      </c>
      <c r="K351" s="5" t="s">
        <v>30</v>
      </c>
      <c r="L351" s="3" t="s">
        <v>139</v>
      </c>
      <c r="M351" s="3" t="s">
        <v>31</v>
      </c>
      <c r="N351" s="5" t="s">
        <v>186</v>
      </c>
      <c r="O351" s="5" t="s">
        <v>141</v>
      </c>
      <c r="P351" s="5" t="s">
        <v>34</v>
      </c>
      <c r="Q351" s="154">
        <v>509226</v>
      </c>
      <c r="R351" s="166">
        <v>1</v>
      </c>
      <c r="S351" s="168">
        <v>1292</v>
      </c>
      <c r="U351" s="154">
        <v>6579.2</v>
      </c>
      <c r="V351" s="165">
        <v>7.0399999999999998E-4</v>
      </c>
      <c r="W351" s="165">
        <v>1.3426189042100901E-2</v>
      </c>
      <c r="X351" s="165">
        <v>2.5745622617437602E-3</v>
      </c>
    </row>
    <row r="352" spans="1:24">
      <c r="A352" s="5">
        <v>424</v>
      </c>
      <c r="B352" s="5">
        <v>7228</v>
      </c>
      <c r="C352" s="5" t="s">
        <v>409</v>
      </c>
      <c r="D352" s="5" t="s">
        <v>410</v>
      </c>
      <c r="E352" s="5" t="s">
        <v>134</v>
      </c>
      <c r="F352" s="5" t="s">
        <v>819</v>
      </c>
      <c r="G352" s="5" t="s">
        <v>820</v>
      </c>
      <c r="H352" s="5" t="s">
        <v>137</v>
      </c>
      <c r="I352" s="5" t="s">
        <v>703</v>
      </c>
      <c r="J352" s="5" t="s">
        <v>30</v>
      </c>
      <c r="K352" s="5" t="s">
        <v>30</v>
      </c>
      <c r="L352" s="3" t="s">
        <v>139</v>
      </c>
      <c r="M352" s="3" t="s">
        <v>31</v>
      </c>
      <c r="N352" s="5" t="s">
        <v>186</v>
      </c>
      <c r="O352" s="5" t="s">
        <v>141</v>
      </c>
      <c r="P352" s="5" t="s">
        <v>34</v>
      </c>
      <c r="Q352" s="154">
        <v>118140</v>
      </c>
      <c r="R352" s="166">
        <v>1</v>
      </c>
      <c r="S352" s="168">
        <v>1357</v>
      </c>
      <c r="U352" s="154">
        <v>1603.16</v>
      </c>
      <c r="V352" s="165">
        <v>7.8299999999999995E-4</v>
      </c>
      <c r="W352" s="165">
        <v>3.2715720454192599E-3</v>
      </c>
      <c r="X352" s="165">
        <v>6.2734599507726697E-4</v>
      </c>
    </row>
    <row r="353" spans="1:24">
      <c r="A353" s="5">
        <v>424</v>
      </c>
      <c r="B353" s="5">
        <v>7228</v>
      </c>
      <c r="C353" s="5" t="s">
        <v>825</v>
      </c>
      <c r="D353" s="5" t="s">
        <v>826</v>
      </c>
      <c r="E353" s="5" t="s">
        <v>134</v>
      </c>
      <c r="F353" s="5" t="s">
        <v>827</v>
      </c>
      <c r="G353" s="5" t="s">
        <v>828</v>
      </c>
      <c r="H353" s="5" t="s">
        <v>137</v>
      </c>
      <c r="I353" s="5" t="s">
        <v>703</v>
      </c>
      <c r="J353" s="5" t="s">
        <v>30</v>
      </c>
      <c r="K353" s="5" t="s">
        <v>30</v>
      </c>
      <c r="L353" s="3" t="s">
        <v>139</v>
      </c>
      <c r="M353" s="3" t="s">
        <v>31</v>
      </c>
      <c r="N353" s="5" t="s">
        <v>829</v>
      </c>
      <c r="O353" s="5" t="s">
        <v>141</v>
      </c>
      <c r="P353" s="5" t="s">
        <v>34</v>
      </c>
      <c r="Q353" s="154">
        <v>20764</v>
      </c>
      <c r="R353" s="166">
        <v>1</v>
      </c>
      <c r="S353" s="168">
        <v>11650</v>
      </c>
      <c r="T353" s="153">
        <v>17.649000000000001</v>
      </c>
      <c r="U353" s="154">
        <v>2436.6550000000002</v>
      </c>
      <c r="V353" s="165">
        <v>3.2299999999999999E-4</v>
      </c>
      <c r="W353" s="165">
        <v>4.9724885135966398E-3</v>
      </c>
      <c r="X353" s="165">
        <v>9.5350819461253696E-4</v>
      </c>
    </row>
    <row r="354" spans="1:24">
      <c r="A354" s="5">
        <v>424</v>
      </c>
      <c r="B354" s="5">
        <v>7228</v>
      </c>
      <c r="C354" s="5" t="s">
        <v>429</v>
      </c>
      <c r="D354" s="5" t="s">
        <v>430</v>
      </c>
      <c r="E354" s="5" t="s">
        <v>134</v>
      </c>
      <c r="F354" s="5" t="s">
        <v>830</v>
      </c>
      <c r="G354" s="5" t="s">
        <v>831</v>
      </c>
      <c r="H354" s="5" t="s">
        <v>137</v>
      </c>
      <c r="I354" s="5" t="s">
        <v>703</v>
      </c>
      <c r="J354" s="5" t="s">
        <v>30</v>
      </c>
      <c r="K354" s="5" t="s">
        <v>30</v>
      </c>
      <c r="L354" s="3" t="s">
        <v>139</v>
      </c>
      <c r="M354" s="3" t="s">
        <v>31</v>
      </c>
      <c r="N354" s="5" t="s">
        <v>186</v>
      </c>
      <c r="O354" s="5" t="s">
        <v>141</v>
      </c>
      <c r="P354" s="5" t="s">
        <v>34</v>
      </c>
      <c r="Q354" s="154">
        <v>12240</v>
      </c>
      <c r="R354" s="166">
        <v>1</v>
      </c>
      <c r="S354" s="168">
        <v>40000</v>
      </c>
      <c r="U354" s="154">
        <v>4896</v>
      </c>
      <c r="V354" s="165">
        <v>2.5700000000000001E-4</v>
      </c>
      <c r="W354" s="165">
        <v>9.9912789320021102E-3</v>
      </c>
      <c r="X354" s="165">
        <v>1.9158950916173801E-3</v>
      </c>
    </row>
    <row r="355" spans="1:24">
      <c r="A355" s="5">
        <v>424</v>
      </c>
      <c r="B355" s="5">
        <v>7228</v>
      </c>
      <c r="C355" s="5" t="s">
        <v>832</v>
      </c>
      <c r="D355" s="5" t="s">
        <v>833</v>
      </c>
      <c r="E355" s="5" t="s">
        <v>134</v>
      </c>
      <c r="F355" s="5" t="s">
        <v>834</v>
      </c>
      <c r="G355" s="5" t="s">
        <v>835</v>
      </c>
      <c r="H355" s="5" t="s">
        <v>137</v>
      </c>
      <c r="I355" s="5" t="s">
        <v>703</v>
      </c>
      <c r="J355" s="5" t="s">
        <v>30</v>
      </c>
      <c r="K355" s="5" t="s">
        <v>30</v>
      </c>
      <c r="L355" s="3" t="s">
        <v>139</v>
      </c>
      <c r="M355" s="3" t="s">
        <v>31</v>
      </c>
      <c r="N355" s="5" t="s">
        <v>170</v>
      </c>
      <c r="O355" s="5" t="s">
        <v>141</v>
      </c>
      <c r="P355" s="5" t="s">
        <v>34</v>
      </c>
      <c r="Q355" s="154">
        <v>25221</v>
      </c>
      <c r="R355" s="166">
        <v>1</v>
      </c>
      <c r="S355" s="168">
        <v>32500</v>
      </c>
      <c r="U355" s="154">
        <v>8196.8250000000007</v>
      </c>
      <c r="V355" s="165">
        <v>3.9899999999999999E-4</v>
      </c>
      <c r="W355" s="165">
        <v>1.6727280419078502E-2</v>
      </c>
      <c r="X355" s="165">
        <v>3.2075687876525001E-3</v>
      </c>
    </row>
    <row r="356" spans="1:24">
      <c r="A356" s="5">
        <v>424</v>
      </c>
      <c r="B356" s="5">
        <v>7228</v>
      </c>
      <c r="C356" s="5" t="s">
        <v>836</v>
      </c>
      <c r="D356" s="5" t="s">
        <v>837</v>
      </c>
      <c r="E356" s="5" t="s">
        <v>134</v>
      </c>
      <c r="F356" s="5" t="s">
        <v>838</v>
      </c>
      <c r="G356" s="5" t="s">
        <v>839</v>
      </c>
      <c r="H356" s="5" t="s">
        <v>137</v>
      </c>
      <c r="I356" s="5" t="s">
        <v>703</v>
      </c>
      <c r="J356" s="5" t="s">
        <v>30</v>
      </c>
      <c r="K356" s="5" t="s">
        <v>30</v>
      </c>
      <c r="L356" s="3" t="s">
        <v>139</v>
      </c>
      <c r="M356" s="3" t="s">
        <v>31</v>
      </c>
      <c r="N356" s="5" t="s">
        <v>734</v>
      </c>
      <c r="O356" s="5" t="s">
        <v>141</v>
      </c>
      <c r="P356" s="5" t="s">
        <v>34</v>
      </c>
      <c r="Q356" s="154">
        <v>105355</v>
      </c>
      <c r="R356" s="166">
        <v>1</v>
      </c>
      <c r="S356" s="168">
        <v>2066</v>
      </c>
      <c r="U356" s="154">
        <v>2176.634</v>
      </c>
      <c r="V356" s="165">
        <v>7.3499999999999998E-4</v>
      </c>
      <c r="W356" s="165">
        <v>4.4418628317530904E-3</v>
      </c>
      <c r="X356" s="165">
        <v>8.5175714289543005E-4</v>
      </c>
    </row>
    <row r="357" spans="1:24">
      <c r="A357" s="5">
        <v>424</v>
      </c>
      <c r="B357" s="5">
        <v>7228</v>
      </c>
      <c r="C357" s="5" t="s">
        <v>467</v>
      </c>
      <c r="D357" s="5" t="s">
        <v>468</v>
      </c>
      <c r="E357" s="5" t="s">
        <v>366</v>
      </c>
      <c r="F357" s="5" t="s">
        <v>840</v>
      </c>
      <c r="G357" s="5" t="s">
        <v>841</v>
      </c>
      <c r="H357" s="5" t="s">
        <v>137</v>
      </c>
      <c r="I357" s="5" t="s">
        <v>703</v>
      </c>
      <c r="J357" s="5" t="s">
        <v>30</v>
      </c>
      <c r="K357" s="5" t="s">
        <v>224</v>
      </c>
      <c r="L357" s="3" t="s">
        <v>139</v>
      </c>
      <c r="M357" s="3" t="s">
        <v>31</v>
      </c>
      <c r="N357" s="5" t="s">
        <v>369</v>
      </c>
      <c r="O357" s="5" t="s">
        <v>141</v>
      </c>
      <c r="P357" s="5" t="s">
        <v>34</v>
      </c>
      <c r="Q357" s="154">
        <v>6200</v>
      </c>
      <c r="R357" s="166">
        <v>1</v>
      </c>
      <c r="S357" s="168">
        <v>11190</v>
      </c>
      <c r="U357" s="154">
        <v>693.78</v>
      </c>
      <c r="V357" s="165">
        <v>5.3000000000000001E-5</v>
      </c>
      <c r="W357" s="165">
        <v>1.41579850846496E-3</v>
      </c>
      <c r="X357" s="165">
        <v>2.71488908632007E-4</v>
      </c>
    </row>
    <row r="358" spans="1:24">
      <c r="A358" s="5">
        <v>424</v>
      </c>
      <c r="B358" s="5">
        <v>7228</v>
      </c>
      <c r="C358" s="5" t="s">
        <v>842</v>
      </c>
      <c r="D358" s="5" t="s">
        <v>843</v>
      </c>
      <c r="E358" s="5" t="s">
        <v>366</v>
      </c>
      <c r="F358" s="5" t="s">
        <v>844</v>
      </c>
      <c r="G358" s="5" t="s">
        <v>845</v>
      </c>
      <c r="H358" s="5" t="s">
        <v>137</v>
      </c>
      <c r="I358" s="5" t="s">
        <v>703</v>
      </c>
      <c r="J358" s="5" t="s">
        <v>30</v>
      </c>
      <c r="K358" s="5" t="s">
        <v>30</v>
      </c>
      <c r="L358" s="3" t="s">
        <v>139</v>
      </c>
      <c r="M358" s="3" t="s">
        <v>31</v>
      </c>
      <c r="N358" s="5" t="s">
        <v>369</v>
      </c>
      <c r="O358" s="5" t="s">
        <v>141</v>
      </c>
      <c r="P358" s="5" t="s">
        <v>34</v>
      </c>
      <c r="Q358" s="154">
        <v>205266.19</v>
      </c>
      <c r="R358" s="166">
        <v>1</v>
      </c>
      <c r="S358" s="168">
        <v>1744</v>
      </c>
      <c r="U358" s="154">
        <v>3579.8420000000001</v>
      </c>
      <c r="V358" s="165">
        <v>1.75E-4</v>
      </c>
      <c r="W358" s="165">
        <v>7.3053928691610504E-3</v>
      </c>
      <c r="X358" s="165">
        <v>1.4008583321132001E-3</v>
      </c>
    </row>
    <row r="359" spans="1:24">
      <c r="A359" s="5">
        <v>424</v>
      </c>
      <c r="B359" s="5">
        <v>7228</v>
      </c>
      <c r="C359" s="5" t="s">
        <v>846</v>
      </c>
      <c r="D359" s="5" t="s">
        <v>847</v>
      </c>
      <c r="E359" s="5" t="s">
        <v>134</v>
      </c>
      <c r="F359" s="5" t="s">
        <v>848</v>
      </c>
      <c r="G359" s="5" t="s">
        <v>849</v>
      </c>
      <c r="H359" s="5" t="s">
        <v>137</v>
      </c>
      <c r="I359" s="5" t="s">
        <v>703</v>
      </c>
      <c r="J359" s="5" t="s">
        <v>30</v>
      </c>
      <c r="K359" s="5" t="s">
        <v>224</v>
      </c>
      <c r="L359" s="3" t="s">
        <v>139</v>
      </c>
      <c r="M359" s="3" t="s">
        <v>31</v>
      </c>
      <c r="N359" s="5" t="s">
        <v>480</v>
      </c>
      <c r="O359" s="5" t="s">
        <v>141</v>
      </c>
      <c r="P359" s="5" t="s">
        <v>34</v>
      </c>
      <c r="Q359" s="154">
        <v>11440</v>
      </c>
      <c r="R359" s="166">
        <v>1</v>
      </c>
      <c r="S359" s="168">
        <v>48800</v>
      </c>
      <c r="U359" s="154">
        <v>5582.72</v>
      </c>
      <c r="V359" s="165">
        <v>1.5300000000000001E-4</v>
      </c>
      <c r="W359" s="165">
        <v>1.1392670081549599E-2</v>
      </c>
      <c r="X359" s="165">
        <v>2.18462129204946E-3</v>
      </c>
    </row>
    <row r="360" spans="1:24">
      <c r="A360" s="5">
        <v>424</v>
      </c>
      <c r="B360" s="5">
        <v>7228</v>
      </c>
      <c r="C360" s="5" t="s">
        <v>506</v>
      </c>
      <c r="D360" s="5" t="s">
        <v>507</v>
      </c>
      <c r="E360" s="5" t="s">
        <v>134</v>
      </c>
      <c r="F360" s="5" t="s">
        <v>850</v>
      </c>
      <c r="G360" s="5" t="s">
        <v>851</v>
      </c>
      <c r="H360" s="5" t="s">
        <v>137</v>
      </c>
      <c r="I360" s="5" t="s">
        <v>703</v>
      </c>
      <c r="J360" s="5" t="s">
        <v>30</v>
      </c>
      <c r="K360" s="5" t="s">
        <v>30</v>
      </c>
      <c r="L360" s="3" t="s">
        <v>139</v>
      </c>
      <c r="M360" s="3" t="s">
        <v>31</v>
      </c>
      <c r="N360" s="5" t="s">
        <v>186</v>
      </c>
      <c r="O360" s="5" t="s">
        <v>141</v>
      </c>
      <c r="P360" s="5" t="s">
        <v>34</v>
      </c>
      <c r="Q360" s="154">
        <v>25917</v>
      </c>
      <c r="R360" s="166">
        <v>1</v>
      </c>
      <c r="S360" s="168">
        <v>32870</v>
      </c>
      <c r="U360" s="154">
        <v>8518.9179999999997</v>
      </c>
      <c r="V360" s="165">
        <v>2.14E-4</v>
      </c>
      <c r="W360" s="165">
        <v>1.7384576171921101E-2</v>
      </c>
      <c r="X360" s="165">
        <v>3.3336096794324799E-3</v>
      </c>
    </row>
    <row r="361" spans="1:24">
      <c r="A361" s="5">
        <v>424</v>
      </c>
      <c r="B361" s="5">
        <v>7228</v>
      </c>
      <c r="C361" s="5" t="s">
        <v>522</v>
      </c>
      <c r="D361" s="5" t="s">
        <v>523</v>
      </c>
      <c r="E361" s="5" t="s">
        <v>134</v>
      </c>
      <c r="F361" s="5" t="s">
        <v>852</v>
      </c>
      <c r="G361" s="5" t="s">
        <v>853</v>
      </c>
      <c r="H361" s="5" t="s">
        <v>137</v>
      </c>
      <c r="I361" s="5" t="s">
        <v>703</v>
      </c>
      <c r="J361" s="5" t="s">
        <v>30</v>
      </c>
      <c r="K361" s="5" t="s">
        <v>30</v>
      </c>
      <c r="L361" s="3" t="s">
        <v>139</v>
      </c>
      <c r="M361" s="3" t="s">
        <v>31</v>
      </c>
      <c r="N361" s="5" t="s">
        <v>285</v>
      </c>
      <c r="O361" s="5" t="s">
        <v>141</v>
      </c>
      <c r="P361" s="5" t="s">
        <v>34</v>
      </c>
      <c r="Q361" s="154">
        <v>376100</v>
      </c>
      <c r="R361" s="166">
        <v>1</v>
      </c>
      <c r="S361" s="168">
        <v>6732</v>
      </c>
      <c r="U361" s="154">
        <v>25319.052</v>
      </c>
      <c r="V361" s="165">
        <v>2.81E-4</v>
      </c>
      <c r="W361" s="165">
        <v>5.1668650086982397E-2</v>
      </c>
      <c r="X361" s="165">
        <v>9.9078119794128207E-3</v>
      </c>
    </row>
    <row r="362" spans="1:24">
      <c r="A362" s="5">
        <v>424</v>
      </c>
      <c r="B362" s="5">
        <v>7228</v>
      </c>
      <c r="C362" s="5" t="s">
        <v>644</v>
      </c>
      <c r="D362" s="5" t="s">
        <v>645</v>
      </c>
      <c r="E362" s="5" t="s">
        <v>134</v>
      </c>
      <c r="F362" s="5" t="s">
        <v>854</v>
      </c>
      <c r="G362" s="5" t="s">
        <v>855</v>
      </c>
      <c r="H362" s="5" t="s">
        <v>137</v>
      </c>
      <c r="I362" s="5" t="s">
        <v>703</v>
      </c>
      <c r="J362" s="5" t="s">
        <v>30</v>
      </c>
      <c r="K362" s="5" t="s">
        <v>30</v>
      </c>
      <c r="L362" s="3" t="s">
        <v>139</v>
      </c>
      <c r="M362" s="3" t="s">
        <v>31</v>
      </c>
      <c r="N362" s="5" t="s">
        <v>612</v>
      </c>
      <c r="O362" s="5" t="s">
        <v>141</v>
      </c>
      <c r="P362" s="5" t="s">
        <v>34</v>
      </c>
      <c r="Q362" s="154">
        <v>103198</v>
      </c>
      <c r="R362" s="166">
        <v>1</v>
      </c>
      <c r="S362" s="168">
        <v>3170</v>
      </c>
      <c r="U362" s="154">
        <v>3271.377</v>
      </c>
      <c r="V362" s="165">
        <v>5.3799999999999996E-4</v>
      </c>
      <c r="W362" s="165">
        <v>6.6759060666308602E-3</v>
      </c>
      <c r="X362" s="165">
        <v>1.2801499940302201E-3</v>
      </c>
    </row>
    <row r="363" spans="1:24">
      <c r="A363" s="5">
        <v>424</v>
      </c>
      <c r="B363" s="5">
        <v>7228</v>
      </c>
      <c r="C363" s="5" t="s">
        <v>540</v>
      </c>
      <c r="D363" s="5" t="s">
        <v>541</v>
      </c>
      <c r="E363" s="5" t="s">
        <v>134</v>
      </c>
      <c r="F363" s="5" t="s">
        <v>856</v>
      </c>
      <c r="G363" s="5" t="s">
        <v>857</v>
      </c>
      <c r="H363" s="5" t="s">
        <v>137</v>
      </c>
      <c r="I363" s="5" t="s">
        <v>703</v>
      </c>
      <c r="J363" s="5" t="s">
        <v>30</v>
      </c>
      <c r="K363" s="5" t="s">
        <v>30</v>
      </c>
      <c r="L363" s="3" t="s">
        <v>139</v>
      </c>
      <c r="M363" s="3" t="s">
        <v>31</v>
      </c>
      <c r="N363" s="5" t="s">
        <v>544</v>
      </c>
      <c r="O363" s="5" t="s">
        <v>141</v>
      </c>
      <c r="P363" s="5" t="s">
        <v>34</v>
      </c>
      <c r="Q363" s="154">
        <v>3724</v>
      </c>
      <c r="R363" s="166">
        <v>1</v>
      </c>
      <c r="S363" s="168">
        <v>55350</v>
      </c>
      <c r="U363" s="154">
        <v>2061.2339999999999</v>
      </c>
      <c r="V363" s="165">
        <v>2.2599999999999999E-4</v>
      </c>
      <c r="W363" s="165">
        <v>4.2063651630160201E-3</v>
      </c>
      <c r="X363" s="165">
        <v>8.0659887730287103E-4</v>
      </c>
    </row>
    <row r="364" spans="1:24">
      <c r="A364" s="5">
        <v>424</v>
      </c>
      <c r="B364" s="5">
        <v>7228</v>
      </c>
      <c r="C364" s="5" t="s">
        <v>858</v>
      </c>
      <c r="D364" s="5" t="s">
        <v>859</v>
      </c>
      <c r="E364" s="5" t="s">
        <v>134</v>
      </c>
      <c r="F364" s="5" t="s">
        <v>860</v>
      </c>
      <c r="G364" s="5" t="s">
        <v>861</v>
      </c>
      <c r="H364" s="5" t="s">
        <v>137</v>
      </c>
      <c r="I364" s="5" t="s">
        <v>703</v>
      </c>
      <c r="J364" s="5" t="s">
        <v>30</v>
      </c>
      <c r="K364" s="5" t="s">
        <v>30</v>
      </c>
      <c r="L364" s="3" t="s">
        <v>139</v>
      </c>
      <c r="M364" s="3" t="s">
        <v>31</v>
      </c>
      <c r="N364" s="5" t="s">
        <v>718</v>
      </c>
      <c r="O364" s="5" t="s">
        <v>141</v>
      </c>
      <c r="P364" s="5" t="s">
        <v>34</v>
      </c>
      <c r="Q364" s="154">
        <v>694241</v>
      </c>
      <c r="R364" s="166">
        <v>1</v>
      </c>
      <c r="S364" s="168">
        <v>875.3</v>
      </c>
      <c r="U364" s="154">
        <v>6076.6909999999998</v>
      </c>
      <c r="V364" s="165">
        <v>2.4069999999999999E-3</v>
      </c>
      <c r="W364" s="165">
        <v>1.2400718850176001E-2</v>
      </c>
      <c r="X364" s="165">
        <v>2.3779214392144398E-3</v>
      </c>
    </row>
    <row r="365" spans="1:24">
      <c r="A365" s="5">
        <v>424</v>
      </c>
      <c r="B365" s="5">
        <v>7228</v>
      </c>
      <c r="C365" s="5" t="s">
        <v>862</v>
      </c>
      <c r="D365" s="5" t="s">
        <v>863</v>
      </c>
      <c r="E365" s="5" t="s">
        <v>134</v>
      </c>
      <c r="F365" s="5" t="s">
        <v>864</v>
      </c>
      <c r="G365" s="5" t="s">
        <v>865</v>
      </c>
      <c r="H365" s="5" t="s">
        <v>137</v>
      </c>
      <c r="I365" s="5" t="s">
        <v>703</v>
      </c>
      <c r="J365" s="5" t="s">
        <v>30</v>
      </c>
      <c r="K365" s="5" t="s">
        <v>30</v>
      </c>
      <c r="L365" s="3" t="s">
        <v>139</v>
      </c>
      <c r="M365" s="3" t="s">
        <v>31</v>
      </c>
      <c r="N365" s="5" t="s">
        <v>186</v>
      </c>
      <c r="O365" s="5" t="s">
        <v>141</v>
      </c>
      <c r="P365" s="5" t="s">
        <v>34</v>
      </c>
      <c r="Q365" s="154">
        <v>216496.9</v>
      </c>
      <c r="R365" s="166">
        <v>1</v>
      </c>
      <c r="S365" s="168">
        <v>560.9</v>
      </c>
      <c r="U365" s="154">
        <v>1214.3309999999999</v>
      </c>
      <c r="V365" s="165">
        <v>2.0079999999999998E-3</v>
      </c>
      <c r="W365" s="165">
        <v>2.478088410294E-3</v>
      </c>
      <c r="X365" s="165">
        <v>4.7519015875626297E-4</v>
      </c>
    </row>
    <row r="366" spans="1:24">
      <c r="A366" s="5">
        <v>424</v>
      </c>
      <c r="B366" s="5">
        <v>7228</v>
      </c>
      <c r="C366" s="5" t="s">
        <v>866</v>
      </c>
      <c r="D366" s="5" t="s">
        <v>867</v>
      </c>
      <c r="E366" s="5" t="s">
        <v>134</v>
      </c>
      <c r="F366" s="5" t="s">
        <v>868</v>
      </c>
      <c r="G366" s="5" t="s">
        <v>869</v>
      </c>
      <c r="H366" s="5" t="s">
        <v>137</v>
      </c>
      <c r="I366" s="5" t="s">
        <v>703</v>
      </c>
      <c r="J366" s="5" t="s">
        <v>30</v>
      </c>
      <c r="K366" s="5" t="s">
        <v>30</v>
      </c>
      <c r="L366" s="3" t="s">
        <v>139</v>
      </c>
      <c r="M366" s="3" t="s">
        <v>31</v>
      </c>
      <c r="N366" s="5" t="s">
        <v>734</v>
      </c>
      <c r="O366" s="5" t="s">
        <v>141</v>
      </c>
      <c r="P366" s="5" t="s">
        <v>34</v>
      </c>
      <c r="Q366" s="154">
        <v>17500</v>
      </c>
      <c r="R366" s="166">
        <v>1</v>
      </c>
      <c r="S366" s="168">
        <v>30530</v>
      </c>
      <c r="U366" s="154">
        <v>5342.75</v>
      </c>
      <c r="V366" s="165">
        <v>1.2700000000000001E-3</v>
      </c>
      <c r="W366" s="165">
        <v>1.0902962727523301E-2</v>
      </c>
      <c r="X366" s="165">
        <v>2.09071660554304E-3</v>
      </c>
    </row>
    <row r="367" spans="1:24">
      <c r="A367" s="5">
        <v>424</v>
      </c>
      <c r="B367" s="5">
        <v>7228</v>
      </c>
      <c r="C367" s="5" t="s">
        <v>870</v>
      </c>
      <c r="D367" s="5" t="s">
        <v>871</v>
      </c>
      <c r="E367" s="5" t="s">
        <v>366</v>
      </c>
      <c r="F367" s="5" t="s">
        <v>872</v>
      </c>
      <c r="G367" s="5" t="s">
        <v>873</v>
      </c>
      <c r="H367" s="5" t="s">
        <v>137</v>
      </c>
      <c r="I367" s="5" t="s">
        <v>703</v>
      </c>
      <c r="J367" s="5" t="s">
        <v>30</v>
      </c>
      <c r="K367" s="5" t="s">
        <v>30</v>
      </c>
      <c r="L367" s="3" t="s">
        <v>139</v>
      </c>
      <c r="M367" s="3" t="s">
        <v>31</v>
      </c>
      <c r="N367" s="5" t="s">
        <v>369</v>
      </c>
      <c r="O367" s="5" t="s">
        <v>141</v>
      </c>
      <c r="P367" s="5" t="s">
        <v>34</v>
      </c>
      <c r="Q367" s="154">
        <v>508997</v>
      </c>
      <c r="R367" s="166">
        <v>1</v>
      </c>
      <c r="S367" s="168">
        <v>454.7</v>
      </c>
      <c r="U367" s="154">
        <v>2314.4090000000001</v>
      </c>
      <c r="V367" s="165">
        <v>4.5300000000000001E-4</v>
      </c>
      <c r="W367" s="165">
        <v>4.7230207247968099E-3</v>
      </c>
      <c r="X367" s="165">
        <v>9.0567106431810101E-4</v>
      </c>
    </row>
    <row r="368" spans="1:24">
      <c r="A368" s="5">
        <v>424</v>
      </c>
      <c r="B368" s="5">
        <v>7228</v>
      </c>
      <c r="C368" s="5" t="s">
        <v>874</v>
      </c>
      <c r="D368" s="5" t="s">
        <v>875</v>
      </c>
      <c r="E368" s="5" t="s">
        <v>134</v>
      </c>
      <c r="F368" s="5" t="s">
        <v>876</v>
      </c>
      <c r="G368" s="5" t="s">
        <v>877</v>
      </c>
      <c r="H368" s="5" t="s">
        <v>137</v>
      </c>
      <c r="I368" s="5" t="s">
        <v>703</v>
      </c>
      <c r="J368" s="5" t="s">
        <v>30</v>
      </c>
      <c r="K368" s="5" t="s">
        <v>30</v>
      </c>
      <c r="L368" s="3" t="s">
        <v>139</v>
      </c>
      <c r="M368" s="3" t="s">
        <v>31</v>
      </c>
      <c r="N368" s="5" t="s">
        <v>878</v>
      </c>
      <c r="O368" s="5" t="s">
        <v>141</v>
      </c>
      <c r="P368" s="5" t="s">
        <v>34</v>
      </c>
      <c r="Q368" s="154">
        <v>58139</v>
      </c>
      <c r="R368" s="166">
        <v>1</v>
      </c>
      <c r="S368" s="168">
        <v>9361</v>
      </c>
      <c r="U368" s="154">
        <v>5442.3919999999998</v>
      </c>
      <c r="V368" s="165">
        <v>4.95E-4</v>
      </c>
      <c r="W368" s="165">
        <v>1.11063019671422E-2</v>
      </c>
      <c r="X368" s="165">
        <v>2.1297082755555E-3</v>
      </c>
    </row>
    <row r="369" spans="1:24">
      <c r="A369" s="5">
        <v>424</v>
      </c>
      <c r="B369" s="5">
        <v>7228</v>
      </c>
      <c r="C369" s="5" t="s">
        <v>879</v>
      </c>
      <c r="D369" s="5" t="s">
        <v>880</v>
      </c>
      <c r="E369" s="5" t="s">
        <v>134</v>
      </c>
      <c r="F369" s="5" t="s">
        <v>881</v>
      </c>
      <c r="G369" s="5" t="s">
        <v>882</v>
      </c>
      <c r="H369" s="5" t="s">
        <v>137</v>
      </c>
      <c r="I369" s="5" t="s">
        <v>703</v>
      </c>
      <c r="J369" s="5" t="s">
        <v>30</v>
      </c>
      <c r="K369" s="5" t="s">
        <v>30</v>
      </c>
      <c r="L369" s="3" t="s">
        <v>139</v>
      </c>
      <c r="M369" s="3" t="s">
        <v>31</v>
      </c>
      <c r="N369" s="5" t="s">
        <v>718</v>
      </c>
      <c r="O369" s="5" t="s">
        <v>141</v>
      </c>
      <c r="P369" s="5" t="s">
        <v>34</v>
      </c>
      <c r="Q369" s="154">
        <v>161464</v>
      </c>
      <c r="R369" s="166">
        <v>1</v>
      </c>
      <c r="S369" s="168">
        <v>2708</v>
      </c>
      <c r="U369" s="154">
        <v>4372.4449999999997</v>
      </c>
      <c r="V369" s="165">
        <v>4.5100000000000001E-4</v>
      </c>
      <c r="W369" s="165">
        <v>8.9228592338217796E-3</v>
      </c>
      <c r="X369" s="165">
        <v>1.71101841171862E-3</v>
      </c>
    </row>
    <row r="370" spans="1:24">
      <c r="A370" s="5">
        <v>424</v>
      </c>
      <c r="B370" s="5">
        <v>7228</v>
      </c>
      <c r="C370" s="5" t="s">
        <v>883</v>
      </c>
      <c r="D370" s="5" t="s">
        <v>884</v>
      </c>
      <c r="E370" s="5" t="s">
        <v>134</v>
      </c>
      <c r="F370" s="5" t="s">
        <v>885</v>
      </c>
      <c r="G370" s="5" t="s">
        <v>886</v>
      </c>
      <c r="H370" s="5" t="s">
        <v>137</v>
      </c>
      <c r="I370" s="5" t="s">
        <v>703</v>
      </c>
      <c r="J370" s="5" t="s">
        <v>30</v>
      </c>
      <c r="K370" s="5" t="s">
        <v>797</v>
      </c>
      <c r="L370" s="3" t="s">
        <v>139</v>
      </c>
      <c r="M370" s="3" t="s">
        <v>31</v>
      </c>
      <c r="N370" s="5" t="s">
        <v>887</v>
      </c>
      <c r="O370" s="5" t="s">
        <v>141</v>
      </c>
      <c r="P370" s="5" t="s">
        <v>34</v>
      </c>
      <c r="Q370" s="154">
        <v>15900</v>
      </c>
      <c r="R370" s="166">
        <v>1</v>
      </c>
      <c r="S370" s="168">
        <v>13500</v>
      </c>
      <c r="U370" s="154">
        <v>2146.5</v>
      </c>
      <c r="V370" s="165">
        <v>1.207E-3</v>
      </c>
      <c r="W370" s="165">
        <v>4.3803676935340102E-3</v>
      </c>
      <c r="X370" s="165">
        <v>8.3996503557122199E-4</v>
      </c>
    </row>
    <row r="371" spans="1:24">
      <c r="A371" s="5">
        <v>424</v>
      </c>
      <c r="B371" s="5">
        <v>7228</v>
      </c>
      <c r="C371" s="5" t="s">
        <v>619</v>
      </c>
      <c r="D371" s="5" t="s">
        <v>620</v>
      </c>
      <c r="E371" s="5" t="s">
        <v>134</v>
      </c>
      <c r="F371" s="5" t="s">
        <v>888</v>
      </c>
      <c r="G371" s="5" t="s">
        <v>889</v>
      </c>
      <c r="H371" s="5" t="s">
        <v>137</v>
      </c>
      <c r="I371" s="5" t="s">
        <v>703</v>
      </c>
      <c r="J371" s="5" t="s">
        <v>30</v>
      </c>
      <c r="K371" s="5" t="s">
        <v>30</v>
      </c>
      <c r="L371" s="3" t="s">
        <v>139</v>
      </c>
      <c r="M371" s="3" t="s">
        <v>31</v>
      </c>
      <c r="N371" s="5" t="s">
        <v>555</v>
      </c>
      <c r="O371" s="5" t="s">
        <v>141</v>
      </c>
      <c r="P371" s="5" t="s">
        <v>34</v>
      </c>
      <c r="Q371" s="154">
        <v>13371</v>
      </c>
      <c r="R371" s="166">
        <v>1</v>
      </c>
      <c r="S371" s="168">
        <v>16620</v>
      </c>
      <c r="U371" s="154">
        <v>2222.2600000000002</v>
      </c>
      <c r="V371" s="165">
        <v>1.557E-3</v>
      </c>
      <c r="W371" s="165">
        <v>4.5349717152138001E-3</v>
      </c>
      <c r="X371" s="165">
        <v>8.6961139899441396E-4</v>
      </c>
    </row>
    <row r="372" spans="1:24">
      <c r="A372" s="5">
        <v>424</v>
      </c>
      <c r="B372" s="5">
        <v>7228</v>
      </c>
      <c r="C372" s="5" t="s">
        <v>890</v>
      </c>
      <c r="D372" s="5" t="s">
        <v>891</v>
      </c>
      <c r="E372" s="5" t="s">
        <v>651</v>
      </c>
      <c r="F372" s="5" t="s">
        <v>892</v>
      </c>
      <c r="G372" s="5" t="s">
        <v>893</v>
      </c>
      <c r="H372" s="5" t="s">
        <v>137</v>
      </c>
      <c r="I372" s="5" t="s">
        <v>703</v>
      </c>
      <c r="J372" s="5" t="s">
        <v>572</v>
      </c>
      <c r="K372" s="5" t="s">
        <v>224</v>
      </c>
      <c r="L372" s="3" t="s">
        <v>139</v>
      </c>
      <c r="M372" s="3" t="s">
        <v>894</v>
      </c>
      <c r="N372" s="5" t="s">
        <v>895</v>
      </c>
      <c r="O372" s="5" t="s">
        <v>141</v>
      </c>
      <c r="P372" s="5" t="s">
        <v>664</v>
      </c>
      <c r="Q372" s="154">
        <v>8020</v>
      </c>
      <c r="R372" s="166">
        <v>3.306</v>
      </c>
      <c r="S372" s="168">
        <v>12142</v>
      </c>
      <c r="U372" s="154">
        <v>3219.3440000000001</v>
      </c>
      <c r="V372" s="165">
        <v>2.3E-5</v>
      </c>
      <c r="W372" s="165">
        <v>6.5697239342605001E-3</v>
      </c>
      <c r="X372" s="165">
        <v>1.2597888543192401E-3</v>
      </c>
    </row>
    <row r="373" spans="1:24">
      <c r="A373" s="5">
        <v>424</v>
      </c>
      <c r="B373" s="5">
        <v>7228</v>
      </c>
      <c r="C373" s="5" t="s">
        <v>896</v>
      </c>
      <c r="D373" s="5" t="s">
        <v>897</v>
      </c>
      <c r="E373" s="5" t="s">
        <v>651</v>
      </c>
      <c r="F373" s="5" t="s">
        <v>898</v>
      </c>
      <c r="G373" s="5" t="s">
        <v>899</v>
      </c>
      <c r="H373" s="5" t="s">
        <v>137</v>
      </c>
      <c r="I373" s="5" t="s">
        <v>703</v>
      </c>
      <c r="J373" s="5" t="s">
        <v>572</v>
      </c>
      <c r="K373" s="5" t="s">
        <v>224</v>
      </c>
      <c r="L373" s="3" t="s">
        <v>139</v>
      </c>
      <c r="M373" s="3" t="s">
        <v>894</v>
      </c>
      <c r="N373" s="5" t="s">
        <v>900</v>
      </c>
      <c r="O373" s="5" t="s">
        <v>141</v>
      </c>
      <c r="P373" s="5" t="s">
        <v>664</v>
      </c>
      <c r="Q373" s="154">
        <v>19076</v>
      </c>
      <c r="R373" s="166">
        <v>3.306</v>
      </c>
      <c r="S373" s="168">
        <v>21957</v>
      </c>
      <c r="U373" s="154">
        <v>13847.237999999999</v>
      </c>
      <c r="V373" s="165">
        <v>1.9999999999999999E-6</v>
      </c>
      <c r="W373" s="165">
        <v>2.8258092298356199E-2</v>
      </c>
      <c r="X373" s="165">
        <v>5.4186797007020199E-3</v>
      </c>
    </row>
    <row r="374" spans="1:24">
      <c r="A374" s="5">
        <v>424</v>
      </c>
      <c r="B374" s="5">
        <v>7228</v>
      </c>
      <c r="C374" s="5" t="s">
        <v>901</v>
      </c>
      <c r="D374" s="5" t="s">
        <v>902</v>
      </c>
      <c r="E374" s="5" t="s">
        <v>651</v>
      </c>
      <c r="F374" s="5" t="s">
        <v>903</v>
      </c>
      <c r="G374" s="5" t="s">
        <v>904</v>
      </c>
      <c r="H374" s="5" t="s">
        <v>137</v>
      </c>
      <c r="I374" s="5" t="s">
        <v>703</v>
      </c>
      <c r="J374" s="5" t="s">
        <v>572</v>
      </c>
      <c r="K374" s="5" t="s">
        <v>224</v>
      </c>
      <c r="L374" s="3" t="s">
        <v>139</v>
      </c>
      <c r="M374" s="3" t="s">
        <v>894</v>
      </c>
      <c r="N374" s="5" t="s">
        <v>905</v>
      </c>
      <c r="O374" s="5" t="s">
        <v>141</v>
      </c>
      <c r="P374" s="5" t="s">
        <v>664</v>
      </c>
      <c r="Q374" s="154">
        <v>2866</v>
      </c>
      <c r="R374" s="166">
        <v>3.306</v>
      </c>
      <c r="S374" s="168">
        <v>50274</v>
      </c>
      <c r="U374" s="154">
        <v>4763.4589999999998</v>
      </c>
      <c r="V374" s="165">
        <v>1.9999999999999999E-6</v>
      </c>
      <c r="W374" s="165">
        <v>9.72080319368686E-3</v>
      </c>
      <c r="X374" s="165">
        <v>1.86402954537785E-3</v>
      </c>
    </row>
    <row r="375" spans="1:24">
      <c r="A375" s="5">
        <v>424</v>
      </c>
      <c r="B375" s="5">
        <v>7228</v>
      </c>
      <c r="C375" s="5" t="s">
        <v>906</v>
      </c>
      <c r="D375" s="5" t="s">
        <v>907</v>
      </c>
      <c r="E375" s="5" t="s">
        <v>651</v>
      </c>
      <c r="F375" s="5" t="s">
        <v>908</v>
      </c>
      <c r="G375" s="5" t="s">
        <v>909</v>
      </c>
      <c r="H375" s="5" t="s">
        <v>137</v>
      </c>
      <c r="I375" s="5" t="s">
        <v>703</v>
      </c>
      <c r="J375" s="5" t="s">
        <v>572</v>
      </c>
      <c r="K375" s="5" t="s">
        <v>224</v>
      </c>
      <c r="L375" s="3" t="s">
        <v>139</v>
      </c>
      <c r="M375" s="3" t="s">
        <v>894</v>
      </c>
      <c r="N375" s="5" t="s">
        <v>655</v>
      </c>
      <c r="O375" s="5" t="s">
        <v>141</v>
      </c>
      <c r="P375" s="5" t="s">
        <v>664</v>
      </c>
      <c r="Q375" s="154">
        <v>9535</v>
      </c>
      <c r="R375" s="166">
        <v>3.306</v>
      </c>
      <c r="S375" s="168">
        <v>14008</v>
      </c>
      <c r="U375" s="154">
        <v>4415.701</v>
      </c>
      <c r="V375" s="165">
        <v>5.5999999999999999E-5</v>
      </c>
      <c r="W375" s="165">
        <v>9.0111320542136195E-3</v>
      </c>
      <c r="X375" s="165">
        <v>1.72794532012173E-3</v>
      </c>
    </row>
    <row r="376" spans="1:24">
      <c r="A376" s="5">
        <v>424</v>
      </c>
      <c r="B376" s="5">
        <v>7228</v>
      </c>
      <c r="C376" s="5" t="s">
        <v>910</v>
      </c>
      <c r="D376" s="5" t="s">
        <v>911</v>
      </c>
      <c r="E376" s="5" t="s">
        <v>134</v>
      </c>
      <c r="F376" s="5" t="s">
        <v>912</v>
      </c>
      <c r="G376" s="5" t="s">
        <v>913</v>
      </c>
      <c r="H376" s="5" t="s">
        <v>137</v>
      </c>
      <c r="I376" s="5" t="s">
        <v>703</v>
      </c>
      <c r="J376" s="5" t="s">
        <v>572</v>
      </c>
      <c r="K376" s="5" t="s">
        <v>224</v>
      </c>
      <c r="L376" s="3" t="s">
        <v>139</v>
      </c>
      <c r="M376" s="3" t="s">
        <v>914</v>
      </c>
      <c r="N376" s="5" t="s">
        <v>655</v>
      </c>
      <c r="O376" s="5" t="s">
        <v>141</v>
      </c>
      <c r="P376" s="5" t="s">
        <v>664</v>
      </c>
      <c r="Q376" s="154">
        <v>94000</v>
      </c>
      <c r="R376" s="166">
        <v>3.306</v>
      </c>
      <c r="S376" s="168">
        <v>100</v>
      </c>
      <c r="U376" s="154">
        <v>310.76400000000001</v>
      </c>
      <c r="V376" s="165">
        <v>0</v>
      </c>
      <c r="W376" s="165">
        <v>6.3417683946583004E-4</v>
      </c>
      <c r="X376" s="165">
        <v>1.21607684283371E-4</v>
      </c>
    </row>
    <row r="377" spans="1:24">
      <c r="A377" s="5">
        <v>424</v>
      </c>
      <c r="B377" s="5">
        <v>7228</v>
      </c>
      <c r="C377" s="5" t="s">
        <v>915</v>
      </c>
      <c r="D377" s="5" t="s">
        <v>916</v>
      </c>
      <c r="E377" s="5" t="s">
        <v>651</v>
      </c>
      <c r="F377" s="5" t="s">
        <v>915</v>
      </c>
      <c r="G377" s="5" t="s">
        <v>917</v>
      </c>
      <c r="H377" s="5" t="s">
        <v>137</v>
      </c>
      <c r="I377" s="5" t="s">
        <v>703</v>
      </c>
      <c r="J377" s="5" t="s">
        <v>572</v>
      </c>
      <c r="K377" s="5" t="s">
        <v>797</v>
      </c>
      <c r="L377" s="3" t="s">
        <v>139</v>
      </c>
      <c r="M377" s="3" t="s">
        <v>894</v>
      </c>
      <c r="N377" s="5" t="s">
        <v>918</v>
      </c>
      <c r="O377" s="5" t="s">
        <v>141</v>
      </c>
      <c r="P377" s="5" t="s">
        <v>664</v>
      </c>
      <c r="Q377" s="154">
        <v>1088</v>
      </c>
      <c r="R377" s="166">
        <v>3.306</v>
      </c>
      <c r="S377" s="168">
        <v>92563</v>
      </c>
      <c r="U377" s="154">
        <v>3329.424</v>
      </c>
      <c r="V377" s="165">
        <v>1.9999999999999999E-6</v>
      </c>
      <c r="W377" s="165">
        <v>6.7943644830984499E-3</v>
      </c>
      <c r="X377" s="165">
        <v>1.30286519397765E-3</v>
      </c>
    </row>
    <row r="378" spans="1:24">
      <c r="A378" s="5">
        <v>424</v>
      </c>
      <c r="B378" s="5">
        <v>7228</v>
      </c>
      <c r="C378" s="5" t="s">
        <v>919</v>
      </c>
      <c r="D378" s="5" t="s">
        <v>920</v>
      </c>
      <c r="E378" s="5" t="s">
        <v>651</v>
      </c>
      <c r="F378" s="5" t="s">
        <v>921</v>
      </c>
      <c r="G378" s="5" t="s">
        <v>922</v>
      </c>
      <c r="H378" s="5" t="s">
        <v>137</v>
      </c>
      <c r="I378" s="5" t="s">
        <v>703</v>
      </c>
      <c r="J378" s="5" t="s">
        <v>572</v>
      </c>
      <c r="K378" s="5" t="s">
        <v>224</v>
      </c>
      <c r="L378" s="3" t="s">
        <v>139</v>
      </c>
      <c r="M378" s="3" t="s">
        <v>914</v>
      </c>
      <c r="N378" s="5" t="s">
        <v>655</v>
      </c>
      <c r="O378" s="5" t="s">
        <v>141</v>
      </c>
      <c r="P378" s="5" t="s">
        <v>664</v>
      </c>
      <c r="Q378" s="154">
        <v>2419</v>
      </c>
      <c r="R378" s="166">
        <v>3.306</v>
      </c>
      <c r="S378" s="168">
        <v>76300</v>
      </c>
      <c r="U378" s="154">
        <v>6101.8739999999998</v>
      </c>
      <c r="V378" s="165">
        <v>3.0000000000000001E-6</v>
      </c>
      <c r="W378" s="165">
        <v>1.24521094688464E-2</v>
      </c>
      <c r="X378" s="165">
        <v>2.38777593679537E-3</v>
      </c>
    </row>
    <row r="379" spans="1:24">
      <c r="A379" s="5">
        <v>424</v>
      </c>
      <c r="B379" s="5">
        <v>7228</v>
      </c>
      <c r="C379" s="5" t="s">
        <v>1039</v>
      </c>
      <c r="D379" s="5" t="s">
        <v>1040</v>
      </c>
      <c r="E379" s="5" t="s">
        <v>134</v>
      </c>
      <c r="F379" s="5" t="s">
        <v>1041</v>
      </c>
      <c r="G379" s="5" t="s">
        <v>1042</v>
      </c>
      <c r="H379" s="5" t="s">
        <v>137</v>
      </c>
      <c r="I379" s="5" t="s">
        <v>703</v>
      </c>
      <c r="J379" s="5" t="s">
        <v>572</v>
      </c>
      <c r="K379" s="5" t="s">
        <v>224</v>
      </c>
      <c r="L379" s="3" t="s">
        <v>139</v>
      </c>
      <c r="M379" s="3" t="s">
        <v>914</v>
      </c>
      <c r="N379" s="5" t="s">
        <v>1043</v>
      </c>
      <c r="O379" s="5" t="s">
        <v>141</v>
      </c>
      <c r="P379" s="5" t="s">
        <v>664</v>
      </c>
      <c r="Q379" s="154">
        <v>1900</v>
      </c>
      <c r="R379" s="166">
        <v>3.306</v>
      </c>
      <c r="S379" s="168">
        <v>1801</v>
      </c>
      <c r="U379" s="154">
        <v>113.128</v>
      </c>
      <c r="V379" s="165">
        <v>1.45E-4</v>
      </c>
      <c r="W379" s="165">
        <v>2.3086060925192801E-4</v>
      </c>
      <c r="X379" s="165">
        <v>4.4269078175453801E-5</v>
      </c>
    </row>
    <row r="380" spans="1:24">
      <c r="A380" s="5">
        <v>424</v>
      </c>
      <c r="B380" s="5">
        <v>7228</v>
      </c>
      <c r="C380" s="5" t="s">
        <v>923</v>
      </c>
      <c r="D380" s="5" t="s">
        <v>924</v>
      </c>
      <c r="E380" s="5" t="s">
        <v>651</v>
      </c>
      <c r="F380" s="5" t="s">
        <v>925</v>
      </c>
      <c r="G380" s="5" t="s">
        <v>926</v>
      </c>
      <c r="H380" s="5" t="s">
        <v>137</v>
      </c>
      <c r="I380" s="5" t="s">
        <v>703</v>
      </c>
      <c r="J380" s="5" t="s">
        <v>572</v>
      </c>
      <c r="K380" s="5" t="s">
        <v>224</v>
      </c>
      <c r="L380" s="3" t="s">
        <v>139</v>
      </c>
      <c r="M380" s="3" t="s">
        <v>894</v>
      </c>
      <c r="N380" s="5" t="s">
        <v>927</v>
      </c>
      <c r="O380" s="5" t="s">
        <v>141</v>
      </c>
      <c r="P380" s="5" t="s">
        <v>664</v>
      </c>
      <c r="Q380" s="154">
        <v>47500</v>
      </c>
      <c r="R380" s="166">
        <v>3.306</v>
      </c>
      <c r="S380" s="168">
        <v>5797</v>
      </c>
      <c r="U380" s="154">
        <v>9103.3189999999995</v>
      </c>
      <c r="V380" s="165">
        <v>1.16E-4</v>
      </c>
      <c r="W380" s="165">
        <v>1.85771647950226E-2</v>
      </c>
      <c r="X380" s="165">
        <v>3.5622965877721499E-3</v>
      </c>
    </row>
    <row r="381" spans="1:24">
      <c r="A381" s="5">
        <v>424</v>
      </c>
      <c r="B381" s="5">
        <v>7228</v>
      </c>
      <c r="C381" s="5" t="s">
        <v>928</v>
      </c>
      <c r="D381" s="5" t="s">
        <v>929</v>
      </c>
      <c r="E381" s="5" t="s">
        <v>651</v>
      </c>
      <c r="F381" s="5" t="s">
        <v>930</v>
      </c>
      <c r="G381" s="5" t="s">
        <v>931</v>
      </c>
      <c r="H381" s="5" t="s">
        <v>137</v>
      </c>
      <c r="I381" s="5" t="s">
        <v>703</v>
      </c>
      <c r="J381" s="5" t="s">
        <v>572</v>
      </c>
      <c r="K381" s="5" t="s">
        <v>224</v>
      </c>
      <c r="L381" s="3" t="s">
        <v>139</v>
      </c>
      <c r="M381" s="3" t="s">
        <v>894</v>
      </c>
      <c r="N381" s="5" t="s">
        <v>932</v>
      </c>
      <c r="O381" s="5" t="s">
        <v>141</v>
      </c>
      <c r="P381" s="5" t="s">
        <v>664</v>
      </c>
      <c r="Q381" s="154">
        <v>14573</v>
      </c>
      <c r="R381" s="166">
        <v>3.306</v>
      </c>
      <c r="S381" s="168">
        <v>24355</v>
      </c>
      <c r="U381" s="154">
        <v>11733.834000000001</v>
      </c>
      <c r="V381" s="165">
        <v>3.0000000000000001E-6</v>
      </c>
      <c r="W381" s="165">
        <v>2.3945263609659401E-2</v>
      </c>
      <c r="X381" s="165">
        <v>4.59166572462386E-3</v>
      </c>
    </row>
    <row r="382" spans="1:24">
      <c r="A382" s="5">
        <v>424</v>
      </c>
      <c r="B382" s="5">
        <v>7228</v>
      </c>
      <c r="C382" s="5" t="s">
        <v>933</v>
      </c>
      <c r="D382" s="5" t="s">
        <v>934</v>
      </c>
      <c r="E382" s="5" t="s">
        <v>651</v>
      </c>
      <c r="F382" s="5" t="s">
        <v>935</v>
      </c>
      <c r="G382" s="5" t="s">
        <v>936</v>
      </c>
      <c r="H382" s="5" t="s">
        <v>137</v>
      </c>
      <c r="I382" s="5" t="s">
        <v>703</v>
      </c>
      <c r="J382" s="5" t="s">
        <v>572</v>
      </c>
      <c r="K382" s="5" t="s">
        <v>224</v>
      </c>
      <c r="L382" s="3" t="s">
        <v>139</v>
      </c>
      <c r="M382" s="3" t="s">
        <v>894</v>
      </c>
      <c r="N382" s="5" t="s">
        <v>937</v>
      </c>
      <c r="O382" s="5" t="s">
        <v>141</v>
      </c>
      <c r="P382" s="5" t="s">
        <v>664</v>
      </c>
      <c r="Q382" s="154">
        <v>40533</v>
      </c>
      <c r="R382" s="166">
        <v>3.306</v>
      </c>
      <c r="S382" s="168">
        <v>3355</v>
      </c>
      <c r="U382" s="154">
        <v>4495.7700000000004</v>
      </c>
      <c r="V382" s="165">
        <v>1.0000000000000001E-5</v>
      </c>
      <c r="W382" s="165">
        <v>9.17452940354253E-3</v>
      </c>
      <c r="X382" s="165">
        <v>1.75927786340204E-3</v>
      </c>
    </row>
    <row r="383" spans="1:24">
      <c r="A383" s="5">
        <v>424</v>
      </c>
      <c r="B383" s="5">
        <v>7228</v>
      </c>
      <c r="C383" s="5" t="s">
        <v>938</v>
      </c>
      <c r="D383" s="5" t="s">
        <v>939</v>
      </c>
      <c r="E383" s="5" t="s">
        <v>651</v>
      </c>
      <c r="F383" s="5" t="s">
        <v>940</v>
      </c>
      <c r="G383" s="5" t="s">
        <v>941</v>
      </c>
      <c r="H383" s="5" t="s">
        <v>137</v>
      </c>
      <c r="I383" s="5" t="s">
        <v>703</v>
      </c>
      <c r="J383" s="5" t="s">
        <v>572</v>
      </c>
      <c r="K383" s="5" t="s">
        <v>942</v>
      </c>
      <c r="L383" s="3" t="s">
        <v>139</v>
      </c>
      <c r="M383" s="3" t="s">
        <v>498</v>
      </c>
      <c r="N383" s="5" t="s">
        <v>943</v>
      </c>
      <c r="O383" s="5" t="s">
        <v>141</v>
      </c>
      <c r="P383" s="5" t="s">
        <v>664</v>
      </c>
      <c r="Q383" s="154">
        <v>19566.91</v>
      </c>
      <c r="R383" s="166">
        <v>3.306</v>
      </c>
      <c r="S383" s="168">
        <v>18175.669999999998</v>
      </c>
      <c r="U383" s="154">
        <v>11757.514999999999</v>
      </c>
      <c r="V383" s="165">
        <v>0</v>
      </c>
      <c r="W383" s="165">
        <v>2.39935881600662E-2</v>
      </c>
      <c r="X383" s="165">
        <v>4.6009322829452899E-3</v>
      </c>
    </row>
    <row r="384" spans="1:24">
      <c r="A384" s="5">
        <v>424</v>
      </c>
      <c r="B384" s="5">
        <v>7228</v>
      </c>
      <c r="C384" s="5" t="s">
        <v>944</v>
      </c>
      <c r="D384" s="5" t="s">
        <v>945</v>
      </c>
      <c r="E384" s="5" t="s">
        <v>651</v>
      </c>
      <c r="F384" s="5" t="s">
        <v>946</v>
      </c>
      <c r="G384" s="5" t="s">
        <v>947</v>
      </c>
      <c r="H384" s="5" t="s">
        <v>137</v>
      </c>
      <c r="I384" s="5" t="s">
        <v>703</v>
      </c>
      <c r="J384" s="5" t="s">
        <v>572</v>
      </c>
      <c r="K384" s="5" t="s">
        <v>224</v>
      </c>
      <c r="L384" s="3" t="s">
        <v>139</v>
      </c>
      <c r="M384" s="3" t="s">
        <v>894</v>
      </c>
      <c r="N384" s="5" t="s">
        <v>937</v>
      </c>
      <c r="O384" s="5" t="s">
        <v>141</v>
      </c>
      <c r="P384" s="5" t="s">
        <v>664</v>
      </c>
      <c r="Q384" s="154">
        <v>15021</v>
      </c>
      <c r="R384" s="166">
        <v>3.306</v>
      </c>
      <c r="S384" s="168">
        <v>8407</v>
      </c>
      <c r="U384" s="154">
        <v>4174.8680000000004</v>
      </c>
      <c r="V384" s="165">
        <v>2.1999999999999999E-5</v>
      </c>
      <c r="W384" s="165">
        <v>8.5196630169484706E-3</v>
      </c>
      <c r="X384" s="165">
        <v>1.6337028189778299E-3</v>
      </c>
    </row>
    <row r="385" spans="1:24">
      <c r="A385" s="5">
        <v>424</v>
      </c>
      <c r="B385" s="5">
        <v>7228</v>
      </c>
      <c r="C385" s="5" t="s">
        <v>948</v>
      </c>
      <c r="D385" s="5" t="s">
        <v>949</v>
      </c>
      <c r="E385" s="5" t="s">
        <v>651</v>
      </c>
      <c r="F385" s="5" t="s">
        <v>950</v>
      </c>
      <c r="G385" s="5" t="s">
        <v>951</v>
      </c>
      <c r="H385" s="5" t="s">
        <v>137</v>
      </c>
      <c r="I385" s="5" t="s">
        <v>703</v>
      </c>
      <c r="J385" s="5" t="s">
        <v>572</v>
      </c>
      <c r="K385" s="5" t="s">
        <v>224</v>
      </c>
      <c r="L385" s="3" t="s">
        <v>139</v>
      </c>
      <c r="M385" s="3" t="s">
        <v>914</v>
      </c>
      <c r="N385" s="5" t="s">
        <v>952</v>
      </c>
      <c r="O385" s="5" t="s">
        <v>141</v>
      </c>
      <c r="P385" s="5" t="s">
        <v>664</v>
      </c>
      <c r="Q385" s="154">
        <v>3200</v>
      </c>
      <c r="R385" s="166">
        <v>3.306</v>
      </c>
      <c r="S385" s="168">
        <v>56881</v>
      </c>
      <c r="U385" s="154">
        <v>6017.5550000000003</v>
      </c>
      <c r="V385" s="165">
        <v>1.9999999999999999E-6</v>
      </c>
      <c r="W385" s="165">
        <v>1.2280038401925399E-2</v>
      </c>
      <c r="X385" s="165">
        <v>2.3547801496927299E-3</v>
      </c>
    </row>
    <row r="386" spans="1:24">
      <c r="A386" s="5">
        <v>424</v>
      </c>
      <c r="B386" s="5">
        <v>7228</v>
      </c>
      <c r="C386" s="5" t="s">
        <v>953</v>
      </c>
      <c r="D386" s="5" t="s">
        <v>954</v>
      </c>
      <c r="E386" s="5" t="s">
        <v>651</v>
      </c>
      <c r="F386" s="5" t="s">
        <v>955</v>
      </c>
      <c r="G386" s="5" t="s">
        <v>956</v>
      </c>
      <c r="H386" s="5" t="s">
        <v>137</v>
      </c>
      <c r="I386" s="5" t="s">
        <v>703</v>
      </c>
      <c r="J386" s="5" t="s">
        <v>572</v>
      </c>
      <c r="K386" s="5" t="s">
        <v>957</v>
      </c>
      <c r="L386" s="3" t="s">
        <v>139</v>
      </c>
      <c r="M386" s="3" t="s">
        <v>498</v>
      </c>
      <c r="N386" s="5" t="s">
        <v>958</v>
      </c>
      <c r="O386" s="5" t="s">
        <v>141</v>
      </c>
      <c r="P386" s="5" t="s">
        <v>664</v>
      </c>
      <c r="Q386" s="154">
        <v>726</v>
      </c>
      <c r="R386" s="166">
        <v>3.306</v>
      </c>
      <c r="S386" s="168">
        <v>233694</v>
      </c>
      <c r="U386" s="154">
        <v>5609.0209999999997</v>
      </c>
      <c r="V386" s="165">
        <v>1.5E-5</v>
      </c>
      <c r="W386" s="165">
        <v>1.14463417027516E-2</v>
      </c>
      <c r="X386" s="165">
        <v>2.1949131872432402E-3</v>
      </c>
    </row>
    <row r="387" spans="1:24">
      <c r="A387" s="5">
        <v>424</v>
      </c>
      <c r="B387" s="5">
        <v>7228</v>
      </c>
      <c r="C387" s="5" t="s">
        <v>959</v>
      </c>
      <c r="D387" s="5" t="s">
        <v>960</v>
      </c>
      <c r="E387" s="5" t="s">
        <v>651</v>
      </c>
      <c r="F387" s="5" t="s">
        <v>961</v>
      </c>
      <c r="G387" s="5" t="s">
        <v>962</v>
      </c>
      <c r="H387" s="5" t="s">
        <v>137</v>
      </c>
      <c r="I387" s="5" t="s">
        <v>703</v>
      </c>
      <c r="J387" s="5" t="s">
        <v>572</v>
      </c>
      <c r="K387" s="5" t="s">
        <v>224</v>
      </c>
      <c r="L387" s="3" t="s">
        <v>139</v>
      </c>
      <c r="M387" s="3" t="s">
        <v>894</v>
      </c>
      <c r="N387" s="5" t="s">
        <v>963</v>
      </c>
      <c r="O387" s="5" t="s">
        <v>141</v>
      </c>
      <c r="P387" s="5" t="s">
        <v>664</v>
      </c>
      <c r="Q387" s="154">
        <v>9894</v>
      </c>
      <c r="R387" s="166">
        <v>3.306</v>
      </c>
      <c r="S387" s="168">
        <v>51795</v>
      </c>
      <c r="U387" s="154">
        <v>16941.919000000002</v>
      </c>
      <c r="V387" s="165">
        <v>9.9999999999999995E-7</v>
      </c>
      <c r="W387" s="165">
        <v>3.4573414034565202E-2</v>
      </c>
      <c r="X387" s="165">
        <v>6.6296852184873798E-3</v>
      </c>
    </row>
    <row r="388" spans="1:24">
      <c r="A388" s="5">
        <v>424</v>
      </c>
      <c r="B388" s="5">
        <v>7228</v>
      </c>
      <c r="C388" s="5" t="s">
        <v>964</v>
      </c>
      <c r="D388" s="5" t="s">
        <v>965</v>
      </c>
      <c r="E388" s="5" t="s">
        <v>651</v>
      </c>
      <c r="F388" s="5" t="s">
        <v>964</v>
      </c>
      <c r="G388" s="5" t="s">
        <v>966</v>
      </c>
      <c r="H388" s="5" t="s">
        <v>137</v>
      </c>
      <c r="I388" s="5" t="s">
        <v>703</v>
      </c>
      <c r="J388" s="5" t="s">
        <v>572</v>
      </c>
      <c r="K388" s="5" t="s">
        <v>224</v>
      </c>
      <c r="L388" s="3" t="s">
        <v>139</v>
      </c>
      <c r="M388" s="3" t="s">
        <v>894</v>
      </c>
      <c r="N388" s="5" t="s">
        <v>655</v>
      </c>
      <c r="O388" s="5" t="s">
        <v>141</v>
      </c>
      <c r="P388" s="5" t="s">
        <v>664</v>
      </c>
      <c r="Q388" s="154">
        <v>12395</v>
      </c>
      <c r="R388" s="166">
        <v>3.306</v>
      </c>
      <c r="S388" s="168">
        <v>2583</v>
      </c>
      <c r="U388" s="154">
        <v>1058.4580000000001</v>
      </c>
      <c r="V388" s="165">
        <v>3.1999999999999999E-5</v>
      </c>
      <c r="W388" s="165">
        <v>2.1599985566741801E-3</v>
      </c>
      <c r="X388" s="165">
        <v>4.1419428491557599E-4</v>
      </c>
    </row>
    <row r="389" spans="1:24">
      <c r="A389" s="5">
        <v>424</v>
      </c>
      <c r="B389" s="5">
        <v>7228</v>
      </c>
      <c r="C389" s="5" t="s">
        <v>967</v>
      </c>
      <c r="D389" s="5" t="s">
        <v>968</v>
      </c>
      <c r="E389" s="5" t="s">
        <v>121</v>
      </c>
      <c r="F389" s="5" t="s">
        <v>969</v>
      </c>
      <c r="G389" s="5" t="s">
        <v>970</v>
      </c>
      <c r="H389" s="5" t="s">
        <v>137</v>
      </c>
      <c r="I389" s="5" t="s">
        <v>703</v>
      </c>
      <c r="J389" s="5" t="s">
        <v>572</v>
      </c>
      <c r="K389" s="5" t="s">
        <v>224</v>
      </c>
      <c r="L389" s="3" t="s">
        <v>139</v>
      </c>
      <c r="M389" s="3" t="s">
        <v>498</v>
      </c>
      <c r="N389" s="5" t="s">
        <v>971</v>
      </c>
      <c r="O389" s="5" t="s">
        <v>141</v>
      </c>
      <c r="P389" s="5" t="s">
        <v>664</v>
      </c>
      <c r="Q389" s="154">
        <v>7638</v>
      </c>
      <c r="R389" s="166">
        <v>3.306</v>
      </c>
      <c r="S389" s="168">
        <v>14216</v>
      </c>
      <c r="U389" s="154">
        <v>3589.7150000000001</v>
      </c>
      <c r="V389" s="165">
        <v>0</v>
      </c>
      <c r="W389" s="165">
        <v>7.3255391298857001E-3</v>
      </c>
      <c r="X389" s="165">
        <v>1.40472151342357E-3</v>
      </c>
    </row>
    <row r="390" spans="1:24">
      <c r="A390" s="5">
        <v>424</v>
      </c>
      <c r="B390" s="5">
        <v>7228</v>
      </c>
      <c r="C390" s="5" t="s">
        <v>972</v>
      </c>
      <c r="D390" s="5" t="s">
        <v>973</v>
      </c>
      <c r="E390" s="5" t="s">
        <v>651</v>
      </c>
      <c r="F390" s="5" t="s">
        <v>972</v>
      </c>
      <c r="G390" s="5" t="s">
        <v>974</v>
      </c>
      <c r="H390" s="5" t="s">
        <v>137</v>
      </c>
      <c r="I390" s="5" t="s">
        <v>703</v>
      </c>
      <c r="J390" s="5" t="s">
        <v>572</v>
      </c>
      <c r="K390" s="5" t="s">
        <v>224</v>
      </c>
      <c r="L390" s="3" t="s">
        <v>139</v>
      </c>
      <c r="M390" s="3" t="s">
        <v>914</v>
      </c>
      <c r="N390" s="5" t="s">
        <v>900</v>
      </c>
      <c r="O390" s="5" t="s">
        <v>141</v>
      </c>
      <c r="P390" s="5" t="s">
        <v>664</v>
      </c>
      <c r="Q390" s="154">
        <v>25484</v>
      </c>
      <c r="R390" s="166">
        <v>3.306</v>
      </c>
      <c r="S390" s="168">
        <v>6973</v>
      </c>
      <c r="T390" s="153">
        <v>10.194000000000001</v>
      </c>
      <c r="U390" s="154">
        <v>5908.46</v>
      </c>
      <c r="V390" s="165">
        <v>2.0999999999999999E-5</v>
      </c>
      <c r="W390" s="165">
        <v>1.20574080587373E-2</v>
      </c>
      <c r="X390" s="165">
        <v>2.3120892805195302E-3</v>
      </c>
    </row>
    <row r="391" spans="1:24">
      <c r="A391" s="5">
        <v>424</v>
      </c>
      <c r="B391" s="5">
        <v>7228</v>
      </c>
      <c r="C391" s="5" t="s">
        <v>975</v>
      </c>
      <c r="D391" s="5" t="s">
        <v>976</v>
      </c>
      <c r="E391" s="5" t="s">
        <v>651</v>
      </c>
      <c r="F391" s="5" t="s">
        <v>977</v>
      </c>
      <c r="G391" s="5" t="s">
        <v>978</v>
      </c>
      <c r="H391" s="5" t="s">
        <v>137</v>
      </c>
      <c r="I391" s="5" t="s">
        <v>703</v>
      </c>
      <c r="J391" s="5" t="s">
        <v>572</v>
      </c>
      <c r="K391" s="5" t="s">
        <v>224</v>
      </c>
      <c r="L391" s="3" t="s">
        <v>139</v>
      </c>
      <c r="M391" s="3" t="s">
        <v>914</v>
      </c>
      <c r="N391" s="5" t="s">
        <v>979</v>
      </c>
      <c r="O391" s="5" t="s">
        <v>141</v>
      </c>
      <c r="P391" s="5" t="s">
        <v>664</v>
      </c>
      <c r="Q391" s="154">
        <v>2867</v>
      </c>
      <c r="R391" s="166">
        <v>3.306</v>
      </c>
      <c r="S391" s="168">
        <v>60932</v>
      </c>
      <c r="U391" s="154">
        <v>5775.3190000000004</v>
      </c>
      <c r="V391" s="165">
        <v>1.9000000000000001E-5</v>
      </c>
      <c r="W391" s="165">
        <v>1.17857072706112E-2</v>
      </c>
      <c r="X391" s="165">
        <v>2.2599888227200701E-3</v>
      </c>
    </row>
    <row r="392" spans="1:24">
      <c r="A392" s="5">
        <v>424</v>
      </c>
      <c r="B392" s="5">
        <v>7228</v>
      </c>
      <c r="C392" s="5" t="s">
        <v>980</v>
      </c>
      <c r="D392" s="5" t="s">
        <v>981</v>
      </c>
      <c r="E392" s="5" t="s">
        <v>651</v>
      </c>
      <c r="F392" s="5" t="s">
        <v>982</v>
      </c>
      <c r="G392" s="5" t="s">
        <v>983</v>
      </c>
      <c r="H392" s="5" t="s">
        <v>137</v>
      </c>
      <c r="I392" s="5" t="s">
        <v>703</v>
      </c>
      <c r="J392" s="5" t="s">
        <v>572</v>
      </c>
      <c r="K392" s="5" t="s">
        <v>224</v>
      </c>
      <c r="L392" s="3" t="s">
        <v>139</v>
      </c>
      <c r="M392" s="3" t="s">
        <v>894</v>
      </c>
      <c r="N392" s="5" t="s">
        <v>937</v>
      </c>
      <c r="O392" s="5" t="s">
        <v>141</v>
      </c>
      <c r="P392" s="5" t="s">
        <v>664</v>
      </c>
      <c r="Q392" s="154">
        <v>24703</v>
      </c>
      <c r="R392" s="166">
        <v>3.306</v>
      </c>
      <c r="S392" s="168">
        <v>18658</v>
      </c>
      <c r="T392" s="153">
        <v>0.247</v>
      </c>
      <c r="U392" s="154">
        <v>15238.454</v>
      </c>
      <c r="V392" s="165">
        <v>9.9999999999999995E-7</v>
      </c>
      <c r="W392" s="165">
        <v>3.1097149873668899E-2</v>
      </c>
      <c r="X392" s="165">
        <v>5.9630881303314297E-3</v>
      </c>
    </row>
    <row r="393" spans="1:24">
      <c r="A393" s="5">
        <v>424</v>
      </c>
      <c r="B393" s="5">
        <v>7228</v>
      </c>
      <c r="C393" s="5" t="s">
        <v>984</v>
      </c>
      <c r="D393" s="5" t="s">
        <v>985</v>
      </c>
      <c r="E393" s="5" t="s">
        <v>651</v>
      </c>
      <c r="F393" s="5" t="s">
        <v>984</v>
      </c>
      <c r="G393" s="5" t="s">
        <v>986</v>
      </c>
      <c r="H393" s="5" t="s">
        <v>137</v>
      </c>
      <c r="I393" s="5" t="s">
        <v>703</v>
      </c>
      <c r="J393" s="5" t="s">
        <v>572</v>
      </c>
      <c r="K393" s="5" t="s">
        <v>224</v>
      </c>
      <c r="L393" s="3" t="s">
        <v>139</v>
      </c>
      <c r="M393" s="3" t="s">
        <v>914</v>
      </c>
      <c r="N393" s="5" t="s">
        <v>987</v>
      </c>
      <c r="O393" s="5" t="s">
        <v>141</v>
      </c>
      <c r="P393" s="5" t="s">
        <v>664</v>
      </c>
      <c r="Q393" s="154">
        <v>6060</v>
      </c>
      <c r="R393" s="166">
        <v>3.306</v>
      </c>
      <c r="S393" s="168">
        <v>28124</v>
      </c>
      <c r="U393" s="154">
        <v>5634.4629999999997</v>
      </c>
      <c r="V393" s="165">
        <v>1.9999999999999999E-6</v>
      </c>
      <c r="W393" s="165">
        <v>1.14982629749798E-2</v>
      </c>
      <c r="X393" s="165">
        <v>2.2048694412212999E-3</v>
      </c>
    </row>
    <row r="394" spans="1:24">
      <c r="A394" s="5">
        <v>424</v>
      </c>
      <c r="B394" s="5">
        <v>7228</v>
      </c>
      <c r="C394" s="5" t="s">
        <v>988</v>
      </c>
      <c r="E394" s="5" t="s">
        <v>498</v>
      </c>
      <c r="F394" s="5" t="s">
        <v>989</v>
      </c>
      <c r="G394" s="5" t="s">
        <v>990</v>
      </c>
      <c r="H394" s="5" t="s">
        <v>137</v>
      </c>
      <c r="I394" s="5" t="s">
        <v>703</v>
      </c>
      <c r="J394" s="5" t="s">
        <v>572</v>
      </c>
      <c r="K394" s="5" t="s">
        <v>224</v>
      </c>
      <c r="L394" s="3" t="s">
        <v>139</v>
      </c>
      <c r="M394" s="3" t="s">
        <v>894</v>
      </c>
      <c r="N394" s="5" t="s">
        <v>655</v>
      </c>
      <c r="O394" s="5" t="s">
        <v>141</v>
      </c>
      <c r="P394" s="5" t="s">
        <v>664</v>
      </c>
      <c r="Q394" s="154">
        <v>4344</v>
      </c>
      <c r="R394" s="166">
        <v>3.306</v>
      </c>
      <c r="S394" s="168">
        <v>447.93</v>
      </c>
      <c r="U394" s="154">
        <v>64.328000000000003</v>
      </c>
      <c r="V394" s="165">
        <v>1.3799999999999999E-4</v>
      </c>
      <c r="W394" s="165">
        <v>1.31275140097147E-4</v>
      </c>
      <c r="X394" s="165">
        <v>2.51728931076002E-5</v>
      </c>
    </row>
    <row r="395" spans="1:24">
      <c r="A395" s="5">
        <v>424</v>
      </c>
      <c r="B395" s="5">
        <v>7228</v>
      </c>
      <c r="C395" s="5" t="s">
        <v>991</v>
      </c>
      <c r="D395" s="5" t="s">
        <v>992</v>
      </c>
      <c r="E395" s="5" t="s">
        <v>651</v>
      </c>
      <c r="F395" s="5" t="s">
        <v>993</v>
      </c>
      <c r="G395" s="5" t="s">
        <v>994</v>
      </c>
      <c r="H395" s="5" t="s">
        <v>137</v>
      </c>
      <c r="I395" s="5" t="s">
        <v>703</v>
      </c>
      <c r="J395" s="5" t="s">
        <v>572</v>
      </c>
      <c r="K395" s="5" t="s">
        <v>224</v>
      </c>
      <c r="L395" s="3" t="s">
        <v>139</v>
      </c>
      <c r="M395" s="3" t="s">
        <v>914</v>
      </c>
      <c r="N395" s="5" t="s">
        <v>995</v>
      </c>
      <c r="O395" s="5" t="s">
        <v>141</v>
      </c>
      <c r="P395" s="5" t="s">
        <v>664</v>
      </c>
      <c r="Q395" s="154">
        <v>9700</v>
      </c>
      <c r="R395" s="166">
        <v>3.306</v>
      </c>
      <c r="S395" s="168">
        <v>11452</v>
      </c>
      <c r="U395" s="154">
        <v>3672.45</v>
      </c>
      <c r="V395" s="165">
        <v>1.0000000000000001E-5</v>
      </c>
      <c r="W395" s="165">
        <v>7.4943780538253204E-3</v>
      </c>
      <c r="X395" s="165">
        <v>1.4370975153199599E-3</v>
      </c>
    </row>
    <row r="396" spans="1:24">
      <c r="A396" s="5">
        <v>424</v>
      </c>
      <c r="B396" s="5">
        <v>7228</v>
      </c>
      <c r="C396" s="5" t="s">
        <v>996</v>
      </c>
      <c r="D396" s="5" t="s">
        <v>997</v>
      </c>
      <c r="E396" s="5" t="s">
        <v>651</v>
      </c>
      <c r="F396" s="5" t="s">
        <v>998</v>
      </c>
      <c r="G396" s="5" t="s">
        <v>999</v>
      </c>
      <c r="H396" s="5" t="s">
        <v>137</v>
      </c>
      <c r="I396" s="5" t="s">
        <v>703</v>
      </c>
      <c r="J396" s="5" t="s">
        <v>572</v>
      </c>
      <c r="K396" s="5" t="s">
        <v>1000</v>
      </c>
      <c r="L396" s="3" t="s">
        <v>139</v>
      </c>
      <c r="M396" s="3" t="s">
        <v>914</v>
      </c>
      <c r="N396" s="5" t="s">
        <v>937</v>
      </c>
      <c r="O396" s="5" t="s">
        <v>141</v>
      </c>
      <c r="P396" s="5" t="s">
        <v>664</v>
      </c>
      <c r="Q396" s="154">
        <v>16065</v>
      </c>
      <c r="R396" s="166">
        <v>3.306</v>
      </c>
      <c r="S396" s="168">
        <v>27929</v>
      </c>
      <c r="T396" s="153">
        <v>10.353</v>
      </c>
      <c r="U396" s="154">
        <v>14867.566999999999</v>
      </c>
      <c r="V396" s="165">
        <v>3.0000000000000001E-6</v>
      </c>
      <c r="W396" s="165">
        <v>3.0340280354374902E-2</v>
      </c>
      <c r="X396" s="165">
        <v>5.81795329755586E-3</v>
      </c>
    </row>
    <row r="397" spans="1:24">
      <c r="A397" s="5">
        <v>424</v>
      </c>
      <c r="B397" s="5">
        <v>7228</v>
      </c>
      <c r="C397" s="5" t="s">
        <v>1001</v>
      </c>
      <c r="E397" s="5" t="s">
        <v>498</v>
      </c>
      <c r="F397" s="5" t="s">
        <v>1002</v>
      </c>
      <c r="G397" s="5" t="s">
        <v>886</v>
      </c>
      <c r="H397" s="5" t="s">
        <v>137</v>
      </c>
      <c r="I397" s="5" t="s">
        <v>703</v>
      </c>
      <c r="J397" s="5" t="s">
        <v>572</v>
      </c>
      <c r="K397" s="5" t="s">
        <v>224</v>
      </c>
      <c r="L397" s="3" t="s">
        <v>139</v>
      </c>
      <c r="M397" s="3" t="s">
        <v>498</v>
      </c>
      <c r="N397" s="5" t="s">
        <v>927</v>
      </c>
      <c r="O397" s="5" t="s">
        <v>141</v>
      </c>
      <c r="P397" s="5" t="s">
        <v>664</v>
      </c>
      <c r="Q397" s="154">
        <v>17820</v>
      </c>
      <c r="R397" s="166">
        <v>3.306</v>
      </c>
      <c r="S397" s="168">
        <v>4403</v>
      </c>
      <c r="U397" s="154">
        <v>2593.9360000000001</v>
      </c>
      <c r="V397" s="165">
        <v>0</v>
      </c>
      <c r="W397" s="165">
        <v>5.2934511407100697E-3</v>
      </c>
      <c r="X397" s="165">
        <v>1.0150549421374801E-3</v>
      </c>
    </row>
    <row r="398" spans="1:24">
      <c r="A398" s="5">
        <v>424</v>
      </c>
      <c r="B398" s="5">
        <v>7228</v>
      </c>
      <c r="C398" s="5" t="s">
        <v>1003</v>
      </c>
      <c r="D398" s="5" t="s">
        <v>1004</v>
      </c>
      <c r="E398" s="5" t="s">
        <v>651</v>
      </c>
      <c r="F398" s="5" t="s">
        <v>1005</v>
      </c>
      <c r="G398" s="5" t="s">
        <v>1006</v>
      </c>
      <c r="H398" s="5" t="s">
        <v>137</v>
      </c>
      <c r="I398" s="5" t="s">
        <v>703</v>
      </c>
      <c r="J398" s="5" t="s">
        <v>572</v>
      </c>
      <c r="K398" s="5" t="s">
        <v>224</v>
      </c>
      <c r="L398" s="3" t="s">
        <v>139</v>
      </c>
      <c r="M398" s="3" t="s">
        <v>914</v>
      </c>
      <c r="N398" s="5" t="s">
        <v>663</v>
      </c>
      <c r="O398" s="5" t="s">
        <v>141</v>
      </c>
      <c r="P398" s="5" t="s">
        <v>664</v>
      </c>
      <c r="Q398" s="154">
        <v>13705</v>
      </c>
      <c r="R398" s="166">
        <v>3.306</v>
      </c>
      <c r="S398" s="168">
        <v>9797</v>
      </c>
      <c r="U398" s="154">
        <v>4438.8959999999997</v>
      </c>
      <c r="V398" s="165">
        <v>6.9999999999999999E-6</v>
      </c>
      <c r="W398" s="165">
        <v>9.0584662713895196E-3</v>
      </c>
      <c r="X398" s="165">
        <v>1.73702197536978E-3</v>
      </c>
    </row>
    <row r="399" spans="1:24">
      <c r="A399" s="5">
        <v>424</v>
      </c>
      <c r="B399" s="5">
        <v>7228</v>
      </c>
      <c r="C399" s="5" t="s">
        <v>1007</v>
      </c>
      <c r="D399" s="5" t="s">
        <v>1008</v>
      </c>
      <c r="E399" s="5" t="s">
        <v>651</v>
      </c>
      <c r="F399" s="5" t="s">
        <v>1009</v>
      </c>
      <c r="G399" s="5" t="s">
        <v>1010</v>
      </c>
      <c r="H399" s="5" t="s">
        <v>137</v>
      </c>
      <c r="I399" s="5" t="s">
        <v>703</v>
      </c>
      <c r="J399" s="5" t="s">
        <v>572</v>
      </c>
      <c r="K399" s="5" t="s">
        <v>224</v>
      </c>
      <c r="L399" s="3" t="s">
        <v>139</v>
      </c>
      <c r="M399" s="3" t="s">
        <v>914</v>
      </c>
      <c r="N399" s="5" t="s">
        <v>905</v>
      </c>
      <c r="O399" s="5" t="s">
        <v>141</v>
      </c>
      <c r="P399" s="5" t="s">
        <v>664</v>
      </c>
      <c r="Q399" s="154">
        <v>6124</v>
      </c>
      <c r="R399" s="166">
        <v>3.306</v>
      </c>
      <c r="S399" s="168">
        <v>34138</v>
      </c>
      <c r="U399" s="154">
        <v>6911.56</v>
      </c>
      <c r="V399" s="165">
        <v>3.9999999999999998E-6</v>
      </c>
      <c r="W399" s="165">
        <v>1.41044377939757E-2</v>
      </c>
      <c r="X399" s="165">
        <v>2.70462103234323E-3</v>
      </c>
    </row>
    <row r="400" spans="1:24">
      <c r="A400" s="5">
        <v>424</v>
      </c>
      <c r="B400" s="5">
        <v>7228</v>
      </c>
      <c r="C400" s="5" t="s">
        <v>1044</v>
      </c>
      <c r="D400" s="5" t="s">
        <v>1045</v>
      </c>
      <c r="E400" s="5" t="s">
        <v>134</v>
      </c>
      <c r="F400" s="5" t="s">
        <v>1046</v>
      </c>
      <c r="G400" s="5" t="s">
        <v>1047</v>
      </c>
      <c r="H400" s="5" t="s">
        <v>137</v>
      </c>
      <c r="I400" s="5" t="s">
        <v>703</v>
      </c>
      <c r="J400" s="5" t="s">
        <v>572</v>
      </c>
      <c r="K400" s="5" t="s">
        <v>30</v>
      </c>
      <c r="L400" s="3" t="s">
        <v>139</v>
      </c>
      <c r="M400" s="3" t="s">
        <v>894</v>
      </c>
      <c r="N400" s="5" t="s">
        <v>480</v>
      </c>
      <c r="O400" s="5" t="s">
        <v>141</v>
      </c>
      <c r="P400" s="5" t="s">
        <v>664</v>
      </c>
      <c r="Q400" s="154">
        <v>20000</v>
      </c>
      <c r="R400" s="166">
        <v>3.306</v>
      </c>
      <c r="S400" s="168">
        <v>1949</v>
      </c>
      <c r="U400" s="154">
        <v>1288.6790000000001</v>
      </c>
      <c r="V400" s="165">
        <v>4.08E-4</v>
      </c>
      <c r="W400" s="165">
        <v>2.6298099151465999E-3</v>
      </c>
      <c r="X400" s="165">
        <v>5.0428378014529701E-4</v>
      </c>
    </row>
    <row r="401" spans="1:24">
      <c r="A401" s="5">
        <v>424</v>
      </c>
      <c r="B401" s="5">
        <v>7228</v>
      </c>
      <c r="C401" s="5" t="s">
        <v>988</v>
      </c>
      <c r="E401" s="5" t="s">
        <v>498</v>
      </c>
      <c r="F401" s="5" t="s">
        <v>1048</v>
      </c>
      <c r="G401" s="5" t="s">
        <v>1049</v>
      </c>
      <c r="H401" s="5" t="s">
        <v>137</v>
      </c>
      <c r="I401" s="5" t="s">
        <v>703</v>
      </c>
      <c r="J401" s="5" t="s">
        <v>572</v>
      </c>
      <c r="K401" s="5" t="s">
        <v>224</v>
      </c>
      <c r="L401" s="3" t="s">
        <v>1050</v>
      </c>
      <c r="M401" s="3" t="s">
        <v>894</v>
      </c>
      <c r="N401" s="5" t="s">
        <v>1051</v>
      </c>
      <c r="O401" s="5" t="s">
        <v>141</v>
      </c>
      <c r="P401" s="5" t="s">
        <v>664</v>
      </c>
      <c r="Q401" s="154">
        <v>1063</v>
      </c>
      <c r="R401" s="166">
        <v>3.306</v>
      </c>
      <c r="S401" s="168">
        <v>447.93</v>
      </c>
      <c r="U401" s="154">
        <v>15.742000000000001</v>
      </c>
      <c r="V401" s="165">
        <v>3.3000000000000003E-5</v>
      </c>
      <c r="W401" s="165">
        <v>3.21237278828884E-5</v>
      </c>
      <c r="X401" s="165">
        <v>6.1599413842953598E-6</v>
      </c>
    </row>
    <row r="402" spans="1:24">
      <c r="A402" s="5">
        <v>424</v>
      </c>
      <c r="B402" s="5">
        <v>7229</v>
      </c>
      <c r="C402" s="5" t="s">
        <v>147</v>
      </c>
      <c r="D402" s="5" t="s">
        <v>148</v>
      </c>
      <c r="E402" s="5" t="s">
        <v>134</v>
      </c>
      <c r="F402" s="5" t="s">
        <v>701</v>
      </c>
      <c r="G402" s="5" t="s">
        <v>702</v>
      </c>
      <c r="H402" s="5" t="s">
        <v>137</v>
      </c>
      <c r="I402" s="5" t="s">
        <v>703</v>
      </c>
      <c r="J402" s="5" t="s">
        <v>30</v>
      </c>
      <c r="K402" s="5" t="s">
        <v>30</v>
      </c>
      <c r="L402" s="3" t="s">
        <v>139</v>
      </c>
      <c r="M402" s="3" t="s">
        <v>31</v>
      </c>
      <c r="N402" s="5" t="s">
        <v>151</v>
      </c>
      <c r="O402" s="5" t="s">
        <v>141</v>
      </c>
      <c r="P402" s="5" t="s">
        <v>34</v>
      </c>
      <c r="Q402" s="154">
        <v>2170</v>
      </c>
      <c r="R402" s="166">
        <v>1</v>
      </c>
      <c r="S402" s="168">
        <v>5239</v>
      </c>
      <c r="U402" s="154">
        <v>113.68600000000001</v>
      </c>
      <c r="V402" s="165">
        <v>6.9999999999999999E-6</v>
      </c>
      <c r="W402" s="165">
        <v>5.8782968275962197E-3</v>
      </c>
      <c r="X402" s="165">
        <v>7.4925893140829504E-4</v>
      </c>
    </row>
    <row r="403" spans="1:24">
      <c r="A403" s="5">
        <v>424</v>
      </c>
      <c r="B403" s="5">
        <v>7229</v>
      </c>
      <c r="C403" s="5" t="s">
        <v>704</v>
      </c>
      <c r="D403" s="5" t="s">
        <v>705</v>
      </c>
      <c r="E403" s="5" t="s">
        <v>651</v>
      </c>
      <c r="F403" s="5" t="s">
        <v>706</v>
      </c>
      <c r="G403" s="5" t="s">
        <v>707</v>
      </c>
      <c r="H403" s="5" t="s">
        <v>137</v>
      </c>
      <c r="I403" s="5" t="s">
        <v>703</v>
      </c>
      <c r="J403" s="5" t="s">
        <v>30</v>
      </c>
      <c r="K403" s="5" t="s">
        <v>224</v>
      </c>
      <c r="L403" s="3" t="s">
        <v>139</v>
      </c>
      <c r="M403" s="3" t="s">
        <v>31</v>
      </c>
      <c r="N403" s="5" t="s">
        <v>220</v>
      </c>
      <c r="O403" s="5" t="s">
        <v>141</v>
      </c>
      <c r="P403" s="5" t="s">
        <v>34</v>
      </c>
      <c r="Q403" s="154">
        <v>958</v>
      </c>
      <c r="R403" s="166">
        <v>1</v>
      </c>
      <c r="S403" s="168">
        <v>31800</v>
      </c>
      <c r="U403" s="154">
        <v>304.64400000000001</v>
      </c>
      <c r="V403" s="165">
        <v>1.7E-5</v>
      </c>
      <c r="W403" s="165">
        <v>1.5752011093212E-2</v>
      </c>
      <c r="X403" s="165">
        <v>2.0077813940637401E-3</v>
      </c>
    </row>
    <row r="404" spans="1:24">
      <c r="A404" s="5">
        <v>424</v>
      </c>
      <c r="B404" s="5">
        <v>7229</v>
      </c>
      <c r="C404" s="5" t="s">
        <v>176</v>
      </c>
      <c r="D404" s="5" t="s">
        <v>177</v>
      </c>
      <c r="E404" s="5" t="s">
        <v>134</v>
      </c>
      <c r="F404" s="5" t="s">
        <v>708</v>
      </c>
      <c r="G404" s="5" t="s">
        <v>709</v>
      </c>
      <c r="H404" s="5" t="s">
        <v>137</v>
      </c>
      <c r="I404" s="5" t="s">
        <v>703</v>
      </c>
      <c r="J404" s="5" t="s">
        <v>30</v>
      </c>
      <c r="K404" s="5" t="s">
        <v>30</v>
      </c>
      <c r="L404" s="3" t="s">
        <v>139</v>
      </c>
      <c r="M404" s="3" t="s">
        <v>31</v>
      </c>
      <c r="N404" s="5" t="s">
        <v>140</v>
      </c>
      <c r="O404" s="5" t="s">
        <v>141</v>
      </c>
      <c r="P404" s="5" t="s">
        <v>34</v>
      </c>
      <c r="Q404" s="154">
        <v>12558</v>
      </c>
      <c r="R404" s="166">
        <v>1</v>
      </c>
      <c r="S404" s="168">
        <v>2070</v>
      </c>
      <c r="U404" s="154">
        <v>259.95100000000002</v>
      </c>
      <c r="V404" s="165">
        <v>1.0000000000000001E-5</v>
      </c>
      <c r="W404" s="165">
        <v>1.3441081179629701E-2</v>
      </c>
      <c r="X404" s="165">
        <v>1.71322585724881E-3</v>
      </c>
    </row>
    <row r="405" spans="1:24">
      <c r="A405" s="5">
        <v>424</v>
      </c>
      <c r="B405" s="5">
        <v>7229</v>
      </c>
      <c r="C405" s="5" t="s">
        <v>710</v>
      </c>
      <c r="D405" s="5" t="s">
        <v>711</v>
      </c>
      <c r="E405" s="5" t="s">
        <v>134</v>
      </c>
      <c r="F405" s="5" t="s">
        <v>712</v>
      </c>
      <c r="G405" s="5" t="s">
        <v>713</v>
      </c>
      <c r="H405" s="5" t="s">
        <v>137</v>
      </c>
      <c r="I405" s="5" t="s">
        <v>703</v>
      </c>
      <c r="J405" s="5" t="s">
        <v>30</v>
      </c>
      <c r="K405" s="5" t="s">
        <v>30</v>
      </c>
      <c r="L405" s="3" t="s">
        <v>139</v>
      </c>
      <c r="M405" s="3" t="s">
        <v>31</v>
      </c>
      <c r="N405" s="5" t="s">
        <v>170</v>
      </c>
      <c r="O405" s="5" t="s">
        <v>141</v>
      </c>
      <c r="P405" s="5" t="s">
        <v>34</v>
      </c>
      <c r="Q405" s="154">
        <v>1222</v>
      </c>
      <c r="R405" s="166">
        <v>1</v>
      </c>
      <c r="S405" s="168">
        <v>20440</v>
      </c>
      <c r="U405" s="154">
        <v>249.77699999999999</v>
      </c>
      <c r="V405" s="165">
        <v>8.2999999999999998E-5</v>
      </c>
      <c r="W405" s="165">
        <v>1.29150317236741E-2</v>
      </c>
      <c r="X405" s="165">
        <v>1.6461745897138301E-3</v>
      </c>
    </row>
    <row r="406" spans="1:24">
      <c r="A406" s="5">
        <v>424</v>
      </c>
      <c r="B406" s="5">
        <v>7229</v>
      </c>
      <c r="C406" s="5" t="s">
        <v>714</v>
      </c>
      <c r="D406" s="5" t="s">
        <v>715</v>
      </c>
      <c r="E406" s="5" t="s">
        <v>134</v>
      </c>
      <c r="F406" s="5" t="s">
        <v>716</v>
      </c>
      <c r="G406" s="5" t="s">
        <v>717</v>
      </c>
      <c r="H406" s="5" t="s">
        <v>137</v>
      </c>
      <c r="I406" s="5" t="s">
        <v>703</v>
      </c>
      <c r="J406" s="5" t="s">
        <v>30</v>
      </c>
      <c r="K406" s="5" t="s">
        <v>30</v>
      </c>
      <c r="L406" s="3" t="s">
        <v>139</v>
      </c>
      <c r="M406" s="3" t="s">
        <v>31</v>
      </c>
      <c r="N406" s="5" t="s">
        <v>718</v>
      </c>
      <c r="O406" s="5" t="s">
        <v>141</v>
      </c>
      <c r="P406" s="5" t="s">
        <v>34</v>
      </c>
      <c r="Q406" s="154">
        <v>4800</v>
      </c>
      <c r="R406" s="166">
        <v>1</v>
      </c>
      <c r="S406" s="168">
        <v>2180</v>
      </c>
      <c r="U406" s="154">
        <v>104.64</v>
      </c>
      <c r="V406" s="165">
        <v>3.1999999999999999E-5</v>
      </c>
      <c r="W406" s="165">
        <v>5.4105462139208398E-3</v>
      </c>
      <c r="X406" s="165">
        <v>6.8963854556409999E-4</v>
      </c>
    </row>
    <row r="407" spans="1:24">
      <c r="A407" s="5">
        <v>424</v>
      </c>
      <c r="B407" s="5">
        <v>7229</v>
      </c>
      <c r="C407" s="5" t="s">
        <v>723</v>
      </c>
      <c r="D407" s="5" t="s">
        <v>724</v>
      </c>
      <c r="E407" s="5" t="s">
        <v>134</v>
      </c>
      <c r="F407" s="5" t="s">
        <v>725</v>
      </c>
      <c r="G407" s="5" t="s">
        <v>726</v>
      </c>
      <c r="H407" s="5" t="s">
        <v>137</v>
      </c>
      <c r="I407" s="5" t="s">
        <v>703</v>
      </c>
      <c r="J407" s="5" t="s">
        <v>30</v>
      </c>
      <c r="K407" s="5" t="s">
        <v>30</v>
      </c>
      <c r="L407" s="3" t="s">
        <v>139</v>
      </c>
      <c r="M407" s="3" t="s">
        <v>31</v>
      </c>
      <c r="N407" s="5" t="s">
        <v>727</v>
      </c>
      <c r="O407" s="5" t="s">
        <v>141</v>
      </c>
      <c r="P407" s="5" t="s">
        <v>34</v>
      </c>
      <c r="Q407" s="154">
        <v>202</v>
      </c>
      <c r="R407" s="166">
        <v>1</v>
      </c>
      <c r="S407" s="168">
        <v>167700</v>
      </c>
      <c r="U407" s="154">
        <v>338.75400000000002</v>
      </c>
      <c r="V407" s="165">
        <v>3.9999999999999998E-6</v>
      </c>
      <c r="W407" s="165">
        <v>1.7515712654343801E-2</v>
      </c>
      <c r="X407" s="165">
        <v>2.2325861607800199E-3</v>
      </c>
    </row>
    <row r="408" spans="1:24">
      <c r="A408" s="5">
        <v>424</v>
      </c>
      <c r="B408" s="5">
        <v>7229</v>
      </c>
      <c r="C408" s="5" t="s">
        <v>195</v>
      </c>
      <c r="D408" s="5" t="s">
        <v>196</v>
      </c>
      <c r="E408" s="5" t="s">
        <v>134</v>
      </c>
      <c r="F408" s="5" t="s">
        <v>728</v>
      </c>
      <c r="G408" s="5" t="s">
        <v>729</v>
      </c>
      <c r="H408" s="5" t="s">
        <v>137</v>
      </c>
      <c r="I408" s="5" t="s">
        <v>703</v>
      </c>
      <c r="J408" s="5" t="s">
        <v>30</v>
      </c>
      <c r="K408" s="5" t="s">
        <v>30</v>
      </c>
      <c r="L408" s="3" t="s">
        <v>139</v>
      </c>
      <c r="M408" s="3" t="s">
        <v>31</v>
      </c>
      <c r="N408" s="5" t="s">
        <v>199</v>
      </c>
      <c r="O408" s="5" t="s">
        <v>141</v>
      </c>
      <c r="P408" s="5" t="s">
        <v>34</v>
      </c>
      <c r="Q408" s="154">
        <v>72</v>
      </c>
      <c r="R408" s="166">
        <v>1</v>
      </c>
      <c r="S408" s="168">
        <v>192960</v>
      </c>
      <c r="T408" s="153">
        <v>0.88300000000000001</v>
      </c>
      <c r="U408" s="154">
        <v>139.815</v>
      </c>
      <c r="V408" s="165">
        <v>1.8E-5</v>
      </c>
      <c r="W408" s="165">
        <v>7.2292937746119496E-3</v>
      </c>
      <c r="X408" s="165">
        <v>9.2145958043043799E-4</v>
      </c>
    </row>
    <row r="409" spans="1:24">
      <c r="A409" s="5">
        <v>424</v>
      </c>
      <c r="B409" s="5">
        <v>7229</v>
      </c>
      <c r="C409" s="5" t="s">
        <v>730</v>
      </c>
      <c r="D409" s="5" t="s">
        <v>731</v>
      </c>
      <c r="E409" s="5" t="s">
        <v>134</v>
      </c>
      <c r="F409" s="5" t="s">
        <v>732</v>
      </c>
      <c r="G409" s="5" t="s">
        <v>733</v>
      </c>
      <c r="H409" s="5" t="s">
        <v>137</v>
      </c>
      <c r="I409" s="5" t="s">
        <v>703</v>
      </c>
      <c r="J409" s="5" t="s">
        <v>30</v>
      </c>
      <c r="K409" s="5" t="s">
        <v>30</v>
      </c>
      <c r="L409" s="3" t="s">
        <v>139</v>
      </c>
      <c r="M409" s="3" t="s">
        <v>31</v>
      </c>
      <c r="N409" s="5" t="s">
        <v>734</v>
      </c>
      <c r="O409" s="5" t="s">
        <v>141</v>
      </c>
      <c r="P409" s="5" t="s">
        <v>34</v>
      </c>
      <c r="Q409" s="154">
        <v>767</v>
      </c>
      <c r="R409" s="166">
        <v>1</v>
      </c>
      <c r="S409" s="168">
        <v>11550</v>
      </c>
      <c r="U409" s="154">
        <v>88.587999999999994</v>
      </c>
      <c r="V409" s="165">
        <v>3.0000000000000001E-5</v>
      </c>
      <c r="W409" s="165">
        <v>4.5805826956414998E-3</v>
      </c>
      <c r="X409" s="165">
        <v>5.8384981167531799E-4</v>
      </c>
    </row>
    <row r="410" spans="1:24">
      <c r="A410" s="5">
        <v>424</v>
      </c>
      <c r="B410" s="5">
        <v>7229</v>
      </c>
      <c r="C410" s="5" t="s">
        <v>216</v>
      </c>
      <c r="D410" s="5" t="s">
        <v>217</v>
      </c>
      <c r="E410" s="5" t="s">
        <v>134</v>
      </c>
      <c r="F410" s="5" t="s">
        <v>735</v>
      </c>
      <c r="G410" s="5" t="s">
        <v>736</v>
      </c>
      <c r="H410" s="5" t="s">
        <v>137</v>
      </c>
      <c r="I410" s="5" t="s">
        <v>703</v>
      </c>
      <c r="J410" s="5" t="s">
        <v>30</v>
      </c>
      <c r="K410" s="5" t="s">
        <v>224</v>
      </c>
      <c r="L410" s="3" t="s">
        <v>139</v>
      </c>
      <c r="M410" s="3" t="s">
        <v>31</v>
      </c>
      <c r="N410" s="5" t="s">
        <v>220</v>
      </c>
      <c r="O410" s="5" t="s">
        <v>141</v>
      </c>
      <c r="P410" s="5" t="s">
        <v>34</v>
      </c>
      <c r="Q410" s="154">
        <v>2856.8</v>
      </c>
      <c r="R410" s="166">
        <v>1</v>
      </c>
      <c r="S410" s="168">
        <v>10190</v>
      </c>
      <c r="U410" s="154">
        <v>291.108</v>
      </c>
      <c r="V410" s="165">
        <v>2.1999999999999999E-5</v>
      </c>
      <c r="W410" s="165">
        <v>1.5052110611605199E-2</v>
      </c>
      <c r="X410" s="165">
        <v>1.91857074303317E-3</v>
      </c>
    </row>
    <row r="411" spans="1:24">
      <c r="A411" s="5">
        <v>424</v>
      </c>
      <c r="B411" s="5">
        <v>7229</v>
      </c>
      <c r="C411" s="5" t="s">
        <v>232</v>
      </c>
      <c r="D411" s="5" t="s">
        <v>233</v>
      </c>
      <c r="E411" s="5" t="s">
        <v>134</v>
      </c>
      <c r="F411" s="5" t="s">
        <v>741</v>
      </c>
      <c r="G411" s="5" t="s">
        <v>742</v>
      </c>
      <c r="H411" s="5" t="s">
        <v>137</v>
      </c>
      <c r="I411" s="5" t="s">
        <v>703</v>
      </c>
      <c r="J411" s="5" t="s">
        <v>30</v>
      </c>
      <c r="K411" s="5" t="s">
        <v>30</v>
      </c>
      <c r="L411" s="3" t="s">
        <v>139</v>
      </c>
      <c r="M411" s="3" t="s">
        <v>31</v>
      </c>
      <c r="N411" s="5" t="s">
        <v>208</v>
      </c>
      <c r="O411" s="5" t="s">
        <v>141</v>
      </c>
      <c r="P411" s="5" t="s">
        <v>34</v>
      </c>
      <c r="Q411" s="154">
        <v>354</v>
      </c>
      <c r="R411" s="166">
        <v>1</v>
      </c>
      <c r="S411" s="168">
        <v>21010</v>
      </c>
      <c r="U411" s="154">
        <v>74.375</v>
      </c>
      <c r="V411" s="165">
        <v>9.0000000000000002E-6</v>
      </c>
      <c r="W411" s="165">
        <v>3.84567602139572E-3</v>
      </c>
      <c r="X411" s="165">
        <v>4.9017720452741004E-4</v>
      </c>
    </row>
    <row r="412" spans="1:24">
      <c r="A412" s="5">
        <v>424</v>
      </c>
      <c r="B412" s="5">
        <v>7229</v>
      </c>
      <c r="C412" s="5" t="s">
        <v>747</v>
      </c>
      <c r="D412" s="5" t="s">
        <v>748</v>
      </c>
      <c r="E412" s="5" t="s">
        <v>134</v>
      </c>
      <c r="F412" s="5" t="s">
        <v>749</v>
      </c>
      <c r="G412" s="5" t="s">
        <v>750</v>
      </c>
      <c r="H412" s="5" t="s">
        <v>137</v>
      </c>
      <c r="I412" s="5" t="s">
        <v>703</v>
      </c>
      <c r="J412" s="5" t="s">
        <v>30</v>
      </c>
      <c r="K412" s="5" t="s">
        <v>30</v>
      </c>
      <c r="L412" s="3" t="s">
        <v>139</v>
      </c>
      <c r="M412" s="3" t="s">
        <v>31</v>
      </c>
      <c r="N412" s="5" t="s">
        <v>727</v>
      </c>
      <c r="O412" s="5" t="s">
        <v>141</v>
      </c>
      <c r="P412" s="5" t="s">
        <v>34</v>
      </c>
      <c r="Q412" s="154">
        <v>6000</v>
      </c>
      <c r="R412" s="166">
        <v>1</v>
      </c>
      <c r="S412" s="168">
        <v>1792</v>
      </c>
      <c r="U412" s="154">
        <v>107.52</v>
      </c>
      <c r="V412" s="165">
        <v>8.1000000000000004E-5</v>
      </c>
      <c r="W412" s="165">
        <v>5.5594603299003098E-3</v>
      </c>
      <c r="X412" s="165">
        <v>7.0861942296494699E-4</v>
      </c>
    </row>
    <row r="413" spans="1:24">
      <c r="A413" s="5">
        <v>424</v>
      </c>
      <c r="B413" s="5">
        <v>7229</v>
      </c>
      <c r="C413" s="5" t="s">
        <v>751</v>
      </c>
      <c r="D413" s="5" t="s">
        <v>752</v>
      </c>
      <c r="E413" s="5" t="s">
        <v>492</v>
      </c>
      <c r="F413" s="5" t="s">
        <v>751</v>
      </c>
      <c r="G413" s="5" t="s">
        <v>753</v>
      </c>
      <c r="H413" s="5" t="s">
        <v>137</v>
      </c>
      <c r="I413" s="5" t="s">
        <v>703</v>
      </c>
      <c r="J413" s="5" t="s">
        <v>30</v>
      </c>
      <c r="K413" s="5" t="s">
        <v>654</v>
      </c>
      <c r="L413" s="3" t="s">
        <v>139</v>
      </c>
      <c r="M413" s="3" t="s">
        <v>31</v>
      </c>
      <c r="N413" s="5" t="s">
        <v>208</v>
      </c>
      <c r="O413" s="5" t="s">
        <v>141</v>
      </c>
      <c r="P413" s="5" t="s">
        <v>34</v>
      </c>
      <c r="Q413" s="154">
        <v>1350</v>
      </c>
      <c r="R413" s="166">
        <v>1</v>
      </c>
      <c r="S413" s="168">
        <v>11110</v>
      </c>
      <c r="U413" s="154">
        <v>149.98500000000001</v>
      </c>
      <c r="V413" s="165">
        <v>6.2000000000000003E-5</v>
      </c>
      <c r="W413" s="165">
        <v>7.7551679462434797E-3</v>
      </c>
      <c r="X413" s="165">
        <v>9.8848850589097498E-4</v>
      </c>
    </row>
    <row r="414" spans="1:24">
      <c r="A414" s="5">
        <v>424</v>
      </c>
      <c r="B414" s="5">
        <v>7229</v>
      </c>
      <c r="C414" s="5" t="s">
        <v>254</v>
      </c>
      <c r="D414" s="5" t="s">
        <v>255</v>
      </c>
      <c r="E414" s="5" t="s">
        <v>134</v>
      </c>
      <c r="F414" s="5" t="s">
        <v>754</v>
      </c>
      <c r="G414" s="5" t="s">
        <v>755</v>
      </c>
      <c r="H414" s="5" t="s">
        <v>137</v>
      </c>
      <c r="I414" s="5" t="s">
        <v>703</v>
      </c>
      <c r="J414" s="5" t="s">
        <v>30</v>
      </c>
      <c r="K414" s="5" t="s">
        <v>30</v>
      </c>
      <c r="L414" s="3" t="s">
        <v>139</v>
      </c>
      <c r="M414" s="3" t="s">
        <v>31</v>
      </c>
      <c r="N414" s="5" t="s">
        <v>162</v>
      </c>
      <c r="O414" s="5" t="s">
        <v>141</v>
      </c>
      <c r="P414" s="5" t="s">
        <v>34</v>
      </c>
      <c r="Q414" s="154">
        <v>5206</v>
      </c>
      <c r="R414" s="166">
        <v>1</v>
      </c>
      <c r="S414" s="168">
        <v>6966</v>
      </c>
      <c r="U414" s="154">
        <v>362.65</v>
      </c>
      <c r="V414" s="165">
        <v>4.6999999999999997E-5</v>
      </c>
      <c r="W414" s="165">
        <v>1.8751284098399702E-2</v>
      </c>
      <c r="X414" s="165">
        <v>2.3900744549242999E-3</v>
      </c>
    </row>
    <row r="415" spans="1:24">
      <c r="A415" s="5">
        <v>424</v>
      </c>
      <c r="B415" s="5">
        <v>7229</v>
      </c>
      <c r="C415" s="5" t="s">
        <v>259</v>
      </c>
      <c r="D415" s="5" t="s">
        <v>260</v>
      </c>
      <c r="E415" s="5" t="s">
        <v>134</v>
      </c>
      <c r="F415" s="5" t="s">
        <v>756</v>
      </c>
      <c r="G415" s="5" t="s">
        <v>757</v>
      </c>
      <c r="H415" s="5" t="s">
        <v>137</v>
      </c>
      <c r="I415" s="5" t="s">
        <v>703</v>
      </c>
      <c r="J415" s="5" t="s">
        <v>30</v>
      </c>
      <c r="K415" s="5" t="s">
        <v>30</v>
      </c>
      <c r="L415" s="3" t="s">
        <v>139</v>
      </c>
      <c r="M415" s="3" t="s">
        <v>31</v>
      </c>
      <c r="N415" s="5" t="s">
        <v>151</v>
      </c>
      <c r="O415" s="5" t="s">
        <v>141</v>
      </c>
      <c r="P415" s="5" t="s">
        <v>34</v>
      </c>
      <c r="Q415" s="154">
        <v>57981</v>
      </c>
      <c r="R415" s="166">
        <v>1</v>
      </c>
      <c r="S415" s="168">
        <v>89.4</v>
      </c>
      <c r="U415" s="154">
        <v>51.835000000000001</v>
      </c>
      <c r="V415" s="165">
        <v>1.8E-5</v>
      </c>
      <c r="W415" s="165">
        <v>2.68019628006722E-3</v>
      </c>
      <c r="X415" s="165">
        <v>3.4162293257124199E-4</v>
      </c>
    </row>
    <row r="416" spans="1:24">
      <c r="A416" s="5">
        <v>424</v>
      </c>
      <c r="B416" s="5">
        <v>7229</v>
      </c>
      <c r="C416" s="5" t="s">
        <v>758</v>
      </c>
      <c r="D416" s="5" t="s">
        <v>759</v>
      </c>
      <c r="E416" s="5" t="s">
        <v>134</v>
      </c>
      <c r="F416" s="5" t="s">
        <v>760</v>
      </c>
      <c r="G416" s="5" t="s">
        <v>761</v>
      </c>
      <c r="H416" s="5" t="s">
        <v>137</v>
      </c>
      <c r="I416" s="5" t="s">
        <v>703</v>
      </c>
      <c r="J416" s="5" t="s">
        <v>30</v>
      </c>
      <c r="K416" s="5" t="s">
        <v>30</v>
      </c>
      <c r="L416" s="3" t="s">
        <v>139</v>
      </c>
      <c r="M416" s="3" t="s">
        <v>31</v>
      </c>
      <c r="N416" s="5" t="s">
        <v>612</v>
      </c>
      <c r="O416" s="5" t="s">
        <v>141</v>
      </c>
      <c r="P416" s="5" t="s">
        <v>34</v>
      </c>
      <c r="Q416" s="154">
        <v>71881</v>
      </c>
      <c r="R416" s="166">
        <v>1</v>
      </c>
      <c r="S416" s="168">
        <v>634.70000000000005</v>
      </c>
      <c r="T416" s="153">
        <v>15.113</v>
      </c>
      <c r="U416" s="154">
        <v>471.34100000000001</v>
      </c>
      <c r="V416" s="165">
        <v>2.5999999999999998E-5</v>
      </c>
      <c r="W416" s="165">
        <v>2.43713099192268E-2</v>
      </c>
      <c r="X416" s="165">
        <v>3.1064136709420599E-3</v>
      </c>
    </row>
    <row r="417" spans="1:24">
      <c r="A417" s="5">
        <v>424</v>
      </c>
      <c r="B417" s="5">
        <v>7229</v>
      </c>
      <c r="C417" s="5" t="s">
        <v>267</v>
      </c>
      <c r="D417" s="5" t="s">
        <v>268</v>
      </c>
      <c r="E417" s="5" t="s">
        <v>134</v>
      </c>
      <c r="F417" s="5" t="s">
        <v>762</v>
      </c>
      <c r="G417" s="5" t="s">
        <v>763</v>
      </c>
      <c r="H417" s="5" t="s">
        <v>137</v>
      </c>
      <c r="I417" s="5" t="s">
        <v>703</v>
      </c>
      <c r="J417" s="5" t="s">
        <v>30</v>
      </c>
      <c r="K417" s="5" t="s">
        <v>30</v>
      </c>
      <c r="L417" s="3" t="s">
        <v>139</v>
      </c>
      <c r="M417" s="3" t="s">
        <v>31</v>
      </c>
      <c r="N417" s="5" t="s">
        <v>186</v>
      </c>
      <c r="O417" s="5" t="s">
        <v>141</v>
      </c>
      <c r="P417" s="5" t="s">
        <v>34</v>
      </c>
      <c r="Q417" s="154">
        <v>400</v>
      </c>
      <c r="R417" s="166">
        <v>1</v>
      </c>
      <c r="S417" s="168">
        <v>68050</v>
      </c>
      <c r="U417" s="154">
        <v>272.2</v>
      </c>
      <c r="V417" s="165">
        <v>1.5999999999999999E-5</v>
      </c>
      <c r="W417" s="165">
        <v>1.4074452211671E-2</v>
      </c>
      <c r="X417" s="165">
        <v>1.7939565376772599E-3</v>
      </c>
    </row>
    <row r="418" spans="1:24">
      <c r="A418" s="5">
        <v>424</v>
      </c>
      <c r="B418" s="5">
        <v>7229</v>
      </c>
      <c r="C418" s="5" t="s">
        <v>768</v>
      </c>
      <c r="D418" s="5" t="s">
        <v>769</v>
      </c>
      <c r="E418" s="5" t="s">
        <v>134</v>
      </c>
      <c r="F418" s="5" t="s">
        <v>770</v>
      </c>
      <c r="G418" s="5" t="s">
        <v>771</v>
      </c>
      <c r="H418" s="5" t="s">
        <v>137</v>
      </c>
      <c r="I418" s="5" t="s">
        <v>703</v>
      </c>
      <c r="J418" s="5" t="s">
        <v>30</v>
      </c>
      <c r="K418" s="5" t="s">
        <v>30</v>
      </c>
      <c r="L418" s="3" t="s">
        <v>139</v>
      </c>
      <c r="M418" s="3" t="s">
        <v>31</v>
      </c>
      <c r="N418" s="5" t="s">
        <v>718</v>
      </c>
      <c r="O418" s="5" t="s">
        <v>141</v>
      </c>
      <c r="P418" s="5" t="s">
        <v>34</v>
      </c>
      <c r="Q418" s="154">
        <v>547</v>
      </c>
      <c r="R418" s="166">
        <v>1</v>
      </c>
      <c r="S418" s="168">
        <v>67920</v>
      </c>
      <c r="U418" s="154">
        <v>371.52199999999999</v>
      </c>
      <c r="V418" s="165">
        <v>6.0000000000000002E-5</v>
      </c>
      <c r="W418" s="165">
        <v>1.9210045056448601E-2</v>
      </c>
      <c r="X418" s="165">
        <v>2.4485490021070701E-3</v>
      </c>
    </row>
    <row r="419" spans="1:24">
      <c r="A419" s="5">
        <v>424</v>
      </c>
      <c r="B419" s="5">
        <v>7229</v>
      </c>
      <c r="C419" s="5" t="s">
        <v>772</v>
      </c>
      <c r="D419" s="5" t="s">
        <v>773</v>
      </c>
      <c r="E419" s="5" t="s">
        <v>134</v>
      </c>
      <c r="F419" s="5" t="s">
        <v>774</v>
      </c>
      <c r="G419" s="5" t="s">
        <v>775</v>
      </c>
      <c r="H419" s="5" t="s">
        <v>137</v>
      </c>
      <c r="I419" s="5" t="s">
        <v>703</v>
      </c>
      <c r="J419" s="5" t="s">
        <v>30</v>
      </c>
      <c r="K419" s="5" t="s">
        <v>30</v>
      </c>
      <c r="L419" s="3" t="s">
        <v>139</v>
      </c>
      <c r="M419" s="3" t="s">
        <v>31</v>
      </c>
      <c r="N419" s="5" t="s">
        <v>285</v>
      </c>
      <c r="O419" s="5" t="s">
        <v>141</v>
      </c>
      <c r="P419" s="5" t="s">
        <v>34</v>
      </c>
      <c r="Q419" s="154">
        <v>13974</v>
      </c>
      <c r="R419" s="166">
        <v>1</v>
      </c>
      <c r="S419" s="168">
        <v>3274</v>
      </c>
      <c r="U419" s="154">
        <v>457.50900000000001</v>
      </c>
      <c r="V419" s="165">
        <v>1.1E-5</v>
      </c>
      <c r="W419" s="165">
        <v>2.36560807459253E-2</v>
      </c>
      <c r="X419" s="165">
        <v>3.0152491956157799E-3</v>
      </c>
    </row>
    <row r="420" spans="1:24">
      <c r="A420" s="5">
        <v>424</v>
      </c>
      <c r="B420" s="5">
        <v>7229</v>
      </c>
      <c r="C420" s="5" t="s">
        <v>776</v>
      </c>
      <c r="D420" s="5" t="s">
        <v>777</v>
      </c>
      <c r="E420" s="5" t="s">
        <v>134</v>
      </c>
      <c r="F420" s="5" t="s">
        <v>778</v>
      </c>
      <c r="G420" s="5" t="s">
        <v>779</v>
      </c>
      <c r="H420" s="5" t="s">
        <v>137</v>
      </c>
      <c r="I420" s="5" t="s">
        <v>703</v>
      </c>
      <c r="J420" s="5" t="s">
        <v>30</v>
      </c>
      <c r="K420" s="5" t="s">
        <v>30</v>
      </c>
      <c r="L420" s="3" t="s">
        <v>139</v>
      </c>
      <c r="M420" s="3" t="s">
        <v>31</v>
      </c>
      <c r="N420" s="5" t="s">
        <v>780</v>
      </c>
      <c r="O420" s="5" t="s">
        <v>141</v>
      </c>
      <c r="P420" s="5" t="s">
        <v>34</v>
      </c>
      <c r="Q420" s="154">
        <v>1800</v>
      </c>
      <c r="R420" s="166">
        <v>1</v>
      </c>
      <c r="S420" s="168">
        <v>17410</v>
      </c>
      <c r="U420" s="154">
        <v>313.38</v>
      </c>
      <c r="V420" s="165">
        <v>6.7000000000000002E-5</v>
      </c>
      <c r="W420" s="165">
        <v>1.6203717245016399E-2</v>
      </c>
      <c r="X420" s="165">
        <v>2.0653567221796398E-3</v>
      </c>
    </row>
    <row r="421" spans="1:24">
      <c r="A421" s="5">
        <v>424</v>
      </c>
      <c r="B421" s="5">
        <v>7229</v>
      </c>
      <c r="C421" s="5" t="s">
        <v>781</v>
      </c>
      <c r="D421" s="5" t="s">
        <v>782</v>
      </c>
      <c r="E421" s="5" t="s">
        <v>134</v>
      </c>
      <c r="F421" s="5" t="s">
        <v>783</v>
      </c>
      <c r="G421" s="5" t="s">
        <v>784</v>
      </c>
      <c r="H421" s="5" t="s">
        <v>137</v>
      </c>
      <c r="I421" s="5" t="s">
        <v>703</v>
      </c>
      <c r="J421" s="5" t="s">
        <v>30</v>
      </c>
      <c r="K421" s="5" t="s">
        <v>30</v>
      </c>
      <c r="L421" s="3" t="s">
        <v>139</v>
      </c>
      <c r="M421" s="3" t="s">
        <v>31</v>
      </c>
      <c r="N421" s="5" t="s">
        <v>465</v>
      </c>
      <c r="O421" s="5" t="s">
        <v>141</v>
      </c>
      <c r="P421" s="5" t="s">
        <v>34</v>
      </c>
      <c r="Q421" s="154">
        <v>33345</v>
      </c>
      <c r="R421" s="166">
        <v>1</v>
      </c>
      <c r="S421" s="168">
        <v>745.1</v>
      </c>
      <c r="U421" s="154">
        <v>248.45400000000001</v>
      </c>
      <c r="V421" s="165">
        <v>3.6299999999999999E-4</v>
      </c>
      <c r="W421" s="165">
        <v>1.28466137018566E-2</v>
      </c>
      <c r="X421" s="165">
        <v>1.6374538980884199E-3</v>
      </c>
    </row>
    <row r="422" spans="1:24">
      <c r="A422" s="5">
        <v>424</v>
      </c>
      <c r="B422" s="5">
        <v>7229</v>
      </c>
      <c r="C422" s="5" t="s">
        <v>785</v>
      </c>
      <c r="D422" s="5" t="s">
        <v>786</v>
      </c>
      <c r="E422" s="5" t="s">
        <v>134</v>
      </c>
      <c r="F422" s="5" t="s">
        <v>787</v>
      </c>
      <c r="G422" s="5" t="s">
        <v>788</v>
      </c>
      <c r="H422" s="5" t="s">
        <v>137</v>
      </c>
      <c r="I422" s="5" t="s">
        <v>703</v>
      </c>
      <c r="J422" s="5" t="s">
        <v>30</v>
      </c>
      <c r="K422" s="5" t="s">
        <v>30</v>
      </c>
      <c r="L422" s="3" t="s">
        <v>139</v>
      </c>
      <c r="M422" s="3" t="s">
        <v>31</v>
      </c>
      <c r="N422" s="5" t="s">
        <v>170</v>
      </c>
      <c r="O422" s="5" t="s">
        <v>141</v>
      </c>
      <c r="P422" s="5" t="s">
        <v>34</v>
      </c>
      <c r="Q422" s="154">
        <v>3043</v>
      </c>
      <c r="R422" s="166">
        <v>1</v>
      </c>
      <c r="S422" s="168">
        <v>12400</v>
      </c>
      <c r="U422" s="154">
        <v>377.33199999999999</v>
      </c>
      <c r="V422" s="165">
        <v>1.2E-5</v>
      </c>
      <c r="W422" s="165">
        <v>1.9510437920405001E-2</v>
      </c>
      <c r="X422" s="165">
        <v>2.4868376497973401E-3</v>
      </c>
    </row>
    <row r="423" spans="1:24">
      <c r="A423" s="5">
        <v>424</v>
      </c>
      <c r="B423" s="5">
        <v>7229</v>
      </c>
      <c r="C423" s="5" t="s">
        <v>793</v>
      </c>
      <c r="D423" s="5" t="s">
        <v>794</v>
      </c>
      <c r="E423" s="5" t="s">
        <v>134</v>
      </c>
      <c r="F423" s="5" t="s">
        <v>795</v>
      </c>
      <c r="G423" s="5" t="s">
        <v>796</v>
      </c>
      <c r="H423" s="5" t="s">
        <v>137</v>
      </c>
      <c r="I423" s="5" t="s">
        <v>703</v>
      </c>
      <c r="J423" s="5" t="s">
        <v>30</v>
      </c>
      <c r="K423" s="5" t="s">
        <v>797</v>
      </c>
      <c r="L423" s="3" t="s">
        <v>139</v>
      </c>
      <c r="M423" s="3" t="s">
        <v>31</v>
      </c>
      <c r="N423" s="5" t="s">
        <v>798</v>
      </c>
      <c r="O423" s="5" t="s">
        <v>141</v>
      </c>
      <c r="P423" s="5" t="s">
        <v>34</v>
      </c>
      <c r="Q423" s="154">
        <v>2120</v>
      </c>
      <c r="R423" s="166">
        <v>1</v>
      </c>
      <c r="S423" s="168">
        <v>23540</v>
      </c>
      <c r="U423" s="154">
        <v>499.048</v>
      </c>
      <c r="V423" s="165">
        <v>1.9000000000000001E-5</v>
      </c>
      <c r="W423" s="165">
        <v>2.5803920746987501E-2</v>
      </c>
      <c r="X423" s="165">
        <v>3.2890169809506199E-3</v>
      </c>
    </row>
    <row r="424" spans="1:24">
      <c r="A424" s="5">
        <v>424</v>
      </c>
      <c r="B424" s="5">
        <v>7229</v>
      </c>
      <c r="C424" s="5" t="s">
        <v>568</v>
      </c>
      <c r="D424" s="5" t="s">
        <v>569</v>
      </c>
      <c r="E424" s="5" t="s">
        <v>134</v>
      </c>
      <c r="F424" s="5" t="s">
        <v>799</v>
      </c>
      <c r="G424" s="5" t="s">
        <v>800</v>
      </c>
      <c r="H424" s="5" t="s">
        <v>137</v>
      </c>
      <c r="I424" s="5" t="s">
        <v>703</v>
      </c>
      <c r="J424" s="5" t="s">
        <v>30</v>
      </c>
      <c r="K424" s="5" t="s">
        <v>224</v>
      </c>
      <c r="L424" s="3" t="s">
        <v>139</v>
      </c>
      <c r="M424" s="3" t="s">
        <v>31</v>
      </c>
      <c r="N424" s="5" t="s">
        <v>573</v>
      </c>
      <c r="O424" s="5" t="s">
        <v>141</v>
      </c>
      <c r="P424" s="5" t="s">
        <v>34</v>
      </c>
      <c r="Q424" s="154">
        <v>9119</v>
      </c>
      <c r="R424" s="166">
        <v>1</v>
      </c>
      <c r="S424" s="168">
        <v>6440</v>
      </c>
      <c r="U424" s="154">
        <v>587.26400000000001</v>
      </c>
      <c r="V424" s="165">
        <v>6.9999999999999999E-6</v>
      </c>
      <c r="W424" s="165">
        <v>3.0365222166987001E-2</v>
      </c>
      <c r="X424" s="165">
        <v>3.8704091644374801E-3</v>
      </c>
    </row>
    <row r="425" spans="1:24">
      <c r="A425" s="5">
        <v>424</v>
      </c>
      <c r="B425" s="5">
        <v>7229</v>
      </c>
      <c r="C425" s="5" t="s">
        <v>805</v>
      </c>
      <c r="D425" s="5" t="s">
        <v>806</v>
      </c>
      <c r="E425" s="5" t="s">
        <v>134</v>
      </c>
      <c r="F425" s="5" t="s">
        <v>807</v>
      </c>
      <c r="G425" s="5" t="s">
        <v>808</v>
      </c>
      <c r="H425" s="5" t="s">
        <v>137</v>
      </c>
      <c r="I425" s="5" t="s">
        <v>703</v>
      </c>
      <c r="J425" s="5" t="s">
        <v>30</v>
      </c>
      <c r="K425" s="5" t="s">
        <v>30</v>
      </c>
      <c r="L425" s="3" t="s">
        <v>139</v>
      </c>
      <c r="M425" s="3" t="s">
        <v>31</v>
      </c>
      <c r="N425" s="5" t="s">
        <v>555</v>
      </c>
      <c r="O425" s="5" t="s">
        <v>141</v>
      </c>
      <c r="P425" s="5" t="s">
        <v>34</v>
      </c>
      <c r="Q425" s="154">
        <v>2000</v>
      </c>
      <c r="R425" s="166">
        <v>1</v>
      </c>
      <c r="S425" s="168">
        <v>2875</v>
      </c>
      <c r="U425" s="154">
        <v>57.5</v>
      </c>
      <c r="V425" s="165">
        <v>1.5999999999999999E-5</v>
      </c>
      <c r="W425" s="165">
        <v>2.9731116905623899E-3</v>
      </c>
      <c r="X425" s="165">
        <v>3.7895848977385102E-4</v>
      </c>
    </row>
    <row r="426" spans="1:24">
      <c r="A426" s="5">
        <v>424</v>
      </c>
      <c r="B426" s="5">
        <v>7229</v>
      </c>
      <c r="C426" s="5" t="s">
        <v>809</v>
      </c>
      <c r="D426" s="5" t="s">
        <v>810</v>
      </c>
      <c r="E426" s="5" t="s">
        <v>134</v>
      </c>
      <c r="F426" s="5" t="s">
        <v>811</v>
      </c>
      <c r="G426" s="5" t="s">
        <v>812</v>
      </c>
      <c r="H426" s="5" t="s">
        <v>137</v>
      </c>
      <c r="I426" s="5" t="s">
        <v>703</v>
      </c>
      <c r="J426" s="5" t="s">
        <v>30</v>
      </c>
      <c r="K426" s="5" t="s">
        <v>30</v>
      </c>
      <c r="L426" s="3" t="s">
        <v>139</v>
      </c>
      <c r="M426" s="3" t="s">
        <v>31</v>
      </c>
      <c r="N426" s="5" t="s">
        <v>378</v>
      </c>
      <c r="O426" s="5" t="s">
        <v>141</v>
      </c>
      <c r="P426" s="5" t="s">
        <v>34</v>
      </c>
      <c r="Q426" s="154">
        <v>17857</v>
      </c>
      <c r="R426" s="166">
        <v>1</v>
      </c>
      <c r="S426" s="168">
        <v>1338</v>
      </c>
      <c r="U426" s="154">
        <v>238.92699999999999</v>
      </c>
      <c r="V426" s="165">
        <v>5.5000000000000002E-5</v>
      </c>
      <c r="W426" s="165">
        <v>1.2354011235356999E-2</v>
      </c>
      <c r="X426" s="165">
        <v>1.5746658476575701E-3</v>
      </c>
    </row>
    <row r="427" spans="1:24">
      <c r="A427" s="5">
        <v>424</v>
      </c>
      <c r="B427" s="5">
        <v>7229</v>
      </c>
      <c r="C427" s="5" t="s">
        <v>595</v>
      </c>
      <c r="D427" s="5" t="s">
        <v>596</v>
      </c>
      <c r="E427" s="5" t="s">
        <v>134</v>
      </c>
      <c r="F427" s="5" t="s">
        <v>813</v>
      </c>
      <c r="G427" s="5" t="s">
        <v>814</v>
      </c>
      <c r="H427" s="5" t="s">
        <v>137</v>
      </c>
      <c r="I427" s="5" t="s">
        <v>703</v>
      </c>
      <c r="J427" s="5" t="s">
        <v>30</v>
      </c>
      <c r="K427" s="5" t="s">
        <v>30</v>
      </c>
      <c r="L427" s="3" t="s">
        <v>139</v>
      </c>
      <c r="M427" s="3" t="s">
        <v>31</v>
      </c>
      <c r="N427" s="5" t="s">
        <v>170</v>
      </c>
      <c r="O427" s="5" t="s">
        <v>141</v>
      </c>
      <c r="P427" s="5" t="s">
        <v>34</v>
      </c>
      <c r="Q427" s="154">
        <v>2520</v>
      </c>
      <c r="R427" s="166">
        <v>1</v>
      </c>
      <c r="S427" s="168">
        <v>16970</v>
      </c>
      <c r="U427" s="154">
        <v>427.64400000000001</v>
      </c>
      <c r="V427" s="165">
        <v>3.1000000000000001E-5</v>
      </c>
      <c r="W427" s="165">
        <v>2.2111884796502002E-2</v>
      </c>
      <c r="X427" s="165">
        <v>2.8184230330582402E-3</v>
      </c>
    </row>
    <row r="428" spans="1:24">
      <c r="A428" s="5">
        <v>424</v>
      </c>
      <c r="B428" s="5">
        <v>7229</v>
      </c>
      <c r="C428" s="5" t="s">
        <v>380</v>
      </c>
      <c r="D428" s="5" t="s">
        <v>381</v>
      </c>
      <c r="E428" s="5" t="s">
        <v>134</v>
      </c>
      <c r="F428" s="5" t="s">
        <v>815</v>
      </c>
      <c r="G428" s="5" t="s">
        <v>816</v>
      </c>
      <c r="H428" s="5" t="s">
        <v>137</v>
      </c>
      <c r="I428" s="5" t="s">
        <v>703</v>
      </c>
      <c r="J428" s="5" t="s">
        <v>30</v>
      </c>
      <c r="K428" s="5" t="s">
        <v>30</v>
      </c>
      <c r="L428" s="3" t="s">
        <v>139</v>
      </c>
      <c r="M428" s="3" t="s">
        <v>31</v>
      </c>
      <c r="N428" s="5" t="s">
        <v>285</v>
      </c>
      <c r="O428" s="5" t="s">
        <v>141</v>
      </c>
      <c r="P428" s="5" t="s">
        <v>34</v>
      </c>
      <c r="Q428" s="154">
        <v>15544</v>
      </c>
      <c r="R428" s="166">
        <v>1</v>
      </c>
      <c r="S428" s="168">
        <v>6529</v>
      </c>
      <c r="U428" s="154">
        <v>1014.8680000000001</v>
      </c>
      <c r="V428" s="165">
        <v>1.0000000000000001E-5</v>
      </c>
      <c r="W428" s="165">
        <v>5.2475046984884602E-2</v>
      </c>
      <c r="X428" s="165">
        <v>6.68856962869167E-3</v>
      </c>
    </row>
    <row r="429" spans="1:24">
      <c r="A429" s="5">
        <v>424</v>
      </c>
      <c r="B429" s="5">
        <v>7229</v>
      </c>
      <c r="C429" s="5" t="s">
        <v>398</v>
      </c>
      <c r="D429" s="5" t="s">
        <v>399</v>
      </c>
      <c r="E429" s="5" t="s">
        <v>134</v>
      </c>
      <c r="F429" s="5" t="s">
        <v>817</v>
      </c>
      <c r="G429" s="5" t="s">
        <v>818</v>
      </c>
      <c r="H429" s="5" t="s">
        <v>137</v>
      </c>
      <c r="I429" s="5" t="s">
        <v>703</v>
      </c>
      <c r="J429" s="5" t="s">
        <v>30</v>
      </c>
      <c r="K429" s="5" t="s">
        <v>30</v>
      </c>
      <c r="L429" s="3" t="s">
        <v>139</v>
      </c>
      <c r="M429" s="3" t="s">
        <v>31</v>
      </c>
      <c r="N429" s="5" t="s">
        <v>186</v>
      </c>
      <c r="O429" s="5" t="s">
        <v>141</v>
      </c>
      <c r="P429" s="5" t="s">
        <v>34</v>
      </c>
      <c r="Q429" s="154">
        <v>15519</v>
      </c>
      <c r="R429" s="166">
        <v>1</v>
      </c>
      <c r="S429" s="168">
        <v>1292</v>
      </c>
      <c r="U429" s="154">
        <v>200.505</v>
      </c>
      <c r="V429" s="165">
        <v>2.0999999999999999E-5</v>
      </c>
      <c r="W429" s="165">
        <v>1.0367394549736101E-2</v>
      </c>
      <c r="X429" s="165">
        <v>1.3214478937770601E-3</v>
      </c>
    </row>
    <row r="430" spans="1:24">
      <c r="A430" s="5">
        <v>424</v>
      </c>
      <c r="B430" s="5">
        <v>7229</v>
      </c>
      <c r="C430" s="5" t="s">
        <v>825</v>
      </c>
      <c r="D430" s="5" t="s">
        <v>826</v>
      </c>
      <c r="E430" s="5" t="s">
        <v>134</v>
      </c>
      <c r="F430" s="5" t="s">
        <v>827</v>
      </c>
      <c r="G430" s="5" t="s">
        <v>828</v>
      </c>
      <c r="H430" s="5" t="s">
        <v>137</v>
      </c>
      <c r="I430" s="5" t="s">
        <v>703</v>
      </c>
      <c r="J430" s="5" t="s">
        <v>30</v>
      </c>
      <c r="K430" s="5" t="s">
        <v>30</v>
      </c>
      <c r="L430" s="3" t="s">
        <v>139</v>
      </c>
      <c r="M430" s="3" t="s">
        <v>31</v>
      </c>
      <c r="N430" s="5" t="s">
        <v>829</v>
      </c>
      <c r="O430" s="5" t="s">
        <v>141</v>
      </c>
      <c r="P430" s="5" t="s">
        <v>34</v>
      </c>
      <c r="Q430" s="154">
        <v>856</v>
      </c>
      <c r="R430" s="166">
        <v>1</v>
      </c>
      <c r="S430" s="168">
        <v>11650</v>
      </c>
      <c r="T430" s="153">
        <v>0.72799999999999998</v>
      </c>
      <c r="U430" s="154">
        <v>100.452</v>
      </c>
      <c r="V430" s="165">
        <v>1.2999999999999999E-5</v>
      </c>
      <c r="W430" s="165">
        <v>5.1939795877512501E-3</v>
      </c>
      <c r="X430" s="165">
        <v>6.6203455011073001E-4</v>
      </c>
    </row>
    <row r="431" spans="1:24">
      <c r="A431" s="5">
        <v>424</v>
      </c>
      <c r="B431" s="5">
        <v>7229</v>
      </c>
      <c r="C431" s="5" t="s">
        <v>429</v>
      </c>
      <c r="D431" s="5" t="s">
        <v>430</v>
      </c>
      <c r="E431" s="5" t="s">
        <v>134</v>
      </c>
      <c r="F431" s="5" t="s">
        <v>830</v>
      </c>
      <c r="G431" s="5" t="s">
        <v>831</v>
      </c>
      <c r="H431" s="5" t="s">
        <v>137</v>
      </c>
      <c r="I431" s="5" t="s">
        <v>703</v>
      </c>
      <c r="J431" s="5" t="s">
        <v>30</v>
      </c>
      <c r="K431" s="5" t="s">
        <v>30</v>
      </c>
      <c r="L431" s="3" t="s">
        <v>139</v>
      </c>
      <c r="M431" s="3" t="s">
        <v>31</v>
      </c>
      <c r="N431" s="5" t="s">
        <v>186</v>
      </c>
      <c r="O431" s="5" t="s">
        <v>141</v>
      </c>
      <c r="P431" s="5" t="s">
        <v>34</v>
      </c>
      <c r="Q431" s="154">
        <v>454</v>
      </c>
      <c r="R431" s="166">
        <v>1</v>
      </c>
      <c r="S431" s="168">
        <v>40000</v>
      </c>
      <c r="U431" s="154">
        <v>181.6</v>
      </c>
      <c r="V431" s="165">
        <v>1.0000000000000001E-5</v>
      </c>
      <c r="W431" s="165">
        <v>9.3898623131500793E-3</v>
      </c>
      <c r="X431" s="165">
        <v>1.1968497694422799E-3</v>
      </c>
    </row>
    <row r="432" spans="1:24">
      <c r="A432" s="5">
        <v>424</v>
      </c>
      <c r="B432" s="5">
        <v>7229</v>
      </c>
      <c r="C432" s="5" t="s">
        <v>832</v>
      </c>
      <c r="D432" s="5" t="s">
        <v>833</v>
      </c>
      <c r="E432" s="5" t="s">
        <v>134</v>
      </c>
      <c r="F432" s="5" t="s">
        <v>834</v>
      </c>
      <c r="G432" s="5" t="s">
        <v>835</v>
      </c>
      <c r="H432" s="5" t="s">
        <v>137</v>
      </c>
      <c r="I432" s="5" t="s">
        <v>703</v>
      </c>
      <c r="J432" s="5" t="s">
        <v>30</v>
      </c>
      <c r="K432" s="5" t="s">
        <v>30</v>
      </c>
      <c r="L432" s="3" t="s">
        <v>139</v>
      </c>
      <c r="M432" s="3" t="s">
        <v>31</v>
      </c>
      <c r="N432" s="5" t="s">
        <v>170</v>
      </c>
      <c r="O432" s="5" t="s">
        <v>141</v>
      </c>
      <c r="P432" s="5" t="s">
        <v>34</v>
      </c>
      <c r="Q432" s="154">
        <v>1148</v>
      </c>
      <c r="R432" s="166">
        <v>1</v>
      </c>
      <c r="S432" s="168">
        <v>32500</v>
      </c>
      <c r="U432" s="154">
        <v>373.1</v>
      </c>
      <c r="V432" s="165">
        <v>1.8E-5</v>
      </c>
      <c r="W432" s="165">
        <v>1.9291616899979599E-2</v>
      </c>
      <c r="X432" s="165">
        <v>2.4589463049499798E-3</v>
      </c>
    </row>
    <row r="433" spans="1:24">
      <c r="A433" s="5">
        <v>424</v>
      </c>
      <c r="B433" s="5">
        <v>7229</v>
      </c>
      <c r="C433" s="5" t="s">
        <v>836</v>
      </c>
      <c r="D433" s="5" t="s">
        <v>837</v>
      </c>
      <c r="E433" s="5" t="s">
        <v>134</v>
      </c>
      <c r="F433" s="5" t="s">
        <v>838</v>
      </c>
      <c r="G433" s="5" t="s">
        <v>839</v>
      </c>
      <c r="H433" s="5" t="s">
        <v>137</v>
      </c>
      <c r="I433" s="5" t="s">
        <v>703</v>
      </c>
      <c r="J433" s="5" t="s">
        <v>30</v>
      </c>
      <c r="K433" s="5" t="s">
        <v>30</v>
      </c>
      <c r="L433" s="3" t="s">
        <v>139</v>
      </c>
      <c r="M433" s="3" t="s">
        <v>31</v>
      </c>
      <c r="N433" s="5" t="s">
        <v>734</v>
      </c>
      <c r="O433" s="5" t="s">
        <v>141</v>
      </c>
      <c r="P433" s="5" t="s">
        <v>34</v>
      </c>
      <c r="Q433" s="154">
        <v>6750</v>
      </c>
      <c r="R433" s="166">
        <v>1</v>
      </c>
      <c r="S433" s="168">
        <v>2066</v>
      </c>
      <c r="U433" s="154">
        <v>139.45500000000001</v>
      </c>
      <c r="V433" s="165">
        <v>4.6999999999999997E-5</v>
      </c>
      <c r="W433" s="165">
        <v>7.2107007096935301E-3</v>
      </c>
      <c r="X433" s="165">
        <v>9.1908967289412898E-4</v>
      </c>
    </row>
    <row r="434" spans="1:24">
      <c r="A434" s="5">
        <v>424</v>
      </c>
      <c r="B434" s="5">
        <v>7229</v>
      </c>
      <c r="C434" s="5" t="s">
        <v>467</v>
      </c>
      <c r="D434" s="5" t="s">
        <v>468</v>
      </c>
      <c r="E434" s="5" t="s">
        <v>366</v>
      </c>
      <c r="F434" s="5" t="s">
        <v>840</v>
      </c>
      <c r="G434" s="5" t="s">
        <v>841</v>
      </c>
      <c r="H434" s="5" t="s">
        <v>137</v>
      </c>
      <c r="I434" s="5" t="s">
        <v>703</v>
      </c>
      <c r="J434" s="5" t="s">
        <v>30</v>
      </c>
      <c r="K434" s="5" t="s">
        <v>224</v>
      </c>
      <c r="L434" s="3" t="s">
        <v>139</v>
      </c>
      <c r="M434" s="3" t="s">
        <v>31</v>
      </c>
      <c r="N434" s="5" t="s">
        <v>369</v>
      </c>
      <c r="O434" s="5" t="s">
        <v>141</v>
      </c>
      <c r="P434" s="5" t="s">
        <v>34</v>
      </c>
      <c r="Q434" s="154">
        <v>200</v>
      </c>
      <c r="R434" s="166">
        <v>1</v>
      </c>
      <c r="S434" s="168">
        <v>11190</v>
      </c>
      <c r="U434" s="154">
        <v>22.38</v>
      </c>
      <c r="V434" s="165">
        <v>1.9999999999999999E-6</v>
      </c>
      <c r="W434" s="165">
        <v>1.1571867762571501E-3</v>
      </c>
      <c r="X434" s="165">
        <v>1.4749723480241399E-4</v>
      </c>
    </row>
    <row r="435" spans="1:24">
      <c r="A435" s="5">
        <v>424</v>
      </c>
      <c r="B435" s="5">
        <v>7229</v>
      </c>
      <c r="C435" s="5" t="s">
        <v>846</v>
      </c>
      <c r="D435" s="5" t="s">
        <v>847</v>
      </c>
      <c r="E435" s="5" t="s">
        <v>134</v>
      </c>
      <c r="F435" s="5" t="s">
        <v>848</v>
      </c>
      <c r="G435" s="5" t="s">
        <v>849</v>
      </c>
      <c r="H435" s="5" t="s">
        <v>137</v>
      </c>
      <c r="I435" s="5" t="s">
        <v>703</v>
      </c>
      <c r="J435" s="5" t="s">
        <v>30</v>
      </c>
      <c r="K435" s="5" t="s">
        <v>224</v>
      </c>
      <c r="L435" s="3" t="s">
        <v>139</v>
      </c>
      <c r="M435" s="3" t="s">
        <v>31</v>
      </c>
      <c r="N435" s="5" t="s">
        <v>480</v>
      </c>
      <c r="O435" s="5" t="s">
        <v>141</v>
      </c>
      <c r="P435" s="5" t="s">
        <v>34</v>
      </c>
      <c r="Q435" s="154">
        <v>315</v>
      </c>
      <c r="R435" s="166">
        <v>1</v>
      </c>
      <c r="S435" s="168">
        <v>48800</v>
      </c>
      <c r="U435" s="154">
        <v>153.72</v>
      </c>
      <c r="V435" s="165">
        <v>3.9999999999999998E-6</v>
      </c>
      <c r="W435" s="165">
        <v>7.9482909404043501E-3</v>
      </c>
      <c r="X435" s="165">
        <v>1.0131043312702E-3</v>
      </c>
    </row>
    <row r="436" spans="1:24">
      <c r="A436" s="5">
        <v>424</v>
      </c>
      <c r="B436" s="5">
        <v>7229</v>
      </c>
      <c r="C436" s="5" t="s">
        <v>506</v>
      </c>
      <c r="D436" s="5" t="s">
        <v>507</v>
      </c>
      <c r="E436" s="5" t="s">
        <v>134</v>
      </c>
      <c r="F436" s="5" t="s">
        <v>850</v>
      </c>
      <c r="G436" s="5" t="s">
        <v>851</v>
      </c>
      <c r="H436" s="5" t="s">
        <v>137</v>
      </c>
      <c r="I436" s="5" t="s">
        <v>703</v>
      </c>
      <c r="J436" s="5" t="s">
        <v>30</v>
      </c>
      <c r="K436" s="5" t="s">
        <v>30</v>
      </c>
      <c r="L436" s="3" t="s">
        <v>139</v>
      </c>
      <c r="M436" s="3" t="s">
        <v>31</v>
      </c>
      <c r="N436" s="5" t="s">
        <v>186</v>
      </c>
      <c r="O436" s="5" t="s">
        <v>141</v>
      </c>
      <c r="P436" s="5" t="s">
        <v>34</v>
      </c>
      <c r="Q436" s="154">
        <v>793</v>
      </c>
      <c r="R436" s="166">
        <v>1</v>
      </c>
      <c r="S436" s="168">
        <v>32870</v>
      </c>
      <c r="U436" s="154">
        <v>260.65899999999999</v>
      </c>
      <c r="V436" s="165">
        <v>6.9999999999999999E-6</v>
      </c>
      <c r="W436" s="165">
        <v>1.3477715086286399E-2</v>
      </c>
      <c r="X436" s="165">
        <v>1.7178952849010601E-3</v>
      </c>
    </row>
    <row r="437" spans="1:24">
      <c r="A437" s="5">
        <v>424</v>
      </c>
      <c r="B437" s="5">
        <v>7229</v>
      </c>
      <c r="C437" s="5" t="s">
        <v>522</v>
      </c>
      <c r="D437" s="5" t="s">
        <v>523</v>
      </c>
      <c r="E437" s="5" t="s">
        <v>134</v>
      </c>
      <c r="F437" s="5" t="s">
        <v>852</v>
      </c>
      <c r="G437" s="5" t="s">
        <v>853</v>
      </c>
      <c r="H437" s="5" t="s">
        <v>137</v>
      </c>
      <c r="I437" s="5" t="s">
        <v>703</v>
      </c>
      <c r="J437" s="5" t="s">
        <v>30</v>
      </c>
      <c r="K437" s="5" t="s">
        <v>30</v>
      </c>
      <c r="L437" s="3" t="s">
        <v>139</v>
      </c>
      <c r="M437" s="3" t="s">
        <v>31</v>
      </c>
      <c r="N437" s="5" t="s">
        <v>285</v>
      </c>
      <c r="O437" s="5" t="s">
        <v>141</v>
      </c>
      <c r="P437" s="5" t="s">
        <v>34</v>
      </c>
      <c r="Q437" s="154">
        <v>11325</v>
      </c>
      <c r="R437" s="166">
        <v>1</v>
      </c>
      <c r="S437" s="168">
        <v>6732</v>
      </c>
      <c r="U437" s="154">
        <v>762.399</v>
      </c>
      <c r="V437" s="165">
        <v>7.9999999999999996E-6</v>
      </c>
      <c r="W437" s="165">
        <v>3.9420823996053497E-2</v>
      </c>
      <c r="X437" s="165">
        <v>5.0246534546972898E-3</v>
      </c>
    </row>
    <row r="438" spans="1:24">
      <c r="A438" s="5">
        <v>424</v>
      </c>
      <c r="B438" s="5">
        <v>7229</v>
      </c>
      <c r="C438" s="5" t="s">
        <v>644</v>
      </c>
      <c r="D438" s="5" t="s">
        <v>645</v>
      </c>
      <c r="E438" s="5" t="s">
        <v>134</v>
      </c>
      <c r="F438" s="5" t="s">
        <v>854</v>
      </c>
      <c r="G438" s="5" t="s">
        <v>855</v>
      </c>
      <c r="H438" s="5" t="s">
        <v>137</v>
      </c>
      <c r="I438" s="5" t="s">
        <v>703</v>
      </c>
      <c r="J438" s="5" t="s">
        <v>30</v>
      </c>
      <c r="K438" s="5" t="s">
        <v>30</v>
      </c>
      <c r="L438" s="3" t="s">
        <v>139</v>
      </c>
      <c r="M438" s="3" t="s">
        <v>31</v>
      </c>
      <c r="N438" s="5" t="s">
        <v>612</v>
      </c>
      <c r="O438" s="5" t="s">
        <v>141</v>
      </c>
      <c r="P438" s="5" t="s">
        <v>34</v>
      </c>
      <c r="Q438" s="154">
        <v>7694</v>
      </c>
      <c r="R438" s="166">
        <v>1</v>
      </c>
      <c r="S438" s="168">
        <v>3170</v>
      </c>
      <c r="U438" s="154">
        <v>243.9</v>
      </c>
      <c r="V438" s="165">
        <v>4.0000000000000003E-5</v>
      </c>
      <c r="W438" s="165">
        <v>1.2611153855753499E-2</v>
      </c>
      <c r="X438" s="165">
        <v>1.60744173676773E-3</v>
      </c>
    </row>
    <row r="439" spans="1:24">
      <c r="A439" s="5">
        <v>424</v>
      </c>
      <c r="B439" s="5">
        <v>7229</v>
      </c>
      <c r="C439" s="5" t="s">
        <v>540</v>
      </c>
      <c r="D439" s="5" t="s">
        <v>541</v>
      </c>
      <c r="E439" s="5" t="s">
        <v>134</v>
      </c>
      <c r="F439" s="5" t="s">
        <v>856</v>
      </c>
      <c r="G439" s="5" t="s">
        <v>857</v>
      </c>
      <c r="H439" s="5" t="s">
        <v>137</v>
      </c>
      <c r="I439" s="5" t="s">
        <v>703</v>
      </c>
      <c r="J439" s="5" t="s">
        <v>30</v>
      </c>
      <c r="K439" s="5" t="s">
        <v>30</v>
      </c>
      <c r="L439" s="3" t="s">
        <v>139</v>
      </c>
      <c r="M439" s="3" t="s">
        <v>31</v>
      </c>
      <c r="N439" s="5" t="s">
        <v>544</v>
      </c>
      <c r="O439" s="5" t="s">
        <v>141</v>
      </c>
      <c r="P439" s="5" t="s">
        <v>34</v>
      </c>
      <c r="Q439" s="154">
        <v>140</v>
      </c>
      <c r="R439" s="166">
        <v>1</v>
      </c>
      <c r="S439" s="168">
        <v>55350</v>
      </c>
      <c r="U439" s="154">
        <v>77.489999999999995</v>
      </c>
      <c r="V439" s="165">
        <v>7.9999999999999996E-6</v>
      </c>
      <c r="W439" s="165">
        <v>4.0067204330726898E-3</v>
      </c>
      <c r="X439" s="165">
        <v>5.1070423256653402E-4</v>
      </c>
    </row>
    <row r="440" spans="1:24">
      <c r="A440" s="5">
        <v>424</v>
      </c>
      <c r="B440" s="5">
        <v>7229</v>
      </c>
      <c r="C440" s="5" t="s">
        <v>858</v>
      </c>
      <c r="D440" s="5" t="s">
        <v>859</v>
      </c>
      <c r="E440" s="5" t="s">
        <v>134</v>
      </c>
      <c r="F440" s="5" t="s">
        <v>860</v>
      </c>
      <c r="G440" s="5" t="s">
        <v>861</v>
      </c>
      <c r="H440" s="5" t="s">
        <v>137</v>
      </c>
      <c r="I440" s="5" t="s">
        <v>703</v>
      </c>
      <c r="J440" s="5" t="s">
        <v>30</v>
      </c>
      <c r="K440" s="5" t="s">
        <v>30</v>
      </c>
      <c r="L440" s="3" t="s">
        <v>139</v>
      </c>
      <c r="M440" s="3" t="s">
        <v>31</v>
      </c>
      <c r="N440" s="5" t="s">
        <v>718</v>
      </c>
      <c r="O440" s="5" t="s">
        <v>141</v>
      </c>
      <c r="P440" s="5" t="s">
        <v>34</v>
      </c>
      <c r="Q440" s="154">
        <v>29987</v>
      </c>
      <c r="R440" s="166">
        <v>1</v>
      </c>
      <c r="S440" s="168">
        <v>875.3</v>
      </c>
      <c r="U440" s="154">
        <v>262.476</v>
      </c>
      <c r="V440" s="165">
        <v>1.0399999999999999E-4</v>
      </c>
      <c r="W440" s="165">
        <v>1.35716711551064E-2</v>
      </c>
      <c r="X440" s="165">
        <v>1.7298711047325701E-3</v>
      </c>
    </row>
    <row r="441" spans="1:24">
      <c r="A441" s="5">
        <v>424</v>
      </c>
      <c r="B441" s="5">
        <v>7229</v>
      </c>
      <c r="C441" s="5" t="s">
        <v>866</v>
      </c>
      <c r="D441" s="5" t="s">
        <v>867</v>
      </c>
      <c r="E441" s="5" t="s">
        <v>134</v>
      </c>
      <c r="F441" s="5" t="s">
        <v>868</v>
      </c>
      <c r="G441" s="5" t="s">
        <v>869</v>
      </c>
      <c r="H441" s="5" t="s">
        <v>137</v>
      </c>
      <c r="I441" s="5" t="s">
        <v>703</v>
      </c>
      <c r="J441" s="5" t="s">
        <v>30</v>
      </c>
      <c r="K441" s="5" t="s">
        <v>30</v>
      </c>
      <c r="L441" s="3" t="s">
        <v>139</v>
      </c>
      <c r="M441" s="3" t="s">
        <v>31</v>
      </c>
      <c r="N441" s="5" t="s">
        <v>734</v>
      </c>
      <c r="O441" s="5" t="s">
        <v>141</v>
      </c>
      <c r="P441" s="5" t="s">
        <v>34</v>
      </c>
      <c r="Q441" s="154">
        <v>560</v>
      </c>
      <c r="R441" s="166">
        <v>1</v>
      </c>
      <c r="S441" s="168">
        <v>30530</v>
      </c>
      <c r="U441" s="154">
        <v>170.96799999999999</v>
      </c>
      <c r="V441" s="165">
        <v>4.1E-5</v>
      </c>
      <c r="W441" s="165">
        <v>8.8401210349925308E-3</v>
      </c>
      <c r="X441" s="165">
        <v>1.1267786970374899E-3</v>
      </c>
    </row>
    <row r="442" spans="1:24">
      <c r="A442" s="5">
        <v>424</v>
      </c>
      <c r="B442" s="5">
        <v>7229</v>
      </c>
      <c r="C442" s="5" t="s">
        <v>870</v>
      </c>
      <c r="D442" s="5" t="s">
        <v>871</v>
      </c>
      <c r="E442" s="5" t="s">
        <v>366</v>
      </c>
      <c r="F442" s="5" t="s">
        <v>872</v>
      </c>
      <c r="G442" s="5" t="s">
        <v>873</v>
      </c>
      <c r="H442" s="5" t="s">
        <v>137</v>
      </c>
      <c r="I442" s="5" t="s">
        <v>703</v>
      </c>
      <c r="J442" s="5" t="s">
        <v>30</v>
      </c>
      <c r="K442" s="5" t="s">
        <v>30</v>
      </c>
      <c r="L442" s="3" t="s">
        <v>139</v>
      </c>
      <c r="M442" s="3" t="s">
        <v>31</v>
      </c>
      <c r="N442" s="5" t="s">
        <v>369</v>
      </c>
      <c r="O442" s="5" t="s">
        <v>141</v>
      </c>
      <c r="P442" s="5" t="s">
        <v>34</v>
      </c>
      <c r="Q442" s="154">
        <v>15530</v>
      </c>
      <c r="R442" s="166">
        <v>1</v>
      </c>
      <c r="S442" s="168">
        <v>454.7</v>
      </c>
      <c r="U442" s="154">
        <v>70.614999999999995</v>
      </c>
      <c r="V442" s="165">
        <v>1.4E-5</v>
      </c>
      <c r="W442" s="165">
        <v>3.6512350338958402E-3</v>
      </c>
      <c r="X442" s="165">
        <v>4.6539338520202499E-4</v>
      </c>
    </row>
    <row r="443" spans="1:24">
      <c r="A443" s="5">
        <v>424</v>
      </c>
      <c r="B443" s="5">
        <v>7229</v>
      </c>
      <c r="C443" s="5" t="s">
        <v>874</v>
      </c>
      <c r="D443" s="5" t="s">
        <v>875</v>
      </c>
      <c r="E443" s="5" t="s">
        <v>134</v>
      </c>
      <c r="F443" s="5" t="s">
        <v>876</v>
      </c>
      <c r="G443" s="5" t="s">
        <v>877</v>
      </c>
      <c r="H443" s="5" t="s">
        <v>137</v>
      </c>
      <c r="I443" s="5" t="s">
        <v>703</v>
      </c>
      <c r="J443" s="5" t="s">
        <v>30</v>
      </c>
      <c r="K443" s="5" t="s">
        <v>30</v>
      </c>
      <c r="L443" s="3" t="s">
        <v>139</v>
      </c>
      <c r="M443" s="3" t="s">
        <v>31</v>
      </c>
      <c r="N443" s="5" t="s">
        <v>878</v>
      </c>
      <c r="O443" s="5" t="s">
        <v>141</v>
      </c>
      <c r="P443" s="5" t="s">
        <v>34</v>
      </c>
      <c r="Q443" s="154">
        <v>3331</v>
      </c>
      <c r="R443" s="166">
        <v>1</v>
      </c>
      <c r="S443" s="168">
        <v>9361</v>
      </c>
      <c r="U443" s="154">
        <v>311.815</v>
      </c>
      <c r="V443" s="165">
        <v>2.8E-5</v>
      </c>
      <c r="W443" s="165">
        <v>1.61227922471767E-2</v>
      </c>
      <c r="X443" s="165">
        <v>2.0550418675229398E-3</v>
      </c>
    </row>
    <row r="444" spans="1:24">
      <c r="A444" s="5">
        <v>424</v>
      </c>
      <c r="B444" s="5">
        <v>7229</v>
      </c>
      <c r="C444" s="5" t="s">
        <v>879</v>
      </c>
      <c r="D444" s="5" t="s">
        <v>880</v>
      </c>
      <c r="E444" s="5" t="s">
        <v>134</v>
      </c>
      <c r="F444" s="5" t="s">
        <v>881</v>
      </c>
      <c r="G444" s="5" t="s">
        <v>882</v>
      </c>
      <c r="H444" s="5" t="s">
        <v>137</v>
      </c>
      <c r="I444" s="5" t="s">
        <v>703</v>
      </c>
      <c r="J444" s="5" t="s">
        <v>30</v>
      </c>
      <c r="K444" s="5" t="s">
        <v>30</v>
      </c>
      <c r="L444" s="3" t="s">
        <v>139</v>
      </c>
      <c r="M444" s="3" t="s">
        <v>31</v>
      </c>
      <c r="N444" s="5" t="s">
        <v>718</v>
      </c>
      <c r="O444" s="5" t="s">
        <v>141</v>
      </c>
      <c r="P444" s="5" t="s">
        <v>34</v>
      </c>
      <c r="Q444" s="154">
        <v>9564</v>
      </c>
      <c r="R444" s="166">
        <v>1</v>
      </c>
      <c r="S444" s="168">
        <v>2708</v>
      </c>
      <c r="U444" s="154">
        <v>258.99299999999999</v>
      </c>
      <c r="V444" s="165">
        <v>2.6999999999999999E-5</v>
      </c>
      <c r="W444" s="165">
        <v>1.33915734408213E-2</v>
      </c>
      <c r="X444" s="165">
        <v>1.70691550638292E-3</v>
      </c>
    </row>
    <row r="445" spans="1:24">
      <c r="A445" s="5">
        <v>424</v>
      </c>
      <c r="B445" s="5">
        <v>7229</v>
      </c>
      <c r="C445" s="5" t="s">
        <v>883</v>
      </c>
      <c r="D445" s="5" t="s">
        <v>884</v>
      </c>
      <c r="E445" s="5" t="s">
        <v>134</v>
      </c>
      <c r="F445" s="5" t="s">
        <v>885</v>
      </c>
      <c r="G445" s="5" t="s">
        <v>886</v>
      </c>
      <c r="H445" s="5" t="s">
        <v>137</v>
      </c>
      <c r="I445" s="5" t="s">
        <v>703</v>
      </c>
      <c r="J445" s="5" t="s">
        <v>30</v>
      </c>
      <c r="K445" s="5" t="s">
        <v>797</v>
      </c>
      <c r="L445" s="3" t="s">
        <v>139</v>
      </c>
      <c r="M445" s="3" t="s">
        <v>31</v>
      </c>
      <c r="N445" s="5" t="s">
        <v>887</v>
      </c>
      <c r="O445" s="5" t="s">
        <v>141</v>
      </c>
      <c r="P445" s="5" t="s">
        <v>34</v>
      </c>
      <c r="Q445" s="154">
        <v>1250</v>
      </c>
      <c r="R445" s="166">
        <v>1</v>
      </c>
      <c r="S445" s="168">
        <v>13500</v>
      </c>
      <c r="U445" s="154">
        <v>168.75</v>
      </c>
      <c r="V445" s="165">
        <v>9.5000000000000005E-5</v>
      </c>
      <c r="W445" s="165">
        <v>8.7254364831722293E-3</v>
      </c>
      <c r="X445" s="165">
        <v>1.11216078520587E-3</v>
      </c>
    </row>
    <row r="446" spans="1:24">
      <c r="A446" s="5">
        <v>424</v>
      </c>
      <c r="B446" s="5">
        <v>7229</v>
      </c>
      <c r="C446" s="5" t="s">
        <v>619</v>
      </c>
      <c r="D446" s="5" t="s">
        <v>620</v>
      </c>
      <c r="E446" s="5" t="s">
        <v>134</v>
      </c>
      <c r="F446" s="5" t="s">
        <v>888</v>
      </c>
      <c r="G446" s="5" t="s">
        <v>889</v>
      </c>
      <c r="H446" s="5" t="s">
        <v>137</v>
      </c>
      <c r="I446" s="5" t="s">
        <v>703</v>
      </c>
      <c r="J446" s="5" t="s">
        <v>30</v>
      </c>
      <c r="K446" s="5" t="s">
        <v>30</v>
      </c>
      <c r="L446" s="3" t="s">
        <v>139</v>
      </c>
      <c r="M446" s="3" t="s">
        <v>31</v>
      </c>
      <c r="N446" s="5" t="s">
        <v>555</v>
      </c>
      <c r="O446" s="5" t="s">
        <v>141</v>
      </c>
      <c r="P446" s="5" t="s">
        <v>34</v>
      </c>
      <c r="Q446" s="154">
        <v>809</v>
      </c>
      <c r="R446" s="166">
        <v>1</v>
      </c>
      <c r="S446" s="168">
        <v>16620</v>
      </c>
      <c r="U446" s="154">
        <v>134.45599999999999</v>
      </c>
      <c r="V446" s="165">
        <v>9.3999999999999994E-5</v>
      </c>
      <c r="W446" s="165">
        <v>6.9522106233724902E-3</v>
      </c>
      <c r="X446" s="165">
        <v>8.8614203320582505E-4</v>
      </c>
    </row>
    <row r="447" spans="1:24">
      <c r="A447" s="5">
        <v>424</v>
      </c>
      <c r="B447" s="5">
        <v>7229</v>
      </c>
      <c r="C447" s="5" t="s">
        <v>890</v>
      </c>
      <c r="D447" s="5" t="s">
        <v>891</v>
      </c>
      <c r="E447" s="5" t="s">
        <v>651</v>
      </c>
      <c r="F447" s="5" t="s">
        <v>892</v>
      </c>
      <c r="G447" s="5" t="s">
        <v>893</v>
      </c>
      <c r="H447" s="5" t="s">
        <v>137</v>
      </c>
      <c r="I447" s="5" t="s">
        <v>703</v>
      </c>
      <c r="J447" s="5" t="s">
        <v>572</v>
      </c>
      <c r="K447" s="5" t="s">
        <v>224</v>
      </c>
      <c r="L447" s="3" t="s">
        <v>139</v>
      </c>
      <c r="M447" s="3" t="s">
        <v>894</v>
      </c>
      <c r="N447" s="5" t="s">
        <v>895</v>
      </c>
      <c r="O447" s="5" t="s">
        <v>141</v>
      </c>
      <c r="P447" s="5" t="s">
        <v>664</v>
      </c>
      <c r="Q447" s="154">
        <v>321</v>
      </c>
      <c r="R447" s="166">
        <v>3.306</v>
      </c>
      <c r="S447" s="168">
        <v>12142</v>
      </c>
      <c r="U447" s="154">
        <v>128.85400000000001</v>
      </c>
      <c r="V447" s="165">
        <v>9.9999999999999995E-7</v>
      </c>
      <c r="W447" s="165">
        <v>6.66256547648157E-3</v>
      </c>
      <c r="X447" s="165">
        <v>8.4922331004297401E-4</v>
      </c>
    </row>
    <row r="448" spans="1:24">
      <c r="A448" s="5">
        <v>424</v>
      </c>
      <c r="B448" s="5">
        <v>7229</v>
      </c>
      <c r="C448" s="5" t="s">
        <v>896</v>
      </c>
      <c r="D448" s="5" t="s">
        <v>897</v>
      </c>
      <c r="E448" s="5" t="s">
        <v>651</v>
      </c>
      <c r="F448" s="5" t="s">
        <v>898</v>
      </c>
      <c r="G448" s="5" t="s">
        <v>899</v>
      </c>
      <c r="H448" s="5" t="s">
        <v>137</v>
      </c>
      <c r="I448" s="5" t="s">
        <v>703</v>
      </c>
      <c r="J448" s="5" t="s">
        <v>572</v>
      </c>
      <c r="K448" s="5" t="s">
        <v>224</v>
      </c>
      <c r="L448" s="3" t="s">
        <v>139</v>
      </c>
      <c r="M448" s="3" t="s">
        <v>894</v>
      </c>
      <c r="N448" s="5" t="s">
        <v>900</v>
      </c>
      <c r="O448" s="5" t="s">
        <v>141</v>
      </c>
      <c r="P448" s="5" t="s">
        <v>664</v>
      </c>
      <c r="Q448" s="154">
        <v>639</v>
      </c>
      <c r="R448" s="166">
        <v>3.306</v>
      </c>
      <c r="S448" s="168">
        <v>21957</v>
      </c>
      <c r="U448" s="154">
        <v>463.84899999999999</v>
      </c>
      <c r="V448" s="165">
        <v>0</v>
      </c>
      <c r="W448" s="165">
        <v>2.3983915708965398E-2</v>
      </c>
      <c r="X448" s="165">
        <v>3.05703566562399E-3</v>
      </c>
    </row>
    <row r="449" spans="1:24">
      <c r="A449" s="5">
        <v>424</v>
      </c>
      <c r="B449" s="5">
        <v>7229</v>
      </c>
      <c r="C449" s="5" t="s">
        <v>901</v>
      </c>
      <c r="D449" s="5" t="s">
        <v>902</v>
      </c>
      <c r="E449" s="5" t="s">
        <v>651</v>
      </c>
      <c r="F449" s="5" t="s">
        <v>903</v>
      </c>
      <c r="G449" s="5" t="s">
        <v>904</v>
      </c>
      <c r="H449" s="5" t="s">
        <v>137</v>
      </c>
      <c r="I449" s="5" t="s">
        <v>703</v>
      </c>
      <c r="J449" s="5" t="s">
        <v>572</v>
      </c>
      <c r="K449" s="5" t="s">
        <v>224</v>
      </c>
      <c r="L449" s="3" t="s">
        <v>139</v>
      </c>
      <c r="M449" s="3" t="s">
        <v>894</v>
      </c>
      <c r="N449" s="5" t="s">
        <v>905</v>
      </c>
      <c r="O449" s="5" t="s">
        <v>141</v>
      </c>
      <c r="P449" s="5" t="s">
        <v>664</v>
      </c>
      <c r="Q449" s="154">
        <v>86</v>
      </c>
      <c r="R449" s="166">
        <v>3.306</v>
      </c>
      <c r="S449" s="168">
        <v>50274</v>
      </c>
      <c r="U449" s="154">
        <v>142.93700000000001</v>
      </c>
      <c r="V449" s="165">
        <v>0</v>
      </c>
      <c r="W449" s="165">
        <v>7.3907433485064702E-3</v>
      </c>
      <c r="X449" s="165">
        <v>9.4203825121899696E-4</v>
      </c>
    </row>
    <row r="450" spans="1:24">
      <c r="A450" s="5">
        <v>424</v>
      </c>
      <c r="B450" s="5">
        <v>7229</v>
      </c>
      <c r="C450" s="5" t="s">
        <v>906</v>
      </c>
      <c r="D450" s="5" t="s">
        <v>907</v>
      </c>
      <c r="E450" s="5" t="s">
        <v>651</v>
      </c>
      <c r="F450" s="5" t="s">
        <v>908</v>
      </c>
      <c r="G450" s="5" t="s">
        <v>909</v>
      </c>
      <c r="H450" s="5" t="s">
        <v>137</v>
      </c>
      <c r="I450" s="5" t="s">
        <v>703</v>
      </c>
      <c r="J450" s="5" t="s">
        <v>572</v>
      </c>
      <c r="K450" s="5" t="s">
        <v>224</v>
      </c>
      <c r="L450" s="3" t="s">
        <v>139</v>
      </c>
      <c r="M450" s="3" t="s">
        <v>894</v>
      </c>
      <c r="N450" s="5" t="s">
        <v>655</v>
      </c>
      <c r="O450" s="5" t="s">
        <v>141</v>
      </c>
      <c r="P450" s="5" t="s">
        <v>664</v>
      </c>
      <c r="Q450" s="154">
        <v>587</v>
      </c>
      <c r="R450" s="166">
        <v>3.306</v>
      </c>
      <c r="S450" s="168">
        <v>14008</v>
      </c>
      <c r="U450" s="154">
        <v>271.84199999999998</v>
      </c>
      <c r="V450" s="165">
        <v>3.0000000000000001E-6</v>
      </c>
      <c r="W450" s="165">
        <v>1.4055958410420399E-2</v>
      </c>
      <c r="X450" s="165">
        <v>1.79159928247748E-3</v>
      </c>
    </row>
    <row r="451" spans="1:24">
      <c r="A451" s="5">
        <v>424</v>
      </c>
      <c r="B451" s="5">
        <v>7229</v>
      </c>
      <c r="C451" s="5" t="s">
        <v>915</v>
      </c>
      <c r="D451" s="5" t="s">
        <v>916</v>
      </c>
      <c r="E451" s="5" t="s">
        <v>651</v>
      </c>
      <c r="F451" s="5" t="s">
        <v>915</v>
      </c>
      <c r="G451" s="5" t="s">
        <v>917</v>
      </c>
      <c r="H451" s="5" t="s">
        <v>137</v>
      </c>
      <c r="I451" s="5" t="s">
        <v>703</v>
      </c>
      <c r="J451" s="5" t="s">
        <v>572</v>
      </c>
      <c r="K451" s="5" t="s">
        <v>797</v>
      </c>
      <c r="L451" s="3" t="s">
        <v>139</v>
      </c>
      <c r="M451" s="3" t="s">
        <v>894</v>
      </c>
      <c r="N451" s="5" t="s">
        <v>918</v>
      </c>
      <c r="O451" s="5" t="s">
        <v>141</v>
      </c>
      <c r="P451" s="5" t="s">
        <v>664</v>
      </c>
      <c r="Q451" s="154">
        <v>43</v>
      </c>
      <c r="R451" s="166">
        <v>3.306</v>
      </c>
      <c r="S451" s="168">
        <v>92563</v>
      </c>
      <c r="U451" s="154">
        <v>131.58600000000001</v>
      </c>
      <c r="V451" s="165">
        <v>0</v>
      </c>
      <c r="W451" s="165">
        <v>6.8038088929447101E-3</v>
      </c>
      <c r="X451" s="165">
        <v>8.6722646544520096E-4</v>
      </c>
    </row>
    <row r="452" spans="1:24">
      <c r="A452" s="5">
        <v>424</v>
      </c>
      <c r="B452" s="5">
        <v>7229</v>
      </c>
      <c r="C452" s="5" t="s">
        <v>919</v>
      </c>
      <c r="D452" s="5" t="s">
        <v>920</v>
      </c>
      <c r="E452" s="5" t="s">
        <v>651</v>
      </c>
      <c r="F452" s="5" t="s">
        <v>921</v>
      </c>
      <c r="G452" s="5" t="s">
        <v>922</v>
      </c>
      <c r="H452" s="5" t="s">
        <v>137</v>
      </c>
      <c r="I452" s="5" t="s">
        <v>703</v>
      </c>
      <c r="J452" s="5" t="s">
        <v>572</v>
      </c>
      <c r="K452" s="5" t="s">
        <v>224</v>
      </c>
      <c r="L452" s="3" t="s">
        <v>139</v>
      </c>
      <c r="M452" s="3" t="s">
        <v>914</v>
      </c>
      <c r="N452" s="5" t="s">
        <v>655</v>
      </c>
      <c r="O452" s="5" t="s">
        <v>141</v>
      </c>
      <c r="P452" s="5" t="s">
        <v>664</v>
      </c>
      <c r="Q452" s="154">
        <v>94</v>
      </c>
      <c r="R452" s="166">
        <v>3.306</v>
      </c>
      <c r="S452" s="168">
        <v>76300</v>
      </c>
      <c r="U452" s="154">
        <v>237.113</v>
      </c>
      <c r="V452" s="165">
        <v>0</v>
      </c>
      <c r="W452" s="165">
        <v>1.2260230088916999E-2</v>
      </c>
      <c r="X452" s="165">
        <v>1.5627123237664301E-3</v>
      </c>
    </row>
    <row r="453" spans="1:24">
      <c r="A453" s="5">
        <v>424</v>
      </c>
      <c r="B453" s="5">
        <v>7229</v>
      </c>
      <c r="C453" s="5" t="s">
        <v>923</v>
      </c>
      <c r="D453" s="5" t="s">
        <v>924</v>
      </c>
      <c r="E453" s="5" t="s">
        <v>651</v>
      </c>
      <c r="F453" s="5" t="s">
        <v>925</v>
      </c>
      <c r="G453" s="5" t="s">
        <v>926</v>
      </c>
      <c r="H453" s="5" t="s">
        <v>137</v>
      </c>
      <c r="I453" s="5" t="s">
        <v>703</v>
      </c>
      <c r="J453" s="5" t="s">
        <v>572</v>
      </c>
      <c r="K453" s="5" t="s">
        <v>224</v>
      </c>
      <c r="L453" s="3" t="s">
        <v>139</v>
      </c>
      <c r="M453" s="3" t="s">
        <v>894</v>
      </c>
      <c r="N453" s="5" t="s">
        <v>927</v>
      </c>
      <c r="O453" s="5" t="s">
        <v>141</v>
      </c>
      <c r="P453" s="5" t="s">
        <v>664</v>
      </c>
      <c r="Q453" s="154">
        <v>2345</v>
      </c>
      <c r="R453" s="166">
        <v>3.306</v>
      </c>
      <c r="S453" s="168">
        <v>5797</v>
      </c>
      <c r="U453" s="154">
        <v>449.416</v>
      </c>
      <c r="V453" s="165">
        <v>6.0000000000000002E-6</v>
      </c>
      <c r="W453" s="165">
        <v>2.3237659117242099E-2</v>
      </c>
      <c r="X453" s="165">
        <v>2.9619163763349499E-3</v>
      </c>
    </row>
    <row r="454" spans="1:24">
      <c r="A454" s="5">
        <v>424</v>
      </c>
      <c r="B454" s="5">
        <v>7229</v>
      </c>
      <c r="C454" s="5" t="s">
        <v>928</v>
      </c>
      <c r="D454" s="5" t="s">
        <v>929</v>
      </c>
      <c r="E454" s="5" t="s">
        <v>651</v>
      </c>
      <c r="F454" s="5" t="s">
        <v>930</v>
      </c>
      <c r="G454" s="5" t="s">
        <v>931</v>
      </c>
      <c r="H454" s="5" t="s">
        <v>137</v>
      </c>
      <c r="I454" s="5" t="s">
        <v>703</v>
      </c>
      <c r="J454" s="5" t="s">
        <v>572</v>
      </c>
      <c r="K454" s="5" t="s">
        <v>224</v>
      </c>
      <c r="L454" s="3" t="s">
        <v>139</v>
      </c>
      <c r="M454" s="3" t="s">
        <v>894</v>
      </c>
      <c r="N454" s="5" t="s">
        <v>932</v>
      </c>
      <c r="O454" s="5" t="s">
        <v>141</v>
      </c>
      <c r="P454" s="5" t="s">
        <v>664</v>
      </c>
      <c r="Q454" s="154">
        <v>480</v>
      </c>
      <c r="R454" s="166">
        <v>3.306</v>
      </c>
      <c r="S454" s="168">
        <v>24355</v>
      </c>
      <c r="U454" s="154">
        <v>386.48500000000001</v>
      </c>
      <c r="V454" s="165">
        <v>0</v>
      </c>
      <c r="W454" s="165">
        <v>1.9983686153687098E-2</v>
      </c>
      <c r="X454" s="165">
        <v>2.5471587727279102E-3</v>
      </c>
    </row>
    <row r="455" spans="1:24">
      <c r="A455" s="5">
        <v>424</v>
      </c>
      <c r="B455" s="5">
        <v>7229</v>
      </c>
      <c r="C455" s="5" t="s">
        <v>933</v>
      </c>
      <c r="D455" s="5" t="s">
        <v>934</v>
      </c>
      <c r="E455" s="5" t="s">
        <v>651</v>
      </c>
      <c r="F455" s="5" t="s">
        <v>935</v>
      </c>
      <c r="G455" s="5" t="s">
        <v>936</v>
      </c>
      <c r="H455" s="5" t="s">
        <v>137</v>
      </c>
      <c r="I455" s="5" t="s">
        <v>703</v>
      </c>
      <c r="J455" s="5" t="s">
        <v>572</v>
      </c>
      <c r="K455" s="5" t="s">
        <v>224</v>
      </c>
      <c r="L455" s="3" t="s">
        <v>139</v>
      </c>
      <c r="M455" s="3" t="s">
        <v>894</v>
      </c>
      <c r="N455" s="5" t="s">
        <v>937</v>
      </c>
      <c r="O455" s="5" t="s">
        <v>141</v>
      </c>
      <c r="P455" s="5" t="s">
        <v>664</v>
      </c>
      <c r="Q455" s="154">
        <v>1583</v>
      </c>
      <c r="R455" s="166">
        <v>3.306</v>
      </c>
      <c r="S455" s="168">
        <v>3355</v>
      </c>
      <c r="U455" s="154">
        <v>175.58099999999999</v>
      </c>
      <c r="V455" s="165">
        <v>0</v>
      </c>
      <c r="W455" s="165">
        <v>9.0786164488141398E-3</v>
      </c>
      <c r="X455" s="165">
        <v>1.15717777761247E-3</v>
      </c>
    </row>
    <row r="456" spans="1:24">
      <c r="A456" s="5">
        <v>424</v>
      </c>
      <c r="B456" s="5">
        <v>7229</v>
      </c>
      <c r="C456" s="5" t="s">
        <v>938</v>
      </c>
      <c r="D456" s="5" t="s">
        <v>939</v>
      </c>
      <c r="E456" s="5" t="s">
        <v>651</v>
      </c>
      <c r="F456" s="5" t="s">
        <v>940</v>
      </c>
      <c r="G456" s="5" t="s">
        <v>941</v>
      </c>
      <c r="H456" s="5" t="s">
        <v>137</v>
      </c>
      <c r="I456" s="5" t="s">
        <v>703</v>
      </c>
      <c r="J456" s="5" t="s">
        <v>572</v>
      </c>
      <c r="K456" s="5" t="s">
        <v>942</v>
      </c>
      <c r="L456" s="3" t="s">
        <v>139</v>
      </c>
      <c r="M456" s="3" t="s">
        <v>498</v>
      </c>
      <c r="N456" s="5" t="s">
        <v>943</v>
      </c>
      <c r="O456" s="5" t="s">
        <v>141</v>
      </c>
      <c r="P456" s="5" t="s">
        <v>664</v>
      </c>
      <c r="Q456" s="154">
        <v>1147.44</v>
      </c>
      <c r="R456" s="166">
        <v>3.306</v>
      </c>
      <c r="S456" s="168">
        <v>18175.669999999998</v>
      </c>
      <c r="U456" s="154">
        <v>689.48299999999995</v>
      </c>
      <c r="V456" s="165">
        <v>0</v>
      </c>
      <c r="W456" s="165">
        <v>3.5650583592054801E-2</v>
      </c>
      <c r="X456" s="165">
        <v>4.5440914179197796E-3</v>
      </c>
    </row>
    <row r="457" spans="1:24">
      <c r="A457" s="5">
        <v>424</v>
      </c>
      <c r="B457" s="5">
        <v>7229</v>
      </c>
      <c r="C457" s="5" t="s">
        <v>944</v>
      </c>
      <c r="D457" s="5" t="s">
        <v>945</v>
      </c>
      <c r="E457" s="5" t="s">
        <v>651</v>
      </c>
      <c r="F457" s="5" t="s">
        <v>946</v>
      </c>
      <c r="G457" s="5" t="s">
        <v>947</v>
      </c>
      <c r="H457" s="5" t="s">
        <v>137</v>
      </c>
      <c r="I457" s="5" t="s">
        <v>703</v>
      </c>
      <c r="J457" s="5" t="s">
        <v>572</v>
      </c>
      <c r="K457" s="5" t="s">
        <v>224</v>
      </c>
      <c r="L457" s="3" t="s">
        <v>139</v>
      </c>
      <c r="M457" s="3" t="s">
        <v>894</v>
      </c>
      <c r="N457" s="5" t="s">
        <v>937</v>
      </c>
      <c r="O457" s="5" t="s">
        <v>141</v>
      </c>
      <c r="P457" s="5" t="s">
        <v>664</v>
      </c>
      <c r="Q457" s="154">
        <v>587</v>
      </c>
      <c r="R457" s="166">
        <v>3.306</v>
      </c>
      <c r="S457" s="168">
        <v>8407</v>
      </c>
      <c r="U457" s="154">
        <v>163.148</v>
      </c>
      <c r="V457" s="165">
        <v>9.9999999999999995E-7</v>
      </c>
      <c r="W457" s="165">
        <v>8.4357825782698601E-3</v>
      </c>
      <c r="X457" s="165">
        <v>1.0752409457301601E-3</v>
      </c>
    </row>
    <row r="458" spans="1:24">
      <c r="A458" s="5">
        <v>424</v>
      </c>
      <c r="B458" s="5">
        <v>7229</v>
      </c>
      <c r="C458" s="5" t="s">
        <v>948</v>
      </c>
      <c r="D458" s="5" t="s">
        <v>949</v>
      </c>
      <c r="E458" s="5" t="s">
        <v>651</v>
      </c>
      <c r="F458" s="5" t="s">
        <v>950</v>
      </c>
      <c r="G458" s="5" t="s">
        <v>951</v>
      </c>
      <c r="H458" s="5" t="s">
        <v>137</v>
      </c>
      <c r="I458" s="5" t="s">
        <v>703</v>
      </c>
      <c r="J458" s="5" t="s">
        <v>572</v>
      </c>
      <c r="K458" s="5" t="s">
        <v>224</v>
      </c>
      <c r="L458" s="3" t="s">
        <v>139</v>
      </c>
      <c r="M458" s="3" t="s">
        <v>914</v>
      </c>
      <c r="N458" s="5" t="s">
        <v>952</v>
      </c>
      <c r="O458" s="5" t="s">
        <v>141</v>
      </c>
      <c r="P458" s="5" t="s">
        <v>664</v>
      </c>
      <c r="Q458" s="154">
        <v>158</v>
      </c>
      <c r="R458" s="166">
        <v>3.306</v>
      </c>
      <c r="S458" s="168">
        <v>56881</v>
      </c>
      <c r="U458" s="154">
        <v>297.11700000000002</v>
      </c>
      <c r="V458" s="165">
        <v>0</v>
      </c>
      <c r="W458" s="165">
        <v>1.53628057408681E-2</v>
      </c>
      <c r="X458" s="165">
        <v>1.9581725371195799E-3</v>
      </c>
    </row>
    <row r="459" spans="1:24">
      <c r="A459" s="5">
        <v>424</v>
      </c>
      <c r="B459" s="5">
        <v>7229</v>
      </c>
      <c r="C459" s="5" t="s">
        <v>953</v>
      </c>
      <c r="D459" s="5" t="s">
        <v>954</v>
      </c>
      <c r="E459" s="5" t="s">
        <v>651</v>
      </c>
      <c r="F459" s="5" t="s">
        <v>955</v>
      </c>
      <c r="G459" s="5" t="s">
        <v>956</v>
      </c>
      <c r="H459" s="5" t="s">
        <v>137</v>
      </c>
      <c r="I459" s="5" t="s">
        <v>703</v>
      </c>
      <c r="J459" s="5" t="s">
        <v>572</v>
      </c>
      <c r="K459" s="5" t="s">
        <v>957</v>
      </c>
      <c r="L459" s="3" t="s">
        <v>139</v>
      </c>
      <c r="M459" s="3" t="s">
        <v>498</v>
      </c>
      <c r="N459" s="5" t="s">
        <v>958</v>
      </c>
      <c r="O459" s="5" t="s">
        <v>141</v>
      </c>
      <c r="P459" s="5" t="s">
        <v>664</v>
      </c>
      <c r="Q459" s="154">
        <v>24</v>
      </c>
      <c r="R459" s="166">
        <v>3.306</v>
      </c>
      <c r="S459" s="168">
        <v>233694</v>
      </c>
      <c r="U459" s="154">
        <v>185.422</v>
      </c>
      <c r="V459" s="165">
        <v>0</v>
      </c>
      <c r="W459" s="165">
        <v>9.5874924081292504E-3</v>
      </c>
      <c r="X459" s="165">
        <v>1.2220400784928699E-3</v>
      </c>
    </row>
    <row r="460" spans="1:24">
      <c r="A460" s="5">
        <v>424</v>
      </c>
      <c r="B460" s="5">
        <v>7229</v>
      </c>
      <c r="C460" s="5" t="s">
        <v>959</v>
      </c>
      <c r="D460" s="5" t="s">
        <v>960</v>
      </c>
      <c r="E460" s="5" t="s">
        <v>651</v>
      </c>
      <c r="F460" s="5" t="s">
        <v>961</v>
      </c>
      <c r="G460" s="5" t="s">
        <v>962</v>
      </c>
      <c r="H460" s="5" t="s">
        <v>137</v>
      </c>
      <c r="I460" s="5" t="s">
        <v>703</v>
      </c>
      <c r="J460" s="5" t="s">
        <v>572</v>
      </c>
      <c r="K460" s="5" t="s">
        <v>224</v>
      </c>
      <c r="L460" s="3" t="s">
        <v>139</v>
      </c>
      <c r="M460" s="3" t="s">
        <v>894</v>
      </c>
      <c r="N460" s="5" t="s">
        <v>963</v>
      </c>
      <c r="O460" s="5" t="s">
        <v>141</v>
      </c>
      <c r="P460" s="5" t="s">
        <v>664</v>
      </c>
      <c r="Q460" s="154">
        <v>189</v>
      </c>
      <c r="R460" s="166">
        <v>3.306</v>
      </c>
      <c r="S460" s="168">
        <v>51795</v>
      </c>
      <c r="U460" s="154">
        <v>323.63299999999998</v>
      </c>
      <c r="V460" s="165">
        <v>0</v>
      </c>
      <c r="W460" s="165">
        <v>1.6733849962226498E-2</v>
      </c>
      <c r="X460" s="165">
        <v>2.1329284499863599E-3</v>
      </c>
    </row>
    <row r="461" spans="1:24">
      <c r="A461" s="5">
        <v>424</v>
      </c>
      <c r="B461" s="5">
        <v>7229</v>
      </c>
      <c r="C461" s="5" t="s">
        <v>964</v>
      </c>
      <c r="D461" s="5" t="s">
        <v>965</v>
      </c>
      <c r="E461" s="5" t="s">
        <v>651</v>
      </c>
      <c r="F461" s="5" t="s">
        <v>964</v>
      </c>
      <c r="G461" s="5" t="s">
        <v>966</v>
      </c>
      <c r="H461" s="5" t="s">
        <v>137</v>
      </c>
      <c r="I461" s="5" t="s">
        <v>703</v>
      </c>
      <c r="J461" s="5" t="s">
        <v>572</v>
      </c>
      <c r="K461" s="5" t="s">
        <v>224</v>
      </c>
      <c r="L461" s="3" t="s">
        <v>139</v>
      </c>
      <c r="M461" s="3" t="s">
        <v>894</v>
      </c>
      <c r="N461" s="5" t="s">
        <v>655</v>
      </c>
      <c r="O461" s="5" t="s">
        <v>141</v>
      </c>
      <c r="P461" s="5" t="s">
        <v>664</v>
      </c>
      <c r="Q461" s="154">
        <v>525</v>
      </c>
      <c r="R461" s="166">
        <v>3.306</v>
      </c>
      <c r="S461" s="168">
        <v>2583</v>
      </c>
      <c r="U461" s="154">
        <v>44.832000000000001</v>
      </c>
      <c r="V461" s="165">
        <v>9.9999999999999995E-7</v>
      </c>
      <c r="W461" s="165">
        <v>2.3180881065542002E-3</v>
      </c>
      <c r="X461" s="165">
        <v>2.95467933751368E-4</v>
      </c>
    </row>
    <row r="462" spans="1:24">
      <c r="A462" s="5">
        <v>424</v>
      </c>
      <c r="B462" s="5">
        <v>7229</v>
      </c>
      <c r="C462" s="5" t="s">
        <v>967</v>
      </c>
      <c r="D462" s="5" t="s">
        <v>968</v>
      </c>
      <c r="E462" s="5" t="s">
        <v>121</v>
      </c>
      <c r="F462" s="5" t="s">
        <v>969</v>
      </c>
      <c r="G462" s="5" t="s">
        <v>970</v>
      </c>
      <c r="H462" s="5" t="s">
        <v>137</v>
      </c>
      <c r="I462" s="5" t="s">
        <v>703</v>
      </c>
      <c r="J462" s="5" t="s">
        <v>572</v>
      </c>
      <c r="K462" s="5" t="s">
        <v>224</v>
      </c>
      <c r="L462" s="3" t="s">
        <v>139</v>
      </c>
      <c r="M462" s="3" t="s">
        <v>498</v>
      </c>
      <c r="N462" s="5" t="s">
        <v>971</v>
      </c>
      <c r="O462" s="5" t="s">
        <v>141</v>
      </c>
      <c r="P462" s="5" t="s">
        <v>664</v>
      </c>
      <c r="Q462" s="154">
        <v>304</v>
      </c>
      <c r="R462" s="166">
        <v>3.306</v>
      </c>
      <c r="S462" s="168">
        <v>14216</v>
      </c>
      <c r="U462" s="154">
        <v>142.874</v>
      </c>
      <c r="V462" s="165">
        <v>0</v>
      </c>
      <c r="W462" s="165">
        <v>7.3874954695894099E-3</v>
      </c>
      <c r="X462" s="165">
        <v>9.4162427037418599E-4</v>
      </c>
    </row>
    <row r="463" spans="1:24">
      <c r="A463" s="5">
        <v>424</v>
      </c>
      <c r="B463" s="5">
        <v>7229</v>
      </c>
      <c r="C463" s="5" t="s">
        <v>972</v>
      </c>
      <c r="D463" s="5" t="s">
        <v>973</v>
      </c>
      <c r="E463" s="5" t="s">
        <v>651</v>
      </c>
      <c r="F463" s="5" t="s">
        <v>972</v>
      </c>
      <c r="G463" s="5" t="s">
        <v>974</v>
      </c>
      <c r="H463" s="5" t="s">
        <v>137</v>
      </c>
      <c r="I463" s="5" t="s">
        <v>703</v>
      </c>
      <c r="J463" s="5" t="s">
        <v>572</v>
      </c>
      <c r="K463" s="5" t="s">
        <v>224</v>
      </c>
      <c r="L463" s="3" t="s">
        <v>139</v>
      </c>
      <c r="M463" s="3" t="s">
        <v>914</v>
      </c>
      <c r="N463" s="5" t="s">
        <v>900</v>
      </c>
      <c r="O463" s="5" t="s">
        <v>141</v>
      </c>
      <c r="P463" s="5" t="s">
        <v>664</v>
      </c>
      <c r="Q463" s="154">
        <v>794</v>
      </c>
      <c r="R463" s="166">
        <v>3.306</v>
      </c>
      <c r="S463" s="168">
        <v>6973</v>
      </c>
      <c r="T463" s="153">
        <v>0.318</v>
      </c>
      <c r="U463" s="154">
        <v>184.089</v>
      </c>
      <c r="V463" s="165">
        <v>9.9999999999999995E-7</v>
      </c>
      <c r="W463" s="165">
        <v>9.5185450669499194E-3</v>
      </c>
      <c r="X463" s="165">
        <v>1.21325191881149E-3</v>
      </c>
    </row>
    <row r="464" spans="1:24">
      <c r="A464" s="5">
        <v>424</v>
      </c>
      <c r="B464" s="5">
        <v>7229</v>
      </c>
      <c r="C464" s="5" t="s">
        <v>975</v>
      </c>
      <c r="D464" s="5" t="s">
        <v>976</v>
      </c>
      <c r="E464" s="5" t="s">
        <v>651</v>
      </c>
      <c r="F464" s="5" t="s">
        <v>977</v>
      </c>
      <c r="G464" s="5" t="s">
        <v>978</v>
      </c>
      <c r="H464" s="5" t="s">
        <v>137</v>
      </c>
      <c r="I464" s="5" t="s">
        <v>703</v>
      </c>
      <c r="J464" s="5" t="s">
        <v>572</v>
      </c>
      <c r="K464" s="5" t="s">
        <v>224</v>
      </c>
      <c r="L464" s="3" t="s">
        <v>139</v>
      </c>
      <c r="M464" s="3" t="s">
        <v>914</v>
      </c>
      <c r="N464" s="5" t="s">
        <v>979</v>
      </c>
      <c r="O464" s="5" t="s">
        <v>141</v>
      </c>
      <c r="P464" s="5" t="s">
        <v>664</v>
      </c>
      <c r="Q464" s="154">
        <v>87</v>
      </c>
      <c r="R464" s="166">
        <v>3.306</v>
      </c>
      <c r="S464" s="168">
        <v>60932</v>
      </c>
      <c r="U464" s="154">
        <v>175.25399999999999</v>
      </c>
      <c r="V464" s="165">
        <v>9.9999999999999995E-7</v>
      </c>
      <c r="W464" s="165">
        <v>9.0617257690354704E-3</v>
      </c>
      <c r="X464" s="165">
        <v>1.1550248593348001E-3</v>
      </c>
    </row>
    <row r="465" spans="1:24">
      <c r="A465" s="5">
        <v>424</v>
      </c>
      <c r="B465" s="5">
        <v>7229</v>
      </c>
      <c r="C465" s="5" t="s">
        <v>980</v>
      </c>
      <c r="D465" s="5" t="s">
        <v>981</v>
      </c>
      <c r="E465" s="5" t="s">
        <v>651</v>
      </c>
      <c r="F465" s="5" t="s">
        <v>982</v>
      </c>
      <c r="G465" s="5" t="s">
        <v>983</v>
      </c>
      <c r="H465" s="5" t="s">
        <v>137</v>
      </c>
      <c r="I465" s="5" t="s">
        <v>703</v>
      </c>
      <c r="J465" s="5" t="s">
        <v>572</v>
      </c>
      <c r="K465" s="5" t="s">
        <v>224</v>
      </c>
      <c r="L465" s="3" t="s">
        <v>139</v>
      </c>
      <c r="M465" s="3" t="s">
        <v>894</v>
      </c>
      <c r="N465" s="5" t="s">
        <v>937</v>
      </c>
      <c r="O465" s="5" t="s">
        <v>141</v>
      </c>
      <c r="P465" s="5" t="s">
        <v>664</v>
      </c>
      <c r="Q465" s="154">
        <v>1252</v>
      </c>
      <c r="R465" s="166">
        <v>3.306</v>
      </c>
      <c r="S465" s="168">
        <v>18658</v>
      </c>
      <c r="T465" s="153">
        <v>1.2999999999999999E-2</v>
      </c>
      <c r="U465" s="154">
        <v>772.31700000000001</v>
      </c>
      <c r="V465" s="165">
        <v>0</v>
      </c>
      <c r="W465" s="165">
        <v>3.9933642230115599E-2</v>
      </c>
      <c r="X465" s="165">
        <v>5.0900182454401196E-3</v>
      </c>
    </row>
    <row r="466" spans="1:24">
      <c r="A466" s="5">
        <v>424</v>
      </c>
      <c r="B466" s="5">
        <v>7229</v>
      </c>
      <c r="C466" s="5" t="s">
        <v>984</v>
      </c>
      <c r="D466" s="5" t="s">
        <v>985</v>
      </c>
      <c r="E466" s="5" t="s">
        <v>651</v>
      </c>
      <c r="F466" s="5" t="s">
        <v>984</v>
      </c>
      <c r="G466" s="5" t="s">
        <v>986</v>
      </c>
      <c r="H466" s="5" t="s">
        <v>137</v>
      </c>
      <c r="I466" s="5" t="s">
        <v>703</v>
      </c>
      <c r="J466" s="5" t="s">
        <v>572</v>
      </c>
      <c r="K466" s="5" t="s">
        <v>224</v>
      </c>
      <c r="L466" s="3" t="s">
        <v>139</v>
      </c>
      <c r="M466" s="3" t="s">
        <v>914</v>
      </c>
      <c r="N466" s="5" t="s">
        <v>987</v>
      </c>
      <c r="O466" s="5" t="s">
        <v>141</v>
      </c>
      <c r="P466" s="5" t="s">
        <v>664</v>
      </c>
      <c r="Q466" s="154">
        <v>235</v>
      </c>
      <c r="R466" s="166">
        <v>3.306</v>
      </c>
      <c r="S466" s="168">
        <v>28124</v>
      </c>
      <c r="U466" s="154">
        <v>218.49799999999999</v>
      </c>
      <c r="V466" s="165">
        <v>0</v>
      </c>
      <c r="W466" s="165">
        <v>1.12977297188958E-2</v>
      </c>
      <c r="X466" s="165">
        <v>1.4400301898298501E-3</v>
      </c>
    </row>
    <row r="467" spans="1:24">
      <c r="A467" s="5">
        <v>424</v>
      </c>
      <c r="B467" s="5">
        <v>7229</v>
      </c>
      <c r="C467" s="5" t="s">
        <v>991</v>
      </c>
      <c r="D467" s="5" t="s">
        <v>992</v>
      </c>
      <c r="E467" s="5" t="s">
        <v>651</v>
      </c>
      <c r="F467" s="5" t="s">
        <v>993</v>
      </c>
      <c r="G467" s="5" t="s">
        <v>994</v>
      </c>
      <c r="H467" s="5" t="s">
        <v>137</v>
      </c>
      <c r="I467" s="5" t="s">
        <v>703</v>
      </c>
      <c r="J467" s="5" t="s">
        <v>572</v>
      </c>
      <c r="K467" s="5" t="s">
        <v>224</v>
      </c>
      <c r="L467" s="3" t="s">
        <v>139</v>
      </c>
      <c r="M467" s="3" t="s">
        <v>914</v>
      </c>
      <c r="N467" s="5" t="s">
        <v>995</v>
      </c>
      <c r="O467" s="5" t="s">
        <v>141</v>
      </c>
      <c r="P467" s="5" t="s">
        <v>664</v>
      </c>
      <c r="Q467" s="154">
        <v>390</v>
      </c>
      <c r="R467" s="166">
        <v>3.306</v>
      </c>
      <c r="S467" s="168">
        <v>11452</v>
      </c>
      <c r="U467" s="154">
        <v>147.655</v>
      </c>
      <c r="V467" s="165">
        <v>0</v>
      </c>
      <c r="W467" s="165">
        <v>7.6347034998365901E-3</v>
      </c>
      <c r="X467" s="165">
        <v>9.73133877665366E-4</v>
      </c>
    </row>
    <row r="468" spans="1:24">
      <c r="A468" s="5">
        <v>424</v>
      </c>
      <c r="B468" s="5">
        <v>7229</v>
      </c>
      <c r="C468" s="5" t="s">
        <v>996</v>
      </c>
      <c r="D468" s="5" t="s">
        <v>997</v>
      </c>
      <c r="E468" s="5" t="s">
        <v>651</v>
      </c>
      <c r="F468" s="5" t="s">
        <v>998</v>
      </c>
      <c r="G468" s="5" t="s">
        <v>999</v>
      </c>
      <c r="H468" s="5" t="s">
        <v>137</v>
      </c>
      <c r="I468" s="5" t="s">
        <v>703</v>
      </c>
      <c r="J468" s="5" t="s">
        <v>572</v>
      </c>
      <c r="K468" s="5" t="s">
        <v>1000</v>
      </c>
      <c r="L468" s="3" t="s">
        <v>139</v>
      </c>
      <c r="M468" s="3" t="s">
        <v>914</v>
      </c>
      <c r="N468" s="5" t="s">
        <v>937</v>
      </c>
      <c r="O468" s="5" t="s">
        <v>141</v>
      </c>
      <c r="P468" s="5" t="s">
        <v>664</v>
      </c>
      <c r="Q468" s="154">
        <v>1240</v>
      </c>
      <c r="R468" s="166">
        <v>3.306</v>
      </c>
      <c r="S468" s="168">
        <v>27929</v>
      </c>
      <c r="T468" s="153">
        <v>0.79900000000000004</v>
      </c>
      <c r="U468" s="154">
        <v>1147.5740000000001</v>
      </c>
      <c r="V468" s="165">
        <v>0</v>
      </c>
      <c r="W468" s="165">
        <v>5.9336818011849597E-2</v>
      </c>
      <c r="X468" s="165">
        <v>7.5631840583503E-3</v>
      </c>
    </row>
    <row r="469" spans="1:24">
      <c r="A469" s="5">
        <v>424</v>
      </c>
      <c r="B469" s="5">
        <v>7229</v>
      </c>
      <c r="C469" s="5" t="s">
        <v>1001</v>
      </c>
      <c r="E469" s="5" t="s">
        <v>498</v>
      </c>
      <c r="F469" s="5" t="s">
        <v>1002</v>
      </c>
      <c r="G469" s="5" t="s">
        <v>886</v>
      </c>
      <c r="H469" s="5" t="s">
        <v>137</v>
      </c>
      <c r="I469" s="5" t="s">
        <v>703</v>
      </c>
      <c r="J469" s="5" t="s">
        <v>572</v>
      </c>
      <c r="K469" s="5" t="s">
        <v>224</v>
      </c>
      <c r="L469" s="3" t="s">
        <v>139</v>
      </c>
      <c r="M469" s="3" t="s">
        <v>498</v>
      </c>
      <c r="N469" s="5" t="s">
        <v>927</v>
      </c>
      <c r="O469" s="5" t="s">
        <v>141</v>
      </c>
      <c r="P469" s="5" t="s">
        <v>664</v>
      </c>
      <c r="Q469" s="154">
        <v>850</v>
      </c>
      <c r="R469" s="166">
        <v>3.306</v>
      </c>
      <c r="S469" s="168">
        <v>4403</v>
      </c>
      <c r="U469" s="154">
        <v>123.729</v>
      </c>
      <c r="V469" s="165">
        <v>0</v>
      </c>
      <c r="W469" s="165">
        <v>6.3975522321290702E-3</v>
      </c>
      <c r="X469" s="165">
        <v>8.1544421618360598E-4</v>
      </c>
    </row>
    <row r="470" spans="1:24">
      <c r="A470" s="5">
        <v>424</v>
      </c>
      <c r="B470" s="5">
        <v>7229</v>
      </c>
      <c r="C470" s="5" t="s">
        <v>1003</v>
      </c>
      <c r="D470" s="5" t="s">
        <v>1004</v>
      </c>
      <c r="E470" s="5" t="s">
        <v>651</v>
      </c>
      <c r="F470" s="5" t="s">
        <v>1005</v>
      </c>
      <c r="G470" s="5" t="s">
        <v>1006</v>
      </c>
      <c r="H470" s="5" t="s">
        <v>137</v>
      </c>
      <c r="I470" s="5" t="s">
        <v>703</v>
      </c>
      <c r="J470" s="5" t="s">
        <v>572</v>
      </c>
      <c r="K470" s="5" t="s">
        <v>224</v>
      </c>
      <c r="L470" s="3" t="s">
        <v>139</v>
      </c>
      <c r="M470" s="3" t="s">
        <v>914</v>
      </c>
      <c r="N470" s="5" t="s">
        <v>663</v>
      </c>
      <c r="O470" s="5" t="s">
        <v>141</v>
      </c>
      <c r="P470" s="5" t="s">
        <v>664</v>
      </c>
      <c r="Q470" s="154">
        <v>548</v>
      </c>
      <c r="R470" s="166">
        <v>3.306</v>
      </c>
      <c r="S470" s="168">
        <v>9797</v>
      </c>
      <c r="U470" s="154">
        <v>177.49100000000001</v>
      </c>
      <c r="V470" s="165">
        <v>0</v>
      </c>
      <c r="W470" s="165">
        <v>9.1774049596014401E-3</v>
      </c>
      <c r="X470" s="165">
        <v>1.16976954971905E-3</v>
      </c>
    </row>
    <row r="471" spans="1:24">
      <c r="A471" s="5">
        <v>424</v>
      </c>
      <c r="B471" s="5">
        <v>7229</v>
      </c>
      <c r="C471" s="5" t="s">
        <v>1007</v>
      </c>
      <c r="D471" s="5" t="s">
        <v>1008</v>
      </c>
      <c r="E471" s="5" t="s">
        <v>651</v>
      </c>
      <c r="F471" s="5" t="s">
        <v>1009</v>
      </c>
      <c r="G471" s="5" t="s">
        <v>1010</v>
      </c>
      <c r="H471" s="5" t="s">
        <v>137</v>
      </c>
      <c r="I471" s="5" t="s">
        <v>703</v>
      </c>
      <c r="J471" s="5" t="s">
        <v>572</v>
      </c>
      <c r="K471" s="5" t="s">
        <v>224</v>
      </c>
      <c r="L471" s="3" t="s">
        <v>139</v>
      </c>
      <c r="M471" s="3" t="s">
        <v>914</v>
      </c>
      <c r="N471" s="5" t="s">
        <v>905</v>
      </c>
      <c r="O471" s="5" t="s">
        <v>141</v>
      </c>
      <c r="P471" s="5" t="s">
        <v>664</v>
      </c>
      <c r="Q471" s="154">
        <v>258</v>
      </c>
      <c r="R471" s="166">
        <v>3.306</v>
      </c>
      <c r="S471" s="168">
        <v>34138</v>
      </c>
      <c r="U471" s="154">
        <v>291.17899999999997</v>
      </c>
      <c r="V471" s="165">
        <v>0</v>
      </c>
      <c r="W471" s="165">
        <v>1.50558059691678E-2</v>
      </c>
      <c r="X471" s="165">
        <v>1.9190417603600701E-3</v>
      </c>
    </row>
    <row r="472" spans="1:24">
      <c r="A472" s="5">
        <v>424</v>
      </c>
      <c r="B472" s="5">
        <v>9817</v>
      </c>
      <c r="C472" s="5" t="s">
        <v>176</v>
      </c>
      <c r="D472" s="5" t="s">
        <v>177</v>
      </c>
      <c r="E472" s="5" t="s">
        <v>134</v>
      </c>
      <c r="F472" s="5" t="s">
        <v>708</v>
      </c>
      <c r="G472" s="5" t="s">
        <v>709</v>
      </c>
      <c r="H472" s="5" t="s">
        <v>137</v>
      </c>
      <c r="I472" s="5" t="s">
        <v>703</v>
      </c>
      <c r="J472" s="5" t="s">
        <v>30</v>
      </c>
      <c r="K472" s="5" t="s">
        <v>30</v>
      </c>
      <c r="L472" s="3" t="s">
        <v>139</v>
      </c>
      <c r="M472" s="3" t="s">
        <v>31</v>
      </c>
      <c r="N472" s="5" t="s">
        <v>140</v>
      </c>
      <c r="O472" s="5" t="s">
        <v>141</v>
      </c>
      <c r="P472" s="5" t="s">
        <v>34</v>
      </c>
      <c r="Q472" s="154">
        <v>798</v>
      </c>
      <c r="R472" s="166">
        <v>1</v>
      </c>
      <c r="S472" s="168">
        <v>2070</v>
      </c>
      <c r="U472" s="154">
        <v>16.518999999999998</v>
      </c>
      <c r="V472" s="165">
        <v>9.9999999999999995E-7</v>
      </c>
      <c r="W472" s="165">
        <v>0.167095195617708</v>
      </c>
      <c r="X472" s="165">
        <v>8.56268964897078E-3</v>
      </c>
    </row>
    <row r="473" spans="1:24">
      <c r="A473" s="5">
        <v>424</v>
      </c>
      <c r="B473" s="5">
        <v>9817</v>
      </c>
      <c r="C473" s="5" t="s">
        <v>776</v>
      </c>
      <c r="D473" s="5" t="s">
        <v>777</v>
      </c>
      <c r="E473" s="5" t="s">
        <v>134</v>
      </c>
      <c r="F473" s="5" t="s">
        <v>778</v>
      </c>
      <c r="G473" s="5" t="s">
        <v>779</v>
      </c>
      <c r="H473" s="5" t="s">
        <v>137</v>
      </c>
      <c r="I473" s="5" t="s">
        <v>703</v>
      </c>
      <c r="J473" s="5" t="s">
        <v>30</v>
      </c>
      <c r="K473" s="5" t="s">
        <v>30</v>
      </c>
      <c r="L473" s="3" t="s">
        <v>139</v>
      </c>
      <c r="M473" s="3" t="s">
        <v>31</v>
      </c>
      <c r="N473" s="5" t="s">
        <v>780</v>
      </c>
      <c r="O473" s="5" t="s">
        <v>141</v>
      </c>
      <c r="P473" s="5" t="s">
        <v>34</v>
      </c>
      <c r="Q473" s="154">
        <v>13</v>
      </c>
      <c r="R473" s="166">
        <v>1</v>
      </c>
      <c r="S473" s="168">
        <v>17410</v>
      </c>
      <c r="U473" s="154">
        <v>2.2629999999999999</v>
      </c>
      <c r="V473" s="165">
        <v>0</v>
      </c>
      <c r="W473" s="165">
        <v>2.2894588902301598E-2</v>
      </c>
      <c r="X473" s="165">
        <v>1.17321900660562E-3</v>
      </c>
    </row>
    <row r="474" spans="1:24">
      <c r="A474" s="5">
        <v>424</v>
      </c>
      <c r="B474" s="5">
        <v>9817</v>
      </c>
      <c r="C474" s="5" t="s">
        <v>568</v>
      </c>
      <c r="D474" s="5" t="s">
        <v>569</v>
      </c>
      <c r="E474" s="5" t="s">
        <v>134</v>
      </c>
      <c r="F474" s="5" t="s">
        <v>799</v>
      </c>
      <c r="G474" s="5" t="s">
        <v>800</v>
      </c>
      <c r="H474" s="5" t="s">
        <v>137</v>
      </c>
      <c r="I474" s="5" t="s">
        <v>703</v>
      </c>
      <c r="J474" s="5" t="s">
        <v>30</v>
      </c>
      <c r="K474" s="5" t="s">
        <v>224</v>
      </c>
      <c r="L474" s="3" t="s">
        <v>139</v>
      </c>
      <c r="M474" s="3" t="s">
        <v>31</v>
      </c>
      <c r="N474" s="5" t="s">
        <v>573</v>
      </c>
      <c r="O474" s="5" t="s">
        <v>141</v>
      </c>
      <c r="P474" s="5" t="s">
        <v>34</v>
      </c>
      <c r="Q474" s="154">
        <v>320</v>
      </c>
      <c r="R474" s="166">
        <v>1</v>
      </c>
      <c r="S474" s="168">
        <v>6440</v>
      </c>
      <c r="U474" s="154">
        <v>20.608000000000001</v>
      </c>
      <c r="V474" s="165">
        <v>0</v>
      </c>
      <c r="W474" s="165">
        <v>0.20846184248603</v>
      </c>
      <c r="X474" s="165">
        <v>1.06824978076828E-2</v>
      </c>
    </row>
    <row r="475" spans="1:24">
      <c r="A475" s="5">
        <v>424</v>
      </c>
      <c r="B475" s="5">
        <v>9817</v>
      </c>
      <c r="C475" s="5" t="s">
        <v>380</v>
      </c>
      <c r="D475" s="5" t="s">
        <v>381</v>
      </c>
      <c r="E475" s="5" t="s">
        <v>134</v>
      </c>
      <c r="F475" s="5" t="s">
        <v>815</v>
      </c>
      <c r="G475" s="5" t="s">
        <v>816</v>
      </c>
      <c r="H475" s="5" t="s">
        <v>137</v>
      </c>
      <c r="I475" s="5" t="s">
        <v>703</v>
      </c>
      <c r="J475" s="5" t="s">
        <v>30</v>
      </c>
      <c r="K475" s="5" t="s">
        <v>30</v>
      </c>
      <c r="L475" s="3" t="s">
        <v>139</v>
      </c>
      <c r="M475" s="3" t="s">
        <v>31</v>
      </c>
      <c r="N475" s="5" t="s">
        <v>285</v>
      </c>
      <c r="O475" s="5" t="s">
        <v>141</v>
      </c>
      <c r="P475" s="5" t="s">
        <v>34</v>
      </c>
      <c r="Q475" s="154">
        <v>464</v>
      </c>
      <c r="R475" s="166">
        <v>1</v>
      </c>
      <c r="S475" s="168">
        <v>6529</v>
      </c>
      <c r="U475" s="154">
        <v>30.295000000000002</v>
      </c>
      <c r="V475" s="165">
        <v>0</v>
      </c>
      <c r="W475" s="165">
        <v>0.30644700091729299</v>
      </c>
      <c r="X475" s="165">
        <v>1.5703686470531698E-2</v>
      </c>
    </row>
    <row r="476" spans="1:24">
      <c r="A476" s="5">
        <v>424</v>
      </c>
      <c r="B476" s="5">
        <v>9817</v>
      </c>
      <c r="C476" s="5" t="s">
        <v>522</v>
      </c>
      <c r="D476" s="5" t="s">
        <v>523</v>
      </c>
      <c r="E476" s="5" t="s">
        <v>134</v>
      </c>
      <c r="F476" s="5" t="s">
        <v>852</v>
      </c>
      <c r="G476" s="5" t="s">
        <v>853</v>
      </c>
      <c r="H476" s="5" t="s">
        <v>137</v>
      </c>
      <c r="I476" s="5" t="s">
        <v>703</v>
      </c>
      <c r="J476" s="5" t="s">
        <v>30</v>
      </c>
      <c r="K476" s="5" t="s">
        <v>30</v>
      </c>
      <c r="L476" s="3" t="s">
        <v>139</v>
      </c>
      <c r="M476" s="3" t="s">
        <v>31</v>
      </c>
      <c r="N476" s="5" t="s">
        <v>285</v>
      </c>
      <c r="O476" s="5" t="s">
        <v>141</v>
      </c>
      <c r="P476" s="5" t="s">
        <v>34</v>
      </c>
      <c r="Q476" s="154">
        <v>409</v>
      </c>
      <c r="R476" s="166">
        <v>1</v>
      </c>
      <c r="S476" s="168">
        <v>6732</v>
      </c>
      <c r="U476" s="154">
        <v>27.533999999999999</v>
      </c>
      <c r="V476" s="165">
        <v>0</v>
      </c>
      <c r="W476" s="165">
        <v>0.27852112556236602</v>
      </c>
      <c r="X476" s="165">
        <v>1.42726423106077E-2</v>
      </c>
    </row>
    <row r="477" spans="1:24">
      <c r="A477" s="5">
        <v>424</v>
      </c>
      <c r="B477" s="5">
        <v>9817</v>
      </c>
      <c r="C477" s="5" t="s">
        <v>862</v>
      </c>
      <c r="D477" s="5" t="s">
        <v>863</v>
      </c>
      <c r="E477" s="5" t="s">
        <v>134</v>
      </c>
      <c r="F477" s="5" t="s">
        <v>864</v>
      </c>
      <c r="G477" s="5" t="s">
        <v>865</v>
      </c>
      <c r="H477" s="5" t="s">
        <v>137</v>
      </c>
      <c r="I477" s="5" t="s">
        <v>703</v>
      </c>
      <c r="J477" s="5" t="s">
        <v>30</v>
      </c>
      <c r="K477" s="5" t="s">
        <v>30</v>
      </c>
      <c r="L477" s="3" t="s">
        <v>139</v>
      </c>
      <c r="M477" s="3" t="s">
        <v>31</v>
      </c>
      <c r="N477" s="5" t="s">
        <v>186</v>
      </c>
      <c r="O477" s="5" t="s">
        <v>141</v>
      </c>
      <c r="P477" s="5" t="s">
        <v>34</v>
      </c>
      <c r="Q477" s="154">
        <v>215.6</v>
      </c>
      <c r="R477" s="166">
        <v>1</v>
      </c>
      <c r="S477" s="168">
        <v>560.9</v>
      </c>
      <c r="U477" s="154">
        <v>1.2090000000000001</v>
      </c>
      <c r="V477" s="165">
        <v>1.9999999999999999E-6</v>
      </c>
      <c r="W477" s="165">
        <v>1.2232773170763401E-2</v>
      </c>
      <c r="X477" s="165">
        <v>6.2686087305075596E-4</v>
      </c>
    </row>
    <row r="478" spans="1:24">
      <c r="A478" s="5">
        <v>424</v>
      </c>
      <c r="B478" s="5">
        <v>9817</v>
      </c>
      <c r="C478" s="5" t="s">
        <v>910</v>
      </c>
      <c r="D478" s="5" t="s">
        <v>911</v>
      </c>
      <c r="E478" s="5" t="s">
        <v>134</v>
      </c>
      <c r="F478" s="5" t="s">
        <v>912</v>
      </c>
      <c r="G478" s="5" t="s">
        <v>913</v>
      </c>
      <c r="H478" s="5" t="s">
        <v>137</v>
      </c>
      <c r="I478" s="5" t="s">
        <v>703</v>
      </c>
      <c r="J478" s="5" t="s">
        <v>572</v>
      </c>
      <c r="K478" s="5" t="s">
        <v>224</v>
      </c>
      <c r="L478" s="3" t="s">
        <v>139</v>
      </c>
      <c r="M478" s="3" t="s">
        <v>914</v>
      </c>
      <c r="N478" s="5" t="s">
        <v>655</v>
      </c>
      <c r="O478" s="5" t="s">
        <v>141</v>
      </c>
      <c r="P478" s="5" t="s">
        <v>664</v>
      </c>
      <c r="Q478" s="154">
        <v>130</v>
      </c>
      <c r="R478" s="166">
        <v>3.306</v>
      </c>
      <c r="S478" s="168">
        <v>100</v>
      </c>
      <c r="U478" s="154">
        <v>0.43</v>
      </c>
      <c r="V478" s="165">
        <v>0</v>
      </c>
      <c r="W478" s="165">
        <v>4.3474733435387098E-3</v>
      </c>
      <c r="X478" s="165">
        <v>2.2278357471787301E-4</v>
      </c>
    </row>
    <row r="479" spans="1:24">
      <c r="A479" s="5">
        <v>969</v>
      </c>
      <c r="B479" s="5">
        <v>969</v>
      </c>
      <c r="C479" s="5" t="s">
        <v>147</v>
      </c>
      <c r="D479" s="5" t="s">
        <v>148</v>
      </c>
      <c r="E479" s="5" t="s">
        <v>134</v>
      </c>
      <c r="F479" s="5" t="s">
        <v>701</v>
      </c>
      <c r="G479" s="5" t="s">
        <v>702</v>
      </c>
      <c r="H479" s="5" t="s">
        <v>137</v>
      </c>
      <c r="I479" s="5" t="s">
        <v>703</v>
      </c>
      <c r="J479" s="5" t="s">
        <v>30</v>
      </c>
      <c r="K479" s="5" t="s">
        <v>30</v>
      </c>
      <c r="L479" s="3" t="s">
        <v>139</v>
      </c>
      <c r="M479" s="3" t="s">
        <v>31</v>
      </c>
      <c r="N479" s="5" t="s">
        <v>151</v>
      </c>
      <c r="O479" s="5" t="s">
        <v>141</v>
      </c>
      <c r="P479" s="5" t="s">
        <v>34</v>
      </c>
      <c r="Q479" s="154">
        <v>1734</v>
      </c>
      <c r="R479" s="166">
        <v>1</v>
      </c>
      <c r="S479" s="168">
        <v>5239</v>
      </c>
      <c r="U479" s="154">
        <v>90.843999999999994</v>
      </c>
      <c r="V479" s="165">
        <v>6.0000000000000002E-6</v>
      </c>
      <c r="W479" s="165">
        <v>5.7692946881075903E-3</v>
      </c>
      <c r="X479" s="165">
        <v>1.1967598834076601E-3</v>
      </c>
    </row>
    <row r="480" spans="1:24">
      <c r="A480" s="5">
        <v>969</v>
      </c>
      <c r="B480" s="5">
        <v>969</v>
      </c>
      <c r="C480" s="5" t="s">
        <v>704</v>
      </c>
      <c r="D480" s="5" t="s">
        <v>705</v>
      </c>
      <c r="E480" s="5" t="s">
        <v>651</v>
      </c>
      <c r="F480" s="5" t="s">
        <v>706</v>
      </c>
      <c r="G480" s="5" t="s">
        <v>707</v>
      </c>
      <c r="H480" s="5" t="s">
        <v>137</v>
      </c>
      <c r="I480" s="5" t="s">
        <v>703</v>
      </c>
      <c r="J480" s="5" t="s">
        <v>30</v>
      </c>
      <c r="K480" s="5" t="s">
        <v>224</v>
      </c>
      <c r="L480" s="3" t="s">
        <v>139</v>
      </c>
      <c r="M480" s="3" t="s">
        <v>31</v>
      </c>
      <c r="N480" s="5" t="s">
        <v>220</v>
      </c>
      <c r="O480" s="5" t="s">
        <v>141</v>
      </c>
      <c r="P480" s="5" t="s">
        <v>34</v>
      </c>
      <c r="Q480" s="154">
        <v>762</v>
      </c>
      <c r="R480" s="166">
        <v>1</v>
      </c>
      <c r="S480" s="168">
        <v>31800</v>
      </c>
      <c r="U480" s="154">
        <v>242.316</v>
      </c>
      <c r="V480" s="165">
        <v>1.2999999999999999E-5</v>
      </c>
      <c r="W480" s="165">
        <v>1.53888909617788E-2</v>
      </c>
      <c r="X480" s="165">
        <v>3.1922112405099899E-3</v>
      </c>
    </row>
    <row r="481" spans="1:24">
      <c r="A481" s="5">
        <v>969</v>
      </c>
      <c r="B481" s="5">
        <v>969</v>
      </c>
      <c r="C481" s="5" t="s">
        <v>176</v>
      </c>
      <c r="D481" s="5" t="s">
        <v>177</v>
      </c>
      <c r="E481" s="5" t="s">
        <v>134</v>
      </c>
      <c r="F481" s="5" t="s">
        <v>708</v>
      </c>
      <c r="G481" s="5" t="s">
        <v>709</v>
      </c>
      <c r="H481" s="5" t="s">
        <v>137</v>
      </c>
      <c r="I481" s="5" t="s">
        <v>703</v>
      </c>
      <c r="J481" s="5" t="s">
        <v>30</v>
      </c>
      <c r="K481" s="5" t="s">
        <v>30</v>
      </c>
      <c r="L481" s="3" t="s">
        <v>139</v>
      </c>
      <c r="M481" s="3" t="s">
        <v>31</v>
      </c>
      <c r="N481" s="5" t="s">
        <v>140</v>
      </c>
      <c r="O481" s="5" t="s">
        <v>141</v>
      </c>
      <c r="P481" s="5" t="s">
        <v>34</v>
      </c>
      <c r="Q481" s="154">
        <v>10798</v>
      </c>
      <c r="R481" s="166">
        <v>1</v>
      </c>
      <c r="S481" s="168">
        <v>2070</v>
      </c>
      <c r="U481" s="154">
        <v>223.51900000000001</v>
      </c>
      <c r="V481" s="165">
        <v>7.9999999999999996E-6</v>
      </c>
      <c r="W481" s="165">
        <v>1.4195114492354799E-2</v>
      </c>
      <c r="X481" s="165">
        <v>2.9445789274462099E-3</v>
      </c>
    </row>
    <row r="482" spans="1:24">
      <c r="A482" s="5">
        <v>969</v>
      </c>
      <c r="B482" s="5">
        <v>969</v>
      </c>
      <c r="C482" s="5" t="s">
        <v>710</v>
      </c>
      <c r="D482" s="5" t="s">
        <v>711</v>
      </c>
      <c r="E482" s="5" t="s">
        <v>134</v>
      </c>
      <c r="F482" s="5" t="s">
        <v>712</v>
      </c>
      <c r="G482" s="5" t="s">
        <v>713</v>
      </c>
      <c r="H482" s="5" t="s">
        <v>137</v>
      </c>
      <c r="I482" s="5" t="s">
        <v>703</v>
      </c>
      <c r="J482" s="5" t="s">
        <v>30</v>
      </c>
      <c r="K482" s="5" t="s">
        <v>30</v>
      </c>
      <c r="L482" s="3" t="s">
        <v>139</v>
      </c>
      <c r="M482" s="3" t="s">
        <v>31</v>
      </c>
      <c r="N482" s="5" t="s">
        <v>170</v>
      </c>
      <c r="O482" s="5" t="s">
        <v>141</v>
      </c>
      <c r="P482" s="5" t="s">
        <v>34</v>
      </c>
      <c r="Q482" s="154">
        <v>1347</v>
      </c>
      <c r="R482" s="166">
        <v>1</v>
      </c>
      <c r="S482" s="168">
        <v>20440</v>
      </c>
      <c r="U482" s="154">
        <v>275.327</v>
      </c>
      <c r="V482" s="165">
        <v>9.1000000000000003E-5</v>
      </c>
      <c r="W482" s="165">
        <v>1.74853253770096E-2</v>
      </c>
      <c r="X482" s="165">
        <v>3.6270873808318298E-3</v>
      </c>
    </row>
    <row r="483" spans="1:24">
      <c r="A483" s="5">
        <v>969</v>
      </c>
      <c r="B483" s="5">
        <v>969</v>
      </c>
      <c r="C483" s="5" t="s">
        <v>714</v>
      </c>
      <c r="D483" s="5" t="s">
        <v>715</v>
      </c>
      <c r="E483" s="5" t="s">
        <v>134</v>
      </c>
      <c r="F483" s="5" t="s">
        <v>716</v>
      </c>
      <c r="G483" s="5" t="s">
        <v>717</v>
      </c>
      <c r="H483" s="5" t="s">
        <v>137</v>
      </c>
      <c r="I483" s="5" t="s">
        <v>703</v>
      </c>
      <c r="J483" s="5" t="s">
        <v>30</v>
      </c>
      <c r="K483" s="5" t="s">
        <v>30</v>
      </c>
      <c r="L483" s="3" t="s">
        <v>139</v>
      </c>
      <c r="M483" s="3" t="s">
        <v>31</v>
      </c>
      <c r="N483" s="5" t="s">
        <v>718</v>
      </c>
      <c r="O483" s="5" t="s">
        <v>141</v>
      </c>
      <c r="P483" s="5" t="s">
        <v>34</v>
      </c>
      <c r="Q483" s="154">
        <v>4347</v>
      </c>
      <c r="R483" s="166">
        <v>1</v>
      </c>
      <c r="S483" s="168">
        <v>2180</v>
      </c>
      <c r="U483" s="154">
        <v>94.765000000000001</v>
      </c>
      <c r="V483" s="165">
        <v>2.9E-5</v>
      </c>
      <c r="W483" s="165">
        <v>6.0182658034821403E-3</v>
      </c>
      <c r="X483" s="165">
        <v>1.24840547600007E-3</v>
      </c>
    </row>
    <row r="484" spans="1:24">
      <c r="A484" s="5">
        <v>969</v>
      </c>
      <c r="B484" s="5">
        <v>969</v>
      </c>
      <c r="C484" s="5" t="s">
        <v>719</v>
      </c>
      <c r="D484" s="5" t="s">
        <v>720</v>
      </c>
      <c r="E484" s="5" t="s">
        <v>134</v>
      </c>
      <c r="F484" s="5" t="s">
        <v>721</v>
      </c>
      <c r="G484" s="5" t="s">
        <v>722</v>
      </c>
      <c r="H484" s="5" t="s">
        <v>137</v>
      </c>
      <c r="I484" s="5" t="s">
        <v>703</v>
      </c>
      <c r="J484" s="5" t="s">
        <v>30</v>
      </c>
      <c r="K484" s="5" t="s">
        <v>30</v>
      </c>
      <c r="L484" s="3" t="s">
        <v>139</v>
      </c>
      <c r="M484" s="3" t="s">
        <v>31</v>
      </c>
      <c r="N484" s="5" t="s">
        <v>465</v>
      </c>
      <c r="O484" s="5" t="s">
        <v>141</v>
      </c>
      <c r="P484" s="5" t="s">
        <v>34</v>
      </c>
      <c r="Q484" s="154">
        <v>0</v>
      </c>
      <c r="R484" s="166">
        <v>1</v>
      </c>
      <c r="S484" s="168">
        <v>0</v>
      </c>
      <c r="T484" s="153">
        <v>1E-3</v>
      </c>
      <c r="U484" s="154">
        <v>1E-3</v>
      </c>
      <c r="V484" s="165">
        <v>0</v>
      </c>
      <c r="W484" s="165">
        <v>4.31851213044518E-8</v>
      </c>
      <c r="X484" s="165">
        <v>8.9581523446523994E-9</v>
      </c>
    </row>
    <row r="485" spans="1:24">
      <c r="A485" s="5">
        <v>969</v>
      </c>
      <c r="B485" s="5">
        <v>969</v>
      </c>
      <c r="C485" s="5" t="s">
        <v>723</v>
      </c>
      <c r="D485" s="5" t="s">
        <v>724</v>
      </c>
      <c r="E485" s="5" t="s">
        <v>134</v>
      </c>
      <c r="F485" s="5" t="s">
        <v>725</v>
      </c>
      <c r="G485" s="5" t="s">
        <v>726</v>
      </c>
      <c r="H485" s="5" t="s">
        <v>137</v>
      </c>
      <c r="I485" s="5" t="s">
        <v>703</v>
      </c>
      <c r="J485" s="5" t="s">
        <v>30</v>
      </c>
      <c r="K485" s="5" t="s">
        <v>30</v>
      </c>
      <c r="L485" s="3" t="s">
        <v>139</v>
      </c>
      <c r="M485" s="3" t="s">
        <v>31</v>
      </c>
      <c r="N485" s="5" t="s">
        <v>727</v>
      </c>
      <c r="O485" s="5" t="s">
        <v>141</v>
      </c>
      <c r="P485" s="5" t="s">
        <v>34</v>
      </c>
      <c r="Q485" s="154">
        <v>166</v>
      </c>
      <c r="R485" s="166">
        <v>1</v>
      </c>
      <c r="S485" s="168">
        <v>167700</v>
      </c>
      <c r="U485" s="154">
        <v>278.38200000000001</v>
      </c>
      <c r="V485" s="165">
        <v>3.9999999999999998E-6</v>
      </c>
      <c r="W485" s="165">
        <v>1.7679353586729299E-2</v>
      </c>
      <c r="X485" s="165">
        <v>3.6673358323662101E-3</v>
      </c>
    </row>
    <row r="486" spans="1:24">
      <c r="A486" s="5">
        <v>969</v>
      </c>
      <c r="B486" s="5">
        <v>969</v>
      </c>
      <c r="C486" s="5" t="s">
        <v>195</v>
      </c>
      <c r="D486" s="5" t="s">
        <v>196</v>
      </c>
      <c r="E486" s="5" t="s">
        <v>134</v>
      </c>
      <c r="F486" s="5" t="s">
        <v>728</v>
      </c>
      <c r="G486" s="5" t="s">
        <v>729</v>
      </c>
      <c r="H486" s="5" t="s">
        <v>137</v>
      </c>
      <c r="I486" s="5" t="s">
        <v>703</v>
      </c>
      <c r="J486" s="5" t="s">
        <v>30</v>
      </c>
      <c r="K486" s="5" t="s">
        <v>30</v>
      </c>
      <c r="L486" s="3" t="s">
        <v>139</v>
      </c>
      <c r="M486" s="3" t="s">
        <v>31</v>
      </c>
      <c r="N486" s="5" t="s">
        <v>199</v>
      </c>
      <c r="O486" s="5" t="s">
        <v>141</v>
      </c>
      <c r="P486" s="5" t="s">
        <v>34</v>
      </c>
      <c r="Q486" s="154">
        <v>38</v>
      </c>
      <c r="R486" s="166">
        <v>1</v>
      </c>
      <c r="S486" s="168">
        <v>192960</v>
      </c>
      <c r="T486" s="153">
        <v>0.46600000000000003</v>
      </c>
      <c r="U486" s="154">
        <v>73.790999999999997</v>
      </c>
      <c r="V486" s="165">
        <v>9.0000000000000002E-6</v>
      </c>
      <c r="W486" s="165">
        <v>4.6862861496035904E-3</v>
      </c>
      <c r="X486" s="165">
        <v>9.7210483589531705E-4</v>
      </c>
    </row>
    <row r="487" spans="1:24">
      <c r="A487" s="5">
        <v>969</v>
      </c>
      <c r="B487" s="5">
        <v>969</v>
      </c>
      <c r="C487" s="5" t="s">
        <v>730</v>
      </c>
      <c r="D487" s="5" t="s">
        <v>731</v>
      </c>
      <c r="E487" s="5" t="s">
        <v>134</v>
      </c>
      <c r="F487" s="5" t="s">
        <v>732</v>
      </c>
      <c r="G487" s="5" t="s">
        <v>733</v>
      </c>
      <c r="H487" s="5" t="s">
        <v>137</v>
      </c>
      <c r="I487" s="5" t="s">
        <v>703</v>
      </c>
      <c r="J487" s="5" t="s">
        <v>30</v>
      </c>
      <c r="K487" s="5" t="s">
        <v>30</v>
      </c>
      <c r="L487" s="3" t="s">
        <v>139</v>
      </c>
      <c r="M487" s="3" t="s">
        <v>31</v>
      </c>
      <c r="N487" s="5" t="s">
        <v>734</v>
      </c>
      <c r="O487" s="5" t="s">
        <v>141</v>
      </c>
      <c r="P487" s="5" t="s">
        <v>34</v>
      </c>
      <c r="Q487" s="154">
        <v>613</v>
      </c>
      <c r="R487" s="166">
        <v>1</v>
      </c>
      <c r="S487" s="168">
        <v>11550</v>
      </c>
      <c r="U487" s="154">
        <v>70.802000000000007</v>
      </c>
      <c r="V487" s="165">
        <v>2.4000000000000001E-5</v>
      </c>
      <c r="W487" s="165">
        <v>4.4964284794663904E-3</v>
      </c>
      <c r="X487" s="165">
        <v>9.3272150474986296E-4</v>
      </c>
    </row>
    <row r="488" spans="1:24">
      <c r="A488" s="5">
        <v>969</v>
      </c>
      <c r="B488" s="5">
        <v>969</v>
      </c>
      <c r="C488" s="5" t="s">
        <v>216</v>
      </c>
      <c r="D488" s="5" t="s">
        <v>217</v>
      </c>
      <c r="E488" s="5" t="s">
        <v>134</v>
      </c>
      <c r="F488" s="5" t="s">
        <v>735</v>
      </c>
      <c r="G488" s="5" t="s">
        <v>736</v>
      </c>
      <c r="H488" s="5" t="s">
        <v>137</v>
      </c>
      <c r="I488" s="5" t="s">
        <v>703</v>
      </c>
      <c r="J488" s="5" t="s">
        <v>30</v>
      </c>
      <c r="K488" s="5" t="s">
        <v>224</v>
      </c>
      <c r="L488" s="3" t="s">
        <v>139</v>
      </c>
      <c r="M488" s="3" t="s">
        <v>31</v>
      </c>
      <c r="N488" s="5" t="s">
        <v>220</v>
      </c>
      <c r="O488" s="5" t="s">
        <v>141</v>
      </c>
      <c r="P488" s="5" t="s">
        <v>34</v>
      </c>
      <c r="Q488" s="154">
        <v>1846.5</v>
      </c>
      <c r="R488" s="166">
        <v>1</v>
      </c>
      <c r="S488" s="168">
        <v>10190</v>
      </c>
      <c r="U488" s="154">
        <v>188.15799999999999</v>
      </c>
      <c r="V488" s="165">
        <v>1.4E-5</v>
      </c>
      <c r="W488" s="165">
        <v>1.19494723076404E-2</v>
      </c>
      <c r="X488" s="165">
        <v>2.4787517120859201E-3</v>
      </c>
    </row>
    <row r="489" spans="1:24">
      <c r="A489" s="5">
        <v>969</v>
      </c>
      <c r="B489" s="5">
        <v>969</v>
      </c>
      <c r="C489" s="5" t="s">
        <v>737</v>
      </c>
      <c r="D489" s="5" t="s">
        <v>738</v>
      </c>
      <c r="E489" s="5" t="s">
        <v>651</v>
      </c>
      <c r="F489" s="5" t="s">
        <v>739</v>
      </c>
      <c r="G489" s="5" t="s">
        <v>740</v>
      </c>
      <c r="H489" s="5" t="s">
        <v>137</v>
      </c>
      <c r="I489" s="5" t="s">
        <v>703</v>
      </c>
      <c r="J489" s="5" t="s">
        <v>30</v>
      </c>
      <c r="K489" s="5" t="s">
        <v>566</v>
      </c>
      <c r="L489" s="3" t="s">
        <v>139</v>
      </c>
      <c r="M489" s="3" t="s">
        <v>31</v>
      </c>
      <c r="N489" s="5" t="s">
        <v>369</v>
      </c>
      <c r="O489" s="5" t="s">
        <v>141</v>
      </c>
      <c r="P489" s="5" t="s">
        <v>34</v>
      </c>
      <c r="Q489" s="154">
        <v>2717</v>
      </c>
      <c r="R489" s="166">
        <v>1</v>
      </c>
      <c r="S489" s="168">
        <v>3825</v>
      </c>
      <c r="T489" s="153">
        <v>2.7090000000000001</v>
      </c>
      <c r="U489" s="154">
        <v>106.634</v>
      </c>
      <c r="V489" s="165">
        <v>1.5E-5</v>
      </c>
      <c r="W489" s="165">
        <v>6.7720512995710202E-3</v>
      </c>
      <c r="X489" s="165">
        <v>1.4047677856378899E-3</v>
      </c>
    </row>
    <row r="490" spans="1:24">
      <c r="A490" s="5">
        <v>969</v>
      </c>
      <c r="B490" s="5">
        <v>969</v>
      </c>
      <c r="C490" s="5" t="s">
        <v>232</v>
      </c>
      <c r="D490" s="5" t="s">
        <v>233</v>
      </c>
      <c r="E490" s="5" t="s">
        <v>134</v>
      </c>
      <c r="F490" s="5" t="s">
        <v>741</v>
      </c>
      <c r="G490" s="5" t="s">
        <v>742</v>
      </c>
      <c r="H490" s="5" t="s">
        <v>137</v>
      </c>
      <c r="I490" s="5" t="s">
        <v>703</v>
      </c>
      <c r="J490" s="5" t="s">
        <v>30</v>
      </c>
      <c r="K490" s="5" t="s">
        <v>30</v>
      </c>
      <c r="L490" s="3" t="s">
        <v>139</v>
      </c>
      <c r="M490" s="3" t="s">
        <v>31</v>
      </c>
      <c r="N490" s="5" t="s">
        <v>208</v>
      </c>
      <c r="O490" s="5" t="s">
        <v>141</v>
      </c>
      <c r="P490" s="5" t="s">
        <v>34</v>
      </c>
      <c r="Q490" s="154">
        <v>339</v>
      </c>
      <c r="R490" s="166">
        <v>1</v>
      </c>
      <c r="S490" s="168">
        <v>21010</v>
      </c>
      <c r="U490" s="154">
        <v>71.224000000000004</v>
      </c>
      <c r="V490" s="165">
        <v>9.0000000000000002E-6</v>
      </c>
      <c r="W490" s="165">
        <v>4.52325406070022E-3</v>
      </c>
      <c r="X490" s="165">
        <v>9.3828609820630602E-4</v>
      </c>
    </row>
    <row r="491" spans="1:24">
      <c r="A491" s="5">
        <v>969</v>
      </c>
      <c r="B491" s="5">
        <v>969</v>
      </c>
      <c r="C491" s="5" t="s">
        <v>747</v>
      </c>
      <c r="D491" s="5" t="s">
        <v>748</v>
      </c>
      <c r="E491" s="5" t="s">
        <v>134</v>
      </c>
      <c r="F491" s="5" t="s">
        <v>749</v>
      </c>
      <c r="G491" s="5" t="s">
        <v>750</v>
      </c>
      <c r="H491" s="5" t="s">
        <v>137</v>
      </c>
      <c r="I491" s="5" t="s">
        <v>703</v>
      </c>
      <c r="J491" s="5" t="s">
        <v>30</v>
      </c>
      <c r="K491" s="5" t="s">
        <v>30</v>
      </c>
      <c r="L491" s="3" t="s">
        <v>139</v>
      </c>
      <c r="M491" s="3" t="s">
        <v>31</v>
      </c>
      <c r="N491" s="5" t="s">
        <v>727</v>
      </c>
      <c r="O491" s="5" t="s">
        <v>141</v>
      </c>
      <c r="P491" s="5" t="s">
        <v>34</v>
      </c>
      <c r="Q491" s="154">
        <v>3000</v>
      </c>
      <c r="R491" s="166">
        <v>1</v>
      </c>
      <c r="S491" s="168">
        <v>1792</v>
      </c>
      <c r="U491" s="154">
        <v>53.76</v>
      </c>
      <c r="V491" s="165">
        <v>4.0000000000000003E-5</v>
      </c>
      <c r="W491" s="165">
        <v>3.4141648843049001E-3</v>
      </c>
      <c r="X491" s="165">
        <v>7.0822098536545998E-4</v>
      </c>
    </row>
    <row r="492" spans="1:24">
      <c r="A492" s="5">
        <v>969</v>
      </c>
      <c r="B492" s="5">
        <v>969</v>
      </c>
      <c r="C492" s="5" t="s">
        <v>751</v>
      </c>
      <c r="D492" s="5" t="s">
        <v>752</v>
      </c>
      <c r="E492" s="5" t="s">
        <v>492</v>
      </c>
      <c r="F492" s="5" t="s">
        <v>751</v>
      </c>
      <c r="G492" s="5" t="s">
        <v>753</v>
      </c>
      <c r="H492" s="5" t="s">
        <v>137</v>
      </c>
      <c r="I492" s="5" t="s">
        <v>703</v>
      </c>
      <c r="J492" s="5" t="s">
        <v>30</v>
      </c>
      <c r="K492" s="5" t="s">
        <v>654</v>
      </c>
      <c r="L492" s="3" t="s">
        <v>139</v>
      </c>
      <c r="M492" s="3" t="s">
        <v>31</v>
      </c>
      <c r="N492" s="5" t="s">
        <v>208</v>
      </c>
      <c r="O492" s="5" t="s">
        <v>141</v>
      </c>
      <c r="P492" s="5" t="s">
        <v>34</v>
      </c>
      <c r="Q492" s="154">
        <v>720</v>
      </c>
      <c r="R492" s="166">
        <v>1</v>
      </c>
      <c r="S492" s="168">
        <v>11110</v>
      </c>
      <c r="U492" s="154">
        <v>79.992000000000004</v>
      </c>
      <c r="V492" s="165">
        <v>3.3000000000000003E-5</v>
      </c>
      <c r="W492" s="165">
        <v>5.0800944461554601E-3</v>
      </c>
      <c r="X492" s="165">
        <v>1.05379488581387E-3</v>
      </c>
    </row>
    <row r="493" spans="1:24">
      <c r="A493" s="5">
        <v>969</v>
      </c>
      <c r="B493" s="5">
        <v>969</v>
      </c>
      <c r="C493" s="5" t="s">
        <v>254</v>
      </c>
      <c r="D493" s="5" t="s">
        <v>255</v>
      </c>
      <c r="E493" s="5" t="s">
        <v>134</v>
      </c>
      <c r="F493" s="5" t="s">
        <v>754</v>
      </c>
      <c r="G493" s="5" t="s">
        <v>755</v>
      </c>
      <c r="H493" s="5" t="s">
        <v>137</v>
      </c>
      <c r="I493" s="5" t="s">
        <v>703</v>
      </c>
      <c r="J493" s="5" t="s">
        <v>30</v>
      </c>
      <c r="K493" s="5" t="s">
        <v>30</v>
      </c>
      <c r="L493" s="3" t="s">
        <v>139</v>
      </c>
      <c r="M493" s="3" t="s">
        <v>31</v>
      </c>
      <c r="N493" s="5" t="s">
        <v>162</v>
      </c>
      <c r="O493" s="5" t="s">
        <v>141</v>
      </c>
      <c r="P493" s="5" t="s">
        <v>34</v>
      </c>
      <c r="Q493" s="154">
        <v>3830</v>
      </c>
      <c r="R493" s="166">
        <v>1</v>
      </c>
      <c r="S493" s="168">
        <v>6966</v>
      </c>
      <c r="U493" s="154">
        <v>266.798</v>
      </c>
      <c r="V493" s="165">
        <v>3.4E-5</v>
      </c>
      <c r="W493" s="165">
        <v>1.6943669642295399E-2</v>
      </c>
      <c r="X493" s="165">
        <v>3.5147284376736798E-3</v>
      </c>
    </row>
    <row r="494" spans="1:24">
      <c r="A494" s="5">
        <v>969</v>
      </c>
      <c r="B494" s="5">
        <v>969</v>
      </c>
      <c r="C494" s="5" t="s">
        <v>259</v>
      </c>
      <c r="D494" s="5" t="s">
        <v>260</v>
      </c>
      <c r="E494" s="5" t="s">
        <v>134</v>
      </c>
      <c r="F494" s="5" t="s">
        <v>756</v>
      </c>
      <c r="G494" s="5" t="s">
        <v>757</v>
      </c>
      <c r="H494" s="5" t="s">
        <v>137</v>
      </c>
      <c r="I494" s="5" t="s">
        <v>703</v>
      </c>
      <c r="J494" s="5" t="s">
        <v>30</v>
      </c>
      <c r="K494" s="5" t="s">
        <v>30</v>
      </c>
      <c r="L494" s="3" t="s">
        <v>139</v>
      </c>
      <c r="M494" s="3" t="s">
        <v>31</v>
      </c>
      <c r="N494" s="5" t="s">
        <v>151</v>
      </c>
      <c r="O494" s="5" t="s">
        <v>141</v>
      </c>
      <c r="P494" s="5" t="s">
        <v>34</v>
      </c>
      <c r="Q494" s="154">
        <v>45645</v>
      </c>
      <c r="R494" s="166">
        <v>1</v>
      </c>
      <c r="S494" s="168">
        <v>89.4</v>
      </c>
      <c r="U494" s="154">
        <v>40.807000000000002</v>
      </c>
      <c r="V494" s="165">
        <v>1.4E-5</v>
      </c>
      <c r="W494" s="165">
        <v>2.5915283331998302E-3</v>
      </c>
      <c r="X494" s="165">
        <v>5.3757648266450396E-4</v>
      </c>
    </row>
    <row r="495" spans="1:24">
      <c r="A495" s="5">
        <v>969</v>
      </c>
      <c r="B495" s="5">
        <v>969</v>
      </c>
      <c r="C495" s="5" t="s">
        <v>758</v>
      </c>
      <c r="D495" s="5" t="s">
        <v>759</v>
      </c>
      <c r="E495" s="5" t="s">
        <v>134</v>
      </c>
      <c r="F495" s="5" t="s">
        <v>760</v>
      </c>
      <c r="G495" s="5" t="s">
        <v>761</v>
      </c>
      <c r="H495" s="5" t="s">
        <v>137</v>
      </c>
      <c r="I495" s="5" t="s">
        <v>703</v>
      </c>
      <c r="J495" s="5" t="s">
        <v>30</v>
      </c>
      <c r="K495" s="5" t="s">
        <v>30</v>
      </c>
      <c r="L495" s="3" t="s">
        <v>139</v>
      </c>
      <c r="M495" s="3" t="s">
        <v>31</v>
      </c>
      <c r="N495" s="5" t="s">
        <v>612</v>
      </c>
      <c r="O495" s="5" t="s">
        <v>141</v>
      </c>
      <c r="P495" s="5" t="s">
        <v>34</v>
      </c>
      <c r="Q495" s="154">
        <v>43367</v>
      </c>
      <c r="R495" s="166">
        <v>1</v>
      </c>
      <c r="S495" s="168">
        <v>634.70000000000005</v>
      </c>
      <c r="T495" s="153">
        <v>9.1180000000000003</v>
      </c>
      <c r="U495" s="154">
        <v>284.36799999999999</v>
      </c>
      <c r="V495" s="165">
        <v>1.5999999999999999E-5</v>
      </c>
      <c r="W495" s="165">
        <v>1.8059511510989501E-2</v>
      </c>
      <c r="X495" s="165">
        <v>3.7461943025449002E-3</v>
      </c>
    </row>
    <row r="496" spans="1:24">
      <c r="A496" s="5">
        <v>969</v>
      </c>
      <c r="B496" s="5">
        <v>969</v>
      </c>
      <c r="C496" s="5" t="s">
        <v>267</v>
      </c>
      <c r="D496" s="5" t="s">
        <v>268</v>
      </c>
      <c r="E496" s="5" t="s">
        <v>134</v>
      </c>
      <c r="F496" s="5" t="s">
        <v>762</v>
      </c>
      <c r="G496" s="5" t="s">
        <v>763</v>
      </c>
      <c r="H496" s="5" t="s">
        <v>137</v>
      </c>
      <c r="I496" s="5" t="s">
        <v>703</v>
      </c>
      <c r="J496" s="5" t="s">
        <v>30</v>
      </c>
      <c r="K496" s="5" t="s">
        <v>30</v>
      </c>
      <c r="L496" s="3" t="s">
        <v>139</v>
      </c>
      <c r="M496" s="3" t="s">
        <v>31</v>
      </c>
      <c r="N496" s="5" t="s">
        <v>186</v>
      </c>
      <c r="O496" s="5" t="s">
        <v>141</v>
      </c>
      <c r="P496" s="5" t="s">
        <v>34</v>
      </c>
      <c r="Q496" s="154">
        <v>257.44</v>
      </c>
      <c r="R496" s="166">
        <v>1</v>
      </c>
      <c r="S496" s="168">
        <v>68050</v>
      </c>
      <c r="U496" s="154">
        <v>175.18799999999999</v>
      </c>
      <c r="V496" s="165">
        <v>1.0000000000000001E-5</v>
      </c>
      <c r="W496" s="165">
        <v>1.1125752318050901E-2</v>
      </c>
      <c r="X496" s="165">
        <v>2.3078824651511401E-3</v>
      </c>
    </row>
    <row r="497" spans="1:24">
      <c r="A497" s="5">
        <v>969</v>
      </c>
      <c r="B497" s="5">
        <v>969</v>
      </c>
      <c r="C497" s="5" t="s">
        <v>764</v>
      </c>
      <c r="D497" s="5" t="s">
        <v>765</v>
      </c>
      <c r="E497" s="5" t="s">
        <v>134</v>
      </c>
      <c r="F497" s="5" t="s">
        <v>766</v>
      </c>
      <c r="G497" s="5" t="s">
        <v>767</v>
      </c>
      <c r="H497" s="5" t="s">
        <v>137</v>
      </c>
      <c r="I497" s="5" t="s">
        <v>703</v>
      </c>
      <c r="J497" s="5" t="s">
        <v>30</v>
      </c>
      <c r="K497" s="5" t="s">
        <v>30</v>
      </c>
      <c r="L497" s="3" t="s">
        <v>139</v>
      </c>
      <c r="M497" s="3" t="s">
        <v>31</v>
      </c>
      <c r="N497" s="5" t="s">
        <v>285</v>
      </c>
      <c r="O497" s="5" t="s">
        <v>141</v>
      </c>
      <c r="P497" s="5" t="s">
        <v>34</v>
      </c>
      <c r="Q497" s="154">
        <v>694</v>
      </c>
      <c r="R497" s="166">
        <v>1</v>
      </c>
      <c r="S497" s="168">
        <v>23710</v>
      </c>
      <c r="U497" s="154">
        <v>164.547</v>
      </c>
      <c r="V497" s="165">
        <v>6.9999999999999999E-6</v>
      </c>
      <c r="W497" s="165">
        <v>1.0449999160782601E-2</v>
      </c>
      <c r="X497" s="165">
        <v>2.1677068781124401E-3</v>
      </c>
    </row>
    <row r="498" spans="1:24">
      <c r="A498" s="5">
        <v>969</v>
      </c>
      <c r="B498" s="5">
        <v>969</v>
      </c>
      <c r="C498" s="5" t="s">
        <v>768</v>
      </c>
      <c r="D498" s="5" t="s">
        <v>769</v>
      </c>
      <c r="E498" s="5" t="s">
        <v>134</v>
      </c>
      <c r="F498" s="5" t="s">
        <v>770</v>
      </c>
      <c r="G498" s="5" t="s">
        <v>771</v>
      </c>
      <c r="H498" s="5" t="s">
        <v>137</v>
      </c>
      <c r="I498" s="5" t="s">
        <v>703</v>
      </c>
      <c r="J498" s="5" t="s">
        <v>30</v>
      </c>
      <c r="K498" s="5" t="s">
        <v>30</v>
      </c>
      <c r="L498" s="3" t="s">
        <v>139</v>
      </c>
      <c r="M498" s="3" t="s">
        <v>31</v>
      </c>
      <c r="N498" s="5" t="s">
        <v>718</v>
      </c>
      <c r="O498" s="5" t="s">
        <v>141</v>
      </c>
      <c r="P498" s="5" t="s">
        <v>34</v>
      </c>
      <c r="Q498" s="154">
        <v>428</v>
      </c>
      <c r="R498" s="166">
        <v>1</v>
      </c>
      <c r="S498" s="168">
        <v>67920</v>
      </c>
      <c r="U498" s="154">
        <v>290.69799999999998</v>
      </c>
      <c r="V498" s="165">
        <v>4.6999999999999997E-5</v>
      </c>
      <c r="W498" s="165">
        <v>1.8461486939578001E-2</v>
      </c>
      <c r="X498" s="165">
        <v>3.8295785103306299E-3</v>
      </c>
    </row>
    <row r="499" spans="1:24">
      <c r="A499" s="5">
        <v>969</v>
      </c>
      <c r="B499" s="5">
        <v>969</v>
      </c>
      <c r="C499" s="5" t="s">
        <v>772</v>
      </c>
      <c r="D499" s="5" t="s">
        <v>773</v>
      </c>
      <c r="E499" s="5" t="s">
        <v>134</v>
      </c>
      <c r="F499" s="5" t="s">
        <v>774</v>
      </c>
      <c r="G499" s="5" t="s">
        <v>775</v>
      </c>
      <c r="H499" s="5" t="s">
        <v>137</v>
      </c>
      <c r="I499" s="5" t="s">
        <v>703</v>
      </c>
      <c r="J499" s="5" t="s">
        <v>30</v>
      </c>
      <c r="K499" s="5" t="s">
        <v>30</v>
      </c>
      <c r="L499" s="3" t="s">
        <v>139</v>
      </c>
      <c r="M499" s="3" t="s">
        <v>31</v>
      </c>
      <c r="N499" s="5" t="s">
        <v>285</v>
      </c>
      <c r="O499" s="5" t="s">
        <v>141</v>
      </c>
      <c r="P499" s="5" t="s">
        <v>34</v>
      </c>
      <c r="Q499" s="154">
        <v>8125</v>
      </c>
      <c r="R499" s="166">
        <v>1</v>
      </c>
      <c r="S499" s="168">
        <v>3274</v>
      </c>
      <c r="U499" s="154">
        <v>266.012</v>
      </c>
      <c r="V499" s="165">
        <v>6.9999999999999999E-6</v>
      </c>
      <c r="W499" s="165">
        <v>1.6893797177941899E-2</v>
      </c>
      <c r="X499" s="165">
        <v>3.5043830890909501E-3</v>
      </c>
    </row>
    <row r="500" spans="1:24">
      <c r="A500" s="5">
        <v>969</v>
      </c>
      <c r="B500" s="5">
        <v>969</v>
      </c>
      <c r="C500" s="5" t="s">
        <v>776</v>
      </c>
      <c r="D500" s="5" t="s">
        <v>777</v>
      </c>
      <c r="E500" s="5" t="s">
        <v>134</v>
      </c>
      <c r="F500" s="5" t="s">
        <v>778</v>
      </c>
      <c r="G500" s="5" t="s">
        <v>779</v>
      </c>
      <c r="H500" s="5" t="s">
        <v>137</v>
      </c>
      <c r="I500" s="5" t="s">
        <v>703</v>
      </c>
      <c r="J500" s="5" t="s">
        <v>30</v>
      </c>
      <c r="K500" s="5" t="s">
        <v>30</v>
      </c>
      <c r="L500" s="3" t="s">
        <v>139</v>
      </c>
      <c r="M500" s="3" t="s">
        <v>31</v>
      </c>
      <c r="N500" s="5" t="s">
        <v>780</v>
      </c>
      <c r="O500" s="5" t="s">
        <v>141</v>
      </c>
      <c r="P500" s="5" t="s">
        <v>34</v>
      </c>
      <c r="Q500" s="154">
        <v>1408</v>
      </c>
      <c r="R500" s="166">
        <v>1</v>
      </c>
      <c r="S500" s="168">
        <v>17410</v>
      </c>
      <c r="U500" s="154">
        <v>245.13300000000001</v>
      </c>
      <c r="V500" s="165">
        <v>5.1999999999999997E-5</v>
      </c>
      <c r="W500" s="165">
        <v>1.55677789760293E-2</v>
      </c>
      <c r="X500" s="165">
        <v>3.2293190692223601E-3</v>
      </c>
    </row>
    <row r="501" spans="1:24">
      <c r="A501" s="5">
        <v>969</v>
      </c>
      <c r="B501" s="5">
        <v>969</v>
      </c>
      <c r="C501" s="5" t="s">
        <v>781</v>
      </c>
      <c r="D501" s="5" t="s">
        <v>782</v>
      </c>
      <c r="E501" s="5" t="s">
        <v>134</v>
      </c>
      <c r="F501" s="5" t="s">
        <v>783</v>
      </c>
      <c r="G501" s="5" t="s">
        <v>784</v>
      </c>
      <c r="H501" s="5" t="s">
        <v>137</v>
      </c>
      <c r="I501" s="5" t="s">
        <v>703</v>
      </c>
      <c r="J501" s="5" t="s">
        <v>30</v>
      </c>
      <c r="K501" s="5" t="s">
        <v>30</v>
      </c>
      <c r="L501" s="3" t="s">
        <v>139</v>
      </c>
      <c r="M501" s="3" t="s">
        <v>31</v>
      </c>
      <c r="N501" s="5" t="s">
        <v>465</v>
      </c>
      <c r="O501" s="5" t="s">
        <v>141</v>
      </c>
      <c r="P501" s="5" t="s">
        <v>34</v>
      </c>
      <c r="Q501" s="154">
        <v>19550</v>
      </c>
      <c r="R501" s="166">
        <v>1</v>
      </c>
      <c r="S501" s="168">
        <v>745.1</v>
      </c>
      <c r="U501" s="154">
        <v>145.667</v>
      </c>
      <c r="V501" s="165">
        <v>2.13E-4</v>
      </c>
      <c r="W501" s="165">
        <v>9.2509547416347801E-3</v>
      </c>
      <c r="X501" s="165">
        <v>1.91898180220014E-3</v>
      </c>
    </row>
    <row r="502" spans="1:24">
      <c r="A502" s="5">
        <v>969</v>
      </c>
      <c r="B502" s="5">
        <v>969</v>
      </c>
      <c r="C502" s="5" t="s">
        <v>785</v>
      </c>
      <c r="D502" s="5" t="s">
        <v>786</v>
      </c>
      <c r="E502" s="5" t="s">
        <v>134</v>
      </c>
      <c r="F502" s="5" t="s">
        <v>787</v>
      </c>
      <c r="G502" s="5" t="s">
        <v>788</v>
      </c>
      <c r="H502" s="5" t="s">
        <v>137</v>
      </c>
      <c r="I502" s="5" t="s">
        <v>703</v>
      </c>
      <c r="J502" s="5" t="s">
        <v>30</v>
      </c>
      <c r="K502" s="5" t="s">
        <v>30</v>
      </c>
      <c r="L502" s="3" t="s">
        <v>139</v>
      </c>
      <c r="M502" s="3" t="s">
        <v>31</v>
      </c>
      <c r="N502" s="5" t="s">
        <v>170</v>
      </c>
      <c r="O502" s="5" t="s">
        <v>141</v>
      </c>
      <c r="P502" s="5" t="s">
        <v>34</v>
      </c>
      <c r="Q502" s="154">
        <v>2577</v>
      </c>
      <c r="R502" s="166">
        <v>1</v>
      </c>
      <c r="S502" s="168">
        <v>12400</v>
      </c>
      <c r="U502" s="154">
        <v>319.548</v>
      </c>
      <c r="V502" s="165">
        <v>1.0000000000000001E-5</v>
      </c>
      <c r="W502" s="165">
        <v>2.02937046214632E-2</v>
      </c>
      <c r="X502" s="165">
        <v>4.2096465668073303E-3</v>
      </c>
    </row>
    <row r="503" spans="1:24">
      <c r="A503" s="5">
        <v>969</v>
      </c>
      <c r="B503" s="5">
        <v>969</v>
      </c>
      <c r="C503" s="5" t="s">
        <v>789</v>
      </c>
      <c r="D503" s="5" t="s">
        <v>790</v>
      </c>
      <c r="E503" s="5" t="s">
        <v>134</v>
      </c>
      <c r="F503" s="5" t="s">
        <v>791</v>
      </c>
      <c r="G503" s="5" t="s">
        <v>792</v>
      </c>
      <c r="H503" s="5" t="s">
        <v>137</v>
      </c>
      <c r="I503" s="5" t="s">
        <v>703</v>
      </c>
      <c r="J503" s="5" t="s">
        <v>30</v>
      </c>
      <c r="K503" s="5" t="s">
        <v>30</v>
      </c>
      <c r="L503" s="3" t="s">
        <v>139</v>
      </c>
      <c r="M503" s="3" t="s">
        <v>31</v>
      </c>
      <c r="N503" s="5" t="s">
        <v>140</v>
      </c>
      <c r="O503" s="5" t="s">
        <v>141</v>
      </c>
      <c r="P503" s="5" t="s">
        <v>34</v>
      </c>
      <c r="Q503" s="154">
        <v>69</v>
      </c>
      <c r="R503" s="166">
        <v>1</v>
      </c>
      <c r="S503" s="168">
        <v>103430</v>
      </c>
      <c r="U503" s="154">
        <v>71.367000000000004</v>
      </c>
      <c r="V503" s="165">
        <v>9.0000000000000002E-6</v>
      </c>
      <c r="W503" s="165">
        <v>4.5323229361741496E-3</v>
      </c>
      <c r="X503" s="165">
        <v>9.4016731019868304E-4</v>
      </c>
    </row>
    <row r="504" spans="1:24">
      <c r="A504" s="5">
        <v>969</v>
      </c>
      <c r="B504" s="5">
        <v>969</v>
      </c>
      <c r="C504" s="5" t="s">
        <v>793</v>
      </c>
      <c r="D504" s="5" t="s">
        <v>794</v>
      </c>
      <c r="E504" s="5" t="s">
        <v>134</v>
      </c>
      <c r="F504" s="5" t="s">
        <v>795</v>
      </c>
      <c r="G504" s="5" t="s">
        <v>796</v>
      </c>
      <c r="H504" s="5" t="s">
        <v>137</v>
      </c>
      <c r="I504" s="5" t="s">
        <v>703</v>
      </c>
      <c r="J504" s="5" t="s">
        <v>30</v>
      </c>
      <c r="K504" s="5" t="s">
        <v>797</v>
      </c>
      <c r="L504" s="3" t="s">
        <v>139</v>
      </c>
      <c r="M504" s="3" t="s">
        <v>31</v>
      </c>
      <c r="N504" s="5" t="s">
        <v>798</v>
      </c>
      <c r="O504" s="5" t="s">
        <v>141</v>
      </c>
      <c r="P504" s="5" t="s">
        <v>34</v>
      </c>
      <c r="Q504" s="154">
        <v>1600</v>
      </c>
      <c r="R504" s="166">
        <v>1</v>
      </c>
      <c r="S504" s="168">
        <v>23540</v>
      </c>
      <c r="U504" s="154">
        <v>376.64</v>
      </c>
      <c r="V504" s="165">
        <v>1.4E-5</v>
      </c>
      <c r="W504" s="165">
        <v>2.3919476600159899E-2</v>
      </c>
      <c r="X504" s="165">
        <v>4.9617624986615901E-3</v>
      </c>
    </row>
    <row r="505" spans="1:24">
      <c r="A505" s="5">
        <v>969</v>
      </c>
      <c r="B505" s="5">
        <v>969</v>
      </c>
      <c r="C505" s="5" t="s">
        <v>568</v>
      </c>
      <c r="D505" s="5" t="s">
        <v>569</v>
      </c>
      <c r="E505" s="5" t="s">
        <v>134</v>
      </c>
      <c r="F505" s="5" t="s">
        <v>799</v>
      </c>
      <c r="G505" s="5" t="s">
        <v>800</v>
      </c>
      <c r="H505" s="5" t="s">
        <v>137</v>
      </c>
      <c r="I505" s="5" t="s">
        <v>703</v>
      </c>
      <c r="J505" s="5" t="s">
        <v>30</v>
      </c>
      <c r="K505" s="5" t="s">
        <v>224</v>
      </c>
      <c r="L505" s="3" t="s">
        <v>139</v>
      </c>
      <c r="M505" s="3" t="s">
        <v>31</v>
      </c>
      <c r="N505" s="5" t="s">
        <v>573</v>
      </c>
      <c r="O505" s="5" t="s">
        <v>141</v>
      </c>
      <c r="P505" s="5" t="s">
        <v>34</v>
      </c>
      <c r="Q505" s="154">
        <v>7993</v>
      </c>
      <c r="R505" s="166">
        <v>1</v>
      </c>
      <c r="S505" s="168">
        <v>6440</v>
      </c>
      <c r="U505" s="154">
        <v>514.74900000000002</v>
      </c>
      <c r="V505" s="165">
        <v>6.0000000000000002E-6</v>
      </c>
      <c r="W505" s="165">
        <v>3.2690450946131697E-2</v>
      </c>
      <c r="X505" s="165">
        <v>6.78117904836463E-3</v>
      </c>
    </row>
    <row r="506" spans="1:24">
      <c r="A506" s="5">
        <v>969</v>
      </c>
      <c r="B506" s="5">
        <v>969</v>
      </c>
      <c r="C506" s="5" t="s">
        <v>805</v>
      </c>
      <c r="D506" s="5" t="s">
        <v>806</v>
      </c>
      <c r="E506" s="5" t="s">
        <v>134</v>
      </c>
      <c r="F506" s="5" t="s">
        <v>807</v>
      </c>
      <c r="G506" s="5" t="s">
        <v>808</v>
      </c>
      <c r="H506" s="5" t="s">
        <v>137</v>
      </c>
      <c r="I506" s="5" t="s">
        <v>703</v>
      </c>
      <c r="J506" s="5" t="s">
        <v>30</v>
      </c>
      <c r="K506" s="5" t="s">
        <v>30</v>
      </c>
      <c r="L506" s="3" t="s">
        <v>139</v>
      </c>
      <c r="M506" s="3" t="s">
        <v>31</v>
      </c>
      <c r="N506" s="5" t="s">
        <v>555</v>
      </c>
      <c r="O506" s="5" t="s">
        <v>141</v>
      </c>
      <c r="P506" s="5" t="s">
        <v>34</v>
      </c>
      <c r="Q506" s="154">
        <v>1000</v>
      </c>
      <c r="R506" s="166">
        <v>1</v>
      </c>
      <c r="S506" s="168">
        <v>2875</v>
      </c>
      <c r="U506" s="154">
        <v>28.75</v>
      </c>
      <c r="V506" s="165">
        <v>7.9999999999999996E-6</v>
      </c>
      <c r="W506" s="165">
        <v>1.82584152573969E-3</v>
      </c>
      <c r="X506" s="165">
        <v>3.7874541163052398E-4</v>
      </c>
    </row>
    <row r="507" spans="1:24">
      <c r="A507" s="5">
        <v>969</v>
      </c>
      <c r="B507" s="5">
        <v>969</v>
      </c>
      <c r="C507" s="5" t="s">
        <v>809</v>
      </c>
      <c r="D507" s="5" t="s">
        <v>810</v>
      </c>
      <c r="E507" s="5" t="s">
        <v>134</v>
      </c>
      <c r="F507" s="5" t="s">
        <v>811</v>
      </c>
      <c r="G507" s="5" t="s">
        <v>812</v>
      </c>
      <c r="H507" s="5" t="s">
        <v>137</v>
      </c>
      <c r="I507" s="5" t="s">
        <v>703</v>
      </c>
      <c r="J507" s="5" t="s">
        <v>30</v>
      </c>
      <c r="K507" s="5" t="s">
        <v>30</v>
      </c>
      <c r="L507" s="3" t="s">
        <v>139</v>
      </c>
      <c r="M507" s="3" t="s">
        <v>31</v>
      </c>
      <c r="N507" s="5" t="s">
        <v>378</v>
      </c>
      <c r="O507" s="5" t="s">
        <v>141</v>
      </c>
      <c r="P507" s="5" t="s">
        <v>34</v>
      </c>
      <c r="Q507" s="154">
        <v>17349</v>
      </c>
      <c r="R507" s="166">
        <v>1</v>
      </c>
      <c r="S507" s="168">
        <v>1338</v>
      </c>
      <c r="U507" s="154">
        <v>232.13</v>
      </c>
      <c r="V507" s="165">
        <v>5.3000000000000001E-5</v>
      </c>
      <c r="W507" s="165">
        <v>1.47419791147887E-2</v>
      </c>
      <c r="X507" s="165">
        <v>3.05801838186216E-3</v>
      </c>
    </row>
    <row r="508" spans="1:24">
      <c r="A508" s="5">
        <v>969</v>
      </c>
      <c r="B508" s="5">
        <v>969</v>
      </c>
      <c r="C508" s="5" t="s">
        <v>595</v>
      </c>
      <c r="D508" s="5" t="s">
        <v>596</v>
      </c>
      <c r="E508" s="5" t="s">
        <v>134</v>
      </c>
      <c r="F508" s="5" t="s">
        <v>813</v>
      </c>
      <c r="G508" s="5" t="s">
        <v>814</v>
      </c>
      <c r="H508" s="5" t="s">
        <v>137</v>
      </c>
      <c r="I508" s="5" t="s">
        <v>703</v>
      </c>
      <c r="J508" s="5" t="s">
        <v>30</v>
      </c>
      <c r="K508" s="5" t="s">
        <v>30</v>
      </c>
      <c r="L508" s="3" t="s">
        <v>139</v>
      </c>
      <c r="M508" s="3" t="s">
        <v>31</v>
      </c>
      <c r="N508" s="5" t="s">
        <v>170</v>
      </c>
      <c r="O508" s="5" t="s">
        <v>141</v>
      </c>
      <c r="P508" s="5" t="s">
        <v>34</v>
      </c>
      <c r="Q508" s="154">
        <v>2529</v>
      </c>
      <c r="R508" s="166">
        <v>1</v>
      </c>
      <c r="S508" s="168">
        <v>16970</v>
      </c>
      <c r="U508" s="154">
        <v>429.17099999999999</v>
      </c>
      <c r="V508" s="165">
        <v>3.1999999999999999E-5</v>
      </c>
      <c r="W508" s="165">
        <v>2.72556097807195E-2</v>
      </c>
      <c r="X508" s="165">
        <v>5.6537968931654704E-3</v>
      </c>
    </row>
    <row r="509" spans="1:24">
      <c r="A509" s="5">
        <v>969</v>
      </c>
      <c r="B509" s="5">
        <v>969</v>
      </c>
      <c r="C509" s="5" t="s">
        <v>380</v>
      </c>
      <c r="D509" s="5" t="s">
        <v>381</v>
      </c>
      <c r="E509" s="5" t="s">
        <v>134</v>
      </c>
      <c r="F509" s="5" t="s">
        <v>815</v>
      </c>
      <c r="G509" s="5" t="s">
        <v>816</v>
      </c>
      <c r="H509" s="5" t="s">
        <v>137</v>
      </c>
      <c r="I509" s="5" t="s">
        <v>703</v>
      </c>
      <c r="J509" s="5" t="s">
        <v>30</v>
      </c>
      <c r="K509" s="5" t="s">
        <v>30</v>
      </c>
      <c r="L509" s="3" t="s">
        <v>139</v>
      </c>
      <c r="M509" s="3" t="s">
        <v>31</v>
      </c>
      <c r="N509" s="5" t="s">
        <v>285</v>
      </c>
      <c r="O509" s="5" t="s">
        <v>141</v>
      </c>
      <c r="P509" s="5" t="s">
        <v>34</v>
      </c>
      <c r="Q509" s="154">
        <v>14198</v>
      </c>
      <c r="R509" s="166">
        <v>1</v>
      </c>
      <c r="S509" s="168">
        <v>6529</v>
      </c>
      <c r="U509" s="154">
        <v>926.98699999999997</v>
      </c>
      <c r="V509" s="165">
        <v>9.0000000000000002E-6</v>
      </c>
      <c r="W509" s="165">
        <v>5.8870682618236497E-2</v>
      </c>
      <c r="X509" s="165">
        <v>1.2211903720494501E-2</v>
      </c>
    </row>
    <row r="510" spans="1:24">
      <c r="A510" s="5">
        <v>969</v>
      </c>
      <c r="B510" s="5">
        <v>969</v>
      </c>
      <c r="C510" s="5" t="s">
        <v>398</v>
      </c>
      <c r="D510" s="5" t="s">
        <v>399</v>
      </c>
      <c r="E510" s="5" t="s">
        <v>134</v>
      </c>
      <c r="F510" s="5" t="s">
        <v>817</v>
      </c>
      <c r="G510" s="5" t="s">
        <v>818</v>
      </c>
      <c r="H510" s="5" t="s">
        <v>137</v>
      </c>
      <c r="I510" s="5" t="s">
        <v>703</v>
      </c>
      <c r="J510" s="5" t="s">
        <v>30</v>
      </c>
      <c r="K510" s="5" t="s">
        <v>30</v>
      </c>
      <c r="L510" s="3" t="s">
        <v>139</v>
      </c>
      <c r="M510" s="3" t="s">
        <v>31</v>
      </c>
      <c r="N510" s="5" t="s">
        <v>186</v>
      </c>
      <c r="O510" s="5" t="s">
        <v>141</v>
      </c>
      <c r="P510" s="5" t="s">
        <v>34</v>
      </c>
      <c r="Q510" s="154">
        <v>15680</v>
      </c>
      <c r="R510" s="166">
        <v>1</v>
      </c>
      <c r="S510" s="168">
        <v>1292</v>
      </c>
      <c r="U510" s="154">
        <v>202.58600000000001</v>
      </c>
      <c r="V510" s="165">
        <v>2.1999999999999999E-5</v>
      </c>
      <c r="W510" s="165">
        <v>1.28657113390223E-2</v>
      </c>
      <c r="X510" s="165">
        <v>2.6688127465188398E-3</v>
      </c>
    </row>
    <row r="511" spans="1:24">
      <c r="A511" s="5">
        <v>969</v>
      </c>
      <c r="B511" s="5">
        <v>969</v>
      </c>
      <c r="C511" s="5" t="s">
        <v>409</v>
      </c>
      <c r="D511" s="5" t="s">
        <v>410</v>
      </c>
      <c r="E511" s="5" t="s">
        <v>134</v>
      </c>
      <c r="F511" s="5" t="s">
        <v>819</v>
      </c>
      <c r="G511" s="5" t="s">
        <v>820</v>
      </c>
      <c r="H511" s="5" t="s">
        <v>137</v>
      </c>
      <c r="I511" s="5" t="s">
        <v>703</v>
      </c>
      <c r="J511" s="5" t="s">
        <v>30</v>
      </c>
      <c r="K511" s="5" t="s">
        <v>30</v>
      </c>
      <c r="L511" s="3" t="s">
        <v>139</v>
      </c>
      <c r="M511" s="3" t="s">
        <v>31</v>
      </c>
      <c r="N511" s="5" t="s">
        <v>186</v>
      </c>
      <c r="O511" s="5" t="s">
        <v>141</v>
      </c>
      <c r="P511" s="5" t="s">
        <v>34</v>
      </c>
      <c r="Q511" s="154">
        <v>4662</v>
      </c>
      <c r="R511" s="166">
        <v>1</v>
      </c>
      <c r="S511" s="168">
        <v>1357</v>
      </c>
      <c r="U511" s="154">
        <v>63.262999999999998</v>
      </c>
      <c r="V511" s="165">
        <v>3.1000000000000001E-5</v>
      </c>
      <c r="W511" s="165">
        <v>4.0176985470952598E-3</v>
      </c>
      <c r="X511" s="165">
        <v>8.3341564345815005E-4</v>
      </c>
    </row>
    <row r="512" spans="1:24">
      <c r="A512" s="5">
        <v>969</v>
      </c>
      <c r="B512" s="5">
        <v>969</v>
      </c>
      <c r="C512" s="5" t="s">
        <v>825</v>
      </c>
      <c r="D512" s="5" t="s">
        <v>826</v>
      </c>
      <c r="E512" s="5" t="s">
        <v>134</v>
      </c>
      <c r="F512" s="5" t="s">
        <v>827</v>
      </c>
      <c r="G512" s="5" t="s">
        <v>828</v>
      </c>
      <c r="H512" s="5" t="s">
        <v>137</v>
      </c>
      <c r="I512" s="5" t="s">
        <v>703</v>
      </c>
      <c r="J512" s="5" t="s">
        <v>30</v>
      </c>
      <c r="K512" s="5" t="s">
        <v>30</v>
      </c>
      <c r="L512" s="3" t="s">
        <v>139</v>
      </c>
      <c r="M512" s="3" t="s">
        <v>31</v>
      </c>
      <c r="N512" s="5" t="s">
        <v>829</v>
      </c>
      <c r="O512" s="5" t="s">
        <v>141</v>
      </c>
      <c r="P512" s="5" t="s">
        <v>34</v>
      </c>
      <c r="Q512" s="154">
        <v>645</v>
      </c>
      <c r="R512" s="166">
        <v>1</v>
      </c>
      <c r="S512" s="168">
        <v>11650</v>
      </c>
      <c r="T512" s="153">
        <v>0.54800000000000004</v>
      </c>
      <c r="U512" s="154">
        <v>75.691000000000003</v>
      </c>
      <c r="V512" s="165">
        <v>1.0000000000000001E-5</v>
      </c>
      <c r="W512" s="165">
        <v>4.8069326770219696E-3</v>
      </c>
      <c r="X512" s="165">
        <v>9.9713127879558607E-4</v>
      </c>
    </row>
    <row r="513" spans="1:24">
      <c r="A513" s="5">
        <v>969</v>
      </c>
      <c r="B513" s="5">
        <v>969</v>
      </c>
      <c r="C513" s="5" t="s">
        <v>429</v>
      </c>
      <c r="D513" s="5" t="s">
        <v>430</v>
      </c>
      <c r="E513" s="5" t="s">
        <v>134</v>
      </c>
      <c r="F513" s="5" t="s">
        <v>830</v>
      </c>
      <c r="G513" s="5" t="s">
        <v>831</v>
      </c>
      <c r="H513" s="5" t="s">
        <v>137</v>
      </c>
      <c r="I513" s="5" t="s">
        <v>703</v>
      </c>
      <c r="J513" s="5" t="s">
        <v>30</v>
      </c>
      <c r="K513" s="5" t="s">
        <v>30</v>
      </c>
      <c r="L513" s="3" t="s">
        <v>139</v>
      </c>
      <c r="M513" s="3" t="s">
        <v>31</v>
      </c>
      <c r="N513" s="5" t="s">
        <v>186</v>
      </c>
      <c r="O513" s="5" t="s">
        <v>141</v>
      </c>
      <c r="P513" s="5" t="s">
        <v>34</v>
      </c>
      <c r="Q513" s="154">
        <v>404.25</v>
      </c>
      <c r="R513" s="166">
        <v>1</v>
      </c>
      <c r="S513" s="168">
        <v>40000</v>
      </c>
      <c r="U513" s="154">
        <v>161.69999999999999</v>
      </c>
      <c r="V513" s="165">
        <v>7.9999999999999996E-6</v>
      </c>
      <c r="W513" s="165">
        <v>1.02691678160733E-2</v>
      </c>
      <c r="X513" s="165">
        <v>2.1301959325445499E-3</v>
      </c>
    </row>
    <row r="514" spans="1:24">
      <c r="A514" s="5">
        <v>969</v>
      </c>
      <c r="B514" s="5">
        <v>969</v>
      </c>
      <c r="C514" s="5" t="s">
        <v>832</v>
      </c>
      <c r="D514" s="5" t="s">
        <v>833</v>
      </c>
      <c r="E514" s="5" t="s">
        <v>134</v>
      </c>
      <c r="F514" s="5" t="s">
        <v>834</v>
      </c>
      <c r="G514" s="5" t="s">
        <v>835</v>
      </c>
      <c r="H514" s="5" t="s">
        <v>137</v>
      </c>
      <c r="I514" s="5" t="s">
        <v>703</v>
      </c>
      <c r="J514" s="5" t="s">
        <v>30</v>
      </c>
      <c r="K514" s="5" t="s">
        <v>30</v>
      </c>
      <c r="L514" s="3" t="s">
        <v>139</v>
      </c>
      <c r="M514" s="3" t="s">
        <v>31</v>
      </c>
      <c r="N514" s="5" t="s">
        <v>170</v>
      </c>
      <c r="O514" s="5" t="s">
        <v>141</v>
      </c>
      <c r="P514" s="5" t="s">
        <v>34</v>
      </c>
      <c r="Q514" s="154">
        <v>755</v>
      </c>
      <c r="R514" s="166">
        <v>1</v>
      </c>
      <c r="S514" s="168">
        <v>32500</v>
      </c>
      <c r="U514" s="154">
        <v>245.375</v>
      </c>
      <c r="V514" s="165">
        <v>1.2E-5</v>
      </c>
      <c r="W514" s="165">
        <v>1.55831605001175E-2</v>
      </c>
      <c r="X514" s="165">
        <v>3.2325097523074799E-3</v>
      </c>
    </row>
    <row r="515" spans="1:24">
      <c r="A515" s="5">
        <v>969</v>
      </c>
      <c r="B515" s="5">
        <v>969</v>
      </c>
      <c r="C515" s="5" t="s">
        <v>836</v>
      </c>
      <c r="D515" s="5" t="s">
        <v>837</v>
      </c>
      <c r="E515" s="5" t="s">
        <v>134</v>
      </c>
      <c r="F515" s="5" t="s">
        <v>838</v>
      </c>
      <c r="G515" s="5" t="s">
        <v>839</v>
      </c>
      <c r="H515" s="5" t="s">
        <v>137</v>
      </c>
      <c r="I515" s="5" t="s">
        <v>703</v>
      </c>
      <c r="J515" s="5" t="s">
        <v>30</v>
      </c>
      <c r="K515" s="5" t="s">
        <v>30</v>
      </c>
      <c r="L515" s="3" t="s">
        <v>139</v>
      </c>
      <c r="M515" s="3" t="s">
        <v>31</v>
      </c>
      <c r="N515" s="5" t="s">
        <v>734</v>
      </c>
      <c r="O515" s="5" t="s">
        <v>141</v>
      </c>
      <c r="P515" s="5" t="s">
        <v>34</v>
      </c>
      <c r="Q515" s="154">
        <v>3279</v>
      </c>
      <c r="R515" s="166">
        <v>1</v>
      </c>
      <c r="S515" s="168">
        <v>2066</v>
      </c>
      <c r="U515" s="154">
        <v>67.744</v>
      </c>
      <c r="V515" s="165">
        <v>2.3E-5</v>
      </c>
      <c r="W515" s="165">
        <v>4.3022630934790697E-3</v>
      </c>
      <c r="X515" s="165">
        <v>8.9244459790802999E-4</v>
      </c>
    </row>
    <row r="516" spans="1:24">
      <c r="A516" s="5">
        <v>969</v>
      </c>
      <c r="B516" s="5">
        <v>969</v>
      </c>
      <c r="C516" s="5" t="s">
        <v>467</v>
      </c>
      <c r="D516" s="5" t="s">
        <v>468</v>
      </c>
      <c r="E516" s="5" t="s">
        <v>366</v>
      </c>
      <c r="F516" s="5" t="s">
        <v>840</v>
      </c>
      <c r="G516" s="5" t="s">
        <v>841</v>
      </c>
      <c r="H516" s="5" t="s">
        <v>137</v>
      </c>
      <c r="I516" s="5" t="s">
        <v>703</v>
      </c>
      <c r="J516" s="5" t="s">
        <v>30</v>
      </c>
      <c r="K516" s="5" t="s">
        <v>224</v>
      </c>
      <c r="L516" s="3" t="s">
        <v>139</v>
      </c>
      <c r="M516" s="3" t="s">
        <v>31</v>
      </c>
      <c r="N516" s="5" t="s">
        <v>369</v>
      </c>
      <c r="O516" s="5" t="s">
        <v>141</v>
      </c>
      <c r="P516" s="5" t="s">
        <v>34</v>
      </c>
      <c r="Q516" s="154">
        <v>200</v>
      </c>
      <c r="R516" s="166">
        <v>1</v>
      </c>
      <c r="S516" s="168">
        <v>11190</v>
      </c>
      <c r="U516" s="154">
        <v>22.38</v>
      </c>
      <c r="V516" s="165">
        <v>1.9999999999999999E-6</v>
      </c>
      <c r="W516" s="165">
        <v>1.4212985511671101E-3</v>
      </c>
      <c r="X516" s="165">
        <v>2.94828602166648E-4</v>
      </c>
    </row>
    <row r="517" spans="1:24">
      <c r="A517" s="5">
        <v>969</v>
      </c>
      <c r="B517" s="5">
        <v>969</v>
      </c>
      <c r="C517" s="5" t="s">
        <v>842</v>
      </c>
      <c r="D517" s="5" t="s">
        <v>843</v>
      </c>
      <c r="E517" s="5" t="s">
        <v>366</v>
      </c>
      <c r="F517" s="5" t="s">
        <v>844</v>
      </c>
      <c r="G517" s="5" t="s">
        <v>845</v>
      </c>
      <c r="H517" s="5" t="s">
        <v>137</v>
      </c>
      <c r="I517" s="5" t="s">
        <v>703</v>
      </c>
      <c r="J517" s="5" t="s">
        <v>30</v>
      </c>
      <c r="K517" s="5" t="s">
        <v>30</v>
      </c>
      <c r="L517" s="3" t="s">
        <v>139</v>
      </c>
      <c r="M517" s="3" t="s">
        <v>31</v>
      </c>
      <c r="N517" s="5" t="s">
        <v>369</v>
      </c>
      <c r="O517" s="5" t="s">
        <v>141</v>
      </c>
      <c r="P517" s="5" t="s">
        <v>34</v>
      </c>
      <c r="Q517" s="154">
        <v>10420.06</v>
      </c>
      <c r="R517" s="166">
        <v>1</v>
      </c>
      <c r="S517" s="168">
        <v>1744</v>
      </c>
      <c r="U517" s="154">
        <v>181.726</v>
      </c>
      <c r="V517" s="165">
        <v>9.0000000000000002E-6</v>
      </c>
      <c r="W517" s="165">
        <v>1.1540959883732599E-2</v>
      </c>
      <c r="X517" s="165">
        <v>2.3940114956060299E-3</v>
      </c>
    </row>
    <row r="518" spans="1:24">
      <c r="A518" s="5">
        <v>969</v>
      </c>
      <c r="B518" s="5">
        <v>969</v>
      </c>
      <c r="C518" s="5" t="s">
        <v>846</v>
      </c>
      <c r="D518" s="5" t="s">
        <v>847</v>
      </c>
      <c r="E518" s="5" t="s">
        <v>134</v>
      </c>
      <c r="F518" s="5" t="s">
        <v>848</v>
      </c>
      <c r="G518" s="5" t="s">
        <v>849</v>
      </c>
      <c r="H518" s="5" t="s">
        <v>137</v>
      </c>
      <c r="I518" s="5" t="s">
        <v>703</v>
      </c>
      <c r="J518" s="5" t="s">
        <v>30</v>
      </c>
      <c r="K518" s="5" t="s">
        <v>224</v>
      </c>
      <c r="L518" s="3" t="s">
        <v>139</v>
      </c>
      <c r="M518" s="3" t="s">
        <v>31</v>
      </c>
      <c r="N518" s="5" t="s">
        <v>480</v>
      </c>
      <c r="O518" s="5" t="s">
        <v>141</v>
      </c>
      <c r="P518" s="5" t="s">
        <v>34</v>
      </c>
      <c r="Q518" s="154">
        <v>400</v>
      </c>
      <c r="R518" s="166">
        <v>1</v>
      </c>
      <c r="S518" s="168">
        <v>48800</v>
      </c>
      <c r="U518" s="154">
        <v>195.2</v>
      </c>
      <c r="V518" s="165">
        <v>5.0000000000000004E-6</v>
      </c>
      <c r="W518" s="165">
        <v>1.2396670115630899E-2</v>
      </c>
      <c r="X518" s="165">
        <v>2.5715166730531599E-3</v>
      </c>
    </row>
    <row r="519" spans="1:24">
      <c r="A519" s="5">
        <v>969</v>
      </c>
      <c r="B519" s="5">
        <v>969</v>
      </c>
      <c r="C519" s="5" t="s">
        <v>1052</v>
      </c>
      <c r="D519" s="5" t="s">
        <v>1053</v>
      </c>
      <c r="E519" s="5" t="s">
        <v>134</v>
      </c>
      <c r="F519" s="5" t="s">
        <v>1054</v>
      </c>
      <c r="G519" s="5" t="s">
        <v>1055</v>
      </c>
      <c r="H519" s="5" t="s">
        <v>137</v>
      </c>
      <c r="I519" s="5" t="s">
        <v>703</v>
      </c>
      <c r="J519" s="5" t="s">
        <v>30</v>
      </c>
      <c r="K519" s="5" t="s">
        <v>797</v>
      </c>
      <c r="L519" s="3" t="s">
        <v>139</v>
      </c>
      <c r="M519" s="3" t="s">
        <v>31</v>
      </c>
      <c r="N519" s="5" t="s">
        <v>208</v>
      </c>
      <c r="O519" s="5" t="s">
        <v>141</v>
      </c>
      <c r="P519" s="5" t="s">
        <v>34</v>
      </c>
      <c r="Q519" s="154">
        <v>797</v>
      </c>
      <c r="R519" s="166">
        <v>1</v>
      </c>
      <c r="S519" s="168">
        <v>6396</v>
      </c>
      <c r="U519" s="154">
        <v>50.975999999999999</v>
      </c>
      <c r="V519" s="165">
        <v>1.1E-5</v>
      </c>
      <c r="W519" s="165">
        <v>3.2373675379857199E-3</v>
      </c>
      <c r="X519" s="165">
        <v>6.7154683661659097E-4</v>
      </c>
    </row>
    <row r="520" spans="1:24">
      <c r="A520" s="5">
        <v>969</v>
      </c>
      <c r="B520" s="5">
        <v>969</v>
      </c>
      <c r="C520" s="5" t="s">
        <v>506</v>
      </c>
      <c r="D520" s="5" t="s">
        <v>507</v>
      </c>
      <c r="E520" s="5" t="s">
        <v>134</v>
      </c>
      <c r="F520" s="5" t="s">
        <v>850</v>
      </c>
      <c r="G520" s="5" t="s">
        <v>851</v>
      </c>
      <c r="H520" s="5" t="s">
        <v>137</v>
      </c>
      <c r="I520" s="5" t="s">
        <v>703</v>
      </c>
      <c r="J520" s="5" t="s">
        <v>30</v>
      </c>
      <c r="K520" s="5" t="s">
        <v>30</v>
      </c>
      <c r="L520" s="3" t="s">
        <v>139</v>
      </c>
      <c r="M520" s="3" t="s">
        <v>31</v>
      </c>
      <c r="N520" s="5" t="s">
        <v>186</v>
      </c>
      <c r="O520" s="5" t="s">
        <v>141</v>
      </c>
      <c r="P520" s="5" t="s">
        <v>34</v>
      </c>
      <c r="Q520" s="154">
        <v>924</v>
      </c>
      <c r="R520" s="166">
        <v>1</v>
      </c>
      <c r="S520" s="168">
        <v>32870</v>
      </c>
      <c r="U520" s="154">
        <v>303.71899999999999</v>
      </c>
      <c r="V520" s="165">
        <v>7.9999999999999996E-6</v>
      </c>
      <c r="W520" s="165">
        <v>1.9288431206533199E-2</v>
      </c>
      <c r="X520" s="165">
        <v>4.0011165887279604E-3</v>
      </c>
    </row>
    <row r="521" spans="1:24">
      <c r="A521" s="5">
        <v>969</v>
      </c>
      <c r="B521" s="5">
        <v>969</v>
      </c>
      <c r="C521" s="5" t="s">
        <v>522</v>
      </c>
      <c r="D521" s="5" t="s">
        <v>523</v>
      </c>
      <c r="E521" s="5" t="s">
        <v>134</v>
      </c>
      <c r="F521" s="5" t="s">
        <v>852</v>
      </c>
      <c r="G521" s="5" t="s">
        <v>853</v>
      </c>
      <c r="H521" s="5" t="s">
        <v>137</v>
      </c>
      <c r="I521" s="5" t="s">
        <v>703</v>
      </c>
      <c r="J521" s="5" t="s">
        <v>30</v>
      </c>
      <c r="K521" s="5" t="s">
        <v>30</v>
      </c>
      <c r="L521" s="3" t="s">
        <v>139</v>
      </c>
      <c r="M521" s="3" t="s">
        <v>31</v>
      </c>
      <c r="N521" s="5" t="s">
        <v>285</v>
      </c>
      <c r="O521" s="5" t="s">
        <v>141</v>
      </c>
      <c r="P521" s="5" t="s">
        <v>34</v>
      </c>
      <c r="Q521" s="154">
        <v>10252</v>
      </c>
      <c r="R521" s="166">
        <v>1</v>
      </c>
      <c r="S521" s="168">
        <v>6732</v>
      </c>
      <c r="U521" s="154">
        <v>690.16499999999996</v>
      </c>
      <c r="V521" s="165">
        <v>7.9999999999999996E-6</v>
      </c>
      <c r="W521" s="165">
        <v>4.3830652497710801E-2</v>
      </c>
      <c r="X521" s="165">
        <v>9.0920588059002598E-3</v>
      </c>
    </row>
    <row r="522" spans="1:24">
      <c r="A522" s="5">
        <v>969</v>
      </c>
      <c r="B522" s="5">
        <v>969</v>
      </c>
      <c r="C522" s="5" t="s">
        <v>644</v>
      </c>
      <c r="D522" s="5" t="s">
        <v>645</v>
      </c>
      <c r="E522" s="5" t="s">
        <v>134</v>
      </c>
      <c r="F522" s="5" t="s">
        <v>854</v>
      </c>
      <c r="G522" s="5" t="s">
        <v>855</v>
      </c>
      <c r="H522" s="5" t="s">
        <v>137</v>
      </c>
      <c r="I522" s="5" t="s">
        <v>703</v>
      </c>
      <c r="J522" s="5" t="s">
        <v>30</v>
      </c>
      <c r="K522" s="5" t="s">
        <v>30</v>
      </c>
      <c r="L522" s="3" t="s">
        <v>139</v>
      </c>
      <c r="M522" s="3" t="s">
        <v>31</v>
      </c>
      <c r="N522" s="5" t="s">
        <v>612</v>
      </c>
      <c r="O522" s="5" t="s">
        <v>141</v>
      </c>
      <c r="P522" s="5" t="s">
        <v>34</v>
      </c>
      <c r="Q522" s="154">
        <v>5042</v>
      </c>
      <c r="R522" s="166">
        <v>1</v>
      </c>
      <c r="S522" s="168">
        <v>3170</v>
      </c>
      <c r="U522" s="154">
        <v>159.83099999999999</v>
      </c>
      <c r="V522" s="165">
        <v>2.5999999999999998E-5</v>
      </c>
      <c r="W522" s="165">
        <v>1.01504976430299E-2</v>
      </c>
      <c r="X522" s="165">
        <v>2.1055794568515798E-3</v>
      </c>
    </row>
    <row r="523" spans="1:24">
      <c r="A523" s="5">
        <v>969</v>
      </c>
      <c r="B523" s="5">
        <v>969</v>
      </c>
      <c r="C523" s="5" t="s">
        <v>540</v>
      </c>
      <c r="D523" s="5" t="s">
        <v>541</v>
      </c>
      <c r="E523" s="5" t="s">
        <v>134</v>
      </c>
      <c r="F523" s="5" t="s">
        <v>856</v>
      </c>
      <c r="G523" s="5" t="s">
        <v>857</v>
      </c>
      <c r="H523" s="5" t="s">
        <v>137</v>
      </c>
      <c r="I523" s="5" t="s">
        <v>703</v>
      </c>
      <c r="J523" s="5" t="s">
        <v>30</v>
      </c>
      <c r="K523" s="5" t="s">
        <v>30</v>
      </c>
      <c r="L523" s="3" t="s">
        <v>139</v>
      </c>
      <c r="M523" s="3" t="s">
        <v>31</v>
      </c>
      <c r="N523" s="5" t="s">
        <v>544</v>
      </c>
      <c r="O523" s="5" t="s">
        <v>141</v>
      </c>
      <c r="P523" s="5" t="s">
        <v>34</v>
      </c>
      <c r="Q523" s="154">
        <v>120</v>
      </c>
      <c r="R523" s="166">
        <v>1</v>
      </c>
      <c r="S523" s="168">
        <v>55350</v>
      </c>
      <c r="U523" s="154">
        <v>66.42</v>
      </c>
      <c r="V523" s="165">
        <v>6.9999999999999999E-6</v>
      </c>
      <c r="W523" s="165">
        <v>4.2181702309436603E-3</v>
      </c>
      <c r="X523" s="165">
        <v>8.75000704017371E-4</v>
      </c>
    </row>
    <row r="524" spans="1:24">
      <c r="A524" s="5">
        <v>969</v>
      </c>
      <c r="B524" s="5">
        <v>969</v>
      </c>
      <c r="C524" s="5" t="s">
        <v>858</v>
      </c>
      <c r="D524" s="5" t="s">
        <v>859</v>
      </c>
      <c r="E524" s="5" t="s">
        <v>134</v>
      </c>
      <c r="F524" s="5" t="s">
        <v>860</v>
      </c>
      <c r="G524" s="5" t="s">
        <v>861</v>
      </c>
      <c r="H524" s="5" t="s">
        <v>137</v>
      </c>
      <c r="I524" s="5" t="s">
        <v>703</v>
      </c>
      <c r="J524" s="5" t="s">
        <v>30</v>
      </c>
      <c r="K524" s="5" t="s">
        <v>30</v>
      </c>
      <c r="L524" s="3" t="s">
        <v>139</v>
      </c>
      <c r="M524" s="3" t="s">
        <v>31</v>
      </c>
      <c r="N524" s="5" t="s">
        <v>718</v>
      </c>
      <c r="O524" s="5" t="s">
        <v>141</v>
      </c>
      <c r="P524" s="5" t="s">
        <v>34</v>
      </c>
      <c r="Q524" s="154">
        <v>23684</v>
      </c>
      <c r="R524" s="166">
        <v>1</v>
      </c>
      <c r="S524" s="168">
        <v>875.3</v>
      </c>
      <c r="U524" s="154">
        <v>207.30600000000001</v>
      </c>
      <c r="V524" s="165">
        <v>8.2000000000000001E-5</v>
      </c>
      <c r="W524" s="165">
        <v>1.3165495592304399E-2</v>
      </c>
      <c r="X524" s="165">
        <v>2.7309988173300501E-3</v>
      </c>
    </row>
    <row r="525" spans="1:24">
      <c r="A525" s="5">
        <v>969</v>
      </c>
      <c r="B525" s="5">
        <v>969</v>
      </c>
      <c r="C525" s="5" t="s">
        <v>862</v>
      </c>
      <c r="D525" s="5" t="s">
        <v>863</v>
      </c>
      <c r="E525" s="5" t="s">
        <v>134</v>
      </c>
      <c r="F525" s="5" t="s">
        <v>864</v>
      </c>
      <c r="G525" s="5" t="s">
        <v>865</v>
      </c>
      <c r="H525" s="5" t="s">
        <v>137</v>
      </c>
      <c r="I525" s="5" t="s">
        <v>703</v>
      </c>
      <c r="J525" s="5" t="s">
        <v>30</v>
      </c>
      <c r="K525" s="5" t="s">
        <v>30</v>
      </c>
      <c r="L525" s="3" t="s">
        <v>139</v>
      </c>
      <c r="M525" s="3" t="s">
        <v>31</v>
      </c>
      <c r="N525" s="5" t="s">
        <v>186</v>
      </c>
      <c r="O525" s="5" t="s">
        <v>141</v>
      </c>
      <c r="P525" s="5" t="s">
        <v>34</v>
      </c>
      <c r="Q525" s="154">
        <v>12682.2</v>
      </c>
      <c r="R525" s="166">
        <v>1</v>
      </c>
      <c r="S525" s="168">
        <v>560.9</v>
      </c>
      <c r="U525" s="154">
        <v>71.134</v>
      </c>
      <c r="V525" s="165">
        <v>1.18E-4</v>
      </c>
      <c r="W525" s="165">
        <v>4.5175739343965501E-3</v>
      </c>
      <c r="X525" s="165">
        <v>9.3710783506316495E-4</v>
      </c>
    </row>
    <row r="526" spans="1:24">
      <c r="A526" s="5">
        <v>969</v>
      </c>
      <c r="B526" s="5">
        <v>969</v>
      </c>
      <c r="C526" s="5" t="s">
        <v>866</v>
      </c>
      <c r="D526" s="5" t="s">
        <v>867</v>
      </c>
      <c r="E526" s="5" t="s">
        <v>134</v>
      </c>
      <c r="F526" s="5" t="s">
        <v>868</v>
      </c>
      <c r="G526" s="5" t="s">
        <v>869</v>
      </c>
      <c r="H526" s="5" t="s">
        <v>137</v>
      </c>
      <c r="I526" s="5" t="s">
        <v>703</v>
      </c>
      <c r="J526" s="5" t="s">
        <v>30</v>
      </c>
      <c r="K526" s="5" t="s">
        <v>30</v>
      </c>
      <c r="L526" s="3" t="s">
        <v>139</v>
      </c>
      <c r="M526" s="3" t="s">
        <v>31</v>
      </c>
      <c r="N526" s="5" t="s">
        <v>734</v>
      </c>
      <c r="O526" s="5" t="s">
        <v>141</v>
      </c>
      <c r="P526" s="5" t="s">
        <v>34</v>
      </c>
      <c r="Q526" s="154">
        <v>546</v>
      </c>
      <c r="R526" s="166">
        <v>1</v>
      </c>
      <c r="S526" s="168">
        <v>30530</v>
      </c>
      <c r="U526" s="154">
        <v>166.69399999999999</v>
      </c>
      <c r="V526" s="165">
        <v>4.0000000000000003E-5</v>
      </c>
      <c r="W526" s="165">
        <v>1.05863117260295E-2</v>
      </c>
      <c r="X526" s="165">
        <v>2.1959830225132598E-3</v>
      </c>
    </row>
    <row r="527" spans="1:24">
      <c r="A527" s="5">
        <v>969</v>
      </c>
      <c r="B527" s="5">
        <v>969</v>
      </c>
      <c r="C527" s="5" t="s">
        <v>870</v>
      </c>
      <c r="D527" s="5" t="s">
        <v>871</v>
      </c>
      <c r="E527" s="5" t="s">
        <v>366</v>
      </c>
      <c r="F527" s="5" t="s">
        <v>872</v>
      </c>
      <c r="G527" s="5" t="s">
        <v>873</v>
      </c>
      <c r="H527" s="5" t="s">
        <v>137</v>
      </c>
      <c r="I527" s="5" t="s">
        <v>703</v>
      </c>
      <c r="J527" s="5" t="s">
        <v>30</v>
      </c>
      <c r="K527" s="5" t="s">
        <v>30</v>
      </c>
      <c r="L527" s="3" t="s">
        <v>139</v>
      </c>
      <c r="M527" s="3" t="s">
        <v>31</v>
      </c>
      <c r="N527" s="5" t="s">
        <v>369</v>
      </c>
      <c r="O527" s="5" t="s">
        <v>141</v>
      </c>
      <c r="P527" s="5" t="s">
        <v>34</v>
      </c>
      <c r="Q527" s="154">
        <v>14949</v>
      </c>
      <c r="R527" s="166">
        <v>1</v>
      </c>
      <c r="S527" s="168">
        <v>454.7</v>
      </c>
      <c r="U527" s="154">
        <v>67.972999999999999</v>
      </c>
      <c r="V527" s="165">
        <v>1.2999999999999999E-5</v>
      </c>
      <c r="W527" s="165">
        <v>4.3168039683750001E-3</v>
      </c>
      <c r="X527" s="165">
        <v>8.9546090001874903E-4</v>
      </c>
    </row>
    <row r="528" spans="1:24">
      <c r="A528" s="5">
        <v>969</v>
      </c>
      <c r="B528" s="5">
        <v>969</v>
      </c>
      <c r="C528" s="5" t="s">
        <v>874</v>
      </c>
      <c r="D528" s="5" t="s">
        <v>875</v>
      </c>
      <c r="E528" s="5" t="s">
        <v>134</v>
      </c>
      <c r="F528" s="5" t="s">
        <v>876</v>
      </c>
      <c r="G528" s="5" t="s">
        <v>877</v>
      </c>
      <c r="H528" s="5" t="s">
        <v>137</v>
      </c>
      <c r="I528" s="5" t="s">
        <v>703</v>
      </c>
      <c r="J528" s="5" t="s">
        <v>30</v>
      </c>
      <c r="K528" s="5" t="s">
        <v>30</v>
      </c>
      <c r="L528" s="3" t="s">
        <v>139</v>
      </c>
      <c r="M528" s="3" t="s">
        <v>31</v>
      </c>
      <c r="N528" s="5" t="s">
        <v>878</v>
      </c>
      <c r="O528" s="5" t="s">
        <v>141</v>
      </c>
      <c r="P528" s="5" t="s">
        <v>34</v>
      </c>
      <c r="Q528" s="154">
        <v>1720</v>
      </c>
      <c r="R528" s="166">
        <v>1</v>
      </c>
      <c r="S528" s="168">
        <v>9361</v>
      </c>
      <c r="U528" s="154">
        <v>161.00899999999999</v>
      </c>
      <c r="V528" s="165">
        <v>1.5E-5</v>
      </c>
      <c r="W528" s="165">
        <v>1.02252968134305E-2</v>
      </c>
      <c r="X528" s="165">
        <v>2.1210955036626601E-3</v>
      </c>
    </row>
    <row r="529" spans="1:24">
      <c r="A529" s="5">
        <v>969</v>
      </c>
      <c r="B529" s="5">
        <v>969</v>
      </c>
      <c r="C529" s="5" t="s">
        <v>879</v>
      </c>
      <c r="D529" s="5" t="s">
        <v>880</v>
      </c>
      <c r="E529" s="5" t="s">
        <v>134</v>
      </c>
      <c r="F529" s="5" t="s">
        <v>881</v>
      </c>
      <c r="G529" s="5" t="s">
        <v>882</v>
      </c>
      <c r="H529" s="5" t="s">
        <v>137</v>
      </c>
      <c r="I529" s="5" t="s">
        <v>703</v>
      </c>
      <c r="J529" s="5" t="s">
        <v>30</v>
      </c>
      <c r="K529" s="5" t="s">
        <v>30</v>
      </c>
      <c r="L529" s="3" t="s">
        <v>139</v>
      </c>
      <c r="M529" s="3" t="s">
        <v>31</v>
      </c>
      <c r="N529" s="5" t="s">
        <v>718</v>
      </c>
      <c r="O529" s="5" t="s">
        <v>141</v>
      </c>
      <c r="P529" s="5" t="s">
        <v>34</v>
      </c>
      <c r="Q529" s="154">
        <v>5295</v>
      </c>
      <c r="R529" s="166">
        <v>1</v>
      </c>
      <c r="S529" s="168">
        <v>2708</v>
      </c>
      <c r="U529" s="154">
        <v>143.38900000000001</v>
      </c>
      <c r="V529" s="165">
        <v>1.5E-5</v>
      </c>
      <c r="W529" s="165">
        <v>9.1062560068757709E-3</v>
      </c>
      <c r="X529" s="165">
        <v>1.8889660636565099E-3</v>
      </c>
    </row>
    <row r="530" spans="1:24">
      <c r="A530" s="5">
        <v>969</v>
      </c>
      <c r="B530" s="5">
        <v>969</v>
      </c>
      <c r="C530" s="5" t="s">
        <v>883</v>
      </c>
      <c r="D530" s="5" t="s">
        <v>884</v>
      </c>
      <c r="E530" s="5" t="s">
        <v>134</v>
      </c>
      <c r="F530" s="5" t="s">
        <v>885</v>
      </c>
      <c r="G530" s="5" t="s">
        <v>886</v>
      </c>
      <c r="H530" s="5" t="s">
        <v>137</v>
      </c>
      <c r="I530" s="5" t="s">
        <v>703</v>
      </c>
      <c r="J530" s="5" t="s">
        <v>30</v>
      </c>
      <c r="K530" s="5" t="s">
        <v>797</v>
      </c>
      <c r="L530" s="3" t="s">
        <v>139</v>
      </c>
      <c r="M530" s="3" t="s">
        <v>31</v>
      </c>
      <c r="N530" s="5" t="s">
        <v>887</v>
      </c>
      <c r="O530" s="5" t="s">
        <v>141</v>
      </c>
      <c r="P530" s="5" t="s">
        <v>34</v>
      </c>
      <c r="Q530" s="154">
        <v>675</v>
      </c>
      <c r="R530" s="166">
        <v>1</v>
      </c>
      <c r="S530" s="168">
        <v>13500</v>
      </c>
      <c r="U530" s="154">
        <v>91.125</v>
      </c>
      <c r="V530" s="165">
        <v>5.1E-5</v>
      </c>
      <c r="W530" s="165">
        <v>5.7871237924532002E-3</v>
      </c>
      <c r="X530" s="165">
        <v>1.20045828295066E-3</v>
      </c>
    </row>
    <row r="531" spans="1:24">
      <c r="A531" s="5">
        <v>969</v>
      </c>
      <c r="B531" s="5">
        <v>969</v>
      </c>
      <c r="C531" s="5" t="s">
        <v>619</v>
      </c>
      <c r="D531" s="5" t="s">
        <v>620</v>
      </c>
      <c r="E531" s="5" t="s">
        <v>134</v>
      </c>
      <c r="F531" s="5" t="s">
        <v>888</v>
      </c>
      <c r="G531" s="5" t="s">
        <v>889</v>
      </c>
      <c r="H531" s="5" t="s">
        <v>137</v>
      </c>
      <c r="I531" s="5" t="s">
        <v>703</v>
      </c>
      <c r="J531" s="5" t="s">
        <v>30</v>
      </c>
      <c r="K531" s="5" t="s">
        <v>30</v>
      </c>
      <c r="L531" s="3" t="s">
        <v>139</v>
      </c>
      <c r="M531" s="3" t="s">
        <v>31</v>
      </c>
      <c r="N531" s="5" t="s">
        <v>555</v>
      </c>
      <c r="O531" s="5" t="s">
        <v>141</v>
      </c>
      <c r="P531" s="5" t="s">
        <v>34</v>
      </c>
      <c r="Q531" s="154">
        <v>336</v>
      </c>
      <c r="R531" s="166">
        <v>1</v>
      </c>
      <c r="S531" s="168">
        <v>16620</v>
      </c>
      <c r="U531" s="154">
        <v>55.843000000000004</v>
      </c>
      <c r="V531" s="165">
        <v>3.8999999999999999E-5</v>
      </c>
      <c r="W531" s="165">
        <v>3.5464637735717099E-3</v>
      </c>
      <c r="X531" s="165">
        <v>7.35664548548372E-4</v>
      </c>
    </row>
    <row r="532" spans="1:24">
      <c r="A532" s="5">
        <v>969</v>
      </c>
      <c r="B532" s="5">
        <v>969</v>
      </c>
      <c r="C532" s="5" t="s">
        <v>890</v>
      </c>
      <c r="D532" s="5" t="s">
        <v>891</v>
      </c>
      <c r="E532" s="5" t="s">
        <v>651</v>
      </c>
      <c r="F532" s="5" t="s">
        <v>892</v>
      </c>
      <c r="G532" s="5" t="s">
        <v>893</v>
      </c>
      <c r="H532" s="5" t="s">
        <v>137</v>
      </c>
      <c r="I532" s="5" t="s">
        <v>703</v>
      </c>
      <c r="J532" s="5" t="s">
        <v>572</v>
      </c>
      <c r="K532" s="5" t="s">
        <v>224</v>
      </c>
      <c r="L532" s="3" t="s">
        <v>139</v>
      </c>
      <c r="M532" s="3" t="s">
        <v>894</v>
      </c>
      <c r="N532" s="5" t="s">
        <v>895</v>
      </c>
      <c r="O532" s="5" t="s">
        <v>141</v>
      </c>
      <c r="P532" s="5" t="s">
        <v>664</v>
      </c>
      <c r="Q532" s="154">
        <v>240</v>
      </c>
      <c r="R532" s="166">
        <v>3.306</v>
      </c>
      <c r="S532" s="168">
        <v>12142</v>
      </c>
      <c r="U532" s="154">
        <v>96.338999999999999</v>
      </c>
      <c r="V532" s="165">
        <v>9.9999999999999995E-7</v>
      </c>
      <c r="W532" s="165">
        <v>6.1182828492593998E-3</v>
      </c>
      <c r="X532" s="165">
        <v>1.2691526200643E-3</v>
      </c>
    </row>
    <row r="533" spans="1:24">
      <c r="A533" s="5">
        <v>969</v>
      </c>
      <c r="B533" s="5">
        <v>969</v>
      </c>
      <c r="C533" s="5" t="s">
        <v>896</v>
      </c>
      <c r="D533" s="5" t="s">
        <v>897</v>
      </c>
      <c r="E533" s="5" t="s">
        <v>651</v>
      </c>
      <c r="F533" s="5" t="s">
        <v>898</v>
      </c>
      <c r="G533" s="5" t="s">
        <v>899</v>
      </c>
      <c r="H533" s="5" t="s">
        <v>137</v>
      </c>
      <c r="I533" s="5" t="s">
        <v>703</v>
      </c>
      <c r="J533" s="5" t="s">
        <v>572</v>
      </c>
      <c r="K533" s="5" t="s">
        <v>224</v>
      </c>
      <c r="L533" s="3" t="s">
        <v>139</v>
      </c>
      <c r="M533" s="3" t="s">
        <v>894</v>
      </c>
      <c r="N533" s="5" t="s">
        <v>900</v>
      </c>
      <c r="O533" s="5" t="s">
        <v>141</v>
      </c>
      <c r="P533" s="5" t="s">
        <v>664</v>
      </c>
      <c r="Q533" s="154">
        <v>392</v>
      </c>
      <c r="R533" s="166">
        <v>3.306</v>
      </c>
      <c r="S533" s="168">
        <v>21957</v>
      </c>
      <c r="U533" s="154">
        <v>284.55200000000002</v>
      </c>
      <c r="V533" s="165">
        <v>0</v>
      </c>
      <c r="W533" s="165">
        <v>1.8071206527036299E-2</v>
      </c>
      <c r="X533" s="165">
        <v>3.7486202708473101E-3</v>
      </c>
    </row>
    <row r="534" spans="1:24">
      <c r="A534" s="5">
        <v>969</v>
      </c>
      <c r="B534" s="5">
        <v>969</v>
      </c>
      <c r="C534" s="5" t="s">
        <v>901</v>
      </c>
      <c r="D534" s="5" t="s">
        <v>902</v>
      </c>
      <c r="E534" s="5" t="s">
        <v>651</v>
      </c>
      <c r="F534" s="5" t="s">
        <v>903</v>
      </c>
      <c r="G534" s="5" t="s">
        <v>904</v>
      </c>
      <c r="H534" s="5" t="s">
        <v>137</v>
      </c>
      <c r="I534" s="5" t="s">
        <v>703</v>
      </c>
      <c r="J534" s="5" t="s">
        <v>572</v>
      </c>
      <c r="K534" s="5" t="s">
        <v>224</v>
      </c>
      <c r="L534" s="3" t="s">
        <v>139</v>
      </c>
      <c r="M534" s="3" t="s">
        <v>894</v>
      </c>
      <c r="N534" s="5" t="s">
        <v>905</v>
      </c>
      <c r="O534" s="5" t="s">
        <v>141</v>
      </c>
      <c r="P534" s="5" t="s">
        <v>664</v>
      </c>
      <c r="Q534" s="154">
        <v>89</v>
      </c>
      <c r="R534" s="166">
        <v>3.306</v>
      </c>
      <c r="S534" s="168">
        <v>50274</v>
      </c>
      <c r="U534" s="154">
        <v>147.923</v>
      </c>
      <c r="V534" s="165">
        <v>0</v>
      </c>
      <c r="W534" s="165">
        <v>9.3942373321138709E-3</v>
      </c>
      <c r="X534" s="165">
        <v>1.94870378132344E-3</v>
      </c>
    </row>
    <row r="535" spans="1:24">
      <c r="A535" s="5">
        <v>969</v>
      </c>
      <c r="B535" s="5">
        <v>969</v>
      </c>
      <c r="C535" s="5" t="s">
        <v>906</v>
      </c>
      <c r="D535" s="5" t="s">
        <v>907</v>
      </c>
      <c r="E535" s="5" t="s">
        <v>651</v>
      </c>
      <c r="F535" s="5" t="s">
        <v>908</v>
      </c>
      <c r="G535" s="5" t="s">
        <v>909</v>
      </c>
      <c r="H535" s="5" t="s">
        <v>137</v>
      </c>
      <c r="I535" s="5" t="s">
        <v>703</v>
      </c>
      <c r="J535" s="5" t="s">
        <v>572</v>
      </c>
      <c r="K535" s="5" t="s">
        <v>224</v>
      </c>
      <c r="L535" s="3" t="s">
        <v>139</v>
      </c>
      <c r="M535" s="3" t="s">
        <v>894</v>
      </c>
      <c r="N535" s="5" t="s">
        <v>655</v>
      </c>
      <c r="O535" s="5" t="s">
        <v>141</v>
      </c>
      <c r="P535" s="5" t="s">
        <v>664</v>
      </c>
      <c r="Q535" s="154">
        <v>291</v>
      </c>
      <c r="R535" s="166">
        <v>3.306</v>
      </c>
      <c r="S535" s="168">
        <v>14008</v>
      </c>
      <c r="U535" s="154">
        <v>134.76300000000001</v>
      </c>
      <c r="V535" s="165">
        <v>1.9999999999999999E-6</v>
      </c>
      <c r="W535" s="165">
        <v>8.5584910813553093E-3</v>
      </c>
      <c r="X535" s="165">
        <v>1.7753398538960701E-3</v>
      </c>
    </row>
    <row r="536" spans="1:24">
      <c r="A536" s="5">
        <v>969</v>
      </c>
      <c r="B536" s="5">
        <v>969</v>
      </c>
      <c r="C536" s="5" t="s">
        <v>1056</v>
      </c>
      <c r="D536" s="5" t="s">
        <v>1057</v>
      </c>
      <c r="E536" s="5" t="s">
        <v>651</v>
      </c>
      <c r="F536" s="5" t="s">
        <v>1056</v>
      </c>
      <c r="G536" s="5" t="s">
        <v>1058</v>
      </c>
      <c r="H536" s="5" t="s">
        <v>137</v>
      </c>
      <c r="I536" s="5" t="s">
        <v>703</v>
      </c>
      <c r="J536" s="5" t="s">
        <v>572</v>
      </c>
      <c r="K536" s="5" t="s">
        <v>224</v>
      </c>
      <c r="L536" s="3" t="s">
        <v>139</v>
      </c>
      <c r="M536" s="3" t="s">
        <v>894</v>
      </c>
      <c r="N536" s="5" t="s">
        <v>1059</v>
      </c>
      <c r="O536" s="5" t="s">
        <v>141</v>
      </c>
      <c r="P536" s="5" t="s">
        <v>664</v>
      </c>
      <c r="Q536" s="154">
        <v>8</v>
      </c>
      <c r="R536" s="166">
        <v>3.306</v>
      </c>
      <c r="S536" s="168">
        <v>212</v>
      </c>
      <c r="U536" s="154">
        <v>5.6000000000000001E-2</v>
      </c>
      <c r="V536" s="165">
        <v>9.9999999999999995E-7</v>
      </c>
      <c r="W536" s="165">
        <v>3.5608520398698599E-6</v>
      </c>
      <c r="X536" s="165">
        <v>7.3864919412955501E-7</v>
      </c>
    </row>
    <row r="537" spans="1:24">
      <c r="A537" s="5">
        <v>969</v>
      </c>
      <c r="B537" s="5">
        <v>969</v>
      </c>
      <c r="C537" s="5" t="s">
        <v>910</v>
      </c>
      <c r="D537" s="5" t="s">
        <v>911</v>
      </c>
      <c r="E537" s="5" t="s">
        <v>134</v>
      </c>
      <c r="F537" s="5" t="s">
        <v>912</v>
      </c>
      <c r="G537" s="5" t="s">
        <v>913</v>
      </c>
      <c r="H537" s="5" t="s">
        <v>137</v>
      </c>
      <c r="I537" s="5" t="s">
        <v>703</v>
      </c>
      <c r="J537" s="5" t="s">
        <v>572</v>
      </c>
      <c r="K537" s="5" t="s">
        <v>224</v>
      </c>
      <c r="L537" s="3" t="s">
        <v>139</v>
      </c>
      <c r="M537" s="3" t="s">
        <v>914</v>
      </c>
      <c r="N537" s="5" t="s">
        <v>655</v>
      </c>
      <c r="O537" s="5" t="s">
        <v>141</v>
      </c>
      <c r="P537" s="5" t="s">
        <v>664</v>
      </c>
      <c r="Q537" s="154">
        <v>5928</v>
      </c>
      <c r="R537" s="166">
        <v>3.306</v>
      </c>
      <c r="S537" s="168">
        <v>100</v>
      </c>
      <c r="U537" s="154">
        <v>19.597999999999999</v>
      </c>
      <c r="V537" s="165">
        <v>0</v>
      </c>
      <c r="W537" s="165">
        <v>1.2446185667658301E-3</v>
      </c>
      <c r="X537" s="165">
        <v>2.5817879851415098E-4</v>
      </c>
    </row>
    <row r="538" spans="1:24">
      <c r="A538" s="5">
        <v>969</v>
      </c>
      <c r="B538" s="5">
        <v>969</v>
      </c>
      <c r="C538" s="5" t="s">
        <v>915</v>
      </c>
      <c r="D538" s="5" t="s">
        <v>916</v>
      </c>
      <c r="E538" s="5" t="s">
        <v>651</v>
      </c>
      <c r="F538" s="5" t="s">
        <v>915</v>
      </c>
      <c r="G538" s="5" t="s">
        <v>917</v>
      </c>
      <c r="H538" s="5" t="s">
        <v>137</v>
      </c>
      <c r="I538" s="5" t="s">
        <v>703</v>
      </c>
      <c r="J538" s="5" t="s">
        <v>572</v>
      </c>
      <c r="K538" s="5" t="s">
        <v>797</v>
      </c>
      <c r="L538" s="3" t="s">
        <v>139</v>
      </c>
      <c r="M538" s="3" t="s">
        <v>894</v>
      </c>
      <c r="N538" s="5" t="s">
        <v>918</v>
      </c>
      <c r="O538" s="5" t="s">
        <v>141</v>
      </c>
      <c r="P538" s="5" t="s">
        <v>664</v>
      </c>
      <c r="Q538" s="154">
        <v>35</v>
      </c>
      <c r="R538" s="166">
        <v>3.306</v>
      </c>
      <c r="S538" s="168">
        <v>92563</v>
      </c>
      <c r="U538" s="154">
        <v>107.105</v>
      </c>
      <c r="V538" s="165">
        <v>0</v>
      </c>
      <c r="W538" s="165">
        <v>6.8019517440015102E-3</v>
      </c>
      <c r="X538" s="165">
        <v>1.41097021666715E-3</v>
      </c>
    </row>
    <row r="539" spans="1:24">
      <c r="A539" s="5">
        <v>969</v>
      </c>
      <c r="B539" s="5">
        <v>969</v>
      </c>
      <c r="C539" s="5" t="s">
        <v>919</v>
      </c>
      <c r="D539" s="5" t="s">
        <v>920</v>
      </c>
      <c r="E539" s="5" t="s">
        <v>651</v>
      </c>
      <c r="F539" s="5" t="s">
        <v>921</v>
      </c>
      <c r="G539" s="5" t="s">
        <v>922</v>
      </c>
      <c r="H539" s="5" t="s">
        <v>137</v>
      </c>
      <c r="I539" s="5" t="s">
        <v>703</v>
      </c>
      <c r="J539" s="5" t="s">
        <v>572</v>
      </c>
      <c r="K539" s="5" t="s">
        <v>224</v>
      </c>
      <c r="L539" s="3" t="s">
        <v>139</v>
      </c>
      <c r="M539" s="3" t="s">
        <v>914</v>
      </c>
      <c r="N539" s="5" t="s">
        <v>655</v>
      </c>
      <c r="O539" s="5" t="s">
        <v>141</v>
      </c>
      <c r="P539" s="5" t="s">
        <v>664</v>
      </c>
      <c r="Q539" s="154">
        <v>75</v>
      </c>
      <c r="R539" s="166">
        <v>3.306</v>
      </c>
      <c r="S539" s="168">
        <v>76300</v>
      </c>
      <c r="U539" s="154">
        <v>189.18600000000001</v>
      </c>
      <c r="V539" s="165">
        <v>0</v>
      </c>
      <c r="W539" s="165">
        <v>1.20147262960821E-2</v>
      </c>
      <c r="X539" s="165">
        <v>2.4922877437537601E-3</v>
      </c>
    </row>
    <row r="540" spans="1:24">
      <c r="A540" s="5">
        <v>969</v>
      </c>
      <c r="B540" s="5">
        <v>969</v>
      </c>
      <c r="C540" s="5" t="s">
        <v>923</v>
      </c>
      <c r="D540" s="5" t="s">
        <v>924</v>
      </c>
      <c r="E540" s="5" t="s">
        <v>651</v>
      </c>
      <c r="F540" s="5" t="s">
        <v>925</v>
      </c>
      <c r="G540" s="5" t="s">
        <v>926</v>
      </c>
      <c r="H540" s="5" t="s">
        <v>137</v>
      </c>
      <c r="I540" s="5" t="s">
        <v>703</v>
      </c>
      <c r="J540" s="5" t="s">
        <v>572</v>
      </c>
      <c r="K540" s="5" t="s">
        <v>224</v>
      </c>
      <c r="L540" s="3" t="s">
        <v>139</v>
      </c>
      <c r="M540" s="3" t="s">
        <v>894</v>
      </c>
      <c r="N540" s="5" t="s">
        <v>927</v>
      </c>
      <c r="O540" s="5" t="s">
        <v>141</v>
      </c>
      <c r="P540" s="5" t="s">
        <v>664</v>
      </c>
      <c r="Q540" s="154">
        <v>1500</v>
      </c>
      <c r="R540" s="166">
        <v>3.306</v>
      </c>
      <c r="S540" s="168">
        <v>5797</v>
      </c>
      <c r="U540" s="154">
        <v>287.47300000000001</v>
      </c>
      <c r="V540" s="165">
        <v>3.9999999999999998E-6</v>
      </c>
      <c r="W540" s="165">
        <v>1.8256715160783199E-2</v>
      </c>
      <c r="X540" s="165">
        <v>3.7871014549254399E-3</v>
      </c>
    </row>
    <row r="541" spans="1:24">
      <c r="A541" s="5">
        <v>969</v>
      </c>
      <c r="B541" s="5">
        <v>969</v>
      </c>
      <c r="C541" s="5" t="s">
        <v>928</v>
      </c>
      <c r="D541" s="5" t="s">
        <v>929</v>
      </c>
      <c r="E541" s="5" t="s">
        <v>651</v>
      </c>
      <c r="F541" s="5" t="s">
        <v>930</v>
      </c>
      <c r="G541" s="5" t="s">
        <v>931</v>
      </c>
      <c r="H541" s="5" t="s">
        <v>137</v>
      </c>
      <c r="I541" s="5" t="s">
        <v>703</v>
      </c>
      <c r="J541" s="5" t="s">
        <v>572</v>
      </c>
      <c r="K541" s="5" t="s">
        <v>224</v>
      </c>
      <c r="L541" s="3" t="s">
        <v>139</v>
      </c>
      <c r="M541" s="3" t="s">
        <v>894</v>
      </c>
      <c r="N541" s="5" t="s">
        <v>932</v>
      </c>
      <c r="O541" s="5" t="s">
        <v>141</v>
      </c>
      <c r="P541" s="5" t="s">
        <v>664</v>
      </c>
      <c r="Q541" s="154">
        <v>435</v>
      </c>
      <c r="R541" s="166">
        <v>3.306</v>
      </c>
      <c r="S541" s="168">
        <v>24355</v>
      </c>
      <c r="U541" s="154">
        <v>350.25200000000001</v>
      </c>
      <c r="V541" s="165">
        <v>0</v>
      </c>
      <c r="W541" s="165">
        <v>2.2243620207840899E-2</v>
      </c>
      <c r="X541" s="165">
        <v>4.6141294153985903E-3</v>
      </c>
    </row>
    <row r="542" spans="1:24">
      <c r="A542" s="5">
        <v>969</v>
      </c>
      <c r="B542" s="5">
        <v>969</v>
      </c>
      <c r="C542" s="5" t="s">
        <v>933</v>
      </c>
      <c r="D542" s="5" t="s">
        <v>934</v>
      </c>
      <c r="E542" s="5" t="s">
        <v>651</v>
      </c>
      <c r="F542" s="5" t="s">
        <v>935</v>
      </c>
      <c r="G542" s="5" t="s">
        <v>936</v>
      </c>
      <c r="H542" s="5" t="s">
        <v>137</v>
      </c>
      <c r="I542" s="5" t="s">
        <v>703</v>
      </c>
      <c r="J542" s="5" t="s">
        <v>572</v>
      </c>
      <c r="K542" s="5" t="s">
        <v>224</v>
      </c>
      <c r="L542" s="3" t="s">
        <v>139</v>
      </c>
      <c r="M542" s="3" t="s">
        <v>894</v>
      </c>
      <c r="N542" s="5" t="s">
        <v>937</v>
      </c>
      <c r="O542" s="5" t="s">
        <v>141</v>
      </c>
      <c r="P542" s="5" t="s">
        <v>664</v>
      </c>
      <c r="Q542" s="154">
        <v>1274</v>
      </c>
      <c r="R542" s="166">
        <v>3.306</v>
      </c>
      <c r="S542" s="168">
        <v>3355</v>
      </c>
      <c r="U542" s="154">
        <v>141.30699999999999</v>
      </c>
      <c r="V542" s="165">
        <v>0</v>
      </c>
      <c r="W542" s="165">
        <v>8.9740819861170492E-3</v>
      </c>
      <c r="X542" s="165">
        <v>1.86154840270763E-3</v>
      </c>
    </row>
    <row r="543" spans="1:24">
      <c r="A543" s="5">
        <v>969</v>
      </c>
      <c r="B543" s="5">
        <v>969</v>
      </c>
      <c r="C543" s="5" t="s">
        <v>938</v>
      </c>
      <c r="D543" s="5" t="s">
        <v>939</v>
      </c>
      <c r="E543" s="5" t="s">
        <v>651</v>
      </c>
      <c r="F543" s="5" t="s">
        <v>940</v>
      </c>
      <c r="G543" s="5" t="s">
        <v>941</v>
      </c>
      <c r="H543" s="5" t="s">
        <v>137</v>
      </c>
      <c r="I543" s="5" t="s">
        <v>703</v>
      </c>
      <c r="J543" s="5" t="s">
        <v>572</v>
      </c>
      <c r="K543" s="5" t="s">
        <v>942</v>
      </c>
      <c r="L543" s="3" t="s">
        <v>139</v>
      </c>
      <c r="M543" s="3" t="s">
        <v>498</v>
      </c>
      <c r="N543" s="5" t="s">
        <v>943</v>
      </c>
      <c r="O543" s="5" t="s">
        <v>141</v>
      </c>
      <c r="P543" s="5" t="s">
        <v>664</v>
      </c>
      <c r="Q543" s="154">
        <v>603.91999999999996</v>
      </c>
      <c r="R543" s="166">
        <v>3.306</v>
      </c>
      <c r="S543" s="168">
        <v>18175.669999999998</v>
      </c>
      <c r="U543" s="154">
        <v>362.88799999999998</v>
      </c>
      <c r="V543" s="165">
        <v>0</v>
      </c>
      <c r="W543" s="165">
        <v>2.30461254563415E-2</v>
      </c>
      <c r="X543" s="165">
        <v>4.7805979595707702E-3</v>
      </c>
    </row>
    <row r="544" spans="1:24">
      <c r="A544" s="5">
        <v>969</v>
      </c>
      <c r="B544" s="5">
        <v>969</v>
      </c>
      <c r="C544" s="5" t="s">
        <v>944</v>
      </c>
      <c r="D544" s="5" t="s">
        <v>945</v>
      </c>
      <c r="E544" s="5" t="s">
        <v>651</v>
      </c>
      <c r="F544" s="5" t="s">
        <v>946</v>
      </c>
      <c r="G544" s="5" t="s">
        <v>947</v>
      </c>
      <c r="H544" s="5" t="s">
        <v>137</v>
      </c>
      <c r="I544" s="5" t="s">
        <v>703</v>
      </c>
      <c r="J544" s="5" t="s">
        <v>572</v>
      </c>
      <c r="K544" s="5" t="s">
        <v>224</v>
      </c>
      <c r="L544" s="3" t="s">
        <v>139</v>
      </c>
      <c r="M544" s="3" t="s">
        <v>894</v>
      </c>
      <c r="N544" s="5" t="s">
        <v>937</v>
      </c>
      <c r="O544" s="5" t="s">
        <v>141</v>
      </c>
      <c r="P544" s="5" t="s">
        <v>664</v>
      </c>
      <c r="Q544" s="154">
        <v>423</v>
      </c>
      <c r="R544" s="166">
        <v>3.306</v>
      </c>
      <c r="S544" s="168">
        <v>8407</v>
      </c>
      <c r="U544" s="154">
        <v>117.56699999999999</v>
      </c>
      <c r="V544" s="165">
        <v>9.9999999999999995E-7</v>
      </c>
      <c r="W544" s="165">
        <v>7.4663697824030803E-3</v>
      </c>
      <c r="X544" s="165">
        <v>1.5487944910642401E-3</v>
      </c>
    </row>
    <row r="545" spans="1:24">
      <c r="A545" s="5">
        <v>969</v>
      </c>
      <c r="B545" s="5">
        <v>969</v>
      </c>
      <c r="C545" s="5" t="s">
        <v>948</v>
      </c>
      <c r="D545" s="5" t="s">
        <v>949</v>
      </c>
      <c r="E545" s="5" t="s">
        <v>651</v>
      </c>
      <c r="F545" s="5" t="s">
        <v>950</v>
      </c>
      <c r="G545" s="5" t="s">
        <v>951</v>
      </c>
      <c r="H545" s="5" t="s">
        <v>137</v>
      </c>
      <c r="I545" s="5" t="s">
        <v>703</v>
      </c>
      <c r="J545" s="5" t="s">
        <v>572</v>
      </c>
      <c r="K545" s="5" t="s">
        <v>224</v>
      </c>
      <c r="L545" s="3" t="s">
        <v>139</v>
      </c>
      <c r="M545" s="3" t="s">
        <v>914</v>
      </c>
      <c r="N545" s="5" t="s">
        <v>952</v>
      </c>
      <c r="O545" s="5" t="s">
        <v>141</v>
      </c>
      <c r="P545" s="5" t="s">
        <v>664</v>
      </c>
      <c r="Q545" s="154">
        <v>127</v>
      </c>
      <c r="R545" s="166">
        <v>3.306</v>
      </c>
      <c r="S545" s="168">
        <v>56881</v>
      </c>
      <c r="U545" s="154">
        <v>238.822</v>
      </c>
      <c r="V545" s="165">
        <v>0</v>
      </c>
      <c r="W545" s="165">
        <v>1.5166976863053801E-2</v>
      </c>
      <c r="X545" s="165">
        <v>3.14617824942982E-3</v>
      </c>
    </row>
    <row r="546" spans="1:24">
      <c r="A546" s="5">
        <v>969</v>
      </c>
      <c r="B546" s="5">
        <v>969</v>
      </c>
      <c r="C546" s="5" t="s">
        <v>953</v>
      </c>
      <c r="D546" s="5" t="s">
        <v>954</v>
      </c>
      <c r="E546" s="5" t="s">
        <v>651</v>
      </c>
      <c r="F546" s="5" t="s">
        <v>955</v>
      </c>
      <c r="G546" s="5" t="s">
        <v>956</v>
      </c>
      <c r="H546" s="5" t="s">
        <v>137</v>
      </c>
      <c r="I546" s="5" t="s">
        <v>703</v>
      </c>
      <c r="J546" s="5" t="s">
        <v>572</v>
      </c>
      <c r="K546" s="5" t="s">
        <v>957</v>
      </c>
      <c r="L546" s="3" t="s">
        <v>139</v>
      </c>
      <c r="M546" s="3" t="s">
        <v>498</v>
      </c>
      <c r="N546" s="5" t="s">
        <v>958</v>
      </c>
      <c r="O546" s="5" t="s">
        <v>141</v>
      </c>
      <c r="P546" s="5" t="s">
        <v>664</v>
      </c>
      <c r="Q546" s="154">
        <v>21</v>
      </c>
      <c r="R546" s="166">
        <v>3.306</v>
      </c>
      <c r="S546" s="168">
        <v>233694</v>
      </c>
      <c r="U546" s="154">
        <v>162.244</v>
      </c>
      <c r="V546" s="165">
        <v>0</v>
      </c>
      <c r="W546" s="165">
        <v>1.03037410900426E-2</v>
      </c>
      <c r="X546" s="165">
        <v>2.1373676770230902E-3</v>
      </c>
    </row>
    <row r="547" spans="1:24">
      <c r="A547" s="5">
        <v>969</v>
      </c>
      <c r="B547" s="5">
        <v>969</v>
      </c>
      <c r="C547" s="5" t="s">
        <v>959</v>
      </c>
      <c r="D547" s="5" t="s">
        <v>960</v>
      </c>
      <c r="E547" s="5" t="s">
        <v>651</v>
      </c>
      <c r="F547" s="5" t="s">
        <v>961</v>
      </c>
      <c r="G547" s="5" t="s">
        <v>962</v>
      </c>
      <c r="H547" s="5" t="s">
        <v>137</v>
      </c>
      <c r="I547" s="5" t="s">
        <v>703</v>
      </c>
      <c r="J547" s="5" t="s">
        <v>572</v>
      </c>
      <c r="K547" s="5" t="s">
        <v>224</v>
      </c>
      <c r="L547" s="3" t="s">
        <v>139</v>
      </c>
      <c r="M547" s="3" t="s">
        <v>894</v>
      </c>
      <c r="N547" s="5" t="s">
        <v>963</v>
      </c>
      <c r="O547" s="5" t="s">
        <v>141</v>
      </c>
      <c r="P547" s="5" t="s">
        <v>664</v>
      </c>
      <c r="Q547" s="154">
        <v>327</v>
      </c>
      <c r="R547" s="166">
        <v>3.306</v>
      </c>
      <c r="S547" s="168">
        <v>51795</v>
      </c>
      <c r="U547" s="154">
        <v>559.93600000000004</v>
      </c>
      <c r="V547" s="165">
        <v>0</v>
      </c>
      <c r="W547" s="165">
        <v>3.5560157057461302E-2</v>
      </c>
      <c r="X547" s="165">
        <v>7.3764596392986298E-3</v>
      </c>
    </row>
    <row r="548" spans="1:24">
      <c r="A548" s="5">
        <v>969</v>
      </c>
      <c r="B548" s="5">
        <v>969</v>
      </c>
      <c r="C548" s="5" t="s">
        <v>964</v>
      </c>
      <c r="D548" s="5" t="s">
        <v>965</v>
      </c>
      <c r="E548" s="5" t="s">
        <v>651</v>
      </c>
      <c r="F548" s="5" t="s">
        <v>964</v>
      </c>
      <c r="G548" s="5" t="s">
        <v>966</v>
      </c>
      <c r="H548" s="5" t="s">
        <v>137</v>
      </c>
      <c r="I548" s="5" t="s">
        <v>703</v>
      </c>
      <c r="J548" s="5" t="s">
        <v>572</v>
      </c>
      <c r="K548" s="5" t="s">
        <v>224</v>
      </c>
      <c r="L548" s="3" t="s">
        <v>139</v>
      </c>
      <c r="M548" s="3" t="s">
        <v>894</v>
      </c>
      <c r="N548" s="5" t="s">
        <v>655</v>
      </c>
      <c r="O548" s="5" t="s">
        <v>141</v>
      </c>
      <c r="P548" s="5" t="s">
        <v>664</v>
      </c>
      <c r="Q548" s="154">
        <v>396</v>
      </c>
      <c r="R548" s="166">
        <v>3.306</v>
      </c>
      <c r="S548" s="168">
        <v>2583</v>
      </c>
      <c r="U548" s="154">
        <v>33.816000000000003</v>
      </c>
      <c r="V548" s="165">
        <v>9.9999999999999995E-7</v>
      </c>
      <c r="W548" s="165">
        <v>2.1475717006589601E-3</v>
      </c>
      <c r="X548" s="165">
        <v>4.4548385843213998E-4</v>
      </c>
    </row>
    <row r="549" spans="1:24">
      <c r="A549" s="5">
        <v>969</v>
      </c>
      <c r="B549" s="5">
        <v>969</v>
      </c>
      <c r="C549" s="5" t="s">
        <v>967</v>
      </c>
      <c r="D549" s="5" t="s">
        <v>968</v>
      </c>
      <c r="E549" s="5" t="s">
        <v>121</v>
      </c>
      <c r="F549" s="5" t="s">
        <v>969</v>
      </c>
      <c r="G549" s="5" t="s">
        <v>970</v>
      </c>
      <c r="H549" s="5" t="s">
        <v>137</v>
      </c>
      <c r="I549" s="5" t="s">
        <v>703</v>
      </c>
      <c r="J549" s="5" t="s">
        <v>572</v>
      </c>
      <c r="K549" s="5" t="s">
        <v>224</v>
      </c>
      <c r="L549" s="3" t="s">
        <v>139</v>
      </c>
      <c r="M549" s="3" t="s">
        <v>498</v>
      </c>
      <c r="N549" s="5" t="s">
        <v>971</v>
      </c>
      <c r="O549" s="5" t="s">
        <v>141</v>
      </c>
      <c r="P549" s="5" t="s">
        <v>664</v>
      </c>
      <c r="Q549" s="154">
        <v>220</v>
      </c>
      <c r="R549" s="166">
        <v>3.306</v>
      </c>
      <c r="S549" s="168">
        <v>14216</v>
      </c>
      <c r="U549" s="154">
        <v>103.396</v>
      </c>
      <c r="V549" s="165">
        <v>0</v>
      </c>
      <c r="W549" s="165">
        <v>6.5664127191826403E-3</v>
      </c>
      <c r="X549" s="165">
        <v>1.3621109243066401E-3</v>
      </c>
    </row>
    <row r="550" spans="1:24">
      <c r="A550" s="5">
        <v>969</v>
      </c>
      <c r="B550" s="5">
        <v>969</v>
      </c>
      <c r="C550" s="5" t="s">
        <v>972</v>
      </c>
      <c r="D550" s="5" t="s">
        <v>973</v>
      </c>
      <c r="E550" s="5" t="s">
        <v>651</v>
      </c>
      <c r="F550" s="5" t="s">
        <v>972</v>
      </c>
      <c r="G550" s="5" t="s">
        <v>974</v>
      </c>
      <c r="H550" s="5" t="s">
        <v>137</v>
      </c>
      <c r="I550" s="5" t="s">
        <v>703</v>
      </c>
      <c r="J550" s="5" t="s">
        <v>572</v>
      </c>
      <c r="K550" s="5" t="s">
        <v>224</v>
      </c>
      <c r="L550" s="3" t="s">
        <v>139</v>
      </c>
      <c r="M550" s="3" t="s">
        <v>914</v>
      </c>
      <c r="N550" s="5" t="s">
        <v>900</v>
      </c>
      <c r="O550" s="5" t="s">
        <v>141</v>
      </c>
      <c r="P550" s="5" t="s">
        <v>664</v>
      </c>
      <c r="Q550" s="154">
        <v>800</v>
      </c>
      <c r="R550" s="166">
        <v>3.306</v>
      </c>
      <c r="S550" s="168">
        <v>6973</v>
      </c>
      <c r="T550" s="153">
        <v>0.32</v>
      </c>
      <c r="U550" s="154">
        <v>185.48</v>
      </c>
      <c r="V550" s="165">
        <v>9.9999999999999995E-7</v>
      </c>
      <c r="W550" s="165">
        <v>1.1779365733776999E-2</v>
      </c>
      <c r="X550" s="165">
        <v>2.4434654709578202E-3</v>
      </c>
    </row>
    <row r="551" spans="1:24">
      <c r="A551" s="5">
        <v>969</v>
      </c>
      <c r="B551" s="5">
        <v>969</v>
      </c>
      <c r="C551" s="5" t="s">
        <v>975</v>
      </c>
      <c r="D551" s="5" t="s">
        <v>976</v>
      </c>
      <c r="E551" s="5" t="s">
        <v>651</v>
      </c>
      <c r="F551" s="5" t="s">
        <v>977</v>
      </c>
      <c r="G551" s="5" t="s">
        <v>978</v>
      </c>
      <c r="H551" s="5" t="s">
        <v>137</v>
      </c>
      <c r="I551" s="5" t="s">
        <v>703</v>
      </c>
      <c r="J551" s="5" t="s">
        <v>572</v>
      </c>
      <c r="K551" s="5" t="s">
        <v>224</v>
      </c>
      <c r="L551" s="3" t="s">
        <v>139</v>
      </c>
      <c r="M551" s="3" t="s">
        <v>914</v>
      </c>
      <c r="N551" s="5" t="s">
        <v>979</v>
      </c>
      <c r="O551" s="5" t="s">
        <v>141</v>
      </c>
      <c r="P551" s="5" t="s">
        <v>664</v>
      </c>
      <c r="Q551" s="154">
        <v>89</v>
      </c>
      <c r="R551" s="166">
        <v>3.306</v>
      </c>
      <c r="S551" s="168">
        <v>60932</v>
      </c>
      <c r="U551" s="154">
        <v>179.28299999999999</v>
      </c>
      <c r="V551" s="165">
        <v>9.9999999999999995E-7</v>
      </c>
      <c r="W551" s="165">
        <v>1.1385799202775999E-2</v>
      </c>
      <c r="X551" s="165">
        <v>2.3618255719377798E-3</v>
      </c>
    </row>
    <row r="552" spans="1:24">
      <c r="A552" s="5">
        <v>969</v>
      </c>
      <c r="B552" s="5">
        <v>969</v>
      </c>
      <c r="C552" s="5" t="s">
        <v>980</v>
      </c>
      <c r="D552" s="5" t="s">
        <v>981</v>
      </c>
      <c r="E552" s="5" t="s">
        <v>651</v>
      </c>
      <c r="F552" s="5" t="s">
        <v>982</v>
      </c>
      <c r="G552" s="5" t="s">
        <v>983</v>
      </c>
      <c r="H552" s="5" t="s">
        <v>137</v>
      </c>
      <c r="I552" s="5" t="s">
        <v>703</v>
      </c>
      <c r="J552" s="5" t="s">
        <v>572</v>
      </c>
      <c r="K552" s="5" t="s">
        <v>224</v>
      </c>
      <c r="L552" s="3" t="s">
        <v>139</v>
      </c>
      <c r="M552" s="3" t="s">
        <v>894</v>
      </c>
      <c r="N552" s="5" t="s">
        <v>937</v>
      </c>
      <c r="O552" s="5" t="s">
        <v>141</v>
      </c>
      <c r="P552" s="5" t="s">
        <v>664</v>
      </c>
      <c r="Q552" s="154">
        <v>757</v>
      </c>
      <c r="R552" s="166">
        <v>3.306</v>
      </c>
      <c r="S552" s="168">
        <v>18658</v>
      </c>
      <c r="T552" s="153">
        <v>8.0000000000000002E-3</v>
      </c>
      <c r="U552" s="154">
        <v>466.96800000000002</v>
      </c>
      <c r="V552" s="165">
        <v>0</v>
      </c>
      <c r="W552" s="165">
        <v>2.9655983034453E-2</v>
      </c>
      <c r="X552" s="165">
        <v>6.1517209151771002E-3</v>
      </c>
    </row>
    <row r="553" spans="1:24">
      <c r="A553" s="5">
        <v>969</v>
      </c>
      <c r="B553" s="5">
        <v>969</v>
      </c>
      <c r="C553" s="5" t="s">
        <v>984</v>
      </c>
      <c r="D553" s="5" t="s">
        <v>985</v>
      </c>
      <c r="E553" s="5" t="s">
        <v>651</v>
      </c>
      <c r="F553" s="5" t="s">
        <v>984</v>
      </c>
      <c r="G553" s="5" t="s">
        <v>986</v>
      </c>
      <c r="H553" s="5" t="s">
        <v>137</v>
      </c>
      <c r="I553" s="5" t="s">
        <v>703</v>
      </c>
      <c r="J553" s="5" t="s">
        <v>572</v>
      </c>
      <c r="K553" s="5" t="s">
        <v>224</v>
      </c>
      <c r="L553" s="3" t="s">
        <v>139</v>
      </c>
      <c r="M553" s="3" t="s">
        <v>914</v>
      </c>
      <c r="N553" s="5" t="s">
        <v>987</v>
      </c>
      <c r="O553" s="5" t="s">
        <v>141</v>
      </c>
      <c r="P553" s="5" t="s">
        <v>664</v>
      </c>
      <c r="Q553" s="154">
        <v>184</v>
      </c>
      <c r="R553" s="166">
        <v>3.306</v>
      </c>
      <c r="S553" s="168">
        <v>28124</v>
      </c>
      <c r="U553" s="154">
        <v>171.07900000000001</v>
      </c>
      <c r="V553" s="165">
        <v>0</v>
      </c>
      <c r="W553" s="165">
        <v>1.08648314325184E-2</v>
      </c>
      <c r="X553" s="165">
        <v>2.2537580590617501E-3</v>
      </c>
    </row>
    <row r="554" spans="1:24">
      <c r="A554" s="5">
        <v>969</v>
      </c>
      <c r="B554" s="5">
        <v>969</v>
      </c>
      <c r="C554" s="5" t="s">
        <v>988</v>
      </c>
      <c r="E554" s="5" t="s">
        <v>498</v>
      </c>
      <c r="F554" s="5" t="s">
        <v>989</v>
      </c>
      <c r="G554" s="5" t="s">
        <v>990</v>
      </c>
      <c r="H554" s="5" t="s">
        <v>137</v>
      </c>
      <c r="I554" s="5" t="s">
        <v>703</v>
      </c>
      <c r="J554" s="5" t="s">
        <v>572</v>
      </c>
      <c r="K554" s="5" t="s">
        <v>224</v>
      </c>
      <c r="L554" s="3" t="s">
        <v>139</v>
      </c>
      <c r="M554" s="3" t="s">
        <v>894</v>
      </c>
      <c r="N554" s="5" t="s">
        <v>655</v>
      </c>
      <c r="O554" s="5" t="s">
        <v>141</v>
      </c>
      <c r="P554" s="5" t="s">
        <v>664</v>
      </c>
      <c r="Q554" s="154">
        <v>329</v>
      </c>
      <c r="R554" s="166">
        <v>3.306</v>
      </c>
      <c r="S554" s="168">
        <v>447.93</v>
      </c>
      <c r="U554" s="154">
        <v>4.8719999999999999</v>
      </c>
      <c r="V554" s="165">
        <v>1.0000000000000001E-5</v>
      </c>
      <c r="W554" s="165">
        <v>3.0940984518751098E-4</v>
      </c>
      <c r="X554" s="165">
        <v>6.4182765878657196E-5</v>
      </c>
    </row>
    <row r="555" spans="1:24">
      <c r="A555" s="5">
        <v>969</v>
      </c>
      <c r="B555" s="5">
        <v>969</v>
      </c>
      <c r="C555" s="5" t="s">
        <v>991</v>
      </c>
      <c r="D555" s="5" t="s">
        <v>992</v>
      </c>
      <c r="E555" s="5" t="s">
        <v>651</v>
      </c>
      <c r="F555" s="5" t="s">
        <v>993</v>
      </c>
      <c r="G555" s="5" t="s">
        <v>994</v>
      </c>
      <c r="H555" s="5" t="s">
        <v>137</v>
      </c>
      <c r="I555" s="5" t="s">
        <v>703</v>
      </c>
      <c r="J555" s="5" t="s">
        <v>572</v>
      </c>
      <c r="K555" s="5" t="s">
        <v>224</v>
      </c>
      <c r="L555" s="3" t="s">
        <v>139</v>
      </c>
      <c r="M555" s="3" t="s">
        <v>914</v>
      </c>
      <c r="N555" s="5" t="s">
        <v>995</v>
      </c>
      <c r="O555" s="5" t="s">
        <v>141</v>
      </c>
      <c r="P555" s="5" t="s">
        <v>664</v>
      </c>
      <c r="Q555" s="154">
        <v>290</v>
      </c>
      <c r="R555" s="166">
        <v>3.306</v>
      </c>
      <c r="S555" s="168">
        <v>11452</v>
      </c>
      <c r="U555" s="154">
        <v>109.795</v>
      </c>
      <c r="V555" s="165">
        <v>0</v>
      </c>
      <c r="W555" s="165">
        <v>6.9728033564687396E-3</v>
      </c>
      <c r="X555" s="165">
        <v>1.44641100568383E-3</v>
      </c>
    </row>
    <row r="556" spans="1:24">
      <c r="A556" s="5">
        <v>969</v>
      </c>
      <c r="B556" s="5">
        <v>969</v>
      </c>
      <c r="C556" s="5" t="s">
        <v>1060</v>
      </c>
      <c r="D556" s="5" t="s">
        <v>1061</v>
      </c>
      <c r="E556" s="5" t="s">
        <v>651</v>
      </c>
      <c r="F556" s="5" t="s">
        <v>1060</v>
      </c>
      <c r="G556" s="5" t="s">
        <v>1062</v>
      </c>
      <c r="H556" s="5" t="s">
        <v>137</v>
      </c>
      <c r="I556" s="5" t="s">
        <v>703</v>
      </c>
      <c r="J556" s="5" t="s">
        <v>572</v>
      </c>
      <c r="K556" s="5" t="s">
        <v>1063</v>
      </c>
      <c r="L556" s="3" t="s">
        <v>139</v>
      </c>
      <c r="M556" s="3" t="s">
        <v>1064</v>
      </c>
      <c r="N556" s="5" t="s">
        <v>979</v>
      </c>
      <c r="O556" s="5" t="s">
        <v>141</v>
      </c>
      <c r="P556" s="5" t="s">
        <v>576</v>
      </c>
      <c r="Q556" s="154">
        <v>175</v>
      </c>
      <c r="R556" s="166">
        <v>3.8807</v>
      </c>
      <c r="S556" s="168">
        <v>30010</v>
      </c>
      <c r="U556" s="154">
        <v>203.80500000000001</v>
      </c>
      <c r="V556" s="165">
        <v>0</v>
      </c>
      <c r="W556" s="165">
        <v>1.29431309730575E-2</v>
      </c>
      <c r="X556" s="165">
        <v>2.6848723720381299E-3</v>
      </c>
    </row>
    <row r="557" spans="1:24">
      <c r="A557" s="5">
        <v>969</v>
      </c>
      <c r="B557" s="5">
        <v>969</v>
      </c>
      <c r="C557" s="5" t="s">
        <v>996</v>
      </c>
      <c r="D557" s="5" t="s">
        <v>997</v>
      </c>
      <c r="E557" s="5" t="s">
        <v>651</v>
      </c>
      <c r="F557" s="5" t="s">
        <v>998</v>
      </c>
      <c r="G557" s="5" t="s">
        <v>999</v>
      </c>
      <c r="H557" s="5" t="s">
        <v>137</v>
      </c>
      <c r="I557" s="5" t="s">
        <v>703</v>
      </c>
      <c r="J557" s="5" t="s">
        <v>572</v>
      </c>
      <c r="K557" s="5" t="s">
        <v>1000</v>
      </c>
      <c r="L557" s="3" t="s">
        <v>139</v>
      </c>
      <c r="M557" s="3" t="s">
        <v>914</v>
      </c>
      <c r="N557" s="5" t="s">
        <v>937</v>
      </c>
      <c r="O557" s="5" t="s">
        <v>141</v>
      </c>
      <c r="P557" s="5" t="s">
        <v>664</v>
      </c>
      <c r="Q557" s="154">
        <v>560</v>
      </c>
      <c r="R557" s="166">
        <v>3.306</v>
      </c>
      <c r="S557" s="168">
        <v>27929</v>
      </c>
      <c r="T557" s="153">
        <v>0.36099999999999999</v>
      </c>
      <c r="U557" s="154">
        <v>518.25900000000001</v>
      </c>
      <c r="V557" s="165">
        <v>0</v>
      </c>
      <c r="W557" s="165">
        <v>3.2913377267265599E-2</v>
      </c>
      <c r="X557" s="165">
        <v>6.8274220108949799E-3</v>
      </c>
    </row>
    <row r="558" spans="1:24">
      <c r="A558" s="5">
        <v>969</v>
      </c>
      <c r="B558" s="5">
        <v>969</v>
      </c>
      <c r="C558" s="5" t="s">
        <v>1001</v>
      </c>
      <c r="E558" s="5" t="s">
        <v>498</v>
      </c>
      <c r="F558" s="5" t="s">
        <v>1002</v>
      </c>
      <c r="G558" s="5" t="s">
        <v>886</v>
      </c>
      <c r="H558" s="5" t="s">
        <v>137</v>
      </c>
      <c r="I558" s="5" t="s">
        <v>703</v>
      </c>
      <c r="J558" s="5" t="s">
        <v>572</v>
      </c>
      <c r="K558" s="5" t="s">
        <v>224</v>
      </c>
      <c r="L558" s="3" t="s">
        <v>139</v>
      </c>
      <c r="M558" s="3" t="s">
        <v>498</v>
      </c>
      <c r="N558" s="5" t="s">
        <v>927</v>
      </c>
      <c r="O558" s="5" t="s">
        <v>141</v>
      </c>
      <c r="P558" s="5" t="s">
        <v>664</v>
      </c>
      <c r="Q558" s="154">
        <v>700</v>
      </c>
      <c r="R558" s="166">
        <v>3.306</v>
      </c>
      <c r="S558" s="168">
        <v>4403</v>
      </c>
      <c r="U558" s="154">
        <v>101.89400000000001</v>
      </c>
      <c r="V558" s="165">
        <v>0</v>
      </c>
      <c r="W558" s="165">
        <v>6.4710507500488701E-3</v>
      </c>
      <c r="X558" s="165">
        <v>1.34232941110065E-3</v>
      </c>
    </row>
    <row r="559" spans="1:24">
      <c r="A559" s="5">
        <v>969</v>
      </c>
      <c r="B559" s="5">
        <v>969</v>
      </c>
      <c r="C559" s="5" t="s">
        <v>1003</v>
      </c>
      <c r="D559" s="5" t="s">
        <v>1004</v>
      </c>
      <c r="E559" s="5" t="s">
        <v>651</v>
      </c>
      <c r="F559" s="5" t="s">
        <v>1005</v>
      </c>
      <c r="G559" s="5" t="s">
        <v>1006</v>
      </c>
      <c r="H559" s="5" t="s">
        <v>137</v>
      </c>
      <c r="I559" s="5" t="s">
        <v>703</v>
      </c>
      <c r="J559" s="5" t="s">
        <v>572</v>
      </c>
      <c r="K559" s="5" t="s">
        <v>224</v>
      </c>
      <c r="L559" s="3" t="s">
        <v>139</v>
      </c>
      <c r="M559" s="3" t="s">
        <v>914</v>
      </c>
      <c r="N559" s="5" t="s">
        <v>663</v>
      </c>
      <c r="O559" s="5" t="s">
        <v>141</v>
      </c>
      <c r="P559" s="5" t="s">
        <v>664</v>
      </c>
      <c r="Q559" s="154">
        <v>411</v>
      </c>
      <c r="R559" s="166">
        <v>3.306</v>
      </c>
      <c r="S559" s="168">
        <v>9797</v>
      </c>
      <c r="U559" s="154">
        <v>133.11799999999999</v>
      </c>
      <c r="V559" s="165">
        <v>0</v>
      </c>
      <c r="W559" s="165">
        <v>8.4540149266642897E-3</v>
      </c>
      <c r="X559" s="165">
        <v>1.7536677297515699E-3</v>
      </c>
    </row>
    <row r="560" spans="1:24">
      <c r="A560" s="5">
        <v>969</v>
      </c>
      <c r="B560" s="5">
        <v>969</v>
      </c>
      <c r="C560" s="5" t="s">
        <v>1007</v>
      </c>
      <c r="D560" s="5" t="s">
        <v>1008</v>
      </c>
      <c r="E560" s="5" t="s">
        <v>651</v>
      </c>
      <c r="F560" s="5" t="s">
        <v>1009</v>
      </c>
      <c r="G560" s="5" t="s">
        <v>1010</v>
      </c>
      <c r="H560" s="5" t="s">
        <v>137</v>
      </c>
      <c r="I560" s="5" t="s">
        <v>703</v>
      </c>
      <c r="J560" s="5" t="s">
        <v>572</v>
      </c>
      <c r="K560" s="5" t="s">
        <v>224</v>
      </c>
      <c r="L560" s="3" t="s">
        <v>139</v>
      </c>
      <c r="M560" s="3" t="s">
        <v>914</v>
      </c>
      <c r="N560" s="5" t="s">
        <v>905</v>
      </c>
      <c r="O560" s="5" t="s">
        <v>141</v>
      </c>
      <c r="P560" s="5" t="s">
        <v>664</v>
      </c>
      <c r="Q560" s="154">
        <v>226</v>
      </c>
      <c r="R560" s="166">
        <v>3.306</v>
      </c>
      <c r="S560" s="168">
        <v>34138</v>
      </c>
      <c r="U560" s="154">
        <v>255.06399999999999</v>
      </c>
      <c r="V560" s="165">
        <v>0</v>
      </c>
      <c r="W560" s="165">
        <v>1.61984922923228E-2</v>
      </c>
      <c r="X560" s="165">
        <v>3.3601517681356198E-3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21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1065</v>
      </c>
      <c r="N1" s="19" t="s">
        <v>125</v>
      </c>
      <c r="O1" s="19" t="s">
        <v>11</v>
      </c>
      <c r="P1" s="19" t="s">
        <v>17</v>
      </c>
      <c r="Q1" s="161" t="s">
        <v>18</v>
      </c>
      <c r="R1" s="167" t="s">
        <v>19</v>
      </c>
      <c r="S1" s="19" t="s">
        <v>16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20">
        <v>1182</v>
      </c>
      <c r="B2" s="20">
        <v>1182</v>
      </c>
      <c r="C2" s="20" t="s">
        <v>1066</v>
      </c>
      <c r="D2" s="20" t="s">
        <v>1067</v>
      </c>
      <c r="E2" s="18" t="s">
        <v>651</v>
      </c>
      <c r="F2" s="20" t="s">
        <v>1068</v>
      </c>
      <c r="G2" s="20" t="s">
        <v>1069</v>
      </c>
      <c r="H2" s="18" t="s">
        <v>137</v>
      </c>
      <c r="I2" s="20" t="s">
        <v>1070</v>
      </c>
      <c r="J2" s="18" t="s">
        <v>572</v>
      </c>
      <c r="K2" s="18" t="s">
        <v>224</v>
      </c>
      <c r="L2" s="18" t="s">
        <v>914</v>
      </c>
      <c r="M2" s="20" t="s">
        <v>1071</v>
      </c>
      <c r="N2" s="20" t="s">
        <v>141</v>
      </c>
      <c r="O2" s="18" t="s">
        <v>664</v>
      </c>
      <c r="P2" s="156">
        <v>4172</v>
      </c>
      <c r="Q2" s="170">
        <v>3.306</v>
      </c>
      <c r="R2" s="171">
        <v>10725</v>
      </c>
      <c r="S2" s="20"/>
      <c r="T2" s="155">
        <v>1479.26</v>
      </c>
      <c r="U2" s="169">
        <v>1.13E-4</v>
      </c>
      <c r="V2" s="169">
        <v>1.9866699134052E-2</v>
      </c>
      <c r="W2" s="169">
        <v>3.2038662665135301E-3</v>
      </c>
    </row>
    <row r="3" spans="1:23">
      <c r="A3" s="20">
        <v>1182</v>
      </c>
      <c r="B3" s="20">
        <v>1182</v>
      </c>
      <c r="C3" s="20" t="s">
        <v>1072</v>
      </c>
      <c r="D3" s="20" t="s">
        <v>1073</v>
      </c>
      <c r="E3" s="18" t="s">
        <v>134</v>
      </c>
      <c r="F3" s="20" t="s">
        <v>1074</v>
      </c>
      <c r="G3" s="20" t="s">
        <v>1075</v>
      </c>
      <c r="H3" s="18" t="s">
        <v>137</v>
      </c>
      <c r="I3" s="20" t="s">
        <v>1076</v>
      </c>
      <c r="J3" s="18" t="s">
        <v>30</v>
      </c>
      <c r="K3" s="18" t="s">
        <v>30</v>
      </c>
      <c r="L3" s="18" t="s">
        <v>31</v>
      </c>
      <c r="M3" s="20" t="s">
        <v>1077</v>
      </c>
      <c r="N3" s="20" t="s">
        <v>141</v>
      </c>
      <c r="O3" s="18" t="s">
        <v>34</v>
      </c>
      <c r="P3" s="156">
        <v>55625</v>
      </c>
      <c r="Q3" s="170">
        <v>1</v>
      </c>
      <c r="R3" s="171">
        <v>4301</v>
      </c>
      <c r="S3" s="20"/>
      <c r="T3" s="155">
        <v>2392.431</v>
      </c>
      <c r="U3" s="169">
        <v>7.9500000000000003E-4</v>
      </c>
      <c r="V3" s="169">
        <v>3.2130740266859997E-2</v>
      </c>
      <c r="W3" s="169">
        <v>5.1816657696624798E-3</v>
      </c>
    </row>
    <row r="4" spans="1:23">
      <c r="A4" s="20">
        <v>1182</v>
      </c>
      <c r="B4" s="20">
        <v>1182</v>
      </c>
      <c r="C4" s="20" t="s">
        <v>1072</v>
      </c>
      <c r="D4" s="20" t="s">
        <v>1073</v>
      </c>
      <c r="E4" s="18" t="s">
        <v>134</v>
      </c>
      <c r="F4" s="20" t="s">
        <v>1078</v>
      </c>
      <c r="G4" s="20" t="s">
        <v>1079</v>
      </c>
      <c r="H4" s="18" t="s">
        <v>137</v>
      </c>
      <c r="I4" s="20" t="s">
        <v>1076</v>
      </c>
      <c r="J4" s="18" t="s">
        <v>30</v>
      </c>
      <c r="K4" s="18" t="s">
        <v>30</v>
      </c>
      <c r="L4" s="18" t="s">
        <v>31</v>
      </c>
      <c r="M4" s="20" t="s">
        <v>1080</v>
      </c>
      <c r="N4" s="20" t="s">
        <v>141</v>
      </c>
      <c r="O4" s="18" t="s">
        <v>34</v>
      </c>
      <c r="P4" s="156">
        <v>13418</v>
      </c>
      <c r="Q4" s="170">
        <v>1</v>
      </c>
      <c r="R4" s="171">
        <v>4757</v>
      </c>
      <c r="S4" s="20"/>
      <c r="T4" s="155">
        <v>638.29399999999998</v>
      </c>
      <c r="U4" s="169">
        <v>2.24E-4</v>
      </c>
      <c r="V4" s="169">
        <v>8.5723955837341808E-3</v>
      </c>
      <c r="W4" s="169">
        <v>1.3824545712709799E-3</v>
      </c>
    </row>
    <row r="5" spans="1:23">
      <c r="A5" s="20">
        <v>1182</v>
      </c>
      <c r="B5" s="20">
        <v>1182</v>
      </c>
      <c r="C5" s="20" t="s">
        <v>1081</v>
      </c>
      <c r="D5" s="20" t="s">
        <v>1082</v>
      </c>
      <c r="E5" s="18" t="s">
        <v>134</v>
      </c>
      <c r="F5" s="20" t="s">
        <v>1083</v>
      </c>
      <c r="G5" s="20" t="s">
        <v>1084</v>
      </c>
      <c r="H5" s="18" t="s">
        <v>137</v>
      </c>
      <c r="I5" s="20" t="s">
        <v>1076</v>
      </c>
      <c r="J5" s="18" t="s">
        <v>30</v>
      </c>
      <c r="K5" s="18" t="s">
        <v>30</v>
      </c>
      <c r="L5" s="18" t="s">
        <v>31</v>
      </c>
      <c r="M5" s="20" t="s">
        <v>1085</v>
      </c>
      <c r="N5" s="20" t="s">
        <v>141</v>
      </c>
      <c r="O5" s="18" t="s">
        <v>34</v>
      </c>
      <c r="P5" s="156">
        <v>70037</v>
      </c>
      <c r="Q5" s="170">
        <v>1</v>
      </c>
      <c r="R5" s="171">
        <v>3192</v>
      </c>
      <c r="S5" s="20"/>
      <c r="T5" s="155">
        <v>2235.5810000000001</v>
      </c>
      <c r="U5" s="169">
        <v>3.39E-4</v>
      </c>
      <c r="V5" s="169">
        <v>3.0024216470904599E-2</v>
      </c>
      <c r="W5" s="169">
        <v>4.8419505263837597E-3</v>
      </c>
    </row>
    <row r="6" spans="1:23">
      <c r="A6" s="20">
        <v>1182</v>
      </c>
      <c r="B6" s="20">
        <v>1182</v>
      </c>
      <c r="C6" s="20" t="s">
        <v>1086</v>
      </c>
      <c r="D6" s="20" t="s">
        <v>1087</v>
      </c>
      <c r="E6" s="18" t="s">
        <v>134</v>
      </c>
      <c r="F6" s="20" t="s">
        <v>1088</v>
      </c>
      <c r="G6" s="20" t="s">
        <v>1089</v>
      </c>
      <c r="H6" s="18" t="s">
        <v>137</v>
      </c>
      <c r="I6" s="20" t="s">
        <v>1070</v>
      </c>
      <c r="J6" s="18" t="s">
        <v>30</v>
      </c>
      <c r="K6" s="18" t="s">
        <v>224</v>
      </c>
      <c r="L6" s="18" t="s">
        <v>31</v>
      </c>
      <c r="M6" s="20" t="s">
        <v>1090</v>
      </c>
      <c r="N6" s="20" t="s">
        <v>141</v>
      </c>
      <c r="O6" s="18" t="s">
        <v>34</v>
      </c>
      <c r="P6" s="156">
        <v>18722</v>
      </c>
      <c r="Q6" s="170">
        <v>1</v>
      </c>
      <c r="R6" s="171">
        <v>12290</v>
      </c>
      <c r="S6" s="20"/>
      <c r="T6" s="155">
        <v>2300.9340000000002</v>
      </c>
      <c r="U6" s="169">
        <v>1.9710000000000001E-3</v>
      </c>
      <c r="V6" s="169">
        <v>3.09019146523184E-2</v>
      </c>
      <c r="W6" s="169">
        <v>4.9834953082641001E-3</v>
      </c>
    </row>
    <row r="7" spans="1:23">
      <c r="A7" s="20">
        <v>1182</v>
      </c>
      <c r="B7" s="20">
        <v>1182</v>
      </c>
      <c r="C7" s="20" t="s">
        <v>1072</v>
      </c>
      <c r="D7" s="20" t="s">
        <v>1073</v>
      </c>
      <c r="E7" s="18" t="s">
        <v>134</v>
      </c>
      <c r="F7" s="20" t="s">
        <v>1091</v>
      </c>
      <c r="G7" s="20" t="s">
        <v>1092</v>
      </c>
      <c r="H7" s="18" t="s">
        <v>137</v>
      </c>
      <c r="I7" s="20" t="s">
        <v>1070</v>
      </c>
      <c r="J7" s="18" t="s">
        <v>30</v>
      </c>
      <c r="K7" s="18" t="s">
        <v>224</v>
      </c>
      <c r="L7" s="18" t="s">
        <v>31</v>
      </c>
      <c r="M7" s="20" t="s">
        <v>1071</v>
      </c>
      <c r="N7" s="20" t="s">
        <v>141</v>
      </c>
      <c r="O7" s="18" t="s">
        <v>34</v>
      </c>
      <c r="P7" s="156">
        <v>4108</v>
      </c>
      <c r="Q7" s="170">
        <v>1</v>
      </c>
      <c r="R7" s="171">
        <v>3273</v>
      </c>
      <c r="S7" s="20"/>
      <c r="T7" s="155">
        <v>134.45500000000001</v>
      </c>
      <c r="U7" s="169">
        <v>2.05E-4</v>
      </c>
      <c r="V7" s="169">
        <v>1.80575033939313E-3</v>
      </c>
      <c r="W7" s="169">
        <v>2.9121005754854901E-4</v>
      </c>
    </row>
    <row r="8" spans="1:23">
      <c r="A8" s="20">
        <v>1182</v>
      </c>
      <c r="B8" s="20">
        <v>1182</v>
      </c>
      <c r="C8" s="20" t="s">
        <v>1093</v>
      </c>
      <c r="D8" s="20" t="s">
        <v>1094</v>
      </c>
      <c r="E8" s="18" t="s">
        <v>651</v>
      </c>
      <c r="F8" s="20" t="s">
        <v>1095</v>
      </c>
      <c r="G8" s="20" t="s">
        <v>1096</v>
      </c>
      <c r="H8" s="18" t="s">
        <v>137</v>
      </c>
      <c r="I8" s="20" t="s">
        <v>1070</v>
      </c>
      <c r="J8" s="18" t="s">
        <v>572</v>
      </c>
      <c r="K8" s="18" t="s">
        <v>224</v>
      </c>
      <c r="L8" s="18" t="s">
        <v>914</v>
      </c>
      <c r="M8" s="20" t="s">
        <v>1071</v>
      </c>
      <c r="N8" s="20" t="s">
        <v>141</v>
      </c>
      <c r="O8" s="18" t="s">
        <v>664</v>
      </c>
      <c r="P8" s="156">
        <v>6561</v>
      </c>
      <c r="Q8" s="170">
        <v>3.306</v>
      </c>
      <c r="R8" s="171">
        <v>8721</v>
      </c>
      <c r="S8" s="20"/>
      <c r="T8" s="155">
        <v>1891.643</v>
      </c>
      <c r="U8" s="169">
        <v>2.9E-5</v>
      </c>
      <c r="V8" s="169">
        <v>2.5405072487567799E-2</v>
      </c>
      <c r="W8" s="169">
        <v>4.0970296168494798E-3</v>
      </c>
    </row>
    <row r="9" spans="1:23">
      <c r="A9" s="20">
        <v>1182</v>
      </c>
      <c r="B9" s="20">
        <v>1182</v>
      </c>
      <c r="C9" s="20" t="s">
        <v>1097</v>
      </c>
      <c r="D9" s="20" t="s">
        <v>1098</v>
      </c>
      <c r="E9" s="18" t="s">
        <v>651</v>
      </c>
      <c r="F9" s="20" t="s">
        <v>1099</v>
      </c>
      <c r="G9" s="20" t="s">
        <v>1100</v>
      </c>
      <c r="H9" s="18" t="s">
        <v>137</v>
      </c>
      <c r="I9" s="20" t="s">
        <v>1070</v>
      </c>
      <c r="J9" s="18" t="s">
        <v>572</v>
      </c>
      <c r="K9" s="18" t="s">
        <v>224</v>
      </c>
      <c r="L9" s="18" t="s">
        <v>914</v>
      </c>
      <c r="M9" s="20" t="s">
        <v>1071</v>
      </c>
      <c r="N9" s="20" t="s">
        <v>141</v>
      </c>
      <c r="O9" s="18" t="s">
        <v>664</v>
      </c>
      <c r="P9" s="156">
        <v>1706</v>
      </c>
      <c r="Q9" s="170">
        <v>3.306</v>
      </c>
      <c r="R9" s="171">
        <v>15545</v>
      </c>
      <c r="S9" s="20"/>
      <c r="T9" s="155">
        <v>876.74400000000003</v>
      </c>
      <c r="U9" s="169">
        <v>8.7999999999999998E-5</v>
      </c>
      <c r="V9" s="169">
        <v>1.1774808897908801E-2</v>
      </c>
      <c r="W9" s="169">
        <v>1.89890191461106E-3</v>
      </c>
    </row>
    <row r="10" spans="1:23">
      <c r="A10" s="20">
        <v>1182</v>
      </c>
      <c r="B10" s="20">
        <v>1182</v>
      </c>
      <c r="C10" s="20" t="s">
        <v>1101</v>
      </c>
      <c r="D10" s="20" t="s">
        <v>1102</v>
      </c>
      <c r="E10" s="18" t="s">
        <v>651</v>
      </c>
      <c r="F10" s="20" t="s">
        <v>1103</v>
      </c>
      <c r="G10" s="20" t="s">
        <v>1104</v>
      </c>
      <c r="H10" s="18" t="s">
        <v>137</v>
      </c>
      <c r="I10" s="20" t="s">
        <v>1070</v>
      </c>
      <c r="J10" s="18" t="s">
        <v>572</v>
      </c>
      <c r="K10" s="18" t="s">
        <v>1063</v>
      </c>
      <c r="L10" s="18" t="s">
        <v>894</v>
      </c>
      <c r="M10" s="20" t="s">
        <v>1071</v>
      </c>
      <c r="N10" s="20" t="s">
        <v>141</v>
      </c>
      <c r="O10" s="18" t="s">
        <v>664</v>
      </c>
      <c r="P10" s="156">
        <v>1427</v>
      </c>
      <c r="Q10" s="170">
        <v>3.306</v>
      </c>
      <c r="R10" s="171">
        <v>15795.9</v>
      </c>
      <c r="S10" s="20"/>
      <c r="T10" s="155">
        <v>745.197</v>
      </c>
      <c r="U10" s="169">
        <v>0</v>
      </c>
      <c r="V10" s="169">
        <v>1.00081190531883E-2</v>
      </c>
      <c r="W10" s="169">
        <v>1.6139910716623099E-3</v>
      </c>
    </row>
    <row r="11" spans="1:23">
      <c r="A11" s="20">
        <v>1182</v>
      </c>
      <c r="B11" s="20">
        <v>1182</v>
      </c>
      <c r="C11" s="20" t="s">
        <v>1101</v>
      </c>
      <c r="D11" s="20" t="s">
        <v>1102</v>
      </c>
      <c r="E11" s="18" t="s">
        <v>651</v>
      </c>
      <c r="F11" s="20" t="s">
        <v>1105</v>
      </c>
      <c r="G11" s="20" t="s">
        <v>1106</v>
      </c>
      <c r="H11" s="18" t="s">
        <v>137</v>
      </c>
      <c r="I11" s="20" t="s">
        <v>1070</v>
      </c>
      <c r="J11" s="18" t="s">
        <v>572</v>
      </c>
      <c r="K11" s="18" t="s">
        <v>1107</v>
      </c>
      <c r="L11" s="18" t="s">
        <v>498</v>
      </c>
      <c r="M11" s="20" t="s">
        <v>1108</v>
      </c>
      <c r="N11" s="20" t="s">
        <v>141</v>
      </c>
      <c r="O11" s="18" t="s">
        <v>664</v>
      </c>
      <c r="P11" s="156">
        <v>5610</v>
      </c>
      <c r="Q11" s="170">
        <v>3.306</v>
      </c>
      <c r="R11" s="171">
        <v>9072.7999999999993</v>
      </c>
      <c r="S11" s="20"/>
      <c r="T11" s="155">
        <v>1682.701</v>
      </c>
      <c r="U11" s="169">
        <v>0</v>
      </c>
      <c r="V11" s="169">
        <v>2.25989526835184E-2</v>
      </c>
      <c r="W11" s="169">
        <v>3.6444918037318902E-3</v>
      </c>
    </row>
    <row r="12" spans="1:23">
      <c r="A12" s="20">
        <v>1182</v>
      </c>
      <c r="B12" s="20">
        <v>1182</v>
      </c>
      <c r="C12" s="20" t="s">
        <v>1101</v>
      </c>
      <c r="D12" s="20" t="s">
        <v>1102</v>
      </c>
      <c r="E12" s="18" t="s">
        <v>651</v>
      </c>
      <c r="F12" s="20" t="s">
        <v>1109</v>
      </c>
      <c r="G12" s="20" t="s">
        <v>1110</v>
      </c>
      <c r="H12" s="18" t="s">
        <v>137</v>
      </c>
      <c r="I12" s="20" t="s">
        <v>1070</v>
      </c>
      <c r="J12" s="18" t="s">
        <v>572</v>
      </c>
      <c r="K12" s="18" t="s">
        <v>224</v>
      </c>
      <c r="L12" s="18" t="s">
        <v>914</v>
      </c>
      <c r="M12" s="20" t="s">
        <v>1111</v>
      </c>
      <c r="N12" s="20" t="s">
        <v>141</v>
      </c>
      <c r="O12" s="18" t="s">
        <v>576</v>
      </c>
      <c r="P12" s="156">
        <v>1956</v>
      </c>
      <c r="Q12" s="170">
        <v>3.8807</v>
      </c>
      <c r="R12" s="171">
        <v>8096.2</v>
      </c>
      <c r="S12" s="20"/>
      <c r="T12" s="155">
        <v>614.55399999999997</v>
      </c>
      <c r="U12" s="169">
        <v>0</v>
      </c>
      <c r="V12" s="169">
        <v>8.2535619233805296E-3</v>
      </c>
      <c r="W12" s="169">
        <v>1.3310368494771701E-3</v>
      </c>
    </row>
    <row r="13" spans="1:23">
      <c r="A13" s="20">
        <v>1182</v>
      </c>
      <c r="B13" s="20">
        <v>1182</v>
      </c>
      <c r="C13" s="20" t="s">
        <v>1093</v>
      </c>
      <c r="D13" s="20" t="s">
        <v>1094</v>
      </c>
      <c r="E13" s="18" t="s">
        <v>651</v>
      </c>
      <c r="F13" s="20" t="s">
        <v>1112</v>
      </c>
      <c r="G13" s="20" t="s">
        <v>1113</v>
      </c>
      <c r="H13" s="18" t="s">
        <v>137</v>
      </c>
      <c r="I13" s="20" t="s">
        <v>1070</v>
      </c>
      <c r="J13" s="18" t="s">
        <v>572</v>
      </c>
      <c r="K13" s="18" t="s">
        <v>224</v>
      </c>
      <c r="L13" s="18" t="s">
        <v>914</v>
      </c>
      <c r="M13" s="20" t="s">
        <v>1071</v>
      </c>
      <c r="N13" s="20" t="s">
        <v>141</v>
      </c>
      <c r="O13" s="18" t="s">
        <v>664</v>
      </c>
      <c r="P13" s="156">
        <v>2166</v>
      </c>
      <c r="Q13" s="170">
        <v>3.306</v>
      </c>
      <c r="R13" s="171">
        <v>11837</v>
      </c>
      <c r="S13" s="20"/>
      <c r="T13" s="155">
        <v>847.62300000000005</v>
      </c>
      <c r="U13" s="169">
        <v>1.2999999999999999E-5</v>
      </c>
      <c r="V13" s="169">
        <v>1.13837202356795E-2</v>
      </c>
      <c r="W13" s="169">
        <v>1.83583176069784E-3</v>
      </c>
    </row>
    <row r="14" spans="1:23">
      <c r="A14" s="20">
        <v>1182</v>
      </c>
      <c r="B14" s="20">
        <v>1182</v>
      </c>
      <c r="C14" s="20" t="s">
        <v>1093</v>
      </c>
      <c r="D14" s="20" t="s">
        <v>1094</v>
      </c>
      <c r="E14" s="18" t="s">
        <v>651</v>
      </c>
      <c r="F14" s="20" t="s">
        <v>1114</v>
      </c>
      <c r="G14" s="20" t="s">
        <v>1115</v>
      </c>
      <c r="H14" s="18" t="s">
        <v>137</v>
      </c>
      <c r="I14" s="20" t="s">
        <v>1070</v>
      </c>
      <c r="J14" s="18" t="s">
        <v>572</v>
      </c>
      <c r="K14" s="18" t="s">
        <v>224</v>
      </c>
      <c r="L14" s="18" t="s">
        <v>914</v>
      </c>
      <c r="M14" s="20" t="s">
        <v>1071</v>
      </c>
      <c r="N14" s="20" t="s">
        <v>141</v>
      </c>
      <c r="O14" s="18" t="s">
        <v>664</v>
      </c>
      <c r="P14" s="156">
        <v>870</v>
      </c>
      <c r="Q14" s="170">
        <v>3.306</v>
      </c>
      <c r="R14" s="171">
        <v>23964</v>
      </c>
      <c r="S14" s="20"/>
      <c r="T14" s="155">
        <v>689.25699999999995</v>
      </c>
      <c r="U14" s="169">
        <v>9.0000000000000002E-6</v>
      </c>
      <c r="V14" s="169">
        <v>9.2568383049194194E-3</v>
      </c>
      <c r="W14" s="169">
        <v>1.4928333982200199E-3</v>
      </c>
    </row>
    <row r="15" spans="1:23">
      <c r="A15" s="20">
        <v>1182</v>
      </c>
      <c r="B15" s="20">
        <v>1182</v>
      </c>
      <c r="C15" s="20" t="s">
        <v>1116</v>
      </c>
      <c r="D15" s="20" t="s">
        <v>1117</v>
      </c>
      <c r="E15" s="18" t="s">
        <v>651</v>
      </c>
      <c r="F15" s="20" t="s">
        <v>1118</v>
      </c>
      <c r="G15" s="20" t="s">
        <v>1119</v>
      </c>
      <c r="H15" s="18" t="s">
        <v>137</v>
      </c>
      <c r="I15" s="20" t="s">
        <v>1070</v>
      </c>
      <c r="J15" s="18" t="s">
        <v>572</v>
      </c>
      <c r="K15" s="18" t="s">
        <v>1120</v>
      </c>
      <c r="L15" s="18" t="s">
        <v>498</v>
      </c>
      <c r="M15" s="20" t="s">
        <v>1071</v>
      </c>
      <c r="N15" s="20" t="s">
        <v>141</v>
      </c>
      <c r="O15" s="18" t="s">
        <v>576</v>
      </c>
      <c r="P15" s="156">
        <v>15110</v>
      </c>
      <c r="Q15" s="170">
        <v>3.8807</v>
      </c>
      <c r="R15" s="171">
        <v>10084</v>
      </c>
      <c r="S15" s="20"/>
      <c r="T15" s="155">
        <v>5912.9930000000004</v>
      </c>
      <c r="U15" s="169">
        <v>0</v>
      </c>
      <c r="V15" s="169">
        <v>7.9412457678423004E-2</v>
      </c>
      <c r="W15" s="169">
        <v>1.2806701937753601E-2</v>
      </c>
    </row>
    <row r="16" spans="1:23">
      <c r="A16" s="20">
        <v>1182</v>
      </c>
      <c r="B16" s="20">
        <v>1182</v>
      </c>
      <c r="C16" s="20" t="s">
        <v>1093</v>
      </c>
      <c r="D16" s="20" t="s">
        <v>1094</v>
      </c>
      <c r="E16" s="18" t="s">
        <v>651</v>
      </c>
      <c r="F16" s="20" t="s">
        <v>1121</v>
      </c>
      <c r="G16" s="20" t="s">
        <v>1122</v>
      </c>
      <c r="H16" s="18" t="s">
        <v>137</v>
      </c>
      <c r="I16" s="20" t="s">
        <v>1070</v>
      </c>
      <c r="J16" s="18" t="s">
        <v>572</v>
      </c>
      <c r="K16" s="18" t="s">
        <v>224</v>
      </c>
      <c r="L16" s="18" t="s">
        <v>914</v>
      </c>
      <c r="M16" s="20" t="s">
        <v>1123</v>
      </c>
      <c r="N16" s="20" t="s">
        <v>141</v>
      </c>
      <c r="O16" s="18" t="s">
        <v>664</v>
      </c>
      <c r="P16" s="156">
        <v>37952</v>
      </c>
      <c r="Q16" s="170">
        <v>3.306</v>
      </c>
      <c r="R16" s="171">
        <v>5387</v>
      </c>
      <c r="S16" s="20"/>
      <c r="T16" s="155">
        <v>6759.0320000000002</v>
      </c>
      <c r="U16" s="169">
        <v>4.1999999999999998E-5</v>
      </c>
      <c r="V16" s="169">
        <v>9.07748953806813E-2</v>
      </c>
      <c r="W16" s="169">
        <v>1.4639101503176599E-2</v>
      </c>
    </row>
    <row r="17" spans="1:23">
      <c r="A17" s="20">
        <v>1182</v>
      </c>
      <c r="B17" s="20">
        <v>1182</v>
      </c>
      <c r="C17" s="20" t="s">
        <v>1124</v>
      </c>
      <c r="D17" s="20" t="s">
        <v>1125</v>
      </c>
      <c r="E17" s="18" t="s">
        <v>651</v>
      </c>
      <c r="F17" s="20" t="s">
        <v>1126</v>
      </c>
      <c r="G17" s="20" t="s">
        <v>1127</v>
      </c>
      <c r="H17" s="18" t="s">
        <v>137</v>
      </c>
      <c r="I17" s="20" t="s">
        <v>1070</v>
      </c>
      <c r="J17" s="18" t="s">
        <v>572</v>
      </c>
      <c r="K17" s="18" t="s">
        <v>797</v>
      </c>
      <c r="L17" s="18" t="s">
        <v>894</v>
      </c>
      <c r="M17" s="20" t="s">
        <v>1090</v>
      </c>
      <c r="N17" s="20" t="s">
        <v>141</v>
      </c>
      <c r="O17" s="18" t="s">
        <v>664</v>
      </c>
      <c r="P17" s="156">
        <v>2361</v>
      </c>
      <c r="Q17" s="170">
        <v>3.306</v>
      </c>
      <c r="R17" s="171">
        <v>15108</v>
      </c>
      <c r="S17" s="20"/>
      <c r="T17" s="155">
        <v>1179.25</v>
      </c>
      <c r="U17" s="169">
        <v>3.3E-4</v>
      </c>
      <c r="V17" s="169">
        <v>1.5837516392136899E-2</v>
      </c>
      <c r="W17" s="169">
        <v>2.5540873283347999E-3</v>
      </c>
    </row>
    <row r="18" spans="1:23">
      <c r="A18" s="20">
        <v>1182</v>
      </c>
      <c r="B18" s="20">
        <v>1182</v>
      </c>
      <c r="C18" s="20" t="s">
        <v>1128</v>
      </c>
      <c r="D18" s="20" t="s">
        <v>1129</v>
      </c>
      <c r="E18" s="18" t="s">
        <v>651</v>
      </c>
      <c r="F18" s="20" t="s">
        <v>1130</v>
      </c>
      <c r="G18" s="20" t="s">
        <v>1131</v>
      </c>
      <c r="H18" s="18" t="s">
        <v>137</v>
      </c>
      <c r="I18" s="20" t="s">
        <v>1070</v>
      </c>
      <c r="J18" s="18" t="s">
        <v>572</v>
      </c>
      <c r="K18" s="18" t="s">
        <v>942</v>
      </c>
      <c r="L18" s="18" t="s">
        <v>914</v>
      </c>
      <c r="M18" s="20" t="s">
        <v>1071</v>
      </c>
      <c r="N18" s="20" t="s">
        <v>141</v>
      </c>
      <c r="O18" s="18" t="s">
        <v>664</v>
      </c>
      <c r="P18" s="156">
        <v>10953</v>
      </c>
      <c r="Q18" s="170">
        <v>3.306</v>
      </c>
      <c r="R18" s="171">
        <v>4763</v>
      </c>
      <c r="S18" s="20"/>
      <c r="T18" s="155">
        <v>1724.712</v>
      </c>
      <c r="U18" s="169">
        <v>7.2999999999999999E-5</v>
      </c>
      <c r="V18" s="169">
        <v>2.3163158733783901E-2</v>
      </c>
      <c r="W18" s="169">
        <v>3.73548028247268E-3</v>
      </c>
    </row>
    <row r="19" spans="1:23">
      <c r="A19" s="20">
        <v>1182</v>
      </c>
      <c r="B19" s="20">
        <v>1182</v>
      </c>
      <c r="C19" s="20" t="s">
        <v>1093</v>
      </c>
      <c r="D19" s="20" t="s">
        <v>1094</v>
      </c>
      <c r="E19" s="18" t="s">
        <v>651</v>
      </c>
      <c r="F19" s="20" t="s">
        <v>1132</v>
      </c>
      <c r="G19" s="20" t="s">
        <v>1133</v>
      </c>
      <c r="H19" s="18" t="s">
        <v>137</v>
      </c>
      <c r="I19" s="20" t="s">
        <v>1070</v>
      </c>
      <c r="J19" s="18" t="s">
        <v>572</v>
      </c>
      <c r="K19" s="18" t="s">
        <v>224</v>
      </c>
      <c r="L19" s="18" t="s">
        <v>914</v>
      </c>
      <c r="M19" s="20" t="s">
        <v>1134</v>
      </c>
      <c r="N19" s="20" t="s">
        <v>141</v>
      </c>
      <c r="O19" s="18" t="s">
        <v>664</v>
      </c>
      <c r="P19" s="156">
        <v>6243</v>
      </c>
      <c r="Q19" s="170">
        <v>3.306</v>
      </c>
      <c r="R19" s="171">
        <v>13917</v>
      </c>
      <c r="S19" s="20"/>
      <c r="T19" s="155">
        <v>2872.3789999999999</v>
      </c>
      <c r="U19" s="169">
        <v>2.0999999999999999E-5</v>
      </c>
      <c r="V19" s="169">
        <v>3.8576522584592703E-2</v>
      </c>
      <c r="W19" s="169">
        <v>6.2211653055303101E-3</v>
      </c>
    </row>
    <row r="20" spans="1:23">
      <c r="A20" s="3">
        <v>1182</v>
      </c>
      <c r="B20" s="3">
        <v>1182</v>
      </c>
      <c r="C20" s="3" t="s">
        <v>1093</v>
      </c>
      <c r="D20" s="3" t="s">
        <v>1094</v>
      </c>
      <c r="E20" s="18" t="s">
        <v>651</v>
      </c>
      <c r="F20" s="3" t="s">
        <v>1135</v>
      </c>
      <c r="G20" s="3" t="s">
        <v>1136</v>
      </c>
      <c r="H20" s="18" t="s">
        <v>137</v>
      </c>
      <c r="I20" s="20" t="s">
        <v>1070</v>
      </c>
      <c r="J20" s="18" t="s">
        <v>572</v>
      </c>
      <c r="K20" s="18" t="s">
        <v>224</v>
      </c>
      <c r="L20" s="18" t="s">
        <v>914</v>
      </c>
      <c r="M20" s="20" t="s">
        <v>1071</v>
      </c>
      <c r="N20" s="20" t="s">
        <v>141</v>
      </c>
      <c r="O20" s="3" t="s">
        <v>664</v>
      </c>
      <c r="P20" s="156">
        <v>3061</v>
      </c>
      <c r="Q20" s="162">
        <v>3.306</v>
      </c>
      <c r="R20" s="172">
        <v>15423</v>
      </c>
      <c r="T20" s="153">
        <v>1560.7560000000001</v>
      </c>
      <c r="U20" s="164">
        <v>2.1999999999999999E-5</v>
      </c>
      <c r="V20" s="164">
        <v>2.09612077492724E-2</v>
      </c>
      <c r="W20" s="164">
        <v>3.3803756708716101E-3</v>
      </c>
    </row>
    <row r="21" spans="1:23" s="39" customFormat="1">
      <c r="A21" s="39">
        <v>1182</v>
      </c>
      <c r="B21" s="39">
        <v>1182</v>
      </c>
      <c r="C21" s="39" t="s">
        <v>1066</v>
      </c>
      <c r="D21" s="39" t="s">
        <v>1067</v>
      </c>
      <c r="E21" s="42" t="s">
        <v>651</v>
      </c>
      <c r="F21" s="39" t="s">
        <v>1137</v>
      </c>
      <c r="G21" s="39" t="s">
        <v>1138</v>
      </c>
      <c r="H21" s="42" t="s">
        <v>137</v>
      </c>
      <c r="I21" s="39" t="s">
        <v>1070</v>
      </c>
      <c r="J21" s="39" t="s">
        <v>572</v>
      </c>
      <c r="K21" s="39" t="s">
        <v>566</v>
      </c>
      <c r="L21" s="42" t="s">
        <v>1139</v>
      </c>
      <c r="M21" s="38" t="s">
        <v>1140</v>
      </c>
      <c r="N21" s="39" t="s">
        <v>141</v>
      </c>
      <c r="O21" s="39" t="s">
        <v>1141</v>
      </c>
      <c r="P21" s="154">
        <v>117642</v>
      </c>
      <c r="Q21" s="162">
        <v>4.4409000000000001</v>
      </c>
      <c r="R21" s="172">
        <v>908.4</v>
      </c>
      <c r="T21" s="153">
        <v>4745.8119999999999</v>
      </c>
      <c r="U21" s="164">
        <v>1.9000000000000001E-4</v>
      </c>
      <c r="V21" s="164">
        <v>6.3737024287353797E-2</v>
      </c>
      <c r="W21" s="164">
        <v>1.02787534388233E-2</v>
      </c>
    </row>
    <row r="22" spans="1:23">
      <c r="A22" s="3">
        <v>1182</v>
      </c>
      <c r="B22" s="3">
        <v>1182</v>
      </c>
      <c r="C22" s="3" t="s">
        <v>1066</v>
      </c>
      <c r="D22" s="3" t="s">
        <v>1067</v>
      </c>
      <c r="E22" s="5" t="s">
        <v>651</v>
      </c>
      <c r="F22" s="3" t="s">
        <v>1142</v>
      </c>
      <c r="G22" s="3" t="s">
        <v>1143</v>
      </c>
      <c r="H22" s="3" t="s">
        <v>137</v>
      </c>
      <c r="I22" s="3" t="s">
        <v>1070</v>
      </c>
      <c r="J22" s="3" t="s">
        <v>572</v>
      </c>
      <c r="K22" s="3" t="s">
        <v>1000</v>
      </c>
      <c r="L22" s="5" t="s">
        <v>914</v>
      </c>
      <c r="M22" s="3" t="s">
        <v>1144</v>
      </c>
      <c r="N22" s="3" t="s">
        <v>141</v>
      </c>
      <c r="O22" s="3" t="s">
        <v>664</v>
      </c>
      <c r="P22" s="154">
        <v>35218</v>
      </c>
      <c r="Q22" s="162">
        <v>3.306</v>
      </c>
      <c r="R22" s="172">
        <v>4114</v>
      </c>
      <c r="T22" s="153">
        <v>4789.9589999999998</v>
      </c>
      <c r="U22" s="164">
        <v>2.0599999999999999E-4</v>
      </c>
      <c r="V22" s="164">
        <v>6.4329931749769795E-2</v>
      </c>
      <c r="W22" s="164">
        <v>1.0374370541854999E-2</v>
      </c>
    </row>
    <row r="23" spans="1:23">
      <c r="A23" s="3">
        <v>1182</v>
      </c>
      <c r="B23" s="3">
        <v>1182</v>
      </c>
      <c r="C23" s="3" t="s">
        <v>1066</v>
      </c>
      <c r="D23" s="3" t="s">
        <v>1067</v>
      </c>
      <c r="E23" s="5" t="s">
        <v>651</v>
      </c>
      <c r="F23" s="3" t="s">
        <v>1145</v>
      </c>
      <c r="G23" s="3" t="s">
        <v>1146</v>
      </c>
      <c r="H23" s="3" t="s">
        <v>137</v>
      </c>
      <c r="I23" s="3" t="s">
        <v>1147</v>
      </c>
      <c r="J23" s="3" t="s">
        <v>572</v>
      </c>
      <c r="K23" s="3" t="s">
        <v>1148</v>
      </c>
      <c r="L23" s="3" t="s">
        <v>1139</v>
      </c>
      <c r="M23" s="3" t="s">
        <v>1108</v>
      </c>
      <c r="N23" s="3" t="s">
        <v>141</v>
      </c>
      <c r="O23" s="3" t="s">
        <v>664</v>
      </c>
      <c r="P23" s="154">
        <v>83057</v>
      </c>
      <c r="Q23" s="162">
        <v>3.306</v>
      </c>
      <c r="R23" s="172">
        <v>661.1</v>
      </c>
      <c r="T23" s="153">
        <v>1815.2909999999999</v>
      </c>
      <c r="U23" s="164">
        <v>0</v>
      </c>
      <c r="V23" s="164">
        <v>2.4379652541144901E-2</v>
      </c>
      <c r="W23" s="164">
        <v>3.9316620158612002E-3</v>
      </c>
    </row>
    <row r="24" spans="1:23">
      <c r="A24" s="3">
        <v>1182</v>
      </c>
      <c r="B24" s="3">
        <v>1182</v>
      </c>
      <c r="C24" s="3" t="s">
        <v>1066</v>
      </c>
      <c r="D24" s="3" t="s">
        <v>1067</v>
      </c>
      <c r="E24" s="5" t="s">
        <v>651</v>
      </c>
      <c r="F24" s="3" t="s">
        <v>1149</v>
      </c>
      <c r="G24" s="3" t="s">
        <v>1150</v>
      </c>
      <c r="H24" s="3" t="s">
        <v>137</v>
      </c>
      <c r="I24" s="3" t="s">
        <v>1070</v>
      </c>
      <c r="J24" s="3" t="s">
        <v>572</v>
      </c>
      <c r="K24" s="3" t="s">
        <v>224</v>
      </c>
      <c r="L24" s="3" t="s">
        <v>894</v>
      </c>
      <c r="M24" s="3" t="s">
        <v>1108</v>
      </c>
      <c r="N24" s="3" t="s">
        <v>141</v>
      </c>
      <c r="O24" s="3" t="s">
        <v>664</v>
      </c>
      <c r="P24" s="154">
        <v>3387</v>
      </c>
      <c r="Q24" s="162">
        <v>3.306</v>
      </c>
      <c r="R24" s="172">
        <v>6751</v>
      </c>
      <c r="T24" s="153">
        <v>755.93799999999999</v>
      </c>
      <c r="U24" s="164">
        <v>0</v>
      </c>
      <c r="V24" s="164">
        <v>1.0152369571981699E-2</v>
      </c>
      <c r="W24" s="164">
        <v>1.6372540892361199E-3</v>
      </c>
    </row>
    <row r="25" spans="1:23">
      <c r="A25" s="3">
        <v>1182</v>
      </c>
      <c r="B25" s="3">
        <v>1182</v>
      </c>
      <c r="C25" s="3" t="s">
        <v>1066</v>
      </c>
      <c r="D25" s="3" t="s">
        <v>1067</v>
      </c>
      <c r="E25" s="5" t="s">
        <v>651</v>
      </c>
      <c r="F25" s="3" t="s">
        <v>1151</v>
      </c>
      <c r="G25" s="3" t="s">
        <v>1152</v>
      </c>
      <c r="H25" s="3" t="s">
        <v>137</v>
      </c>
      <c r="I25" s="3" t="s">
        <v>1070</v>
      </c>
      <c r="J25" s="3" t="s">
        <v>572</v>
      </c>
      <c r="K25" s="3" t="s">
        <v>1120</v>
      </c>
      <c r="L25" s="3" t="s">
        <v>1153</v>
      </c>
      <c r="M25" s="3" t="s">
        <v>1111</v>
      </c>
      <c r="N25" s="3" t="s">
        <v>141</v>
      </c>
      <c r="O25" s="3" t="s">
        <v>576</v>
      </c>
      <c r="P25" s="154">
        <v>3781</v>
      </c>
      <c r="Q25" s="162">
        <v>3.8807</v>
      </c>
      <c r="R25" s="172">
        <v>10690</v>
      </c>
      <c r="T25" s="153">
        <v>1568.5360000000001</v>
      </c>
      <c r="U25" s="164">
        <v>7.5900000000000002E-4</v>
      </c>
      <c r="V25" s="164">
        <v>2.1065691418647399E-2</v>
      </c>
      <c r="W25" s="164">
        <v>3.3972255613065401E-3</v>
      </c>
    </row>
    <row r="26" spans="1:23">
      <c r="A26" s="3">
        <v>1182</v>
      </c>
      <c r="B26" s="3">
        <v>1182</v>
      </c>
      <c r="C26" s="3" t="s">
        <v>1154</v>
      </c>
      <c r="D26" s="3" t="s">
        <v>1102</v>
      </c>
      <c r="E26" s="5" t="s">
        <v>651</v>
      </c>
      <c r="F26" s="3" t="s">
        <v>1155</v>
      </c>
      <c r="G26" s="9" t="s">
        <v>1156</v>
      </c>
      <c r="H26" s="3" t="s">
        <v>137</v>
      </c>
      <c r="I26" s="3" t="s">
        <v>1070</v>
      </c>
      <c r="J26" s="3" t="s">
        <v>572</v>
      </c>
      <c r="K26" s="3" t="s">
        <v>1120</v>
      </c>
      <c r="L26" s="3" t="s">
        <v>1157</v>
      </c>
      <c r="M26" s="3" t="s">
        <v>1111</v>
      </c>
      <c r="N26" s="3" t="s">
        <v>141</v>
      </c>
      <c r="O26" s="3" t="s">
        <v>576</v>
      </c>
      <c r="P26" s="154">
        <v>1297</v>
      </c>
      <c r="Q26" s="162">
        <v>3.8807</v>
      </c>
      <c r="R26" s="172">
        <v>26801</v>
      </c>
      <c r="T26" s="153">
        <v>1348.9659999999999</v>
      </c>
      <c r="U26" s="164">
        <v>5.8E-5</v>
      </c>
      <c r="V26" s="164">
        <v>1.8116834223735199E-2</v>
      </c>
      <c r="W26" s="164">
        <v>2.9216687499915E-3</v>
      </c>
    </row>
    <row r="27" spans="1:23">
      <c r="A27" s="3">
        <v>1182</v>
      </c>
      <c r="B27" s="3">
        <v>1182</v>
      </c>
      <c r="C27" s="3" t="s">
        <v>1154</v>
      </c>
      <c r="D27" s="3" t="s">
        <v>1102</v>
      </c>
      <c r="E27" s="5" t="s">
        <v>651</v>
      </c>
      <c r="F27" s="3" t="s">
        <v>1158</v>
      </c>
      <c r="G27" s="3" t="s">
        <v>1159</v>
      </c>
      <c r="H27" s="3" t="s">
        <v>137</v>
      </c>
      <c r="I27" s="3" t="s">
        <v>1070</v>
      </c>
      <c r="J27" s="3" t="s">
        <v>572</v>
      </c>
      <c r="K27" s="3" t="s">
        <v>1063</v>
      </c>
      <c r="L27" s="3" t="s">
        <v>1157</v>
      </c>
      <c r="M27" s="3" t="s">
        <v>1111</v>
      </c>
      <c r="N27" s="3" t="s">
        <v>141</v>
      </c>
      <c r="O27" s="3" t="s">
        <v>576</v>
      </c>
      <c r="P27" s="154">
        <v>1844</v>
      </c>
      <c r="Q27" s="162">
        <v>3.8807</v>
      </c>
      <c r="R27" s="172">
        <v>13635.6</v>
      </c>
      <c r="T27" s="153">
        <v>975.76499999999999</v>
      </c>
      <c r="U27" s="164">
        <v>5.7399999999999997E-4</v>
      </c>
      <c r="V27" s="164">
        <v>1.31046825501283E-2</v>
      </c>
      <c r="W27" s="164">
        <v>2.1133682083985402E-3</v>
      </c>
    </row>
    <row r="28" spans="1:23">
      <c r="A28" s="3">
        <v>1182</v>
      </c>
      <c r="B28" s="3">
        <v>1182</v>
      </c>
      <c r="C28" s="3" t="s">
        <v>1093</v>
      </c>
      <c r="D28" s="3" t="s">
        <v>1094</v>
      </c>
      <c r="E28" s="5" t="s">
        <v>651</v>
      </c>
      <c r="F28" s="3" t="s">
        <v>1160</v>
      </c>
      <c r="G28" s="3" t="s">
        <v>1161</v>
      </c>
      <c r="H28" s="3" t="s">
        <v>137</v>
      </c>
      <c r="I28" s="3" t="s">
        <v>1070</v>
      </c>
      <c r="J28" s="3" t="s">
        <v>572</v>
      </c>
      <c r="K28" s="3" t="s">
        <v>224</v>
      </c>
      <c r="L28" s="3" t="s">
        <v>914</v>
      </c>
      <c r="M28" s="3" t="s">
        <v>1071</v>
      </c>
      <c r="N28" s="3" t="s">
        <v>141</v>
      </c>
      <c r="O28" s="3" t="s">
        <v>664</v>
      </c>
      <c r="P28" s="154">
        <v>2853</v>
      </c>
      <c r="Q28" s="162">
        <v>3.306</v>
      </c>
      <c r="R28" s="172">
        <v>8962</v>
      </c>
      <c r="T28" s="153">
        <v>845.29700000000003</v>
      </c>
      <c r="U28" s="164">
        <v>3.6999999999999998E-5</v>
      </c>
      <c r="V28" s="164">
        <v>1.13524820893901E-2</v>
      </c>
      <c r="W28" s="164">
        <v>1.83079404192787E-3</v>
      </c>
    </row>
    <row r="29" spans="1:23">
      <c r="A29" s="3">
        <v>1182</v>
      </c>
      <c r="B29" s="3">
        <v>1182</v>
      </c>
      <c r="C29" s="3" t="s">
        <v>1162</v>
      </c>
      <c r="D29" s="3" t="s">
        <v>1163</v>
      </c>
      <c r="E29" s="5" t="s">
        <v>651</v>
      </c>
      <c r="F29" s="3" t="s">
        <v>1164</v>
      </c>
      <c r="G29" s="3" t="s">
        <v>1165</v>
      </c>
      <c r="H29" s="3" t="s">
        <v>137</v>
      </c>
      <c r="I29" s="3" t="s">
        <v>1070</v>
      </c>
      <c r="J29" s="3" t="s">
        <v>572</v>
      </c>
      <c r="K29" s="3" t="s">
        <v>224</v>
      </c>
      <c r="L29" s="3" t="s">
        <v>914</v>
      </c>
      <c r="M29" s="3" t="s">
        <v>1090</v>
      </c>
      <c r="N29" s="3" t="s">
        <v>141</v>
      </c>
      <c r="O29" s="3" t="s">
        <v>664</v>
      </c>
      <c r="P29" s="154">
        <v>10150</v>
      </c>
      <c r="Q29" s="162">
        <v>3.306</v>
      </c>
      <c r="R29" s="172">
        <v>9964.5</v>
      </c>
      <c r="T29" s="153">
        <v>3343.6779999999999</v>
      </c>
      <c r="U29" s="164">
        <v>2.04E-4</v>
      </c>
      <c r="V29" s="164">
        <v>4.4906133994435202E-2</v>
      </c>
      <c r="W29" s="164">
        <v>7.2419301713642402E-3</v>
      </c>
    </row>
    <row r="30" spans="1:23">
      <c r="A30" s="3">
        <v>1182</v>
      </c>
      <c r="B30" s="3">
        <v>1182</v>
      </c>
      <c r="C30" s="3" t="s">
        <v>1093</v>
      </c>
      <c r="D30" s="3" t="s">
        <v>1094</v>
      </c>
      <c r="E30" s="5" t="s">
        <v>651</v>
      </c>
      <c r="F30" s="3" t="s">
        <v>1166</v>
      </c>
      <c r="G30" s="3" t="s">
        <v>1167</v>
      </c>
      <c r="H30" s="3" t="s">
        <v>137</v>
      </c>
      <c r="I30" s="3" t="s">
        <v>1070</v>
      </c>
      <c r="J30" s="3" t="s">
        <v>572</v>
      </c>
      <c r="K30" s="3" t="s">
        <v>224</v>
      </c>
      <c r="L30" s="3" t="s">
        <v>914</v>
      </c>
      <c r="M30" s="3" t="s">
        <v>1071</v>
      </c>
      <c r="N30" s="3" t="s">
        <v>141</v>
      </c>
      <c r="O30" s="3" t="s">
        <v>664</v>
      </c>
      <c r="P30" s="154">
        <v>4557</v>
      </c>
      <c r="Q30" s="162">
        <v>3.306</v>
      </c>
      <c r="R30" s="172">
        <v>8934</v>
      </c>
      <c r="T30" s="153">
        <v>1345.9469999999999</v>
      </c>
      <c r="U30" s="164">
        <v>1.0000000000000001E-5</v>
      </c>
      <c r="V30" s="164">
        <v>1.8076281289625799E-2</v>
      </c>
      <c r="W30" s="164">
        <v>2.9151288524109E-3</v>
      </c>
    </row>
    <row r="31" spans="1:23">
      <c r="A31" s="3">
        <v>1182</v>
      </c>
      <c r="B31" s="3">
        <v>1182</v>
      </c>
      <c r="C31" s="3" t="s">
        <v>1097</v>
      </c>
      <c r="D31" s="3" t="s">
        <v>1098</v>
      </c>
      <c r="E31" s="5" t="s">
        <v>651</v>
      </c>
      <c r="F31" s="3" t="s">
        <v>1168</v>
      </c>
      <c r="G31" s="3" t="s">
        <v>1169</v>
      </c>
      <c r="H31" s="3" t="s">
        <v>137</v>
      </c>
      <c r="I31" s="3" t="s">
        <v>1070</v>
      </c>
      <c r="J31" s="3" t="s">
        <v>572</v>
      </c>
      <c r="K31" s="3" t="s">
        <v>224</v>
      </c>
      <c r="L31" s="3" t="s">
        <v>894</v>
      </c>
      <c r="M31" s="3" t="s">
        <v>1090</v>
      </c>
      <c r="N31" s="3" t="s">
        <v>141</v>
      </c>
      <c r="O31" s="3" t="s">
        <v>664</v>
      </c>
      <c r="P31" s="154">
        <v>1596</v>
      </c>
      <c r="Q31" s="162">
        <v>3.306</v>
      </c>
      <c r="R31" s="172">
        <v>60037</v>
      </c>
      <c r="S31" s="153">
        <v>0.82399999999999995</v>
      </c>
      <c r="T31" s="153">
        <v>3170.5030000000002</v>
      </c>
      <c r="U31" s="164">
        <v>3.0000000000000001E-6</v>
      </c>
      <c r="V31" s="164">
        <v>4.2580373186810898E-2</v>
      </c>
      <c r="W31" s="164">
        <v>6.86685897583006E-3</v>
      </c>
    </row>
    <row r="32" spans="1:23">
      <c r="A32" s="3">
        <v>1182</v>
      </c>
      <c r="B32" s="3">
        <v>1182</v>
      </c>
      <c r="C32" s="3" t="s">
        <v>1093</v>
      </c>
      <c r="D32" s="3" t="s">
        <v>1094</v>
      </c>
      <c r="E32" s="5" t="s">
        <v>651</v>
      </c>
      <c r="F32" s="3" t="s">
        <v>1170</v>
      </c>
      <c r="G32" s="3" t="s">
        <v>1171</v>
      </c>
      <c r="H32" s="3" t="s">
        <v>137</v>
      </c>
      <c r="I32" s="3" t="s">
        <v>1070</v>
      </c>
      <c r="J32" s="3" t="s">
        <v>572</v>
      </c>
      <c r="K32" s="3" t="s">
        <v>224</v>
      </c>
      <c r="L32" s="3" t="s">
        <v>914</v>
      </c>
      <c r="M32" s="3" t="s">
        <v>1172</v>
      </c>
      <c r="N32" s="3" t="s">
        <v>141</v>
      </c>
      <c r="O32" s="3" t="s">
        <v>664</v>
      </c>
      <c r="P32" s="154">
        <v>4858</v>
      </c>
      <c r="Q32" s="162">
        <v>3.306</v>
      </c>
      <c r="R32" s="172">
        <v>4213</v>
      </c>
      <c r="T32" s="153">
        <v>676.63099999999997</v>
      </c>
      <c r="U32" s="164">
        <v>7.8999999999999996E-5</v>
      </c>
      <c r="V32" s="164">
        <v>9.0872627142132099E-3</v>
      </c>
      <c r="W32" s="164">
        <v>1.46548625257585E-3</v>
      </c>
    </row>
    <row r="33" spans="1:23">
      <c r="A33" s="3">
        <v>1182</v>
      </c>
      <c r="B33" s="3">
        <v>1182</v>
      </c>
      <c r="C33" s="3" t="s">
        <v>1097</v>
      </c>
      <c r="D33" s="3" t="s">
        <v>1098</v>
      </c>
      <c r="E33" s="5" t="s">
        <v>651</v>
      </c>
      <c r="F33" s="3" t="s">
        <v>1173</v>
      </c>
      <c r="G33" s="3" t="s">
        <v>1174</v>
      </c>
      <c r="H33" s="3" t="s">
        <v>137</v>
      </c>
      <c r="I33" s="3" t="s">
        <v>1070</v>
      </c>
      <c r="J33" s="3" t="s">
        <v>572</v>
      </c>
      <c r="K33" s="3" t="s">
        <v>224</v>
      </c>
      <c r="L33" s="3" t="s">
        <v>914</v>
      </c>
      <c r="M33" s="3" t="s">
        <v>1071</v>
      </c>
      <c r="N33" s="3" t="s">
        <v>141</v>
      </c>
      <c r="O33" s="3" t="s">
        <v>576</v>
      </c>
      <c r="P33" s="154">
        <v>1500</v>
      </c>
      <c r="Q33" s="162">
        <v>3.8807</v>
      </c>
      <c r="R33" s="172">
        <v>14074</v>
      </c>
      <c r="T33" s="153">
        <v>819.255</v>
      </c>
      <c r="U33" s="164">
        <v>5.9000000000000003E-4</v>
      </c>
      <c r="V33" s="164">
        <v>1.100272203267E-2</v>
      </c>
      <c r="W33" s="164">
        <v>1.77438887670449E-3</v>
      </c>
    </row>
    <row r="34" spans="1:23">
      <c r="A34" s="3">
        <v>1182</v>
      </c>
      <c r="B34" s="3">
        <v>1182</v>
      </c>
      <c r="C34" s="3" t="s">
        <v>1093</v>
      </c>
      <c r="D34" s="3" t="s">
        <v>1094</v>
      </c>
      <c r="E34" s="5" t="s">
        <v>651</v>
      </c>
      <c r="F34" s="3" t="s">
        <v>1175</v>
      </c>
      <c r="G34" s="3" t="s">
        <v>1176</v>
      </c>
      <c r="H34" s="3" t="s">
        <v>137</v>
      </c>
      <c r="I34" s="3" t="s">
        <v>1070</v>
      </c>
      <c r="J34" s="3" t="s">
        <v>572</v>
      </c>
      <c r="K34" s="3" t="s">
        <v>1120</v>
      </c>
      <c r="L34" s="3" t="s">
        <v>498</v>
      </c>
      <c r="M34" s="3" t="s">
        <v>1177</v>
      </c>
      <c r="N34" s="3" t="s">
        <v>141</v>
      </c>
      <c r="O34" s="3" t="s">
        <v>576</v>
      </c>
      <c r="P34" s="154">
        <v>566</v>
      </c>
      <c r="Q34" s="162">
        <v>3.8807</v>
      </c>
      <c r="R34" s="172">
        <v>39550</v>
      </c>
      <c r="T34" s="153">
        <v>868.70600000000002</v>
      </c>
      <c r="U34" s="164">
        <v>0</v>
      </c>
      <c r="V34" s="164">
        <v>1.16668672027819E-2</v>
      </c>
      <c r="W34" s="164">
        <v>1.88149435468206E-3</v>
      </c>
    </row>
    <row r="35" spans="1:23">
      <c r="A35" s="3">
        <v>1182</v>
      </c>
      <c r="B35" s="3">
        <v>1182</v>
      </c>
      <c r="C35" s="3" t="s">
        <v>1093</v>
      </c>
      <c r="D35" s="3" t="s">
        <v>1094</v>
      </c>
      <c r="E35" s="5" t="s">
        <v>651</v>
      </c>
      <c r="F35" s="3" t="s">
        <v>1178</v>
      </c>
      <c r="G35" s="3" t="s">
        <v>1179</v>
      </c>
      <c r="H35" s="3" t="s">
        <v>137</v>
      </c>
      <c r="I35" s="3" t="s">
        <v>1070</v>
      </c>
      <c r="J35" s="3" t="s">
        <v>572</v>
      </c>
      <c r="K35" s="3" t="s">
        <v>224</v>
      </c>
      <c r="L35" s="3" t="s">
        <v>914</v>
      </c>
      <c r="M35" s="3" t="s">
        <v>1071</v>
      </c>
      <c r="N35" s="3" t="s">
        <v>141</v>
      </c>
      <c r="O35" s="3" t="s">
        <v>664</v>
      </c>
      <c r="P35" s="154">
        <v>4000</v>
      </c>
      <c r="Q35" s="162">
        <v>3.306</v>
      </c>
      <c r="R35" s="172">
        <v>15285</v>
      </c>
      <c r="T35" s="153">
        <v>2021.288</v>
      </c>
      <c r="U35" s="164">
        <v>0</v>
      </c>
      <c r="V35" s="164">
        <v>2.7146231510233401E-2</v>
      </c>
      <c r="W35" s="164">
        <v>4.3778231507784603E-3</v>
      </c>
    </row>
    <row r="36" spans="1:23">
      <c r="A36" s="3">
        <v>1182</v>
      </c>
      <c r="B36" s="3">
        <v>1182</v>
      </c>
      <c r="C36" s="3" t="s">
        <v>1180</v>
      </c>
      <c r="D36" s="3" t="s">
        <v>1181</v>
      </c>
      <c r="E36" s="5" t="s">
        <v>651</v>
      </c>
      <c r="F36" s="3" t="s">
        <v>1182</v>
      </c>
      <c r="G36" s="3" t="s">
        <v>1183</v>
      </c>
      <c r="H36" s="3" t="s">
        <v>137</v>
      </c>
      <c r="I36" s="3" t="s">
        <v>1070</v>
      </c>
      <c r="J36" s="3" t="s">
        <v>572</v>
      </c>
      <c r="K36" s="3" t="s">
        <v>224</v>
      </c>
      <c r="L36" s="3" t="s">
        <v>1139</v>
      </c>
      <c r="M36" s="3" t="s">
        <v>1071</v>
      </c>
      <c r="N36" s="3" t="s">
        <v>141</v>
      </c>
      <c r="O36" s="3" t="s">
        <v>664</v>
      </c>
      <c r="P36" s="154">
        <v>6150</v>
      </c>
      <c r="Q36" s="162">
        <v>3.306</v>
      </c>
      <c r="R36" s="172">
        <v>6492</v>
      </c>
      <c r="T36" s="153">
        <v>1319.9469999999999</v>
      </c>
      <c r="U36" s="164">
        <v>0</v>
      </c>
      <c r="V36" s="164">
        <v>1.7727101897796499E-2</v>
      </c>
      <c r="W36" s="164">
        <v>2.8588173299534001E-3</v>
      </c>
    </row>
    <row r="37" spans="1:23">
      <c r="A37" s="3">
        <v>1182</v>
      </c>
      <c r="B37" s="3">
        <v>1182</v>
      </c>
      <c r="C37" s="3" t="s">
        <v>1184</v>
      </c>
      <c r="D37" s="3" t="s">
        <v>1185</v>
      </c>
      <c r="E37" s="5" t="s">
        <v>651</v>
      </c>
      <c r="F37" s="3" t="s">
        <v>1186</v>
      </c>
      <c r="G37" s="3" t="s">
        <v>1187</v>
      </c>
      <c r="H37" s="3" t="s">
        <v>137</v>
      </c>
      <c r="I37" s="3" t="s">
        <v>1070</v>
      </c>
      <c r="J37" s="3" t="s">
        <v>572</v>
      </c>
      <c r="K37" s="3" t="s">
        <v>224</v>
      </c>
      <c r="L37" s="3" t="s">
        <v>914</v>
      </c>
      <c r="M37" s="3" t="s">
        <v>1071</v>
      </c>
      <c r="N37" s="3" t="s">
        <v>141</v>
      </c>
      <c r="O37" s="3" t="s">
        <v>664</v>
      </c>
      <c r="P37" s="154">
        <v>11263</v>
      </c>
      <c r="Q37" s="162">
        <v>3.306</v>
      </c>
      <c r="R37" s="172">
        <v>11038</v>
      </c>
      <c r="T37" s="153">
        <v>4110.0519999999997</v>
      </c>
      <c r="U37" s="164">
        <v>1.4120000000000001E-3</v>
      </c>
      <c r="V37" s="164">
        <v>5.5198666743643099E-2</v>
      </c>
      <c r="W37" s="164">
        <v>8.9017881200685392E-3</v>
      </c>
    </row>
    <row r="38" spans="1:23">
      <c r="A38" s="3">
        <v>1182</v>
      </c>
      <c r="B38" s="3">
        <v>1182</v>
      </c>
      <c r="C38" s="3" t="s">
        <v>1188</v>
      </c>
      <c r="D38" s="3" t="s">
        <v>1189</v>
      </c>
      <c r="E38" s="5" t="s">
        <v>651</v>
      </c>
      <c r="F38" s="3" t="s">
        <v>1190</v>
      </c>
      <c r="G38" s="3" t="s">
        <v>1191</v>
      </c>
      <c r="H38" s="3" t="s">
        <v>137</v>
      </c>
      <c r="I38" s="3" t="s">
        <v>1070</v>
      </c>
      <c r="J38" s="3" t="s">
        <v>572</v>
      </c>
      <c r="K38" s="3" t="s">
        <v>1192</v>
      </c>
      <c r="L38" s="3" t="s">
        <v>914</v>
      </c>
      <c r="M38" s="3" t="s">
        <v>1071</v>
      </c>
      <c r="N38" s="3" t="s">
        <v>141</v>
      </c>
      <c r="O38" s="3" t="s">
        <v>664</v>
      </c>
      <c r="P38" s="154">
        <v>23267</v>
      </c>
      <c r="Q38" s="162">
        <v>3.306</v>
      </c>
      <c r="R38" s="172">
        <v>4420</v>
      </c>
      <c r="T38" s="153">
        <v>3399.895</v>
      </c>
      <c r="U38" s="164">
        <v>1.0579999999999999E-3</v>
      </c>
      <c r="V38" s="164">
        <v>4.5661142443323803E-2</v>
      </c>
      <c r="W38" s="164">
        <v>7.3636890042737702E-3</v>
      </c>
    </row>
    <row r="39" spans="1:23">
      <c r="A39" s="3">
        <v>1182</v>
      </c>
      <c r="B39" s="3">
        <v>14769</v>
      </c>
      <c r="C39" s="3" t="s">
        <v>1066</v>
      </c>
      <c r="D39" s="3" t="s">
        <v>1067</v>
      </c>
      <c r="E39" s="5" t="s">
        <v>651</v>
      </c>
      <c r="F39" s="3" t="s">
        <v>1068</v>
      </c>
      <c r="G39" s="3" t="s">
        <v>1069</v>
      </c>
      <c r="H39" s="3" t="s">
        <v>137</v>
      </c>
      <c r="I39" s="3" t="s">
        <v>1070</v>
      </c>
      <c r="J39" s="3" t="s">
        <v>572</v>
      </c>
      <c r="K39" s="3" t="s">
        <v>224</v>
      </c>
      <c r="L39" s="3" t="s">
        <v>914</v>
      </c>
      <c r="M39" s="3" t="s">
        <v>1071</v>
      </c>
      <c r="N39" s="3" t="s">
        <v>141</v>
      </c>
      <c r="O39" s="3" t="s">
        <v>664</v>
      </c>
      <c r="P39" s="154">
        <v>463</v>
      </c>
      <c r="Q39" s="162">
        <v>3.306</v>
      </c>
      <c r="R39" s="172">
        <v>10725</v>
      </c>
      <c r="T39" s="153">
        <v>164.16499999999999</v>
      </c>
      <c r="U39" s="164">
        <v>1.2999999999999999E-5</v>
      </c>
      <c r="V39" s="164">
        <v>9.2232059899273796E-3</v>
      </c>
      <c r="W39" s="164">
        <v>5.6966499236058496E-3</v>
      </c>
    </row>
    <row r="40" spans="1:23">
      <c r="A40" s="3">
        <v>1182</v>
      </c>
      <c r="B40" s="3">
        <v>14769</v>
      </c>
      <c r="C40" s="3" t="s">
        <v>1072</v>
      </c>
      <c r="D40" s="3" t="s">
        <v>1073</v>
      </c>
      <c r="E40" s="5" t="s">
        <v>134</v>
      </c>
      <c r="F40" s="3" t="s">
        <v>1193</v>
      </c>
      <c r="G40" s="3" t="s">
        <v>1194</v>
      </c>
      <c r="H40" s="3" t="s">
        <v>137</v>
      </c>
      <c r="I40" s="3" t="s">
        <v>1076</v>
      </c>
      <c r="J40" s="3" t="s">
        <v>30</v>
      </c>
      <c r="K40" s="3" t="s">
        <v>30</v>
      </c>
      <c r="L40" s="3" t="s">
        <v>31</v>
      </c>
      <c r="M40" s="3" t="s">
        <v>1085</v>
      </c>
      <c r="N40" s="3" t="s">
        <v>141</v>
      </c>
      <c r="O40" s="3" t="s">
        <v>34</v>
      </c>
      <c r="P40" s="154">
        <v>11896</v>
      </c>
      <c r="Q40" s="162">
        <v>1</v>
      </c>
      <c r="R40" s="172">
        <v>5003</v>
      </c>
      <c r="T40" s="153">
        <v>595.15700000000004</v>
      </c>
      <c r="U40" s="164">
        <v>1.25E-4</v>
      </c>
      <c r="V40" s="164">
        <v>3.3437378825007497E-2</v>
      </c>
      <c r="W40" s="164">
        <v>2.0652367705663598E-2</v>
      </c>
    </row>
    <row r="41" spans="1:23">
      <c r="A41" s="3">
        <v>1182</v>
      </c>
      <c r="B41" s="3">
        <v>14769</v>
      </c>
      <c r="C41" s="3" t="s">
        <v>1072</v>
      </c>
      <c r="D41" s="3" t="s">
        <v>1073</v>
      </c>
      <c r="E41" s="5" t="s">
        <v>134</v>
      </c>
      <c r="F41" s="3" t="s">
        <v>1074</v>
      </c>
      <c r="G41" s="3" t="s">
        <v>1075</v>
      </c>
      <c r="H41" s="3" t="s">
        <v>137</v>
      </c>
      <c r="I41" s="3" t="s">
        <v>1076</v>
      </c>
      <c r="J41" s="3" t="s">
        <v>30</v>
      </c>
      <c r="K41" s="3" t="s">
        <v>30</v>
      </c>
      <c r="L41" s="3" t="s">
        <v>31</v>
      </c>
      <c r="M41" s="3" t="s">
        <v>1077</v>
      </c>
      <c r="N41" s="3" t="s">
        <v>141</v>
      </c>
      <c r="O41" s="3" t="s">
        <v>34</v>
      </c>
      <c r="P41" s="154">
        <v>2413</v>
      </c>
      <c r="Q41" s="162">
        <v>1</v>
      </c>
      <c r="R41" s="172">
        <v>4301</v>
      </c>
      <c r="T41" s="153">
        <v>103.783</v>
      </c>
      <c r="U41" s="164">
        <v>3.4E-5</v>
      </c>
      <c r="V41" s="164">
        <v>5.8307917627617801E-3</v>
      </c>
      <c r="W41" s="164">
        <v>3.6013485425971802E-3</v>
      </c>
    </row>
    <row r="42" spans="1:23">
      <c r="A42" s="3">
        <v>1182</v>
      </c>
      <c r="B42" s="3">
        <v>14769</v>
      </c>
      <c r="C42" s="3" t="s">
        <v>1072</v>
      </c>
      <c r="D42" s="3" t="s">
        <v>1073</v>
      </c>
      <c r="E42" s="5" t="s">
        <v>134</v>
      </c>
      <c r="F42" s="3" t="s">
        <v>1078</v>
      </c>
      <c r="G42" s="3" t="s">
        <v>1079</v>
      </c>
      <c r="H42" s="3" t="s">
        <v>137</v>
      </c>
      <c r="I42" s="3" t="s">
        <v>1076</v>
      </c>
      <c r="J42" s="3" t="s">
        <v>30</v>
      </c>
      <c r="K42" s="3" t="s">
        <v>30</v>
      </c>
      <c r="L42" s="3" t="s">
        <v>31</v>
      </c>
      <c r="M42" s="3" t="s">
        <v>1080</v>
      </c>
      <c r="N42" s="3" t="s">
        <v>141</v>
      </c>
      <c r="O42" s="3" t="s">
        <v>34</v>
      </c>
      <c r="P42" s="154">
        <v>12104</v>
      </c>
      <c r="Q42" s="162">
        <v>1</v>
      </c>
      <c r="R42" s="172">
        <v>4757</v>
      </c>
      <c r="T42" s="153">
        <v>575.78700000000003</v>
      </c>
      <c r="U42" s="164">
        <v>2.02E-4</v>
      </c>
      <c r="V42" s="164">
        <v>3.2349147008063898E-2</v>
      </c>
      <c r="W42" s="164">
        <v>1.9980228787414601E-2</v>
      </c>
    </row>
    <row r="43" spans="1:23">
      <c r="A43" s="3">
        <v>1182</v>
      </c>
      <c r="B43" s="3">
        <v>14769</v>
      </c>
      <c r="C43" s="3" t="s">
        <v>1072</v>
      </c>
      <c r="D43" s="3" t="s">
        <v>1073</v>
      </c>
      <c r="E43" s="5" t="s">
        <v>134</v>
      </c>
      <c r="F43" s="3" t="s">
        <v>1195</v>
      </c>
      <c r="G43" s="3" t="s">
        <v>1196</v>
      </c>
      <c r="H43" s="3" t="s">
        <v>137</v>
      </c>
      <c r="I43" s="3" t="s">
        <v>1197</v>
      </c>
      <c r="J43" s="3" t="s">
        <v>30</v>
      </c>
      <c r="K43" s="3" t="s">
        <v>30</v>
      </c>
      <c r="L43" s="3" t="s">
        <v>31</v>
      </c>
      <c r="M43" s="3" t="s">
        <v>1198</v>
      </c>
      <c r="N43" s="3" t="s">
        <v>141</v>
      </c>
      <c r="O43" s="3" t="s">
        <v>34</v>
      </c>
      <c r="P43" s="154">
        <v>15204</v>
      </c>
      <c r="Q43" s="162">
        <v>1</v>
      </c>
      <c r="R43" s="172">
        <v>499.28</v>
      </c>
      <c r="T43" s="153">
        <v>75.911000000000001</v>
      </c>
      <c r="U43" s="164">
        <v>7.2000000000000002E-5</v>
      </c>
      <c r="V43" s="164">
        <v>4.2648405384172802E-3</v>
      </c>
      <c r="W43" s="164">
        <v>2.6341495087390198E-3</v>
      </c>
    </row>
    <row r="44" spans="1:23">
      <c r="A44" s="3">
        <v>1182</v>
      </c>
      <c r="B44" s="3">
        <v>14769</v>
      </c>
      <c r="C44" s="3" t="s">
        <v>1081</v>
      </c>
      <c r="D44" s="3" t="s">
        <v>1082</v>
      </c>
      <c r="E44" s="5" t="s">
        <v>134</v>
      </c>
      <c r="F44" s="3" t="s">
        <v>1199</v>
      </c>
      <c r="G44" s="3" t="s">
        <v>1200</v>
      </c>
      <c r="H44" s="3" t="s">
        <v>137</v>
      </c>
      <c r="I44" s="3" t="s">
        <v>1070</v>
      </c>
      <c r="J44" s="3" t="s">
        <v>30</v>
      </c>
      <c r="K44" s="3" t="s">
        <v>1107</v>
      </c>
      <c r="L44" s="3" t="s">
        <v>31</v>
      </c>
      <c r="M44" s="3" t="s">
        <v>1201</v>
      </c>
      <c r="N44" s="3" t="s">
        <v>141</v>
      </c>
      <c r="O44" s="3" t="s">
        <v>34</v>
      </c>
      <c r="P44" s="154">
        <v>13977</v>
      </c>
      <c r="Q44" s="162">
        <v>1</v>
      </c>
      <c r="R44" s="172">
        <v>3731</v>
      </c>
      <c r="T44" s="153">
        <v>521.48199999999997</v>
      </c>
      <c r="U44" s="164">
        <v>6.6299999999999996E-4</v>
      </c>
      <c r="V44" s="164">
        <v>2.9298135371573501E-2</v>
      </c>
      <c r="W44" s="164">
        <v>1.8095792375074402E-2</v>
      </c>
    </row>
    <row r="45" spans="1:23">
      <c r="A45" s="3">
        <v>1182</v>
      </c>
      <c r="B45" s="3">
        <v>14769</v>
      </c>
      <c r="C45" s="3" t="s">
        <v>1081</v>
      </c>
      <c r="D45" s="3" t="s">
        <v>1082</v>
      </c>
      <c r="E45" s="5" t="s">
        <v>134</v>
      </c>
      <c r="F45" s="3" t="s">
        <v>1202</v>
      </c>
      <c r="G45" s="3" t="s">
        <v>1203</v>
      </c>
      <c r="H45" s="3" t="s">
        <v>137</v>
      </c>
      <c r="I45" s="3" t="s">
        <v>1070</v>
      </c>
      <c r="J45" s="3" t="s">
        <v>30</v>
      </c>
      <c r="K45" s="3" t="s">
        <v>224</v>
      </c>
      <c r="L45" s="3" t="s">
        <v>31</v>
      </c>
      <c r="M45" s="3" t="s">
        <v>1090</v>
      </c>
      <c r="N45" s="3" t="s">
        <v>141</v>
      </c>
      <c r="O45" s="3" t="s">
        <v>34</v>
      </c>
      <c r="P45" s="154">
        <v>1416</v>
      </c>
      <c r="Q45" s="162">
        <v>1</v>
      </c>
      <c r="R45" s="172">
        <v>8617</v>
      </c>
      <c r="T45" s="153">
        <v>122.017</v>
      </c>
      <c r="U45" s="164">
        <v>1.4E-5</v>
      </c>
      <c r="V45" s="164">
        <v>6.8551997409907603E-3</v>
      </c>
      <c r="W45" s="164">
        <v>4.2340671045909698E-3</v>
      </c>
    </row>
    <row r="46" spans="1:23">
      <c r="A46" s="3">
        <v>1182</v>
      </c>
      <c r="B46" s="3">
        <v>14769</v>
      </c>
      <c r="C46" s="3" t="s">
        <v>1081</v>
      </c>
      <c r="D46" s="3" t="s">
        <v>1082</v>
      </c>
      <c r="E46" s="5" t="s">
        <v>134</v>
      </c>
      <c r="F46" s="3" t="s">
        <v>1204</v>
      </c>
      <c r="G46" s="3" t="s">
        <v>1205</v>
      </c>
      <c r="H46" s="3" t="s">
        <v>137</v>
      </c>
      <c r="I46" s="3" t="s">
        <v>1070</v>
      </c>
      <c r="J46" s="3" t="s">
        <v>30</v>
      </c>
      <c r="K46" s="3" t="s">
        <v>224</v>
      </c>
      <c r="L46" s="3" t="s">
        <v>31</v>
      </c>
      <c r="M46" s="3" t="s">
        <v>1206</v>
      </c>
      <c r="N46" s="3" t="s">
        <v>141</v>
      </c>
      <c r="O46" s="3" t="s">
        <v>34</v>
      </c>
      <c r="P46" s="154">
        <v>17411</v>
      </c>
      <c r="Q46" s="162">
        <v>1</v>
      </c>
      <c r="R46" s="172">
        <v>2569</v>
      </c>
      <c r="T46" s="153">
        <v>447.28899999999999</v>
      </c>
      <c r="U46" s="164">
        <v>4.6E-5</v>
      </c>
      <c r="V46" s="164">
        <v>2.5129774233532302E-2</v>
      </c>
      <c r="W46" s="164">
        <v>1.5521232706287099E-2</v>
      </c>
    </row>
    <row r="47" spans="1:23">
      <c r="A47" s="3">
        <v>1182</v>
      </c>
      <c r="B47" s="3">
        <v>14769</v>
      </c>
      <c r="C47" s="3" t="s">
        <v>1081</v>
      </c>
      <c r="D47" s="3" t="s">
        <v>1082</v>
      </c>
      <c r="E47" s="5" t="s">
        <v>134</v>
      </c>
      <c r="F47" s="3" t="s">
        <v>1207</v>
      </c>
      <c r="G47" s="3" t="s">
        <v>1208</v>
      </c>
      <c r="H47" s="3" t="s">
        <v>137</v>
      </c>
      <c r="I47" s="3" t="s">
        <v>1076</v>
      </c>
      <c r="J47" s="3" t="s">
        <v>30</v>
      </c>
      <c r="K47" s="3" t="s">
        <v>30</v>
      </c>
      <c r="L47" s="3" t="s">
        <v>31</v>
      </c>
      <c r="M47" s="3" t="s">
        <v>1080</v>
      </c>
      <c r="N47" s="3" t="s">
        <v>141</v>
      </c>
      <c r="O47" s="3" t="s">
        <v>34</v>
      </c>
      <c r="P47" s="154">
        <v>8515</v>
      </c>
      <c r="Q47" s="162">
        <v>1</v>
      </c>
      <c r="R47" s="172">
        <v>3165</v>
      </c>
      <c r="T47" s="153">
        <v>269.5</v>
      </c>
      <c r="U47" s="164">
        <v>3.4E-5</v>
      </c>
      <c r="V47" s="164">
        <v>1.51411594771362E-2</v>
      </c>
      <c r="W47" s="164">
        <v>9.3518333075212103E-3</v>
      </c>
    </row>
    <row r="48" spans="1:23">
      <c r="A48" s="3">
        <v>1182</v>
      </c>
      <c r="B48" s="3">
        <v>14769</v>
      </c>
      <c r="C48" s="3" t="s">
        <v>1081</v>
      </c>
      <c r="D48" s="3" t="s">
        <v>1082</v>
      </c>
      <c r="E48" s="5" t="s">
        <v>134</v>
      </c>
      <c r="F48" s="3" t="s">
        <v>1083</v>
      </c>
      <c r="G48" s="3" t="s">
        <v>1084</v>
      </c>
      <c r="H48" s="3" t="s">
        <v>137</v>
      </c>
      <c r="I48" s="3" t="s">
        <v>1076</v>
      </c>
      <c r="J48" s="3" t="s">
        <v>30</v>
      </c>
      <c r="K48" s="3" t="s">
        <v>30</v>
      </c>
      <c r="L48" s="3" t="s">
        <v>31</v>
      </c>
      <c r="M48" s="3" t="s">
        <v>1085</v>
      </c>
      <c r="N48" s="3" t="s">
        <v>141</v>
      </c>
      <c r="O48" s="3" t="s">
        <v>34</v>
      </c>
      <c r="P48" s="154">
        <v>10212</v>
      </c>
      <c r="Q48" s="162">
        <v>1</v>
      </c>
      <c r="R48" s="172">
        <v>3192</v>
      </c>
      <c r="T48" s="153">
        <v>325.96699999999998</v>
      </c>
      <c r="U48" s="164">
        <v>4.8999999999999998E-5</v>
      </c>
      <c r="V48" s="164">
        <v>1.83136308546855E-2</v>
      </c>
      <c r="W48" s="164">
        <v>1.13112884959118E-2</v>
      </c>
    </row>
    <row r="49" spans="1:23">
      <c r="A49" s="3">
        <v>1182</v>
      </c>
      <c r="B49" s="3">
        <v>14769</v>
      </c>
      <c r="C49" s="3" t="s">
        <v>1086</v>
      </c>
      <c r="D49" s="3" t="s">
        <v>1087</v>
      </c>
      <c r="E49" s="5" t="s">
        <v>134</v>
      </c>
      <c r="F49" s="3" t="s">
        <v>1088</v>
      </c>
      <c r="G49" s="3" t="s">
        <v>1089</v>
      </c>
      <c r="H49" s="3" t="s">
        <v>137</v>
      </c>
      <c r="I49" s="3" t="s">
        <v>1070</v>
      </c>
      <c r="J49" s="3" t="s">
        <v>30</v>
      </c>
      <c r="K49" s="3" t="s">
        <v>224</v>
      </c>
      <c r="L49" s="3" t="s">
        <v>31</v>
      </c>
      <c r="M49" s="3" t="s">
        <v>1090</v>
      </c>
      <c r="N49" s="3" t="s">
        <v>141</v>
      </c>
      <c r="O49" s="3" t="s">
        <v>34</v>
      </c>
      <c r="P49" s="154">
        <v>7827</v>
      </c>
      <c r="Q49" s="162">
        <v>1</v>
      </c>
      <c r="R49" s="172">
        <v>12290</v>
      </c>
      <c r="T49" s="153">
        <v>961.93799999999999</v>
      </c>
      <c r="U49" s="164">
        <v>8.2399999999999997E-4</v>
      </c>
      <c r="V49" s="164">
        <v>5.4044062035179197E-2</v>
      </c>
      <c r="W49" s="164">
        <v>3.3379944262361398E-2</v>
      </c>
    </row>
    <row r="50" spans="1:23">
      <c r="A50" s="3">
        <v>1182</v>
      </c>
      <c r="B50" s="3">
        <v>14769</v>
      </c>
      <c r="C50" s="3" t="s">
        <v>1086</v>
      </c>
      <c r="D50" s="3" t="s">
        <v>1087</v>
      </c>
      <c r="E50" s="5" t="s">
        <v>134</v>
      </c>
      <c r="F50" s="3" t="s">
        <v>1209</v>
      </c>
      <c r="G50" s="3" t="s">
        <v>1210</v>
      </c>
      <c r="H50" s="3" t="s">
        <v>137</v>
      </c>
      <c r="I50" s="3" t="s">
        <v>1070</v>
      </c>
      <c r="J50" s="3" t="s">
        <v>30</v>
      </c>
      <c r="K50" s="3" t="s">
        <v>224</v>
      </c>
      <c r="L50" s="3" t="s">
        <v>31</v>
      </c>
      <c r="M50" s="3" t="s">
        <v>1206</v>
      </c>
      <c r="N50" s="3" t="s">
        <v>141</v>
      </c>
      <c r="O50" s="3" t="s">
        <v>34</v>
      </c>
      <c r="P50" s="154">
        <v>8770</v>
      </c>
      <c r="Q50" s="162">
        <v>1</v>
      </c>
      <c r="R50" s="172">
        <v>10340</v>
      </c>
      <c r="T50" s="153">
        <v>906.81799999999998</v>
      </c>
      <c r="U50" s="164">
        <v>6.4999999999999997E-4</v>
      </c>
      <c r="V50" s="164">
        <v>5.0947267872188E-2</v>
      </c>
      <c r="W50" s="164">
        <v>3.1467230586520997E-2</v>
      </c>
    </row>
    <row r="51" spans="1:23">
      <c r="A51" s="3">
        <v>1182</v>
      </c>
      <c r="B51" s="3">
        <v>14769</v>
      </c>
      <c r="C51" s="3" t="s">
        <v>1211</v>
      </c>
      <c r="D51" s="3" t="s">
        <v>1212</v>
      </c>
      <c r="E51" s="5" t="s">
        <v>134</v>
      </c>
      <c r="F51" s="3" t="s">
        <v>1213</v>
      </c>
      <c r="G51" s="3" t="s">
        <v>1214</v>
      </c>
      <c r="H51" s="3" t="s">
        <v>137</v>
      </c>
      <c r="I51" s="3" t="s">
        <v>1070</v>
      </c>
      <c r="J51" s="3" t="s">
        <v>30</v>
      </c>
      <c r="K51" s="3" t="s">
        <v>797</v>
      </c>
      <c r="L51" s="3" t="s">
        <v>31</v>
      </c>
      <c r="M51" s="3" t="s">
        <v>1201</v>
      </c>
      <c r="N51" s="3" t="s">
        <v>141</v>
      </c>
      <c r="O51" s="3" t="s">
        <v>34</v>
      </c>
      <c r="P51" s="154">
        <v>32550</v>
      </c>
      <c r="Q51" s="162">
        <v>1</v>
      </c>
      <c r="R51" s="172">
        <v>1549</v>
      </c>
      <c r="T51" s="153">
        <v>504.2</v>
      </c>
      <c r="U51" s="164">
        <v>4.8099999999999998E-4</v>
      </c>
      <c r="V51" s="164">
        <v>2.8327169274896698E-2</v>
      </c>
      <c r="W51" s="164">
        <v>1.7496081824697599E-2</v>
      </c>
    </row>
    <row r="52" spans="1:23">
      <c r="A52" s="3">
        <v>1182</v>
      </c>
      <c r="B52" s="3">
        <v>14769</v>
      </c>
      <c r="C52" s="3" t="s">
        <v>1211</v>
      </c>
      <c r="D52" s="3" t="s">
        <v>1212</v>
      </c>
      <c r="E52" s="5" t="s">
        <v>134</v>
      </c>
      <c r="F52" s="3" t="s">
        <v>1215</v>
      </c>
      <c r="G52" s="3" t="s">
        <v>1216</v>
      </c>
      <c r="H52" s="3" t="s">
        <v>137</v>
      </c>
      <c r="I52" s="3" t="s">
        <v>1070</v>
      </c>
      <c r="J52" s="3" t="s">
        <v>30</v>
      </c>
      <c r="K52" s="3" t="s">
        <v>224</v>
      </c>
      <c r="L52" s="3" t="s">
        <v>31</v>
      </c>
      <c r="M52" s="3" t="s">
        <v>1206</v>
      </c>
      <c r="N52" s="3" t="s">
        <v>141</v>
      </c>
      <c r="O52" s="3" t="s">
        <v>34</v>
      </c>
      <c r="P52" s="154">
        <v>995</v>
      </c>
      <c r="Q52" s="162">
        <v>1</v>
      </c>
      <c r="R52" s="172">
        <v>24260</v>
      </c>
      <c r="T52" s="153">
        <v>241.387</v>
      </c>
      <c r="U52" s="164">
        <v>3.4E-5</v>
      </c>
      <c r="V52" s="164">
        <v>1.35617159671112E-2</v>
      </c>
      <c r="W52" s="164">
        <v>8.3763008559474394E-3</v>
      </c>
    </row>
    <row r="53" spans="1:23">
      <c r="A53" s="3">
        <v>1182</v>
      </c>
      <c r="B53" s="3">
        <v>14769</v>
      </c>
      <c r="C53" s="3" t="s">
        <v>1211</v>
      </c>
      <c r="D53" s="3" t="s">
        <v>1212</v>
      </c>
      <c r="E53" s="5" t="s">
        <v>134</v>
      </c>
      <c r="F53" s="3" t="s">
        <v>1217</v>
      </c>
      <c r="G53" s="3" t="s">
        <v>1218</v>
      </c>
      <c r="H53" s="3" t="s">
        <v>137</v>
      </c>
      <c r="I53" s="3" t="s">
        <v>1076</v>
      </c>
      <c r="J53" s="3" t="s">
        <v>30</v>
      </c>
      <c r="K53" s="3" t="s">
        <v>30</v>
      </c>
      <c r="L53" s="3" t="s">
        <v>31</v>
      </c>
      <c r="M53" s="3" t="s">
        <v>1085</v>
      </c>
      <c r="N53" s="3" t="s">
        <v>141</v>
      </c>
      <c r="O53" s="3" t="s">
        <v>34</v>
      </c>
      <c r="P53" s="154">
        <v>2530</v>
      </c>
      <c r="Q53" s="162">
        <v>1</v>
      </c>
      <c r="R53" s="172">
        <v>31750</v>
      </c>
      <c r="T53" s="153">
        <v>803.27499999999998</v>
      </c>
      <c r="U53" s="164">
        <v>7.1000000000000005E-5</v>
      </c>
      <c r="V53" s="164">
        <v>4.5129967204038501E-2</v>
      </c>
      <c r="W53" s="164">
        <v>2.7874214725984298E-2</v>
      </c>
    </row>
    <row r="54" spans="1:23">
      <c r="A54" s="3">
        <v>1182</v>
      </c>
      <c r="B54" s="3">
        <v>14769</v>
      </c>
      <c r="C54" s="3" t="s">
        <v>1093</v>
      </c>
      <c r="D54" s="3" t="s">
        <v>1094</v>
      </c>
      <c r="E54" s="5" t="s">
        <v>651</v>
      </c>
      <c r="F54" s="3" t="s">
        <v>1095</v>
      </c>
      <c r="G54" s="3" t="s">
        <v>1096</v>
      </c>
      <c r="H54" s="3" t="s">
        <v>137</v>
      </c>
      <c r="I54" s="3" t="s">
        <v>1070</v>
      </c>
      <c r="J54" s="3" t="s">
        <v>572</v>
      </c>
      <c r="K54" s="3" t="s">
        <v>224</v>
      </c>
      <c r="L54" s="3" t="s">
        <v>914</v>
      </c>
      <c r="M54" s="3" t="s">
        <v>1071</v>
      </c>
      <c r="N54" s="3" t="s">
        <v>141</v>
      </c>
      <c r="O54" s="3" t="s">
        <v>664</v>
      </c>
      <c r="P54" s="154">
        <v>51</v>
      </c>
      <c r="Q54" s="162">
        <v>3.306</v>
      </c>
      <c r="R54" s="172">
        <v>8721</v>
      </c>
      <c r="T54" s="153">
        <v>14.704000000000001</v>
      </c>
      <c r="U54" s="164">
        <v>0</v>
      </c>
      <c r="V54" s="164">
        <v>8.2611418414334204E-4</v>
      </c>
      <c r="W54" s="164">
        <v>5.10243760047144E-4</v>
      </c>
    </row>
    <row r="55" spans="1:23">
      <c r="A55" s="3">
        <v>1182</v>
      </c>
      <c r="B55" s="3">
        <v>14769</v>
      </c>
      <c r="C55" s="3" t="s">
        <v>1097</v>
      </c>
      <c r="D55" s="3" t="s">
        <v>1098</v>
      </c>
      <c r="E55" s="5" t="s">
        <v>651</v>
      </c>
      <c r="F55" s="3" t="s">
        <v>1099</v>
      </c>
      <c r="G55" s="3" t="s">
        <v>1100</v>
      </c>
      <c r="H55" s="3" t="s">
        <v>137</v>
      </c>
      <c r="I55" s="3" t="s">
        <v>1070</v>
      </c>
      <c r="J55" s="3" t="s">
        <v>572</v>
      </c>
      <c r="K55" s="3" t="s">
        <v>224</v>
      </c>
      <c r="L55" s="3" t="s">
        <v>914</v>
      </c>
      <c r="M55" s="3" t="s">
        <v>1071</v>
      </c>
      <c r="N55" s="3" t="s">
        <v>141</v>
      </c>
      <c r="O55" s="3" t="s">
        <v>664</v>
      </c>
      <c r="P55" s="154">
        <v>66</v>
      </c>
      <c r="Q55" s="162">
        <v>3.306</v>
      </c>
      <c r="R55" s="172">
        <v>15545</v>
      </c>
      <c r="T55" s="153">
        <v>33.918999999999997</v>
      </c>
      <c r="U55" s="164">
        <v>3.0000000000000001E-6</v>
      </c>
      <c r="V55" s="164">
        <v>1.90562867072166E-3</v>
      </c>
      <c r="W55" s="164">
        <v>1.1769984789826E-3</v>
      </c>
    </row>
    <row r="56" spans="1:23">
      <c r="A56" s="3">
        <v>1182</v>
      </c>
      <c r="B56" s="3">
        <v>14769</v>
      </c>
      <c r="C56" s="3" t="s">
        <v>1101</v>
      </c>
      <c r="D56" s="3" t="s">
        <v>1102</v>
      </c>
      <c r="E56" s="5" t="s">
        <v>651</v>
      </c>
      <c r="F56" s="3" t="s">
        <v>1103</v>
      </c>
      <c r="G56" s="3" t="s">
        <v>1104</v>
      </c>
      <c r="H56" s="3" t="s">
        <v>137</v>
      </c>
      <c r="I56" s="3" t="s">
        <v>1070</v>
      </c>
      <c r="J56" s="3" t="s">
        <v>572</v>
      </c>
      <c r="K56" s="3" t="s">
        <v>1063</v>
      </c>
      <c r="L56" s="3" t="s">
        <v>894</v>
      </c>
      <c r="M56" s="3" t="s">
        <v>1071</v>
      </c>
      <c r="N56" s="3" t="s">
        <v>141</v>
      </c>
      <c r="O56" s="3" t="s">
        <v>664</v>
      </c>
      <c r="P56" s="154">
        <v>602</v>
      </c>
      <c r="Q56" s="162">
        <v>3.306</v>
      </c>
      <c r="R56" s="172">
        <v>15795.9</v>
      </c>
      <c r="T56" s="153">
        <v>314.37200000000001</v>
      </c>
      <c r="U56" s="164">
        <v>0</v>
      </c>
      <c r="V56" s="164">
        <v>1.7662187190415998E-2</v>
      </c>
      <c r="W56" s="164">
        <v>1.09089287845113E-2</v>
      </c>
    </row>
    <row r="57" spans="1:23">
      <c r="A57" s="3">
        <v>1182</v>
      </c>
      <c r="B57" s="3">
        <v>14769</v>
      </c>
      <c r="C57" s="3" t="s">
        <v>1101</v>
      </c>
      <c r="D57" s="3" t="s">
        <v>1102</v>
      </c>
      <c r="E57" s="5" t="s">
        <v>651</v>
      </c>
      <c r="F57" s="3" t="s">
        <v>1219</v>
      </c>
      <c r="G57" s="3" t="s">
        <v>1220</v>
      </c>
      <c r="H57" s="3" t="s">
        <v>137</v>
      </c>
      <c r="I57" s="3" t="s">
        <v>1070</v>
      </c>
      <c r="J57" s="3" t="s">
        <v>572</v>
      </c>
      <c r="K57" s="3" t="s">
        <v>1221</v>
      </c>
      <c r="L57" s="3" t="s">
        <v>894</v>
      </c>
      <c r="M57" s="3" t="s">
        <v>1108</v>
      </c>
      <c r="N57" s="3" t="s">
        <v>141</v>
      </c>
      <c r="O57" s="3" t="s">
        <v>664</v>
      </c>
      <c r="P57" s="154">
        <v>2898</v>
      </c>
      <c r="Q57" s="162">
        <v>3.306</v>
      </c>
      <c r="R57" s="172">
        <v>6680</v>
      </c>
      <c r="T57" s="153">
        <v>639.99699999999996</v>
      </c>
      <c r="U57" s="164">
        <v>0</v>
      </c>
      <c r="V57" s="164">
        <v>3.5956586849692697E-2</v>
      </c>
      <c r="W57" s="164">
        <v>2.2208339264473301E-2</v>
      </c>
    </row>
    <row r="58" spans="1:23">
      <c r="A58" s="3">
        <v>1182</v>
      </c>
      <c r="B58" s="3">
        <v>14769</v>
      </c>
      <c r="C58" s="3" t="s">
        <v>1101</v>
      </c>
      <c r="D58" s="3" t="s">
        <v>1102</v>
      </c>
      <c r="E58" s="5" t="s">
        <v>651</v>
      </c>
      <c r="F58" s="3" t="s">
        <v>1109</v>
      </c>
      <c r="G58" s="3" t="s">
        <v>1110</v>
      </c>
      <c r="H58" s="3" t="s">
        <v>137</v>
      </c>
      <c r="I58" s="3" t="s">
        <v>1070</v>
      </c>
      <c r="J58" s="3" t="s">
        <v>572</v>
      </c>
      <c r="K58" s="3" t="s">
        <v>224</v>
      </c>
      <c r="L58" s="3" t="s">
        <v>914</v>
      </c>
      <c r="M58" s="3" t="s">
        <v>1111</v>
      </c>
      <c r="N58" s="3" t="s">
        <v>141</v>
      </c>
      <c r="O58" s="3" t="s">
        <v>576</v>
      </c>
      <c r="P58" s="154">
        <v>180</v>
      </c>
      <c r="Q58" s="162">
        <v>3.8807</v>
      </c>
      <c r="R58" s="172">
        <v>8096.2</v>
      </c>
      <c r="T58" s="153">
        <v>56.554000000000002</v>
      </c>
      <c r="U58" s="164">
        <v>0</v>
      </c>
      <c r="V58" s="164">
        <v>3.1773464428205998E-3</v>
      </c>
      <c r="W58" s="164">
        <v>1.9624662390204102E-3</v>
      </c>
    </row>
    <row r="59" spans="1:23">
      <c r="A59" s="3">
        <v>1182</v>
      </c>
      <c r="B59" s="3">
        <v>14769</v>
      </c>
      <c r="C59" s="3" t="s">
        <v>1093</v>
      </c>
      <c r="D59" s="3" t="s">
        <v>1094</v>
      </c>
      <c r="E59" s="5" t="s">
        <v>651</v>
      </c>
      <c r="F59" s="3" t="s">
        <v>1112</v>
      </c>
      <c r="G59" s="3" t="s">
        <v>1113</v>
      </c>
      <c r="H59" s="3" t="s">
        <v>137</v>
      </c>
      <c r="I59" s="3" t="s">
        <v>1070</v>
      </c>
      <c r="J59" s="3" t="s">
        <v>572</v>
      </c>
      <c r="K59" s="3" t="s">
        <v>224</v>
      </c>
      <c r="L59" s="3" t="s">
        <v>914</v>
      </c>
      <c r="M59" s="3" t="s">
        <v>1071</v>
      </c>
      <c r="N59" s="3" t="s">
        <v>141</v>
      </c>
      <c r="O59" s="3" t="s">
        <v>664</v>
      </c>
      <c r="P59" s="154">
        <v>261</v>
      </c>
      <c r="Q59" s="162">
        <v>3.306</v>
      </c>
      <c r="R59" s="172">
        <v>11837</v>
      </c>
      <c r="T59" s="153">
        <v>102.137</v>
      </c>
      <c r="U59" s="164">
        <v>1.9999999999999999E-6</v>
      </c>
      <c r="V59" s="164">
        <v>5.7383333198453498E-3</v>
      </c>
      <c r="W59" s="164">
        <v>3.5442422194431901E-3</v>
      </c>
    </row>
    <row r="60" spans="1:23">
      <c r="A60" s="3">
        <v>1182</v>
      </c>
      <c r="B60" s="3">
        <v>14769</v>
      </c>
      <c r="C60" s="3" t="s">
        <v>1093</v>
      </c>
      <c r="D60" s="3" t="s">
        <v>1094</v>
      </c>
      <c r="E60" s="5" t="s">
        <v>651</v>
      </c>
      <c r="F60" s="3" t="s">
        <v>1114</v>
      </c>
      <c r="G60" s="3" t="s">
        <v>1115</v>
      </c>
      <c r="H60" s="3" t="s">
        <v>137</v>
      </c>
      <c r="I60" s="3" t="s">
        <v>1070</v>
      </c>
      <c r="J60" s="3" t="s">
        <v>572</v>
      </c>
      <c r="K60" s="3" t="s">
        <v>224</v>
      </c>
      <c r="L60" s="3" t="s">
        <v>914</v>
      </c>
      <c r="M60" s="3" t="s">
        <v>1071</v>
      </c>
      <c r="N60" s="3" t="s">
        <v>141</v>
      </c>
      <c r="O60" s="3" t="s">
        <v>664</v>
      </c>
      <c r="P60" s="154">
        <v>95</v>
      </c>
      <c r="Q60" s="162">
        <v>3.306</v>
      </c>
      <c r="R60" s="172">
        <v>23964</v>
      </c>
      <c r="T60" s="153">
        <v>75.263999999999996</v>
      </c>
      <c r="U60" s="164">
        <v>9.9999999999999995E-7</v>
      </c>
      <c r="V60" s="164">
        <v>4.2285019242195403E-3</v>
      </c>
      <c r="W60" s="164">
        <v>2.6117052129030999E-3</v>
      </c>
    </row>
    <row r="61" spans="1:23">
      <c r="A61" s="3">
        <v>1182</v>
      </c>
      <c r="B61" s="3">
        <v>14769</v>
      </c>
      <c r="C61" s="3" t="s">
        <v>1116</v>
      </c>
      <c r="D61" s="3" t="s">
        <v>1117</v>
      </c>
      <c r="E61" s="5" t="s">
        <v>651</v>
      </c>
      <c r="F61" s="3" t="s">
        <v>1118</v>
      </c>
      <c r="G61" s="3" t="s">
        <v>1119</v>
      </c>
      <c r="H61" s="3" t="s">
        <v>137</v>
      </c>
      <c r="I61" s="3" t="s">
        <v>1070</v>
      </c>
      <c r="J61" s="3" t="s">
        <v>572</v>
      </c>
      <c r="K61" s="3" t="s">
        <v>1120</v>
      </c>
      <c r="L61" s="3" t="s">
        <v>498</v>
      </c>
      <c r="M61" s="3" t="s">
        <v>1071</v>
      </c>
      <c r="N61" s="3" t="s">
        <v>141</v>
      </c>
      <c r="O61" s="3" t="s">
        <v>576</v>
      </c>
      <c r="P61" s="154">
        <v>1666</v>
      </c>
      <c r="Q61" s="162">
        <v>3.8807</v>
      </c>
      <c r="R61" s="172">
        <v>10084</v>
      </c>
      <c r="T61" s="153">
        <v>651.95500000000004</v>
      </c>
      <c r="U61" s="164">
        <v>0</v>
      </c>
      <c r="V61" s="164">
        <v>3.6628461025601397E-2</v>
      </c>
      <c r="W61" s="164">
        <v>2.2623317741267902E-2</v>
      </c>
    </row>
    <row r="62" spans="1:23">
      <c r="A62" s="3">
        <v>1182</v>
      </c>
      <c r="B62" s="3">
        <v>14769</v>
      </c>
      <c r="C62" s="3" t="s">
        <v>1093</v>
      </c>
      <c r="D62" s="3" t="s">
        <v>1094</v>
      </c>
      <c r="E62" s="5" t="s">
        <v>651</v>
      </c>
      <c r="F62" s="3" t="s">
        <v>1121</v>
      </c>
      <c r="G62" s="3" t="s">
        <v>1122</v>
      </c>
      <c r="H62" s="3" t="s">
        <v>137</v>
      </c>
      <c r="I62" s="3" t="s">
        <v>1070</v>
      </c>
      <c r="J62" s="3" t="s">
        <v>572</v>
      </c>
      <c r="K62" s="3" t="s">
        <v>224</v>
      </c>
      <c r="L62" s="3" t="s">
        <v>914</v>
      </c>
      <c r="M62" s="3" t="s">
        <v>1123</v>
      </c>
      <c r="N62" s="3" t="s">
        <v>141</v>
      </c>
      <c r="O62" s="3" t="s">
        <v>664</v>
      </c>
      <c r="P62" s="154">
        <v>1477</v>
      </c>
      <c r="Q62" s="162">
        <v>3.306</v>
      </c>
      <c r="R62" s="172">
        <v>5387</v>
      </c>
      <c r="T62" s="153">
        <v>263.04500000000002</v>
      </c>
      <c r="U62" s="164">
        <v>1.9999999999999999E-6</v>
      </c>
      <c r="V62" s="164">
        <v>1.47785248845827E-2</v>
      </c>
      <c r="W62" s="164">
        <v>9.1278545385093494E-3</v>
      </c>
    </row>
    <row r="63" spans="1:23">
      <c r="A63" s="3">
        <v>1182</v>
      </c>
      <c r="B63" s="3">
        <v>14769</v>
      </c>
      <c r="C63" s="3" t="s">
        <v>1124</v>
      </c>
      <c r="D63" s="3" t="s">
        <v>1125</v>
      </c>
      <c r="E63" s="5" t="s">
        <v>651</v>
      </c>
      <c r="F63" s="3" t="s">
        <v>1126</v>
      </c>
      <c r="G63" s="3" t="s">
        <v>1127</v>
      </c>
      <c r="H63" s="3" t="s">
        <v>137</v>
      </c>
      <c r="I63" s="3" t="s">
        <v>1070</v>
      </c>
      <c r="J63" s="3" t="s">
        <v>572</v>
      </c>
      <c r="K63" s="3" t="s">
        <v>797</v>
      </c>
      <c r="L63" s="3" t="s">
        <v>894</v>
      </c>
      <c r="M63" s="3" t="s">
        <v>1090</v>
      </c>
      <c r="N63" s="3" t="s">
        <v>141</v>
      </c>
      <c r="O63" s="3" t="s">
        <v>664</v>
      </c>
      <c r="P63" s="154">
        <v>231</v>
      </c>
      <c r="Q63" s="162">
        <v>3.306</v>
      </c>
      <c r="R63" s="172">
        <v>15108</v>
      </c>
      <c r="T63" s="153">
        <v>115.378</v>
      </c>
      <c r="U63" s="164">
        <v>3.1999999999999999E-5</v>
      </c>
      <c r="V63" s="164">
        <v>6.48220217757608E-3</v>
      </c>
      <c r="W63" s="164">
        <v>4.0036877176996902E-3</v>
      </c>
    </row>
    <row r="64" spans="1:23">
      <c r="A64" s="3">
        <v>1182</v>
      </c>
      <c r="B64" s="3">
        <v>14769</v>
      </c>
      <c r="C64" s="3" t="s">
        <v>1128</v>
      </c>
      <c r="D64" s="3" t="s">
        <v>1129</v>
      </c>
      <c r="E64" s="5" t="s">
        <v>651</v>
      </c>
      <c r="F64" s="3" t="s">
        <v>1130</v>
      </c>
      <c r="G64" s="3" t="s">
        <v>1131</v>
      </c>
      <c r="H64" s="3" t="s">
        <v>137</v>
      </c>
      <c r="I64" s="3" t="s">
        <v>1070</v>
      </c>
      <c r="J64" s="3" t="s">
        <v>572</v>
      </c>
      <c r="K64" s="3" t="s">
        <v>942</v>
      </c>
      <c r="L64" s="3" t="s">
        <v>914</v>
      </c>
      <c r="M64" s="3" t="s">
        <v>1071</v>
      </c>
      <c r="N64" s="3" t="s">
        <v>141</v>
      </c>
      <c r="O64" s="3" t="s">
        <v>664</v>
      </c>
      <c r="P64" s="154">
        <v>766</v>
      </c>
      <c r="Q64" s="162">
        <v>3.306</v>
      </c>
      <c r="R64" s="172">
        <v>4763</v>
      </c>
      <c r="T64" s="153">
        <v>120.61799999999999</v>
      </c>
      <c r="U64" s="164">
        <v>5.0000000000000004E-6</v>
      </c>
      <c r="V64" s="164">
        <v>6.7766174144700299E-3</v>
      </c>
      <c r="W64" s="164">
        <v>4.1855312695613699E-3</v>
      </c>
    </row>
    <row r="65" spans="1:23">
      <c r="A65" s="3">
        <v>1182</v>
      </c>
      <c r="B65" s="3">
        <v>14769</v>
      </c>
      <c r="C65" s="3" t="s">
        <v>1093</v>
      </c>
      <c r="D65" s="3" t="s">
        <v>1094</v>
      </c>
      <c r="E65" s="5" t="s">
        <v>651</v>
      </c>
      <c r="F65" s="3" t="s">
        <v>1132</v>
      </c>
      <c r="G65" s="3" t="s">
        <v>1133</v>
      </c>
      <c r="H65" s="3" t="s">
        <v>137</v>
      </c>
      <c r="I65" s="3" t="s">
        <v>1070</v>
      </c>
      <c r="J65" s="3" t="s">
        <v>572</v>
      </c>
      <c r="K65" s="3" t="s">
        <v>224</v>
      </c>
      <c r="L65" s="3" t="s">
        <v>914</v>
      </c>
      <c r="M65" s="3" t="s">
        <v>1134</v>
      </c>
      <c r="N65" s="3" t="s">
        <v>141</v>
      </c>
      <c r="O65" s="3" t="s">
        <v>664</v>
      </c>
      <c r="P65" s="154">
        <v>247</v>
      </c>
      <c r="Q65" s="162">
        <v>3.306</v>
      </c>
      <c r="R65" s="172">
        <v>13917</v>
      </c>
      <c r="T65" s="153">
        <v>113.64400000000001</v>
      </c>
      <c r="U65" s="164">
        <v>9.9999999999999995E-7</v>
      </c>
      <c r="V65" s="164">
        <v>6.3847838143191796E-3</v>
      </c>
      <c r="W65" s="164">
        <v>3.9435179337643303E-3</v>
      </c>
    </row>
    <row r="66" spans="1:23">
      <c r="A66" s="3">
        <v>1182</v>
      </c>
      <c r="B66" s="3">
        <v>14769</v>
      </c>
      <c r="C66" s="3" t="s">
        <v>1093</v>
      </c>
      <c r="D66" s="3" t="s">
        <v>1094</v>
      </c>
      <c r="E66" s="5" t="s">
        <v>651</v>
      </c>
      <c r="F66" s="3" t="s">
        <v>1135</v>
      </c>
      <c r="G66" s="3" t="s">
        <v>1136</v>
      </c>
      <c r="H66" s="3" t="s">
        <v>137</v>
      </c>
      <c r="I66" s="3" t="s">
        <v>1070</v>
      </c>
      <c r="J66" s="3" t="s">
        <v>572</v>
      </c>
      <c r="K66" s="3" t="s">
        <v>224</v>
      </c>
      <c r="L66" s="3" t="s">
        <v>914</v>
      </c>
      <c r="M66" s="3" t="s">
        <v>1071</v>
      </c>
      <c r="N66" s="3" t="s">
        <v>141</v>
      </c>
      <c r="O66" s="3" t="s">
        <v>664</v>
      </c>
      <c r="P66" s="154">
        <v>53</v>
      </c>
      <c r="Q66" s="162">
        <v>3.306</v>
      </c>
      <c r="R66" s="172">
        <v>15423</v>
      </c>
      <c r="T66" s="153">
        <v>27.024000000000001</v>
      </c>
      <c r="U66" s="164">
        <v>0</v>
      </c>
      <c r="V66" s="164">
        <v>1.5182676709773501E-3</v>
      </c>
      <c r="W66" s="164">
        <v>9.37747614151948E-4</v>
      </c>
    </row>
    <row r="67" spans="1:23">
      <c r="A67" s="3">
        <v>1182</v>
      </c>
      <c r="B67" s="3">
        <v>14769</v>
      </c>
      <c r="C67" s="3" t="s">
        <v>1097</v>
      </c>
      <c r="D67" s="3" t="s">
        <v>1098</v>
      </c>
      <c r="E67" s="5" t="s">
        <v>651</v>
      </c>
      <c r="F67" s="3" t="s">
        <v>1222</v>
      </c>
      <c r="G67" s="3" t="s">
        <v>1223</v>
      </c>
      <c r="H67" s="3" t="s">
        <v>137</v>
      </c>
      <c r="I67" s="3" t="s">
        <v>1070</v>
      </c>
      <c r="J67" s="3" t="s">
        <v>572</v>
      </c>
      <c r="K67" s="3" t="s">
        <v>224</v>
      </c>
      <c r="L67" s="3" t="s">
        <v>894</v>
      </c>
      <c r="M67" s="3" t="s">
        <v>1071</v>
      </c>
      <c r="N67" s="3" t="s">
        <v>141</v>
      </c>
      <c r="O67" s="3" t="s">
        <v>664</v>
      </c>
      <c r="P67" s="154">
        <v>466</v>
      </c>
      <c r="Q67" s="162">
        <v>3.306</v>
      </c>
      <c r="R67" s="172">
        <v>5610</v>
      </c>
      <c r="T67" s="153">
        <v>86.427000000000007</v>
      </c>
      <c r="U67" s="164">
        <v>0</v>
      </c>
      <c r="V67" s="164">
        <v>4.8557061207645602E-3</v>
      </c>
      <c r="W67" s="164">
        <v>2.9990935833065701E-3</v>
      </c>
    </row>
    <row r="68" spans="1:23">
      <c r="A68" s="3">
        <v>1182</v>
      </c>
      <c r="B68" s="3">
        <v>14769</v>
      </c>
      <c r="C68" s="3" t="s">
        <v>1066</v>
      </c>
      <c r="D68" s="3" t="s">
        <v>1067</v>
      </c>
      <c r="E68" s="5" t="s">
        <v>651</v>
      </c>
      <c r="F68" s="3" t="s">
        <v>1137</v>
      </c>
      <c r="G68" s="3" t="s">
        <v>1138</v>
      </c>
      <c r="H68" s="3" t="s">
        <v>137</v>
      </c>
      <c r="I68" s="3" t="s">
        <v>1070</v>
      </c>
      <c r="J68" s="3" t="s">
        <v>572</v>
      </c>
      <c r="K68" s="3" t="s">
        <v>566</v>
      </c>
      <c r="L68" s="3" t="s">
        <v>1139</v>
      </c>
      <c r="M68" s="3" t="s">
        <v>1140</v>
      </c>
      <c r="N68" s="3" t="s">
        <v>141</v>
      </c>
      <c r="O68" s="3" t="s">
        <v>1141</v>
      </c>
      <c r="P68" s="154">
        <v>12940</v>
      </c>
      <c r="Q68" s="162">
        <v>4.4409000000000001</v>
      </c>
      <c r="R68" s="172">
        <v>908.4</v>
      </c>
      <c r="T68" s="153">
        <v>522.01400000000001</v>
      </c>
      <c r="U68" s="164">
        <v>2.0999999999999999E-5</v>
      </c>
      <c r="V68" s="164">
        <v>2.93280483000537E-2</v>
      </c>
      <c r="W68" s="164">
        <v>1.81142678901965E-2</v>
      </c>
    </row>
    <row r="69" spans="1:23">
      <c r="A69" s="3">
        <v>1182</v>
      </c>
      <c r="B69" s="3">
        <v>14769</v>
      </c>
      <c r="C69" s="3" t="s">
        <v>1066</v>
      </c>
      <c r="D69" s="3" t="s">
        <v>1067</v>
      </c>
      <c r="E69" s="5" t="s">
        <v>651</v>
      </c>
      <c r="F69" s="3" t="s">
        <v>1142</v>
      </c>
      <c r="G69" s="3" t="s">
        <v>1143</v>
      </c>
      <c r="H69" s="3" t="s">
        <v>137</v>
      </c>
      <c r="I69" s="3" t="s">
        <v>1070</v>
      </c>
      <c r="J69" s="3" t="s">
        <v>572</v>
      </c>
      <c r="K69" s="3" t="s">
        <v>1000</v>
      </c>
      <c r="L69" s="3" t="s">
        <v>914</v>
      </c>
      <c r="M69" s="3" t="s">
        <v>1144</v>
      </c>
      <c r="N69" s="3" t="s">
        <v>141</v>
      </c>
      <c r="O69" s="3" t="s">
        <v>664</v>
      </c>
      <c r="P69" s="154">
        <v>4105</v>
      </c>
      <c r="Q69" s="162">
        <v>3.306</v>
      </c>
      <c r="R69" s="172">
        <v>4114</v>
      </c>
      <c r="T69" s="153">
        <v>558.31600000000003</v>
      </c>
      <c r="U69" s="164">
        <v>2.4000000000000001E-5</v>
      </c>
      <c r="V69" s="164">
        <v>3.1367583674266598E-2</v>
      </c>
      <c r="W69" s="164">
        <v>1.9373972926210001E-2</v>
      </c>
    </row>
    <row r="70" spans="1:23">
      <c r="A70" s="3">
        <v>1182</v>
      </c>
      <c r="B70" s="3">
        <v>14769</v>
      </c>
      <c r="C70" s="3" t="s">
        <v>1066</v>
      </c>
      <c r="D70" s="3" t="s">
        <v>1067</v>
      </c>
      <c r="E70" s="5" t="s">
        <v>651</v>
      </c>
      <c r="F70" s="3" t="s">
        <v>1145</v>
      </c>
      <c r="G70" s="3" t="s">
        <v>1146</v>
      </c>
      <c r="H70" s="3" t="s">
        <v>137</v>
      </c>
      <c r="I70" s="3" t="s">
        <v>1147</v>
      </c>
      <c r="J70" s="3" t="s">
        <v>572</v>
      </c>
      <c r="K70" s="3" t="s">
        <v>1148</v>
      </c>
      <c r="L70" s="3" t="s">
        <v>1139</v>
      </c>
      <c r="M70" s="3" t="s">
        <v>1108</v>
      </c>
      <c r="N70" s="3" t="s">
        <v>141</v>
      </c>
      <c r="O70" s="3" t="s">
        <v>664</v>
      </c>
      <c r="P70" s="154">
        <v>1047</v>
      </c>
      <c r="Q70" s="162">
        <v>3.306</v>
      </c>
      <c r="R70" s="172">
        <v>661.1</v>
      </c>
      <c r="T70" s="153">
        <v>22.882999999999999</v>
      </c>
      <c r="U70" s="164">
        <v>0</v>
      </c>
      <c r="V70" s="164">
        <v>1.28563431346156E-3</v>
      </c>
      <c r="W70" s="164">
        <v>7.9406321636577796E-4</v>
      </c>
    </row>
    <row r="71" spans="1:23">
      <c r="A71" s="3">
        <v>1182</v>
      </c>
      <c r="B71" s="3">
        <v>14769</v>
      </c>
      <c r="C71" s="3" t="s">
        <v>1066</v>
      </c>
      <c r="D71" s="3" t="s">
        <v>1067</v>
      </c>
      <c r="E71" s="5" t="s">
        <v>651</v>
      </c>
      <c r="F71" s="3" t="s">
        <v>1149</v>
      </c>
      <c r="G71" s="3" t="s">
        <v>1150</v>
      </c>
      <c r="H71" s="3" t="s">
        <v>137</v>
      </c>
      <c r="I71" s="3" t="s">
        <v>1070</v>
      </c>
      <c r="J71" s="3" t="s">
        <v>572</v>
      </c>
      <c r="K71" s="3" t="s">
        <v>224</v>
      </c>
      <c r="L71" s="3" t="s">
        <v>894</v>
      </c>
      <c r="M71" s="3" t="s">
        <v>1108</v>
      </c>
      <c r="N71" s="3" t="s">
        <v>141</v>
      </c>
      <c r="O71" s="3" t="s">
        <v>664</v>
      </c>
      <c r="P71" s="154">
        <v>452</v>
      </c>
      <c r="Q71" s="162">
        <v>3.306</v>
      </c>
      <c r="R71" s="172">
        <v>6751</v>
      </c>
      <c r="T71" s="153">
        <v>100.881</v>
      </c>
      <c r="U71" s="164">
        <v>0</v>
      </c>
      <c r="V71" s="164">
        <v>5.66774312945891E-3</v>
      </c>
      <c r="W71" s="164">
        <v>3.5006426724839899E-3</v>
      </c>
    </row>
    <row r="72" spans="1:23">
      <c r="A72" s="3">
        <v>1182</v>
      </c>
      <c r="B72" s="3">
        <v>14769</v>
      </c>
      <c r="C72" s="3" t="s">
        <v>1066</v>
      </c>
      <c r="D72" s="3" t="s">
        <v>1067</v>
      </c>
      <c r="E72" s="5" t="s">
        <v>651</v>
      </c>
      <c r="F72" s="3" t="s">
        <v>1151</v>
      </c>
      <c r="G72" s="3" t="s">
        <v>1152</v>
      </c>
      <c r="H72" s="3" t="s">
        <v>137</v>
      </c>
      <c r="I72" s="3" t="s">
        <v>1070</v>
      </c>
      <c r="J72" s="3" t="s">
        <v>572</v>
      </c>
      <c r="K72" s="3" t="s">
        <v>1120</v>
      </c>
      <c r="L72" s="3" t="s">
        <v>1153</v>
      </c>
      <c r="M72" s="3" t="s">
        <v>1111</v>
      </c>
      <c r="N72" s="3" t="s">
        <v>141</v>
      </c>
      <c r="O72" s="3" t="s">
        <v>576</v>
      </c>
      <c r="P72" s="154">
        <v>395</v>
      </c>
      <c r="Q72" s="162">
        <v>3.8807</v>
      </c>
      <c r="R72" s="172">
        <v>10690</v>
      </c>
      <c r="T72" s="153">
        <v>163.864</v>
      </c>
      <c r="U72" s="164">
        <v>7.8999999999999996E-5</v>
      </c>
      <c r="V72" s="164">
        <v>9.2063109319681802E-3</v>
      </c>
      <c r="W72" s="164">
        <v>5.6862148069297602E-3</v>
      </c>
    </row>
    <row r="73" spans="1:23">
      <c r="A73" s="3">
        <v>1182</v>
      </c>
      <c r="B73" s="3">
        <v>14769</v>
      </c>
      <c r="C73" s="3" t="s">
        <v>1066</v>
      </c>
      <c r="D73" s="3" t="s">
        <v>1067</v>
      </c>
      <c r="E73" s="5" t="s">
        <v>651</v>
      </c>
      <c r="F73" s="3" t="s">
        <v>1224</v>
      </c>
      <c r="G73" s="3" t="s">
        <v>1225</v>
      </c>
      <c r="H73" s="3" t="s">
        <v>137</v>
      </c>
      <c r="I73" s="3" t="s">
        <v>1070</v>
      </c>
      <c r="J73" s="3" t="s">
        <v>572</v>
      </c>
      <c r="K73" s="3" t="s">
        <v>224</v>
      </c>
      <c r="L73" s="3" t="s">
        <v>914</v>
      </c>
      <c r="M73" s="3" t="s">
        <v>1206</v>
      </c>
      <c r="N73" s="3" t="s">
        <v>141</v>
      </c>
      <c r="O73" s="3" t="s">
        <v>664</v>
      </c>
      <c r="P73" s="154">
        <v>234</v>
      </c>
      <c r="Q73" s="162">
        <v>3.306</v>
      </c>
      <c r="R73" s="172">
        <v>66930</v>
      </c>
      <c r="T73" s="153">
        <v>517.77300000000002</v>
      </c>
      <c r="U73" s="164">
        <v>0</v>
      </c>
      <c r="V73" s="164">
        <v>2.90897707554293E-2</v>
      </c>
      <c r="W73" s="164">
        <v>1.7967097398952601E-2</v>
      </c>
    </row>
    <row r="74" spans="1:23">
      <c r="A74" s="3">
        <v>1182</v>
      </c>
      <c r="B74" s="3">
        <v>14769</v>
      </c>
      <c r="C74" s="3" t="s">
        <v>1154</v>
      </c>
      <c r="D74" s="3" t="s">
        <v>1102</v>
      </c>
      <c r="E74" s="5" t="s">
        <v>651</v>
      </c>
      <c r="F74" s="3" t="s">
        <v>1155</v>
      </c>
      <c r="G74" s="3" t="s">
        <v>1156</v>
      </c>
      <c r="H74" s="3" t="s">
        <v>137</v>
      </c>
      <c r="I74" s="3" t="s">
        <v>1070</v>
      </c>
      <c r="J74" s="3" t="s">
        <v>572</v>
      </c>
      <c r="K74" s="3" t="s">
        <v>1120</v>
      </c>
      <c r="L74" s="3" t="s">
        <v>1157</v>
      </c>
      <c r="M74" s="3" t="s">
        <v>1111</v>
      </c>
      <c r="N74" s="3" t="s">
        <v>141</v>
      </c>
      <c r="O74" s="3" t="s">
        <v>576</v>
      </c>
      <c r="P74" s="154">
        <v>229</v>
      </c>
      <c r="Q74" s="162">
        <v>3.8807</v>
      </c>
      <c r="R74" s="172">
        <v>26801</v>
      </c>
      <c r="T74" s="153">
        <v>238.17500000000001</v>
      </c>
      <c r="U74" s="164">
        <v>1.0000000000000001E-5</v>
      </c>
      <c r="V74" s="164">
        <v>1.3381269540178001E-2</v>
      </c>
      <c r="W74" s="164">
        <v>8.2648493579188104E-3</v>
      </c>
    </row>
    <row r="75" spans="1:23">
      <c r="A75" s="3">
        <v>1182</v>
      </c>
      <c r="B75" s="3">
        <v>14769</v>
      </c>
      <c r="C75" s="3" t="s">
        <v>1154</v>
      </c>
      <c r="D75" s="3" t="s">
        <v>1102</v>
      </c>
      <c r="E75" s="5" t="s">
        <v>651</v>
      </c>
      <c r="F75" s="3" t="s">
        <v>1226</v>
      </c>
      <c r="G75" s="3" t="s">
        <v>1227</v>
      </c>
      <c r="H75" s="3" t="s">
        <v>137</v>
      </c>
      <c r="I75" s="3" t="s">
        <v>1070</v>
      </c>
      <c r="J75" s="3" t="s">
        <v>572</v>
      </c>
      <c r="K75" s="3" t="s">
        <v>224</v>
      </c>
      <c r="L75" s="3" t="s">
        <v>1139</v>
      </c>
      <c r="M75" s="3" t="s">
        <v>1206</v>
      </c>
      <c r="N75" s="3" t="s">
        <v>141</v>
      </c>
      <c r="O75" s="3" t="s">
        <v>664</v>
      </c>
      <c r="P75" s="154">
        <v>150</v>
      </c>
      <c r="Q75" s="162">
        <v>3.306</v>
      </c>
      <c r="R75" s="172">
        <v>47917</v>
      </c>
      <c r="T75" s="153">
        <v>237.62</v>
      </c>
      <c r="U75" s="164">
        <v>1.7E-5</v>
      </c>
      <c r="V75" s="164">
        <v>1.33500992740972E-2</v>
      </c>
      <c r="W75" s="164">
        <v>8.2455972568509298E-3</v>
      </c>
    </row>
    <row r="76" spans="1:23">
      <c r="A76" s="3">
        <v>1182</v>
      </c>
      <c r="B76" s="3">
        <v>14769</v>
      </c>
      <c r="C76" s="3" t="s">
        <v>1154</v>
      </c>
      <c r="D76" s="3" t="s">
        <v>1102</v>
      </c>
      <c r="E76" s="5" t="s">
        <v>651</v>
      </c>
      <c r="F76" s="3" t="s">
        <v>1158</v>
      </c>
      <c r="G76" s="3" t="s">
        <v>1159</v>
      </c>
      <c r="H76" s="3" t="s">
        <v>137</v>
      </c>
      <c r="I76" s="3" t="s">
        <v>1070</v>
      </c>
      <c r="J76" s="3" t="s">
        <v>572</v>
      </c>
      <c r="K76" s="3" t="s">
        <v>1063</v>
      </c>
      <c r="L76" s="3" t="s">
        <v>1157</v>
      </c>
      <c r="M76" s="3" t="s">
        <v>1111</v>
      </c>
      <c r="N76" s="3" t="s">
        <v>141</v>
      </c>
      <c r="O76" s="3" t="s">
        <v>576</v>
      </c>
      <c r="P76" s="154">
        <v>113</v>
      </c>
      <c r="Q76" s="162">
        <v>3.8807</v>
      </c>
      <c r="R76" s="172">
        <v>13635.6</v>
      </c>
      <c r="T76" s="153">
        <v>59.795000000000002</v>
      </c>
      <c r="U76" s="164">
        <v>3.4999999999999997E-5</v>
      </c>
      <c r="V76" s="164">
        <v>3.35941404787766E-3</v>
      </c>
      <c r="W76" s="164">
        <v>2.0749190465986101E-3</v>
      </c>
    </row>
    <row r="77" spans="1:23">
      <c r="A77" s="3">
        <v>1182</v>
      </c>
      <c r="B77" s="3">
        <v>14769</v>
      </c>
      <c r="C77" s="3" t="s">
        <v>1162</v>
      </c>
      <c r="D77" s="3" t="s">
        <v>1163</v>
      </c>
      <c r="E77" s="5" t="s">
        <v>651</v>
      </c>
      <c r="F77" s="3" t="s">
        <v>1164</v>
      </c>
      <c r="G77" s="3" t="s">
        <v>1165</v>
      </c>
      <c r="H77" s="3" t="s">
        <v>137</v>
      </c>
      <c r="I77" s="3" t="s">
        <v>1070</v>
      </c>
      <c r="J77" s="3" t="s">
        <v>572</v>
      </c>
      <c r="K77" s="3" t="s">
        <v>224</v>
      </c>
      <c r="L77" s="3" t="s">
        <v>914</v>
      </c>
      <c r="M77" s="3" t="s">
        <v>1090</v>
      </c>
      <c r="N77" s="3" t="s">
        <v>141</v>
      </c>
      <c r="O77" s="3" t="s">
        <v>664</v>
      </c>
      <c r="P77" s="154">
        <v>427</v>
      </c>
      <c r="Q77" s="162">
        <v>3.306</v>
      </c>
      <c r="R77" s="172">
        <v>9964.5</v>
      </c>
      <c r="T77" s="153">
        <v>140.66499999999999</v>
      </c>
      <c r="U77" s="164">
        <v>9.0000000000000002E-6</v>
      </c>
      <c r="V77" s="164">
        <v>7.9029093947935794E-3</v>
      </c>
      <c r="W77" s="164">
        <v>4.8811777866916402E-3</v>
      </c>
    </row>
    <row r="78" spans="1:23">
      <c r="A78" s="3">
        <v>1182</v>
      </c>
      <c r="B78" s="3">
        <v>14769</v>
      </c>
      <c r="C78" s="3" t="s">
        <v>1093</v>
      </c>
      <c r="D78" s="3" t="s">
        <v>1094</v>
      </c>
      <c r="E78" s="5" t="s">
        <v>651</v>
      </c>
      <c r="F78" s="3" t="s">
        <v>1166</v>
      </c>
      <c r="G78" s="3" t="s">
        <v>1167</v>
      </c>
      <c r="H78" s="3" t="s">
        <v>137</v>
      </c>
      <c r="I78" s="3" t="s">
        <v>1070</v>
      </c>
      <c r="J78" s="3" t="s">
        <v>572</v>
      </c>
      <c r="K78" s="3" t="s">
        <v>224</v>
      </c>
      <c r="L78" s="3" t="s">
        <v>914</v>
      </c>
      <c r="M78" s="3" t="s">
        <v>1071</v>
      </c>
      <c r="N78" s="3" t="s">
        <v>141</v>
      </c>
      <c r="O78" s="3" t="s">
        <v>664</v>
      </c>
      <c r="P78" s="154">
        <v>493</v>
      </c>
      <c r="Q78" s="162">
        <v>3.306</v>
      </c>
      <c r="R78" s="172">
        <v>8934</v>
      </c>
      <c r="T78" s="153">
        <v>145.61199999999999</v>
      </c>
      <c r="U78" s="164">
        <v>9.9999999999999995E-7</v>
      </c>
      <c r="V78" s="164">
        <v>8.1808133437664601E-3</v>
      </c>
      <c r="W78" s="164">
        <v>5.0528232548092402E-3</v>
      </c>
    </row>
    <row r="79" spans="1:23">
      <c r="A79" s="3">
        <v>1182</v>
      </c>
      <c r="B79" s="3">
        <v>14769</v>
      </c>
      <c r="C79" s="3" t="s">
        <v>1097</v>
      </c>
      <c r="D79" s="3" t="s">
        <v>1098</v>
      </c>
      <c r="E79" s="5" t="s">
        <v>651</v>
      </c>
      <c r="F79" s="3" t="s">
        <v>1168</v>
      </c>
      <c r="G79" s="3" t="s">
        <v>1169</v>
      </c>
      <c r="H79" s="3" t="s">
        <v>137</v>
      </c>
      <c r="I79" s="3" t="s">
        <v>1070</v>
      </c>
      <c r="J79" s="3" t="s">
        <v>572</v>
      </c>
      <c r="K79" s="3" t="s">
        <v>224</v>
      </c>
      <c r="L79" s="3" t="s">
        <v>894</v>
      </c>
      <c r="M79" s="3" t="s">
        <v>1090</v>
      </c>
      <c r="N79" s="3" t="s">
        <v>141</v>
      </c>
      <c r="O79" s="3" t="s">
        <v>664</v>
      </c>
      <c r="P79" s="154">
        <v>385</v>
      </c>
      <c r="Q79" s="162">
        <v>3.306</v>
      </c>
      <c r="R79" s="172">
        <v>60037</v>
      </c>
      <c r="S79" s="153">
        <v>0.19900000000000001</v>
      </c>
      <c r="T79" s="153">
        <v>764.81399999999996</v>
      </c>
      <c r="U79" s="164">
        <v>9.9999999999999995E-7</v>
      </c>
      <c r="V79" s="164">
        <v>4.2969155425399398E-2</v>
      </c>
      <c r="W79" s="164">
        <v>2.6539604150534302E-2</v>
      </c>
    </row>
    <row r="80" spans="1:23">
      <c r="A80" s="3">
        <v>1182</v>
      </c>
      <c r="B80" s="3">
        <v>14769</v>
      </c>
      <c r="C80" s="3" t="s">
        <v>1093</v>
      </c>
      <c r="D80" s="3" t="s">
        <v>1094</v>
      </c>
      <c r="E80" s="5" t="s">
        <v>651</v>
      </c>
      <c r="F80" s="3" t="s">
        <v>1170</v>
      </c>
      <c r="G80" s="3" t="s">
        <v>1171</v>
      </c>
      <c r="H80" s="3" t="s">
        <v>137</v>
      </c>
      <c r="I80" s="3" t="s">
        <v>1070</v>
      </c>
      <c r="J80" s="3" t="s">
        <v>572</v>
      </c>
      <c r="K80" s="3" t="s">
        <v>224</v>
      </c>
      <c r="L80" s="3" t="s">
        <v>914</v>
      </c>
      <c r="M80" s="3" t="s">
        <v>1172</v>
      </c>
      <c r="N80" s="3" t="s">
        <v>141</v>
      </c>
      <c r="O80" s="3" t="s">
        <v>664</v>
      </c>
      <c r="P80" s="154">
        <v>306</v>
      </c>
      <c r="Q80" s="162">
        <v>3.306</v>
      </c>
      <c r="R80" s="172">
        <v>4213</v>
      </c>
      <c r="T80" s="153">
        <v>42.62</v>
      </c>
      <c r="U80" s="164">
        <v>5.0000000000000004E-6</v>
      </c>
      <c r="V80" s="164">
        <v>2.3945091556903299E-3</v>
      </c>
      <c r="W80" s="164">
        <v>1.47895215760483E-3</v>
      </c>
    </row>
    <row r="81" spans="1:23">
      <c r="A81" s="3">
        <v>1182</v>
      </c>
      <c r="B81" s="3">
        <v>14769</v>
      </c>
      <c r="C81" s="3" t="s">
        <v>1097</v>
      </c>
      <c r="D81" s="3" t="s">
        <v>1098</v>
      </c>
      <c r="E81" s="5" t="s">
        <v>651</v>
      </c>
      <c r="F81" s="3" t="s">
        <v>1173</v>
      </c>
      <c r="G81" s="3" t="s">
        <v>1174</v>
      </c>
      <c r="H81" s="3" t="s">
        <v>137</v>
      </c>
      <c r="I81" s="3" t="s">
        <v>1070</v>
      </c>
      <c r="J81" s="3" t="s">
        <v>572</v>
      </c>
      <c r="K81" s="3" t="s">
        <v>224</v>
      </c>
      <c r="L81" s="3" t="s">
        <v>914</v>
      </c>
      <c r="M81" s="3" t="s">
        <v>1071</v>
      </c>
      <c r="N81" s="3" t="s">
        <v>141</v>
      </c>
      <c r="O81" s="3" t="s">
        <v>576</v>
      </c>
      <c r="P81" s="154">
        <v>777</v>
      </c>
      <c r="Q81" s="162">
        <v>3.8807</v>
      </c>
      <c r="R81" s="172">
        <v>14074</v>
      </c>
      <c r="T81" s="153">
        <v>424.37400000000002</v>
      </c>
      <c r="U81" s="164">
        <v>3.0600000000000001E-4</v>
      </c>
      <c r="V81" s="164">
        <v>2.3842368896499998E-2</v>
      </c>
      <c r="W81" s="164">
        <v>1.47260756293592E-2</v>
      </c>
    </row>
    <row r="82" spans="1:23">
      <c r="A82" s="3">
        <v>1182</v>
      </c>
      <c r="B82" s="3">
        <v>14769</v>
      </c>
      <c r="C82" s="3" t="s">
        <v>1097</v>
      </c>
      <c r="D82" s="3" t="s">
        <v>1098</v>
      </c>
      <c r="E82" s="5" t="s">
        <v>651</v>
      </c>
      <c r="F82" s="3" t="s">
        <v>1228</v>
      </c>
      <c r="G82" s="3" t="s">
        <v>1229</v>
      </c>
      <c r="H82" s="3" t="s">
        <v>137</v>
      </c>
      <c r="I82" s="3" t="s">
        <v>1070</v>
      </c>
      <c r="J82" s="3" t="s">
        <v>572</v>
      </c>
      <c r="K82" s="3" t="s">
        <v>224</v>
      </c>
      <c r="L82" s="3" t="s">
        <v>1139</v>
      </c>
      <c r="M82" s="3" t="s">
        <v>1206</v>
      </c>
      <c r="N82" s="3" t="s">
        <v>141</v>
      </c>
      <c r="O82" s="3" t="s">
        <v>664</v>
      </c>
      <c r="P82" s="154">
        <v>140</v>
      </c>
      <c r="Q82" s="162">
        <v>3.306</v>
      </c>
      <c r="R82" s="172">
        <v>132232</v>
      </c>
      <c r="T82" s="153">
        <v>612.02300000000002</v>
      </c>
      <c r="U82" s="164">
        <v>2.8E-5</v>
      </c>
      <c r="V82" s="164">
        <v>3.4384935869627202E-2</v>
      </c>
      <c r="W82" s="164">
        <v>2.1237619815585002E-2</v>
      </c>
    </row>
    <row r="83" spans="1:23">
      <c r="A83" s="3">
        <v>1182</v>
      </c>
      <c r="B83" s="3">
        <v>14769</v>
      </c>
      <c r="C83" s="3" t="s">
        <v>1093</v>
      </c>
      <c r="D83" s="3" t="s">
        <v>1094</v>
      </c>
      <c r="E83" s="5" t="s">
        <v>651</v>
      </c>
      <c r="F83" s="3" t="s">
        <v>1230</v>
      </c>
      <c r="G83" s="3" t="s">
        <v>1231</v>
      </c>
      <c r="H83" s="3" t="s">
        <v>137</v>
      </c>
      <c r="I83" s="3" t="s">
        <v>1147</v>
      </c>
      <c r="J83" s="3" t="s">
        <v>572</v>
      </c>
      <c r="K83" s="3" t="s">
        <v>224</v>
      </c>
      <c r="L83" s="3" t="s">
        <v>914</v>
      </c>
      <c r="M83" s="3" t="s">
        <v>1232</v>
      </c>
      <c r="N83" s="3" t="s">
        <v>141</v>
      </c>
      <c r="O83" s="3" t="s">
        <v>664</v>
      </c>
      <c r="P83" s="154">
        <v>14000</v>
      </c>
      <c r="Q83" s="162">
        <v>3.306</v>
      </c>
      <c r="R83" s="172">
        <v>1153.5999999999999</v>
      </c>
      <c r="T83" s="153">
        <v>533.93200000000002</v>
      </c>
      <c r="U83" s="164">
        <v>0</v>
      </c>
      <c r="V83" s="164">
        <v>2.99976269127003E-2</v>
      </c>
      <c r="W83" s="164">
        <v>1.8527828528086099E-2</v>
      </c>
    </row>
    <row r="84" spans="1:23">
      <c r="A84" s="3">
        <v>1182</v>
      </c>
      <c r="B84" s="3">
        <v>14769</v>
      </c>
      <c r="C84" s="3" t="s">
        <v>1093</v>
      </c>
      <c r="D84" s="3" t="s">
        <v>1094</v>
      </c>
      <c r="E84" s="5" t="s">
        <v>651</v>
      </c>
      <c r="F84" s="3" t="s">
        <v>1175</v>
      </c>
      <c r="G84" s="3" t="s">
        <v>1176</v>
      </c>
      <c r="H84" s="3" t="s">
        <v>137</v>
      </c>
      <c r="I84" s="3" t="s">
        <v>1070</v>
      </c>
      <c r="J84" s="3" t="s">
        <v>572</v>
      </c>
      <c r="K84" s="3" t="s">
        <v>1120</v>
      </c>
      <c r="L84" s="3" t="s">
        <v>498</v>
      </c>
      <c r="M84" s="3" t="s">
        <v>1177</v>
      </c>
      <c r="N84" s="3" t="s">
        <v>141</v>
      </c>
      <c r="O84" s="3" t="s">
        <v>576</v>
      </c>
      <c r="P84" s="154">
        <v>162</v>
      </c>
      <c r="Q84" s="162">
        <v>3.8807</v>
      </c>
      <c r="R84" s="172">
        <v>39550</v>
      </c>
      <c r="T84" s="153">
        <v>248.64</v>
      </c>
      <c r="U84" s="164">
        <v>0</v>
      </c>
      <c r="V84" s="164">
        <v>1.3969225887724999E-2</v>
      </c>
      <c r="W84" s="164">
        <v>8.6279965635645793E-3</v>
      </c>
    </row>
    <row r="85" spans="1:23">
      <c r="A85" s="3">
        <v>1182</v>
      </c>
      <c r="B85" s="3">
        <v>14769</v>
      </c>
      <c r="C85" s="3" t="s">
        <v>1093</v>
      </c>
      <c r="D85" s="3" t="s">
        <v>1094</v>
      </c>
      <c r="E85" s="5" t="s">
        <v>651</v>
      </c>
      <c r="F85" s="3" t="s">
        <v>1178</v>
      </c>
      <c r="G85" s="3" t="s">
        <v>1179</v>
      </c>
      <c r="H85" s="3" t="s">
        <v>137</v>
      </c>
      <c r="I85" s="3" t="s">
        <v>1070</v>
      </c>
      <c r="J85" s="3" t="s">
        <v>572</v>
      </c>
      <c r="K85" s="3" t="s">
        <v>224</v>
      </c>
      <c r="L85" s="3" t="s">
        <v>914</v>
      </c>
      <c r="M85" s="3" t="s">
        <v>1071</v>
      </c>
      <c r="N85" s="3" t="s">
        <v>141</v>
      </c>
      <c r="O85" s="3" t="s">
        <v>664</v>
      </c>
      <c r="P85" s="154">
        <v>329</v>
      </c>
      <c r="Q85" s="162">
        <v>3.306</v>
      </c>
      <c r="R85" s="172">
        <v>15285</v>
      </c>
      <c r="T85" s="153">
        <v>166.251</v>
      </c>
      <c r="U85" s="164">
        <v>0</v>
      </c>
      <c r="V85" s="164">
        <v>9.3403888635356092E-3</v>
      </c>
      <c r="W85" s="164">
        <v>5.7690271218075696E-3</v>
      </c>
    </row>
    <row r="86" spans="1:23">
      <c r="A86" s="3">
        <v>1182</v>
      </c>
      <c r="B86" s="3">
        <v>14769</v>
      </c>
      <c r="C86" s="3" t="s">
        <v>1180</v>
      </c>
      <c r="D86" s="3" t="s">
        <v>1181</v>
      </c>
      <c r="E86" s="5" t="s">
        <v>651</v>
      </c>
      <c r="F86" s="3" t="s">
        <v>1182</v>
      </c>
      <c r="G86" s="3" t="s">
        <v>1183</v>
      </c>
      <c r="H86" s="3" t="s">
        <v>137</v>
      </c>
      <c r="I86" s="3" t="s">
        <v>1070</v>
      </c>
      <c r="J86" s="3" t="s">
        <v>572</v>
      </c>
      <c r="K86" s="3" t="s">
        <v>224</v>
      </c>
      <c r="L86" s="3" t="s">
        <v>1139</v>
      </c>
      <c r="M86" s="3" t="s">
        <v>1071</v>
      </c>
      <c r="N86" s="3" t="s">
        <v>141</v>
      </c>
      <c r="O86" s="3" t="s">
        <v>664</v>
      </c>
      <c r="P86" s="154">
        <v>537</v>
      </c>
      <c r="Q86" s="162">
        <v>3.306</v>
      </c>
      <c r="R86" s="172">
        <v>6492</v>
      </c>
      <c r="T86" s="153">
        <v>115.254</v>
      </c>
      <c r="U86" s="164">
        <v>0</v>
      </c>
      <c r="V86" s="164">
        <v>6.4752481011964699E-3</v>
      </c>
      <c r="W86" s="164">
        <v>3.9993925801173899E-3</v>
      </c>
    </row>
    <row r="87" spans="1:23">
      <c r="A87" s="3">
        <v>1182</v>
      </c>
      <c r="B87" s="3">
        <v>14769</v>
      </c>
      <c r="C87" s="3" t="s">
        <v>1180</v>
      </c>
      <c r="D87" s="3" t="s">
        <v>1181</v>
      </c>
      <c r="E87" s="5" t="s">
        <v>651</v>
      </c>
      <c r="F87" s="3" t="s">
        <v>1233</v>
      </c>
      <c r="G87" s="3" t="s">
        <v>1234</v>
      </c>
      <c r="H87" s="3" t="s">
        <v>137</v>
      </c>
      <c r="I87" s="3" t="s">
        <v>1070</v>
      </c>
      <c r="J87" s="3" t="s">
        <v>572</v>
      </c>
      <c r="K87" s="3" t="s">
        <v>224</v>
      </c>
      <c r="L87" s="3" t="s">
        <v>894</v>
      </c>
      <c r="M87" s="3" t="s">
        <v>1071</v>
      </c>
      <c r="N87" s="3" t="s">
        <v>141</v>
      </c>
      <c r="O87" s="3" t="s">
        <v>664</v>
      </c>
      <c r="P87" s="154">
        <v>141</v>
      </c>
      <c r="Q87" s="162">
        <v>3.306</v>
      </c>
      <c r="R87" s="172">
        <v>32636</v>
      </c>
      <c r="T87" s="153">
        <v>152.131</v>
      </c>
      <c r="U87" s="164">
        <v>6.0000000000000002E-6</v>
      </c>
      <c r="V87" s="164">
        <v>8.5471170881914506E-3</v>
      </c>
      <c r="W87" s="164">
        <v>5.2790682503101602E-3</v>
      </c>
    </row>
    <row r="88" spans="1:23">
      <c r="A88" s="3">
        <v>1182</v>
      </c>
      <c r="B88" s="3">
        <v>14769</v>
      </c>
      <c r="C88" s="3" t="s">
        <v>1184</v>
      </c>
      <c r="D88" s="3" t="s">
        <v>1185</v>
      </c>
      <c r="E88" s="5" t="s">
        <v>651</v>
      </c>
      <c r="F88" s="3" t="s">
        <v>1235</v>
      </c>
      <c r="G88" s="3" t="s">
        <v>1236</v>
      </c>
      <c r="H88" s="3" t="s">
        <v>137</v>
      </c>
      <c r="I88" s="3" t="s">
        <v>1070</v>
      </c>
      <c r="J88" s="3" t="s">
        <v>572</v>
      </c>
      <c r="K88" s="3" t="s">
        <v>224</v>
      </c>
      <c r="L88" s="3" t="s">
        <v>914</v>
      </c>
      <c r="M88" s="3" t="s">
        <v>1206</v>
      </c>
      <c r="N88" s="3" t="s">
        <v>141</v>
      </c>
      <c r="O88" s="3" t="s">
        <v>664</v>
      </c>
      <c r="P88" s="154">
        <v>101</v>
      </c>
      <c r="Q88" s="162">
        <v>3.306</v>
      </c>
      <c r="R88" s="172">
        <v>61238</v>
      </c>
      <c r="S88" s="153">
        <v>0.17599999999999999</v>
      </c>
      <c r="T88" s="153">
        <v>205.05799999999999</v>
      </c>
      <c r="U88" s="164">
        <v>0</v>
      </c>
      <c r="V88" s="164">
        <v>1.1520683119937499E-2</v>
      </c>
      <c r="W88" s="164">
        <v>7.1156709160298997E-3</v>
      </c>
    </row>
    <row r="89" spans="1:23">
      <c r="A89" s="3">
        <v>1182</v>
      </c>
      <c r="B89" s="3">
        <v>14769</v>
      </c>
      <c r="C89" s="3" t="s">
        <v>1184</v>
      </c>
      <c r="D89" s="3" t="s">
        <v>1185</v>
      </c>
      <c r="E89" s="5" t="s">
        <v>651</v>
      </c>
      <c r="F89" s="3" t="s">
        <v>1237</v>
      </c>
      <c r="G89" s="3" t="s">
        <v>1238</v>
      </c>
      <c r="H89" s="3" t="s">
        <v>137</v>
      </c>
      <c r="I89" s="3" t="s">
        <v>1070</v>
      </c>
      <c r="J89" s="3" t="s">
        <v>572</v>
      </c>
      <c r="K89" s="3" t="s">
        <v>224</v>
      </c>
      <c r="L89" s="3" t="s">
        <v>894</v>
      </c>
      <c r="M89" s="3" t="s">
        <v>1206</v>
      </c>
      <c r="N89" s="3" t="s">
        <v>141</v>
      </c>
      <c r="O89" s="3" t="s">
        <v>664</v>
      </c>
      <c r="P89" s="154">
        <v>38</v>
      </c>
      <c r="Q89" s="162">
        <v>3.306</v>
      </c>
      <c r="R89" s="172">
        <v>19947</v>
      </c>
      <c r="T89" s="153">
        <v>25.059000000000001</v>
      </c>
      <c r="U89" s="164">
        <v>0</v>
      </c>
      <c r="V89" s="164">
        <v>1.4078772806277299E-3</v>
      </c>
      <c r="W89" s="164">
        <v>8.6956574664961105E-4</v>
      </c>
    </row>
    <row r="90" spans="1:23">
      <c r="A90" s="3">
        <v>1182</v>
      </c>
      <c r="B90" s="3">
        <v>14769</v>
      </c>
      <c r="C90" s="3" t="s">
        <v>1184</v>
      </c>
      <c r="D90" s="3" t="s">
        <v>1185</v>
      </c>
      <c r="E90" s="5" t="s">
        <v>651</v>
      </c>
      <c r="F90" s="3" t="s">
        <v>1186</v>
      </c>
      <c r="G90" s="3" t="s">
        <v>1187</v>
      </c>
      <c r="H90" s="3" t="s">
        <v>137</v>
      </c>
      <c r="I90" s="3" t="s">
        <v>1070</v>
      </c>
      <c r="J90" s="3" t="s">
        <v>572</v>
      </c>
      <c r="K90" s="3" t="s">
        <v>224</v>
      </c>
      <c r="L90" s="3" t="s">
        <v>914</v>
      </c>
      <c r="M90" s="3" t="s">
        <v>1071</v>
      </c>
      <c r="N90" s="3" t="s">
        <v>141</v>
      </c>
      <c r="O90" s="3" t="s">
        <v>664</v>
      </c>
      <c r="P90" s="154">
        <v>1420</v>
      </c>
      <c r="Q90" s="162">
        <v>3.306</v>
      </c>
      <c r="R90" s="172">
        <v>11038</v>
      </c>
      <c r="T90" s="153">
        <v>518.18100000000004</v>
      </c>
      <c r="U90" s="164">
        <v>1.7799999999999999E-4</v>
      </c>
      <c r="V90" s="164">
        <v>2.9112690975120599E-2</v>
      </c>
      <c r="W90" s="164">
        <v>1.7981253915449798E-2</v>
      </c>
    </row>
    <row r="91" spans="1:23">
      <c r="A91" s="3">
        <v>1182</v>
      </c>
      <c r="B91" s="3">
        <v>14769</v>
      </c>
      <c r="C91" s="3" t="s">
        <v>1184</v>
      </c>
      <c r="D91" s="3" t="s">
        <v>1185</v>
      </c>
      <c r="E91" s="5" t="s">
        <v>651</v>
      </c>
      <c r="F91" s="3" t="s">
        <v>1239</v>
      </c>
      <c r="G91" s="3" t="s">
        <v>1240</v>
      </c>
      <c r="H91" s="3" t="s">
        <v>137</v>
      </c>
      <c r="I91" s="3" t="s">
        <v>1070</v>
      </c>
      <c r="J91" s="3" t="s">
        <v>572</v>
      </c>
      <c r="K91" s="3" t="s">
        <v>797</v>
      </c>
      <c r="L91" s="3" t="s">
        <v>914</v>
      </c>
      <c r="M91" s="3" t="s">
        <v>1201</v>
      </c>
      <c r="N91" s="3" t="s">
        <v>141</v>
      </c>
      <c r="O91" s="3" t="s">
        <v>664</v>
      </c>
      <c r="P91" s="154">
        <v>2405</v>
      </c>
      <c r="Q91" s="162">
        <v>3.306</v>
      </c>
      <c r="R91" s="172">
        <v>13780</v>
      </c>
      <c r="T91" s="153">
        <v>1095.6379999999999</v>
      </c>
      <c r="U91" s="164">
        <v>9.0000000000000002E-6</v>
      </c>
      <c r="V91" s="164">
        <v>6.1555649008762002E-2</v>
      </c>
      <c r="W91" s="164">
        <v>3.8019424439422501E-2</v>
      </c>
    </row>
    <row r="92" spans="1:23">
      <c r="A92" s="3">
        <v>1182</v>
      </c>
      <c r="B92" s="3">
        <v>14769</v>
      </c>
      <c r="C92" s="3" t="s">
        <v>1188</v>
      </c>
      <c r="D92" s="3" t="s">
        <v>1189</v>
      </c>
      <c r="E92" s="5" t="s">
        <v>651</v>
      </c>
      <c r="F92" s="3" t="s">
        <v>1241</v>
      </c>
      <c r="G92" s="3" t="s">
        <v>1242</v>
      </c>
      <c r="H92" s="3" t="s">
        <v>137</v>
      </c>
      <c r="I92" s="3" t="s">
        <v>1070</v>
      </c>
      <c r="J92" s="3" t="s">
        <v>572</v>
      </c>
      <c r="K92" s="3" t="s">
        <v>797</v>
      </c>
      <c r="L92" s="3" t="s">
        <v>914</v>
      </c>
      <c r="M92" s="3" t="s">
        <v>1108</v>
      </c>
      <c r="N92" s="3" t="s">
        <v>141</v>
      </c>
      <c r="O92" s="3" t="s">
        <v>664</v>
      </c>
      <c r="P92" s="154">
        <v>2657</v>
      </c>
      <c r="Q92" s="162">
        <v>3.306</v>
      </c>
      <c r="R92" s="172">
        <v>3794</v>
      </c>
      <c r="T92" s="153">
        <v>333.267</v>
      </c>
      <c r="U92" s="164">
        <v>3.0000000000000001E-5</v>
      </c>
      <c r="V92" s="164">
        <v>1.8723735493766599E-2</v>
      </c>
      <c r="W92" s="164">
        <v>1.15645868135947E-2</v>
      </c>
    </row>
    <row r="93" spans="1:23">
      <c r="A93" s="3">
        <v>1182</v>
      </c>
      <c r="B93" s="3">
        <v>14769</v>
      </c>
      <c r="C93" s="3" t="s">
        <v>1188</v>
      </c>
      <c r="D93" s="3" t="s">
        <v>1189</v>
      </c>
      <c r="E93" s="5" t="s">
        <v>651</v>
      </c>
      <c r="F93" s="3" t="s">
        <v>1190</v>
      </c>
      <c r="G93" s="3" t="s">
        <v>1191</v>
      </c>
      <c r="H93" s="3" t="s">
        <v>137</v>
      </c>
      <c r="I93" s="3" t="s">
        <v>1070</v>
      </c>
      <c r="J93" s="3" t="s">
        <v>572</v>
      </c>
      <c r="K93" s="3" t="s">
        <v>1192</v>
      </c>
      <c r="L93" s="3" t="s">
        <v>914</v>
      </c>
      <c r="M93" s="3" t="s">
        <v>1071</v>
      </c>
      <c r="N93" s="3" t="s">
        <v>141</v>
      </c>
      <c r="O93" s="3" t="s">
        <v>664</v>
      </c>
      <c r="P93" s="154">
        <v>4247</v>
      </c>
      <c r="Q93" s="162">
        <v>3.306</v>
      </c>
      <c r="R93" s="172">
        <v>4420</v>
      </c>
      <c r="T93" s="153">
        <v>620.59400000000005</v>
      </c>
      <c r="U93" s="164">
        <v>1.93E-4</v>
      </c>
      <c r="V93" s="164">
        <v>3.4866483370208402E-2</v>
      </c>
      <c r="W93" s="164">
        <v>2.1535044326692499E-2</v>
      </c>
    </row>
    <row r="94" spans="1:23">
      <c r="A94" s="3">
        <v>12904</v>
      </c>
      <c r="B94" s="3">
        <v>12905</v>
      </c>
      <c r="C94" s="3" t="s">
        <v>1066</v>
      </c>
      <c r="D94" s="3" t="s">
        <v>1067</v>
      </c>
      <c r="E94" s="5" t="s">
        <v>651</v>
      </c>
      <c r="F94" s="3" t="s">
        <v>1068</v>
      </c>
      <c r="G94" s="3" t="s">
        <v>1069</v>
      </c>
      <c r="H94" s="3" t="s">
        <v>137</v>
      </c>
      <c r="I94" s="3" t="s">
        <v>1070</v>
      </c>
      <c r="J94" s="3" t="s">
        <v>572</v>
      </c>
      <c r="K94" s="3" t="s">
        <v>224</v>
      </c>
      <c r="L94" s="3" t="s">
        <v>914</v>
      </c>
      <c r="M94" s="3" t="s">
        <v>1071</v>
      </c>
      <c r="N94" s="3" t="s">
        <v>141</v>
      </c>
      <c r="O94" s="3" t="s">
        <v>664</v>
      </c>
      <c r="P94" s="154">
        <v>413</v>
      </c>
      <c r="Q94" s="162">
        <v>3.306</v>
      </c>
      <c r="R94" s="172">
        <v>10725</v>
      </c>
      <c r="T94" s="153">
        <v>146.43700000000001</v>
      </c>
      <c r="U94" s="164">
        <v>1.1E-5</v>
      </c>
      <c r="V94" s="164">
        <v>1.02352676787426E-2</v>
      </c>
      <c r="W94" s="164">
        <v>3.0374603313063401E-3</v>
      </c>
    </row>
    <row r="95" spans="1:23">
      <c r="A95" s="3">
        <v>12904</v>
      </c>
      <c r="B95" s="3">
        <v>12905</v>
      </c>
      <c r="C95" s="3" t="s">
        <v>1072</v>
      </c>
      <c r="D95" s="3" t="s">
        <v>1073</v>
      </c>
      <c r="E95" s="5" t="s">
        <v>134</v>
      </c>
      <c r="F95" s="3" t="s">
        <v>1193</v>
      </c>
      <c r="G95" s="3" t="s">
        <v>1194</v>
      </c>
      <c r="H95" s="3" t="s">
        <v>137</v>
      </c>
      <c r="I95" s="3" t="s">
        <v>1076</v>
      </c>
      <c r="J95" s="3" t="s">
        <v>30</v>
      </c>
      <c r="K95" s="3" t="s">
        <v>30</v>
      </c>
      <c r="L95" s="3" t="s">
        <v>31</v>
      </c>
      <c r="M95" s="3" t="s">
        <v>1085</v>
      </c>
      <c r="N95" s="3" t="s">
        <v>141</v>
      </c>
      <c r="O95" s="3" t="s">
        <v>34</v>
      </c>
      <c r="P95" s="154">
        <v>924</v>
      </c>
      <c r="Q95" s="162">
        <v>1</v>
      </c>
      <c r="R95" s="172">
        <v>5003</v>
      </c>
      <c r="T95" s="153">
        <v>46.228000000000002</v>
      </c>
      <c r="U95" s="164">
        <v>1.0000000000000001E-5</v>
      </c>
      <c r="V95" s="164">
        <v>3.2311080211633301E-3</v>
      </c>
      <c r="W95" s="164">
        <v>9.5887696819425198E-4</v>
      </c>
    </row>
    <row r="96" spans="1:23">
      <c r="A96" s="3">
        <v>12904</v>
      </c>
      <c r="B96" s="3">
        <v>12905</v>
      </c>
      <c r="C96" s="3" t="s">
        <v>1072</v>
      </c>
      <c r="D96" s="3" t="s">
        <v>1073</v>
      </c>
      <c r="E96" s="5" t="s">
        <v>134</v>
      </c>
      <c r="F96" s="3" t="s">
        <v>1074</v>
      </c>
      <c r="G96" s="3" t="s">
        <v>1075</v>
      </c>
      <c r="H96" s="3" t="s">
        <v>137</v>
      </c>
      <c r="I96" s="3" t="s">
        <v>1076</v>
      </c>
      <c r="J96" s="3" t="s">
        <v>30</v>
      </c>
      <c r="K96" s="3" t="s">
        <v>30</v>
      </c>
      <c r="L96" s="3" t="s">
        <v>31</v>
      </c>
      <c r="M96" s="3" t="s">
        <v>1077</v>
      </c>
      <c r="N96" s="3" t="s">
        <v>141</v>
      </c>
      <c r="O96" s="3" t="s">
        <v>34</v>
      </c>
      <c r="P96" s="154">
        <v>5191</v>
      </c>
      <c r="Q96" s="162">
        <v>1</v>
      </c>
      <c r="R96" s="172">
        <v>4301</v>
      </c>
      <c r="T96" s="153">
        <v>223.26499999999999</v>
      </c>
      <c r="U96" s="164">
        <v>7.3999999999999996E-5</v>
      </c>
      <c r="V96" s="164">
        <v>1.56052048758907E-2</v>
      </c>
      <c r="W96" s="164">
        <v>4.6310650840007397E-3</v>
      </c>
    </row>
    <row r="97" spans="1:23">
      <c r="A97" s="3">
        <v>12904</v>
      </c>
      <c r="B97" s="3">
        <v>12905</v>
      </c>
      <c r="C97" s="3" t="s">
        <v>1072</v>
      </c>
      <c r="D97" s="3" t="s">
        <v>1073</v>
      </c>
      <c r="E97" s="5" t="s">
        <v>134</v>
      </c>
      <c r="F97" s="3" t="s">
        <v>1078</v>
      </c>
      <c r="G97" s="3" t="s">
        <v>1079</v>
      </c>
      <c r="H97" s="3" t="s">
        <v>137</v>
      </c>
      <c r="I97" s="3" t="s">
        <v>1076</v>
      </c>
      <c r="J97" s="3" t="s">
        <v>30</v>
      </c>
      <c r="K97" s="3" t="s">
        <v>30</v>
      </c>
      <c r="L97" s="3" t="s">
        <v>31</v>
      </c>
      <c r="M97" s="3" t="s">
        <v>1080</v>
      </c>
      <c r="N97" s="3" t="s">
        <v>141</v>
      </c>
      <c r="O97" s="3" t="s">
        <v>34</v>
      </c>
      <c r="P97" s="154">
        <v>9044</v>
      </c>
      <c r="Q97" s="162">
        <v>1</v>
      </c>
      <c r="R97" s="172">
        <v>4757</v>
      </c>
      <c r="T97" s="153">
        <v>430.22300000000001</v>
      </c>
      <c r="U97" s="164">
        <v>1.5100000000000001E-4</v>
      </c>
      <c r="V97" s="164">
        <v>3.0070642564192999E-2</v>
      </c>
      <c r="W97" s="164">
        <v>8.9238881475788394E-3</v>
      </c>
    </row>
    <row r="98" spans="1:23">
      <c r="A98" s="3">
        <v>12904</v>
      </c>
      <c r="B98" s="3">
        <v>12905</v>
      </c>
      <c r="C98" s="3" t="s">
        <v>1072</v>
      </c>
      <c r="D98" s="3" t="s">
        <v>1073</v>
      </c>
      <c r="E98" s="5" t="s">
        <v>134</v>
      </c>
      <c r="F98" s="3" t="s">
        <v>1195</v>
      </c>
      <c r="G98" s="3" t="s">
        <v>1196</v>
      </c>
      <c r="H98" s="3" t="s">
        <v>137</v>
      </c>
      <c r="I98" s="3" t="s">
        <v>1197</v>
      </c>
      <c r="J98" s="3" t="s">
        <v>30</v>
      </c>
      <c r="K98" s="3" t="s">
        <v>30</v>
      </c>
      <c r="L98" s="3" t="s">
        <v>31</v>
      </c>
      <c r="M98" s="3" t="s">
        <v>1198</v>
      </c>
      <c r="N98" s="3" t="s">
        <v>141</v>
      </c>
      <c r="O98" s="3" t="s">
        <v>34</v>
      </c>
      <c r="P98" s="154">
        <v>132618</v>
      </c>
      <c r="Q98" s="162">
        <v>1</v>
      </c>
      <c r="R98" s="172">
        <v>499.28</v>
      </c>
      <c r="T98" s="153">
        <v>662.13499999999999</v>
      </c>
      <c r="U98" s="164">
        <v>6.3199999999999997E-4</v>
      </c>
      <c r="V98" s="164">
        <v>4.62802447438816E-2</v>
      </c>
      <c r="W98" s="164">
        <v>1.3734316672991799E-2</v>
      </c>
    </row>
    <row r="99" spans="1:23">
      <c r="A99" s="3">
        <v>12904</v>
      </c>
      <c r="B99" s="3">
        <v>12905</v>
      </c>
      <c r="C99" s="3" t="s">
        <v>1081</v>
      </c>
      <c r="D99" s="3" t="s">
        <v>1082</v>
      </c>
      <c r="E99" s="5" t="s">
        <v>134</v>
      </c>
      <c r="F99" s="3" t="s">
        <v>1243</v>
      </c>
      <c r="G99" s="3" t="s">
        <v>1244</v>
      </c>
      <c r="H99" s="3" t="s">
        <v>137</v>
      </c>
      <c r="I99" s="3" t="s">
        <v>1197</v>
      </c>
      <c r="J99" s="3" t="s">
        <v>30</v>
      </c>
      <c r="K99" s="3" t="s">
        <v>30</v>
      </c>
      <c r="L99" s="3" t="s">
        <v>31</v>
      </c>
      <c r="M99" s="3" t="s">
        <v>1245</v>
      </c>
      <c r="N99" s="3" t="s">
        <v>141</v>
      </c>
      <c r="O99" s="3" t="s">
        <v>34</v>
      </c>
      <c r="P99" s="154">
        <v>111655</v>
      </c>
      <c r="Q99" s="162">
        <v>1</v>
      </c>
      <c r="R99" s="172">
        <v>436.29</v>
      </c>
      <c r="T99" s="153">
        <v>487.14</v>
      </c>
      <c r="U99" s="164">
        <v>1.034E-3</v>
      </c>
      <c r="V99" s="164">
        <v>3.4048849204995298E-2</v>
      </c>
      <c r="W99" s="164">
        <v>1.01044771893557E-2</v>
      </c>
    </row>
    <row r="100" spans="1:23">
      <c r="A100" s="3">
        <v>12904</v>
      </c>
      <c r="B100" s="3">
        <v>12905</v>
      </c>
      <c r="C100" s="3" t="s">
        <v>1081</v>
      </c>
      <c r="D100" s="3" t="s">
        <v>1082</v>
      </c>
      <c r="E100" s="5" t="s">
        <v>134</v>
      </c>
      <c r="F100" s="3" t="s">
        <v>1246</v>
      </c>
      <c r="G100" s="3" t="s">
        <v>1247</v>
      </c>
      <c r="H100" s="3" t="s">
        <v>137</v>
      </c>
      <c r="I100" s="3" t="s">
        <v>1197</v>
      </c>
      <c r="J100" s="3" t="s">
        <v>30</v>
      </c>
      <c r="K100" s="3" t="s">
        <v>30</v>
      </c>
      <c r="L100" s="3" t="s">
        <v>31</v>
      </c>
      <c r="M100" s="3" t="s">
        <v>1198</v>
      </c>
      <c r="N100" s="3" t="s">
        <v>141</v>
      </c>
      <c r="O100" s="3" t="s">
        <v>34</v>
      </c>
      <c r="P100" s="154">
        <v>178872</v>
      </c>
      <c r="Q100" s="162">
        <v>1</v>
      </c>
      <c r="R100" s="172">
        <v>390.79</v>
      </c>
      <c r="T100" s="153">
        <v>699.01400000000001</v>
      </c>
      <c r="U100" s="164">
        <v>5.7899999999999998E-4</v>
      </c>
      <c r="V100" s="164">
        <v>4.8857901341581501E-2</v>
      </c>
      <c r="W100" s="164">
        <v>1.4499272696516701E-2</v>
      </c>
    </row>
    <row r="101" spans="1:23">
      <c r="A101" s="3">
        <v>12904</v>
      </c>
      <c r="B101" s="3">
        <v>12905</v>
      </c>
      <c r="C101" s="3" t="s">
        <v>1081</v>
      </c>
      <c r="D101" s="3" t="s">
        <v>1082</v>
      </c>
      <c r="E101" s="5" t="s">
        <v>134</v>
      </c>
      <c r="F101" s="3" t="s">
        <v>1248</v>
      </c>
      <c r="G101" s="3" t="s">
        <v>1249</v>
      </c>
      <c r="H101" s="3" t="s">
        <v>137</v>
      </c>
      <c r="I101" s="3" t="s">
        <v>1197</v>
      </c>
      <c r="J101" s="3" t="s">
        <v>30</v>
      </c>
      <c r="K101" s="3" t="s">
        <v>30</v>
      </c>
      <c r="L101" s="3" t="s">
        <v>31</v>
      </c>
      <c r="M101" s="3" t="s">
        <v>1245</v>
      </c>
      <c r="N101" s="3" t="s">
        <v>141</v>
      </c>
      <c r="O101" s="3" t="s">
        <v>34</v>
      </c>
      <c r="P101" s="154">
        <v>187060</v>
      </c>
      <c r="Q101" s="162">
        <v>1</v>
      </c>
      <c r="R101" s="172">
        <v>419.81</v>
      </c>
      <c r="T101" s="153">
        <v>785.29700000000003</v>
      </c>
      <c r="U101" s="164">
        <v>6.8499999999999995E-4</v>
      </c>
      <c r="V101" s="164">
        <v>5.4888670650786599E-2</v>
      </c>
      <c r="W101" s="164">
        <v>1.6288988717526601E-2</v>
      </c>
    </row>
    <row r="102" spans="1:23">
      <c r="A102" s="3">
        <v>12904</v>
      </c>
      <c r="B102" s="3">
        <v>12905</v>
      </c>
      <c r="C102" s="3" t="s">
        <v>1081</v>
      </c>
      <c r="D102" s="3" t="s">
        <v>1082</v>
      </c>
      <c r="E102" s="5" t="s">
        <v>134</v>
      </c>
      <c r="F102" s="3" t="s">
        <v>1083</v>
      </c>
      <c r="G102" s="3" t="s">
        <v>1084</v>
      </c>
      <c r="H102" s="3" t="s">
        <v>137</v>
      </c>
      <c r="I102" s="3" t="s">
        <v>1076</v>
      </c>
      <c r="J102" s="3" t="s">
        <v>30</v>
      </c>
      <c r="K102" s="3" t="s">
        <v>30</v>
      </c>
      <c r="L102" s="3" t="s">
        <v>31</v>
      </c>
      <c r="M102" s="3" t="s">
        <v>1085</v>
      </c>
      <c r="N102" s="3" t="s">
        <v>141</v>
      </c>
      <c r="O102" s="3" t="s">
        <v>34</v>
      </c>
      <c r="P102" s="154">
        <v>5587</v>
      </c>
      <c r="Q102" s="162">
        <v>1</v>
      </c>
      <c r="R102" s="172">
        <v>3192</v>
      </c>
      <c r="T102" s="153">
        <v>178.33699999999999</v>
      </c>
      <c r="U102" s="164">
        <v>2.6999999999999999E-5</v>
      </c>
      <c r="V102" s="164">
        <v>1.24649504759163E-2</v>
      </c>
      <c r="W102" s="164">
        <v>3.6991502118628602E-3</v>
      </c>
    </row>
    <row r="103" spans="1:23">
      <c r="A103" s="3">
        <v>12904</v>
      </c>
      <c r="B103" s="3">
        <v>12905</v>
      </c>
      <c r="C103" s="3" t="s">
        <v>1086</v>
      </c>
      <c r="D103" s="3" t="s">
        <v>1087</v>
      </c>
      <c r="E103" s="5" t="s">
        <v>134</v>
      </c>
      <c r="F103" s="3" t="s">
        <v>1088</v>
      </c>
      <c r="G103" s="3" t="s">
        <v>1089</v>
      </c>
      <c r="H103" s="3" t="s">
        <v>137</v>
      </c>
      <c r="I103" s="3" t="s">
        <v>1070</v>
      </c>
      <c r="J103" s="3" t="s">
        <v>30</v>
      </c>
      <c r="K103" s="3" t="s">
        <v>224</v>
      </c>
      <c r="L103" s="3" t="s">
        <v>31</v>
      </c>
      <c r="M103" s="3" t="s">
        <v>1090</v>
      </c>
      <c r="N103" s="3" t="s">
        <v>141</v>
      </c>
      <c r="O103" s="3" t="s">
        <v>34</v>
      </c>
      <c r="P103" s="154">
        <v>2585</v>
      </c>
      <c r="Q103" s="162">
        <v>1</v>
      </c>
      <c r="R103" s="172">
        <v>12290</v>
      </c>
      <c r="T103" s="153">
        <v>317.697</v>
      </c>
      <c r="U103" s="164">
        <v>2.72E-4</v>
      </c>
      <c r="V103" s="164">
        <v>2.22055448429106E-2</v>
      </c>
      <c r="W103" s="164">
        <v>6.5898092470475598E-3</v>
      </c>
    </row>
    <row r="104" spans="1:23">
      <c r="A104" s="3">
        <v>12904</v>
      </c>
      <c r="B104" s="3">
        <v>12905</v>
      </c>
      <c r="C104" s="3" t="s">
        <v>1086</v>
      </c>
      <c r="D104" s="3" t="s">
        <v>1087</v>
      </c>
      <c r="E104" s="5" t="s">
        <v>134</v>
      </c>
      <c r="F104" s="3" t="s">
        <v>1250</v>
      </c>
      <c r="G104" s="3" t="s">
        <v>1251</v>
      </c>
      <c r="H104" s="3" t="s">
        <v>137</v>
      </c>
      <c r="I104" s="3" t="s">
        <v>1070</v>
      </c>
      <c r="J104" s="3" t="s">
        <v>30</v>
      </c>
      <c r="K104" s="3" t="s">
        <v>224</v>
      </c>
      <c r="L104" s="3" t="s">
        <v>31</v>
      </c>
      <c r="M104" s="3" t="s">
        <v>1206</v>
      </c>
      <c r="N104" s="3" t="s">
        <v>141</v>
      </c>
      <c r="O104" s="3" t="s">
        <v>34</v>
      </c>
      <c r="P104" s="154">
        <v>7139</v>
      </c>
      <c r="Q104" s="162">
        <v>1</v>
      </c>
      <c r="R104" s="172">
        <v>10950</v>
      </c>
      <c r="T104" s="153">
        <v>781.721</v>
      </c>
      <c r="U104" s="164">
        <v>1.0399999999999999E-4</v>
      </c>
      <c r="V104" s="164">
        <v>5.4638718454161503E-2</v>
      </c>
      <c r="W104" s="164">
        <v>1.6214811870784399E-2</v>
      </c>
    </row>
    <row r="105" spans="1:23">
      <c r="A105" s="3">
        <v>12904</v>
      </c>
      <c r="B105" s="3">
        <v>12905</v>
      </c>
      <c r="C105" s="3" t="s">
        <v>1072</v>
      </c>
      <c r="D105" s="3" t="s">
        <v>1073</v>
      </c>
      <c r="E105" s="5" t="s">
        <v>134</v>
      </c>
      <c r="F105" s="3" t="s">
        <v>1091</v>
      </c>
      <c r="G105" s="3" t="s">
        <v>1092</v>
      </c>
      <c r="H105" s="3" t="s">
        <v>137</v>
      </c>
      <c r="I105" s="3" t="s">
        <v>1070</v>
      </c>
      <c r="J105" s="3" t="s">
        <v>30</v>
      </c>
      <c r="K105" s="3" t="s">
        <v>224</v>
      </c>
      <c r="L105" s="3" t="s">
        <v>31</v>
      </c>
      <c r="M105" s="3" t="s">
        <v>1071</v>
      </c>
      <c r="N105" s="3" t="s">
        <v>141</v>
      </c>
      <c r="O105" s="3" t="s">
        <v>34</v>
      </c>
      <c r="P105" s="154">
        <v>1710</v>
      </c>
      <c r="Q105" s="162">
        <v>1</v>
      </c>
      <c r="R105" s="172">
        <v>3273</v>
      </c>
      <c r="T105" s="153">
        <v>55.968000000000004</v>
      </c>
      <c r="U105" s="164">
        <v>8.6000000000000003E-5</v>
      </c>
      <c r="V105" s="164">
        <v>3.9119303971919001E-3</v>
      </c>
      <c r="W105" s="164">
        <v>1.1609206298512299E-3</v>
      </c>
    </row>
    <row r="106" spans="1:23">
      <c r="A106" s="3">
        <v>12904</v>
      </c>
      <c r="B106" s="3">
        <v>12905</v>
      </c>
      <c r="C106" s="3" t="s">
        <v>1211</v>
      </c>
      <c r="D106" s="3" t="s">
        <v>1212</v>
      </c>
      <c r="E106" s="5" t="s">
        <v>134</v>
      </c>
      <c r="F106" s="3" t="s">
        <v>1213</v>
      </c>
      <c r="G106" s="3" t="s">
        <v>1214</v>
      </c>
      <c r="H106" s="3" t="s">
        <v>137</v>
      </c>
      <c r="I106" s="3" t="s">
        <v>1070</v>
      </c>
      <c r="J106" s="3" t="s">
        <v>30</v>
      </c>
      <c r="K106" s="3" t="s">
        <v>797</v>
      </c>
      <c r="L106" s="3" t="s">
        <v>31</v>
      </c>
      <c r="M106" s="3" t="s">
        <v>1201</v>
      </c>
      <c r="N106" s="3" t="s">
        <v>141</v>
      </c>
      <c r="O106" s="3" t="s">
        <v>34</v>
      </c>
      <c r="P106" s="154">
        <v>12681</v>
      </c>
      <c r="Q106" s="162">
        <v>1</v>
      </c>
      <c r="R106" s="172">
        <v>1549</v>
      </c>
      <c r="T106" s="153">
        <v>196.429</v>
      </c>
      <c r="U106" s="164">
        <v>1.8799999999999999E-4</v>
      </c>
      <c r="V106" s="164">
        <v>1.3729474779323E-2</v>
      </c>
      <c r="W106" s="164">
        <v>4.0744156695067101E-3</v>
      </c>
    </row>
    <row r="107" spans="1:23">
      <c r="A107" s="3">
        <v>12904</v>
      </c>
      <c r="B107" s="3">
        <v>12905</v>
      </c>
      <c r="C107" s="3" t="s">
        <v>1093</v>
      </c>
      <c r="D107" s="3" t="s">
        <v>1094</v>
      </c>
      <c r="E107" s="5" t="s">
        <v>651</v>
      </c>
      <c r="F107" s="3" t="s">
        <v>1095</v>
      </c>
      <c r="G107" s="3" t="s">
        <v>1096</v>
      </c>
      <c r="H107" s="3" t="s">
        <v>137</v>
      </c>
      <c r="I107" s="3" t="s">
        <v>1070</v>
      </c>
      <c r="J107" s="3" t="s">
        <v>572</v>
      </c>
      <c r="K107" s="3" t="s">
        <v>224</v>
      </c>
      <c r="L107" s="3" t="s">
        <v>914</v>
      </c>
      <c r="M107" s="3" t="s">
        <v>1071</v>
      </c>
      <c r="N107" s="3" t="s">
        <v>141</v>
      </c>
      <c r="O107" s="3" t="s">
        <v>664</v>
      </c>
      <c r="P107" s="154">
        <v>480</v>
      </c>
      <c r="Q107" s="162">
        <v>3.306</v>
      </c>
      <c r="R107" s="172">
        <v>8721</v>
      </c>
      <c r="T107" s="153">
        <v>138.392</v>
      </c>
      <c r="U107" s="164">
        <v>1.9999999999999999E-6</v>
      </c>
      <c r="V107" s="164">
        <v>9.6729596560797392E-3</v>
      </c>
      <c r="W107" s="164">
        <v>2.87058747888831E-3</v>
      </c>
    </row>
    <row r="108" spans="1:23">
      <c r="A108" s="3">
        <v>12904</v>
      </c>
      <c r="B108" s="3">
        <v>12905</v>
      </c>
      <c r="C108" s="3" t="s">
        <v>1097</v>
      </c>
      <c r="D108" s="3" t="s">
        <v>1098</v>
      </c>
      <c r="E108" s="5" t="s">
        <v>651</v>
      </c>
      <c r="F108" s="3" t="s">
        <v>1099</v>
      </c>
      <c r="G108" s="3" t="s">
        <v>1100</v>
      </c>
      <c r="H108" s="3" t="s">
        <v>137</v>
      </c>
      <c r="I108" s="3" t="s">
        <v>1070</v>
      </c>
      <c r="J108" s="3" t="s">
        <v>572</v>
      </c>
      <c r="K108" s="3" t="s">
        <v>224</v>
      </c>
      <c r="L108" s="3" t="s">
        <v>914</v>
      </c>
      <c r="M108" s="3" t="s">
        <v>1071</v>
      </c>
      <c r="N108" s="3" t="s">
        <v>141</v>
      </c>
      <c r="O108" s="3" t="s">
        <v>664</v>
      </c>
      <c r="P108" s="154">
        <v>210</v>
      </c>
      <c r="Q108" s="162">
        <v>3.306</v>
      </c>
      <c r="R108" s="172">
        <v>15545</v>
      </c>
      <c r="T108" s="153">
        <v>107.923</v>
      </c>
      <c r="U108" s="164">
        <v>1.1E-5</v>
      </c>
      <c r="V108" s="164">
        <v>7.5433085725283497E-3</v>
      </c>
      <c r="W108" s="164">
        <v>2.2385834230251099E-3</v>
      </c>
    </row>
    <row r="109" spans="1:23">
      <c r="A109" s="3">
        <v>12904</v>
      </c>
      <c r="B109" s="3">
        <v>12905</v>
      </c>
      <c r="C109" s="3" t="s">
        <v>1101</v>
      </c>
      <c r="D109" s="3" t="s">
        <v>1102</v>
      </c>
      <c r="E109" s="5" t="s">
        <v>651</v>
      </c>
      <c r="F109" s="3" t="s">
        <v>1103</v>
      </c>
      <c r="G109" s="3" t="s">
        <v>1104</v>
      </c>
      <c r="H109" s="3" t="s">
        <v>137</v>
      </c>
      <c r="I109" s="3" t="s">
        <v>1070</v>
      </c>
      <c r="J109" s="3" t="s">
        <v>572</v>
      </c>
      <c r="K109" s="3" t="s">
        <v>1063</v>
      </c>
      <c r="L109" s="3" t="s">
        <v>894</v>
      </c>
      <c r="M109" s="3" t="s">
        <v>1071</v>
      </c>
      <c r="N109" s="3" t="s">
        <v>141</v>
      </c>
      <c r="O109" s="3" t="s">
        <v>664</v>
      </c>
      <c r="P109" s="154">
        <v>2129</v>
      </c>
      <c r="Q109" s="162">
        <v>3.306</v>
      </c>
      <c r="R109" s="172">
        <v>15795.9</v>
      </c>
      <c r="T109" s="153">
        <v>1111.79</v>
      </c>
      <c r="U109" s="164">
        <v>0</v>
      </c>
      <c r="V109" s="164">
        <v>7.7709101881855897E-2</v>
      </c>
      <c r="W109" s="164">
        <v>2.3061274190005001E-2</v>
      </c>
    </row>
    <row r="110" spans="1:23">
      <c r="A110" s="3">
        <v>12904</v>
      </c>
      <c r="B110" s="3">
        <v>12905</v>
      </c>
      <c r="C110" s="3" t="s">
        <v>1101</v>
      </c>
      <c r="D110" s="3" t="s">
        <v>1102</v>
      </c>
      <c r="E110" s="5" t="s">
        <v>651</v>
      </c>
      <c r="F110" s="3" t="s">
        <v>1219</v>
      </c>
      <c r="G110" s="3" t="s">
        <v>1220</v>
      </c>
      <c r="H110" s="3" t="s">
        <v>137</v>
      </c>
      <c r="I110" s="3" t="s">
        <v>1070</v>
      </c>
      <c r="J110" s="3" t="s">
        <v>572</v>
      </c>
      <c r="K110" s="3" t="s">
        <v>1221</v>
      </c>
      <c r="L110" s="3" t="s">
        <v>894</v>
      </c>
      <c r="M110" s="3" t="s">
        <v>1108</v>
      </c>
      <c r="N110" s="3" t="s">
        <v>141</v>
      </c>
      <c r="O110" s="3" t="s">
        <v>664</v>
      </c>
      <c r="P110" s="154">
        <v>688</v>
      </c>
      <c r="Q110" s="162">
        <v>3.306</v>
      </c>
      <c r="R110" s="172">
        <v>6680</v>
      </c>
      <c r="T110" s="153">
        <v>151.93799999999999</v>
      </c>
      <c r="U110" s="164">
        <v>0</v>
      </c>
      <c r="V110" s="164">
        <v>1.0619810157903699E-2</v>
      </c>
      <c r="W110" s="164">
        <v>3.1515787464582801E-3</v>
      </c>
    </row>
    <row r="111" spans="1:23">
      <c r="A111" s="3">
        <v>12904</v>
      </c>
      <c r="B111" s="3">
        <v>12905</v>
      </c>
      <c r="C111" s="3" t="s">
        <v>1101</v>
      </c>
      <c r="D111" s="3" t="s">
        <v>1102</v>
      </c>
      <c r="E111" s="5" t="s">
        <v>651</v>
      </c>
      <c r="F111" s="3" t="s">
        <v>1109</v>
      </c>
      <c r="G111" s="3" t="s">
        <v>1110</v>
      </c>
      <c r="H111" s="3" t="s">
        <v>137</v>
      </c>
      <c r="I111" s="3" t="s">
        <v>1070</v>
      </c>
      <c r="J111" s="3" t="s">
        <v>572</v>
      </c>
      <c r="K111" s="3" t="s">
        <v>224</v>
      </c>
      <c r="L111" s="3" t="s">
        <v>914</v>
      </c>
      <c r="M111" s="3" t="s">
        <v>1111</v>
      </c>
      <c r="N111" s="3" t="s">
        <v>141</v>
      </c>
      <c r="O111" s="3" t="s">
        <v>576</v>
      </c>
      <c r="P111" s="154">
        <v>469</v>
      </c>
      <c r="Q111" s="162">
        <v>3.8807</v>
      </c>
      <c r="R111" s="172">
        <v>8096.2</v>
      </c>
      <c r="T111" s="153">
        <v>147.35499999999999</v>
      </c>
      <c r="U111" s="164">
        <v>0</v>
      </c>
      <c r="V111" s="164">
        <v>1.0299428918032099E-2</v>
      </c>
      <c r="W111" s="164">
        <v>3.0565010858099001E-3</v>
      </c>
    </row>
    <row r="112" spans="1:23">
      <c r="A112" s="3">
        <v>12904</v>
      </c>
      <c r="B112" s="3">
        <v>12905</v>
      </c>
      <c r="C112" s="3" t="s">
        <v>1093</v>
      </c>
      <c r="D112" s="3" t="s">
        <v>1094</v>
      </c>
      <c r="E112" s="5" t="s">
        <v>651</v>
      </c>
      <c r="F112" s="3" t="s">
        <v>1112</v>
      </c>
      <c r="G112" s="3" t="s">
        <v>1113</v>
      </c>
      <c r="H112" s="3" t="s">
        <v>137</v>
      </c>
      <c r="I112" s="3" t="s">
        <v>1070</v>
      </c>
      <c r="J112" s="3" t="s">
        <v>572</v>
      </c>
      <c r="K112" s="3" t="s">
        <v>224</v>
      </c>
      <c r="L112" s="3" t="s">
        <v>914</v>
      </c>
      <c r="M112" s="3" t="s">
        <v>1071</v>
      </c>
      <c r="N112" s="3" t="s">
        <v>141</v>
      </c>
      <c r="O112" s="3" t="s">
        <v>664</v>
      </c>
      <c r="P112" s="154">
        <v>275</v>
      </c>
      <c r="Q112" s="162">
        <v>3.306</v>
      </c>
      <c r="R112" s="172">
        <v>11837</v>
      </c>
      <c r="T112" s="153">
        <v>107.616</v>
      </c>
      <c r="U112" s="164">
        <v>1.9999999999999999E-6</v>
      </c>
      <c r="V112" s="164">
        <v>7.5218764210142498E-3</v>
      </c>
      <c r="W112" s="164">
        <v>2.2322231291782E-3</v>
      </c>
    </row>
    <row r="113" spans="1:23">
      <c r="A113" s="3">
        <v>12904</v>
      </c>
      <c r="B113" s="3">
        <v>12905</v>
      </c>
      <c r="C113" s="3" t="s">
        <v>1093</v>
      </c>
      <c r="D113" s="3" t="s">
        <v>1094</v>
      </c>
      <c r="E113" s="5" t="s">
        <v>651</v>
      </c>
      <c r="F113" s="3" t="s">
        <v>1114</v>
      </c>
      <c r="G113" s="3" t="s">
        <v>1115</v>
      </c>
      <c r="H113" s="3" t="s">
        <v>137</v>
      </c>
      <c r="I113" s="3" t="s">
        <v>1070</v>
      </c>
      <c r="J113" s="3" t="s">
        <v>572</v>
      </c>
      <c r="K113" s="3" t="s">
        <v>224</v>
      </c>
      <c r="L113" s="3" t="s">
        <v>914</v>
      </c>
      <c r="M113" s="3" t="s">
        <v>1071</v>
      </c>
      <c r="N113" s="3" t="s">
        <v>141</v>
      </c>
      <c r="O113" s="3" t="s">
        <v>664</v>
      </c>
      <c r="P113" s="154">
        <v>83</v>
      </c>
      <c r="Q113" s="162">
        <v>3.306</v>
      </c>
      <c r="R113" s="172">
        <v>23964</v>
      </c>
      <c r="T113" s="153">
        <v>65.757000000000005</v>
      </c>
      <c r="U113" s="164">
        <v>9.9999999999999995E-7</v>
      </c>
      <c r="V113" s="164">
        <v>4.5960977409553704E-3</v>
      </c>
      <c r="W113" s="164">
        <v>1.3639569579555601E-3</v>
      </c>
    </row>
    <row r="114" spans="1:23">
      <c r="A114" s="3">
        <v>12904</v>
      </c>
      <c r="B114" s="3">
        <v>12905</v>
      </c>
      <c r="C114" s="3" t="s">
        <v>1116</v>
      </c>
      <c r="D114" s="3" t="s">
        <v>1117</v>
      </c>
      <c r="E114" s="5" t="s">
        <v>651</v>
      </c>
      <c r="F114" s="3" t="s">
        <v>1118</v>
      </c>
      <c r="G114" s="3" t="s">
        <v>1119</v>
      </c>
      <c r="H114" s="3" t="s">
        <v>137</v>
      </c>
      <c r="I114" s="3" t="s">
        <v>1070</v>
      </c>
      <c r="J114" s="3" t="s">
        <v>572</v>
      </c>
      <c r="K114" s="3" t="s">
        <v>1120</v>
      </c>
      <c r="L114" s="3" t="s">
        <v>498</v>
      </c>
      <c r="M114" s="3" t="s">
        <v>1071</v>
      </c>
      <c r="N114" s="3" t="s">
        <v>141</v>
      </c>
      <c r="O114" s="3" t="s">
        <v>576</v>
      </c>
      <c r="P114" s="154">
        <v>721</v>
      </c>
      <c r="Q114" s="162">
        <v>3.8807</v>
      </c>
      <c r="R114" s="172">
        <v>10084</v>
      </c>
      <c r="T114" s="153">
        <v>282.149</v>
      </c>
      <c r="U114" s="164">
        <v>0</v>
      </c>
      <c r="V114" s="164">
        <v>1.97209201968933E-2</v>
      </c>
      <c r="W114" s="164">
        <v>5.8524617699378199E-3</v>
      </c>
    </row>
    <row r="115" spans="1:23">
      <c r="A115" s="3">
        <v>12904</v>
      </c>
      <c r="B115" s="3">
        <v>12905</v>
      </c>
      <c r="C115" s="3" t="s">
        <v>1093</v>
      </c>
      <c r="D115" s="3" t="s">
        <v>1094</v>
      </c>
      <c r="E115" s="5" t="s">
        <v>651</v>
      </c>
      <c r="F115" s="3" t="s">
        <v>1121</v>
      </c>
      <c r="G115" s="3" t="s">
        <v>1122</v>
      </c>
      <c r="H115" s="3" t="s">
        <v>137</v>
      </c>
      <c r="I115" s="3" t="s">
        <v>1070</v>
      </c>
      <c r="J115" s="3" t="s">
        <v>572</v>
      </c>
      <c r="K115" s="3" t="s">
        <v>224</v>
      </c>
      <c r="L115" s="3" t="s">
        <v>914</v>
      </c>
      <c r="M115" s="3" t="s">
        <v>1123</v>
      </c>
      <c r="N115" s="3" t="s">
        <v>141</v>
      </c>
      <c r="O115" s="3" t="s">
        <v>664</v>
      </c>
      <c r="P115" s="154">
        <v>2251</v>
      </c>
      <c r="Q115" s="162">
        <v>3.306</v>
      </c>
      <c r="R115" s="172">
        <v>5387</v>
      </c>
      <c r="T115" s="153">
        <v>400.89</v>
      </c>
      <c r="U115" s="164">
        <v>1.9999999999999999E-6</v>
      </c>
      <c r="V115" s="164">
        <v>2.8020399511021199E-2</v>
      </c>
      <c r="W115" s="164">
        <v>8.3154495469470908E-3</v>
      </c>
    </row>
    <row r="116" spans="1:23">
      <c r="A116" s="3">
        <v>12904</v>
      </c>
      <c r="B116" s="3">
        <v>12905</v>
      </c>
      <c r="C116" s="3" t="s">
        <v>1124</v>
      </c>
      <c r="D116" s="3" t="s">
        <v>1125</v>
      </c>
      <c r="E116" s="5" t="s">
        <v>651</v>
      </c>
      <c r="F116" s="3" t="s">
        <v>1126</v>
      </c>
      <c r="G116" s="3" t="s">
        <v>1127</v>
      </c>
      <c r="H116" s="3" t="s">
        <v>137</v>
      </c>
      <c r="I116" s="3" t="s">
        <v>1070</v>
      </c>
      <c r="J116" s="3" t="s">
        <v>572</v>
      </c>
      <c r="K116" s="3" t="s">
        <v>797</v>
      </c>
      <c r="L116" s="3" t="s">
        <v>894</v>
      </c>
      <c r="M116" s="3" t="s">
        <v>1090</v>
      </c>
      <c r="N116" s="3" t="s">
        <v>141</v>
      </c>
      <c r="O116" s="3" t="s">
        <v>664</v>
      </c>
      <c r="P116" s="154">
        <v>186</v>
      </c>
      <c r="Q116" s="162">
        <v>3.306</v>
      </c>
      <c r="R116" s="172">
        <v>15108</v>
      </c>
      <c r="T116" s="153">
        <v>92.902000000000001</v>
      </c>
      <c r="U116" s="164">
        <v>2.5999999999999998E-5</v>
      </c>
      <c r="V116" s="164">
        <v>6.4933942624206403E-3</v>
      </c>
      <c r="W116" s="164">
        <v>1.9270065138206401E-3</v>
      </c>
    </row>
    <row r="117" spans="1:23">
      <c r="A117" s="3">
        <v>12904</v>
      </c>
      <c r="B117" s="3">
        <v>12905</v>
      </c>
      <c r="C117" s="3" t="s">
        <v>1128</v>
      </c>
      <c r="D117" s="3" t="s">
        <v>1129</v>
      </c>
      <c r="E117" s="5" t="s">
        <v>651</v>
      </c>
      <c r="F117" s="3" t="s">
        <v>1130</v>
      </c>
      <c r="G117" s="3" t="s">
        <v>1131</v>
      </c>
      <c r="H117" s="3" t="s">
        <v>137</v>
      </c>
      <c r="I117" s="3" t="s">
        <v>1070</v>
      </c>
      <c r="J117" s="3" t="s">
        <v>572</v>
      </c>
      <c r="K117" s="3" t="s">
        <v>942</v>
      </c>
      <c r="L117" s="3" t="s">
        <v>914</v>
      </c>
      <c r="M117" s="3" t="s">
        <v>1071</v>
      </c>
      <c r="N117" s="3" t="s">
        <v>141</v>
      </c>
      <c r="O117" s="3" t="s">
        <v>664</v>
      </c>
      <c r="P117" s="154">
        <v>1076</v>
      </c>
      <c r="Q117" s="162">
        <v>3.306</v>
      </c>
      <c r="R117" s="172">
        <v>4763</v>
      </c>
      <c r="T117" s="153">
        <v>169.43199999999999</v>
      </c>
      <c r="U117" s="164">
        <v>6.9999999999999999E-6</v>
      </c>
      <c r="V117" s="164">
        <v>1.18425357761659E-2</v>
      </c>
      <c r="W117" s="164">
        <v>3.5144398535749098E-3</v>
      </c>
    </row>
    <row r="118" spans="1:23">
      <c r="A118" s="3">
        <v>12904</v>
      </c>
      <c r="B118" s="3">
        <v>12905</v>
      </c>
      <c r="C118" s="3" t="s">
        <v>1093</v>
      </c>
      <c r="D118" s="3" t="s">
        <v>1094</v>
      </c>
      <c r="E118" s="5" t="s">
        <v>651</v>
      </c>
      <c r="F118" s="3" t="s">
        <v>1132</v>
      </c>
      <c r="G118" s="3" t="s">
        <v>1133</v>
      </c>
      <c r="H118" s="3" t="s">
        <v>137</v>
      </c>
      <c r="I118" s="3" t="s">
        <v>1070</v>
      </c>
      <c r="J118" s="3" t="s">
        <v>572</v>
      </c>
      <c r="K118" s="3" t="s">
        <v>224</v>
      </c>
      <c r="L118" s="3" t="s">
        <v>914</v>
      </c>
      <c r="M118" s="3" t="s">
        <v>1134</v>
      </c>
      <c r="N118" s="3" t="s">
        <v>141</v>
      </c>
      <c r="O118" s="3" t="s">
        <v>664</v>
      </c>
      <c r="P118" s="154">
        <v>873</v>
      </c>
      <c r="Q118" s="162">
        <v>3.306</v>
      </c>
      <c r="R118" s="172">
        <v>13917</v>
      </c>
      <c r="T118" s="153">
        <v>401.66399999999999</v>
      </c>
      <c r="U118" s="164">
        <v>3.0000000000000001E-6</v>
      </c>
      <c r="V118" s="164">
        <v>2.80744801659038E-2</v>
      </c>
      <c r="W118" s="164">
        <v>8.3314987455662994E-3</v>
      </c>
    </row>
    <row r="119" spans="1:23">
      <c r="A119" s="3">
        <v>12904</v>
      </c>
      <c r="B119" s="3">
        <v>12905</v>
      </c>
      <c r="C119" s="3" t="s">
        <v>1093</v>
      </c>
      <c r="D119" s="3" t="s">
        <v>1094</v>
      </c>
      <c r="E119" s="5" t="s">
        <v>651</v>
      </c>
      <c r="F119" s="3" t="s">
        <v>1135</v>
      </c>
      <c r="G119" s="3" t="s">
        <v>1136</v>
      </c>
      <c r="H119" s="3" t="s">
        <v>137</v>
      </c>
      <c r="I119" s="3" t="s">
        <v>1070</v>
      </c>
      <c r="J119" s="3" t="s">
        <v>572</v>
      </c>
      <c r="K119" s="3" t="s">
        <v>224</v>
      </c>
      <c r="L119" s="3" t="s">
        <v>914</v>
      </c>
      <c r="M119" s="3" t="s">
        <v>1071</v>
      </c>
      <c r="N119" s="3" t="s">
        <v>141</v>
      </c>
      <c r="O119" s="3" t="s">
        <v>664</v>
      </c>
      <c r="P119" s="154">
        <v>285</v>
      </c>
      <c r="Q119" s="162">
        <v>3.306</v>
      </c>
      <c r="R119" s="172">
        <v>15423</v>
      </c>
      <c r="T119" s="153">
        <v>145.31700000000001</v>
      </c>
      <c r="U119" s="164">
        <v>1.9999999999999999E-6</v>
      </c>
      <c r="V119" s="164">
        <v>1.01570027761246E-2</v>
      </c>
      <c r="W119" s="164">
        <v>3.0142341153931401E-3</v>
      </c>
    </row>
    <row r="120" spans="1:23">
      <c r="A120" s="3">
        <v>12904</v>
      </c>
      <c r="B120" s="3">
        <v>12905</v>
      </c>
      <c r="C120" s="3" t="s">
        <v>1066</v>
      </c>
      <c r="D120" s="3" t="s">
        <v>1067</v>
      </c>
      <c r="E120" s="5" t="s">
        <v>651</v>
      </c>
      <c r="F120" s="3" t="s">
        <v>1137</v>
      </c>
      <c r="G120" s="3" t="s">
        <v>1138</v>
      </c>
      <c r="H120" s="3" t="s">
        <v>137</v>
      </c>
      <c r="I120" s="3" t="s">
        <v>1070</v>
      </c>
      <c r="J120" s="3" t="s">
        <v>572</v>
      </c>
      <c r="K120" s="3" t="s">
        <v>566</v>
      </c>
      <c r="L120" s="3" t="s">
        <v>1139</v>
      </c>
      <c r="M120" s="3" t="s">
        <v>1140</v>
      </c>
      <c r="N120" s="3" t="s">
        <v>141</v>
      </c>
      <c r="O120" s="3" t="s">
        <v>1141</v>
      </c>
      <c r="P120" s="154">
        <v>5066</v>
      </c>
      <c r="Q120" s="162">
        <v>4.4409000000000001</v>
      </c>
      <c r="R120" s="172">
        <v>908.4</v>
      </c>
      <c r="T120" s="153">
        <v>204.36799999999999</v>
      </c>
      <c r="U120" s="164">
        <v>7.9999999999999996E-6</v>
      </c>
      <c r="V120" s="164">
        <v>1.42844100360154E-2</v>
      </c>
      <c r="W120" s="164">
        <v>4.2391005494290101E-3</v>
      </c>
    </row>
    <row r="121" spans="1:23">
      <c r="A121" s="3">
        <v>12904</v>
      </c>
      <c r="B121" s="3">
        <v>12905</v>
      </c>
      <c r="C121" s="3" t="s">
        <v>1066</v>
      </c>
      <c r="D121" s="3" t="s">
        <v>1067</v>
      </c>
      <c r="E121" s="5" t="s">
        <v>651</v>
      </c>
      <c r="F121" s="3" t="s">
        <v>1142</v>
      </c>
      <c r="G121" s="3" t="s">
        <v>1143</v>
      </c>
      <c r="H121" s="3" t="s">
        <v>137</v>
      </c>
      <c r="I121" s="3" t="s">
        <v>1070</v>
      </c>
      <c r="J121" s="3" t="s">
        <v>572</v>
      </c>
      <c r="K121" s="3" t="s">
        <v>1000</v>
      </c>
      <c r="L121" s="3" t="s">
        <v>914</v>
      </c>
      <c r="M121" s="3" t="s">
        <v>1144</v>
      </c>
      <c r="N121" s="3" t="s">
        <v>141</v>
      </c>
      <c r="O121" s="3" t="s">
        <v>664</v>
      </c>
      <c r="P121" s="154">
        <v>2795</v>
      </c>
      <c r="Q121" s="162">
        <v>3.306</v>
      </c>
      <c r="R121" s="172">
        <v>4114</v>
      </c>
      <c r="T121" s="153">
        <v>380.14499999999998</v>
      </c>
      <c r="U121" s="164">
        <v>1.5999999999999999E-5</v>
      </c>
      <c r="V121" s="164">
        <v>2.6570391413969201E-2</v>
      </c>
      <c r="W121" s="164">
        <v>7.8851391522306094E-3</v>
      </c>
    </row>
    <row r="122" spans="1:23">
      <c r="A122" s="3">
        <v>12904</v>
      </c>
      <c r="B122" s="3">
        <v>12905</v>
      </c>
      <c r="C122" s="3" t="s">
        <v>1066</v>
      </c>
      <c r="D122" s="3" t="s">
        <v>1067</v>
      </c>
      <c r="E122" s="5" t="s">
        <v>651</v>
      </c>
      <c r="F122" s="3" t="s">
        <v>1145</v>
      </c>
      <c r="G122" s="3" t="s">
        <v>1146</v>
      </c>
      <c r="H122" s="3" t="s">
        <v>137</v>
      </c>
      <c r="I122" s="3" t="s">
        <v>1147</v>
      </c>
      <c r="J122" s="3" t="s">
        <v>572</v>
      </c>
      <c r="K122" s="3" t="s">
        <v>1148</v>
      </c>
      <c r="L122" s="3" t="s">
        <v>1139</v>
      </c>
      <c r="M122" s="3" t="s">
        <v>1108</v>
      </c>
      <c r="N122" s="3" t="s">
        <v>141</v>
      </c>
      <c r="O122" s="3" t="s">
        <v>664</v>
      </c>
      <c r="P122" s="154">
        <v>6921</v>
      </c>
      <c r="Q122" s="162">
        <v>3.306</v>
      </c>
      <c r="R122" s="172">
        <v>661.1</v>
      </c>
      <c r="T122" s="153">
        <v>151.26499999999999</v>
      </c>
      <c r="U122" s="164">
        <v>0</v>
      </c>
      <c r="V122" s="164">
        <v>1.05727474639228E-2</v>
      </c>
      <c r="W122" s="164">
        <v>3.1376122269164198E-3</v>
      </c>
    </row>
    <row r="123" spans="1:23">
      <c r="A123" s="3">
        <v>12904</v>
      </c>
      <c r="B123" s="3">
        <v>12905</v>
      </c>
      <c r="C123" s="3" t="s">
        <v>1066</v>
      </c>
      <c r="D123" s="3" t="s">
        <v>1067</v>
      </c>
      <c r="E123" s="5" t="s">
        <v>651</v>
      </c>
      <c r="F123" s="3" t="s">
        <v>1149</v>
      </c>
      <c r="G123" s="3" t="s">
        <v>1150</v>
      </c>
      <c r="H123" s="3" t="s">
        <v>137</v>
      </c>
      <c r="I123" s="3" t="s">
        <v>1070</v>
      </c>
      <c r="J123" s="3" t="s">
        <v>572</v>
      </c>
      <c r="K123" s="3" t="s">
        <v>224</v>
      </c>
      <c r="L123" s="3" t="s">
        <v>894</v>
      </c>
      <c r="M123" s="3" t="s">
        <v>1108</v>
      </c>
      <c r="N123" s="3" t="s">
        <v>141</v>
      </c>
      <c r="O123" s="3" t="s">
        <v>664</v>
      </c>
      <c r="P123" s="154">
        <v>302</v>
      </c>
      <c r="Q123" s="162">
        <v>3.306</v>
      </c>
      <c r="R123" s="172">
        <v>6751</v>
      </c>
      <c r="T123" s="153">
        <v>67.403000000000006</v>
      </c>
      <c r="U123" s="164">
        <v>0</v>
      </c>
      <c r="V123" s="164">
        <v>4.7111496896224299E-3</v>
      </c>
      <c r="W123" s="164">
        <v>1.39810024966853E-3</v>
      </c>
    </row>
    <row r="124" spans="1:23">
      <c r="A124" s="3">
        <v>12904</v>
      </c>
      <c r="B124" s="3">
        <v>12905</v>
      </c>
      <c r="C124" s="3" t="s">
        <v>1066</v>
      </c>
      <c r="D124" s="3" t="s">
        <v>1067</v>
      </c>
      <c r="E124" s="5" t="s">
        <v>651</v>
      </c>
      <c r="F124" s="3" t="s">
        <v>1151</v>
      </c>
      <c r="G124" s="3" t="s">
        <v>1152</v>
      </c>
      <c r="H124" s="3" t="s">
        <v>137</v>
      </c>
      <c r="I124" s="3" t="s">
        <v>1070</v>
      </c>
      <c r="J124" s="3" t="s">
        <v>572</v>
      </c>
      <c r="K124" s="3" t="s">
        <v>1120</v>
      </c>
      <c r="L124" s="3" t="s">
        <v>1153</v>
      </c>
      <c r="M124" s="3" t="s">
        <v>1111</v>
      </c>
      <c r="N124" s="3" t="s">
        <v>141</v>
      </c>
      <c r="O124" s="3" t="s">
        <v>576</v>
      </c>
      <c r="P124" s="154">
        <v>338</v>
      </c>
      <c r="Q124" s="162">
        <v>3.8807</v>
      </c>
      <c r="R124" s="172">
        <v>10690</v>
      </c>
      <c r="T124" s="153">
        <v>140.21799999999999</v>
      </c>
      <c r="U124" s="164">
        <v>6.7999999999999999E-5</v>
      </c>
      <c r="V124" s="164">
        <v>9.8006183940914093E-3</v>
      </c>
      <c r="W124" s="164">
        <v>2.9084720135019401E-3</v>
      </c>
    </row>
    <row r="125" spans="1:23">
      <c r="A125" s="3">
        <v>12904</v>
      </c>
      <c r="B125" s="3">
        <v>12905</v>
      </c>
      <c r="C125" s="3" t="s">
        <v>1154</v>
      </c>
      <c r="D125" s="3" t="s">
        <v>1102</v>
      </c>
      <c r="E125" s="5" t="s">
        <v>651</v>
      </c>
      <c r="F125" s="3" t="s">
        <v>1155</v>
      </c>
      <c r="G125" s="3" t="s">
        <v>1156</v>
      </c>
      <c r="H125" s="3" t="s">
        <v>137</v>
      </c>
      <c r="I125" s="3" t="s">
        <v>1070</v>
      </c>
      <c r="J125" s="3" t="s">
        <v>572</v>
      </c>
      <c r="K125" s="3" t="s">
        <v>1120</v>
      </c>
      <c r="L125" s="3" t="s">
        <v>1157</v>
      </c>
      <c r="M125" s="3" t="s">
        <v>1111</v>
      </c>
      <c r="N125" s="3" t="s">
        <v>141</v>
      </c>
      <c r="O125" s="3" t="s">
        <v>576</v>
      </c>
      <c r="P125" s="154">
        <v>125</v>
      </c>
      <c r="Q125" s="162">
        <v>3.8807</v>
      </c>
      <c r="R125" s="172">
        <v>26801</v>
      </c>
      <c r="T125" s="153">
        <v>130.00800000000001</v>
      </c>
      <c r="U125" s="164">
        <v>6.0000000000000002E-6</v>
      </c>
      <c r="V125" s="164">
        <v>9.0869907444067807E-3</v>
      </c>
      <c r="W125" s="164">
        <v>2.69669292327431E-3</v>
      </c>
    </row>
    <row r="126" spans="1:23">
      <c r="A126" s="3">
        <v>12904</v>
      </c>
      <c r="B126" s="3">
        <v>12905</v>
      </c>
      <c r="C126" s="3" t="s">
        <v>1154</v>
      </c>
      <c r="D126" s="3" t="s">
        <v>1102</v>
      </c>
      <c r="E126" s="5" t="s">
        <v>651</v>
      </c>
      <c r="F126" s="3" t="s">
        <v>1158</v>
      </c>
      <c r="G126" s="3" t="s">
        <v>1159</v>
      </c>
      <c r="H126" s="3" t="s">
        <v>137</v>
      </c>
      <c r="I126" s="3" t="s">
        <v>1070</v>
      </c>
      <c r="J126" s="3" t="s">
        <v>572</v>
      </c>
      <c r="K126" s="3" t="s">
        <v>1063</v>
      </c>
      <c r="L126" s="3" t="s">
        <v>1157</v>
      </c>
      <c r="M126" s="3" t="s">
        <v>1111</v>
      </c>
      <c r="N126" s="3" t="s">
        <v>141</v>
      </c>
      <c r="O126" s="3" t="s">
        <v>576</v>
      </c>
      <c r="P126" s="154">
        <v>124</v>
      </c>
      <c r="Q126" s="162">
        <v>3.8807</v>
      </c>
      <c r="R126" s="172">
        <v>13635.6</v>
      </c>
      <c r="T126" s="153">
        <v>65.614999999999995</v>
      </c>
      <c r="U126" s="164">
        <v>3.8999999999999999E-5</v>
      </c>
      <c r="V126" s="164">
        <v>4.58622135093756E-3</v>
      </c>
      <c r="W126" s="164">
        <v>1.36102599964189E-3</v>
      </c>
    </row>
    <row r="127" spans="1:23">
      <c r="A127" s="3">
        <v>12904</v>
      </c>
      <c r="B127" s="3">
        <v>12905</v>
      </c>
      <c r="C127" s="3" t="s">
        <v>1093</v>
      </c>
      <c r="D127" s="3" t="s">
        <v>1094</v>
      </c>
      <c r="E127" s="5" t="s">
        <v>651</v>
      </c>
      <c r="F127" s="3" t="s">
        <v>1160</v>
      </c>
      <c r="G127" s="3" t="s">
        <v>1161</v>
      </c>
      <c r="H127" s="3" t="s">
        <v>137</v>
      </c>
      <c r="I127" s="3" t="s">
        <v>1070</v>
      </c>
      <c r="J127" s="3" t="s">
        <v>572</v>
      </c>
      <c r="K127" s="3" t="s">
        <v>224</v>
      </c>
      <c r="L127" s="3" t="s">
        <v>914</v>
      </c>
      <c r="M127" s="3" t="s">
        <v>1071</v>
      </c>
      <c r="N127" s="3" t="s">
        <v>141</v>
      </c>
      <c r="O127" s="3" t="s">
        <v>664</v>
      </c>
      <c r="P127" s="154">
        <v>136</v>
      </c>
      <c r="Q127" s="162">
        <v>3.306</v>
      </c>
      <c r="R127" s="172">
        <v>8962</v>
      </c>
      <c r="T127" s="153">
        <v>40.295000000000002</v>
      </c>
      <c r="U127" s="164">
        <v>1.9999999999999999E-6</v>
      </c>
      <c r="V127" s="164">
        <v>2.8164088511301701E-3</v>
      </c>
      <c r="W127" s="164">
        <v>8.3580912884330903E-4</v>
      </c>
    </row>
    <row r="128" spans="1:23">
      <c r="A128" s="3">
        <v>12904</v>
      </c>
      <c r="B128" s="3">
        <v>12905</v>
      </c>
      <c r="C128" s="3" t="s">
        <v>1162</v>
      </c>
      <c r="D128" s="3" t="s">
        <v>1163</v>
      </c>
      <c r="E128" s="5" t="s">
        <v>651</v>
      </c>
      <c r="F128" s="3" t="s">
        <v>1164</v>
      </c>
      <c r="G128" s="3" t="s">
        <v>1165</v>
      </c>
      <c r="H128" s="3" t="s">
        <v>137</v>
      </c>
      <c r="I128" s="3" t="s">
        <v>1070</v>
      </c>
      <c r="J128" s="3" t="s">
        <v>572</v>
      </c>
      <c r="K128" s="3" t="s">
        <v>224</v>
      </c>
      <c r="L128" s="3" t="s">
        <v>914</v>
      </c>
      <c r="M128" s="3" t="s">
        <v>1090</v>
      </c>
      <c r="N128" s="3" t="s">
        <v>141</v>
      </c>
      <c r="O128" s="3" t="s">
        <v>664</v>
      </c>
      <c r="P128" s="154">
        <v>628</v>
      </c>
      <c r="Q128" s="162">
        <v>3.306</v>
      </c>
      <c r="R128" s="172">
        <v>9964.5</v>
      </c>
      <c r="T128" s="153">
        <v>206.88</v>
      </c>
      <c r="U128" s="164">
        <v>1.2999999999999999E-5</v>
      </c>
      <c r="V128" s="164">
        <v>1.44599572099931E-2</v>
      </c>
      <c r="W128" s="164">
        <v>4.2911966541882302E-3</v>
      </c>
    </row>
    <row r="129" spans="1:23">
      <c r="A129" s="3">
        <v>12904</v>
      </c>
      <c r="B129" s="3">
        <v>12905</v>
      </c>
      <c r="C129" s="3" t="s">
        <v>1093</v>
      </c>
      <c r="D129" s="3" t="s">
        <v>1094</v>
      </c>
      <c r="E129" s="5" t="s">
        <v>651</v>
      </c>
      <c r="F129" s="3" t="s">
        <v>1166</v>
      </c>
      <c r="G129" s="3" t="s">
        <v>1167</v>
      </c>
      <c r="H129" s="3" t="s">
        <v>137</v>
      </c>
      <c r="I129" s="3" t="s">
        <v>1070</v>
      </c>
      <c r="J129" s="3" t="s">
        <v>572</v>
      </c>
      <c r="K129" s="3" t="s">
        <v>224</v>
      </c>
      <c r="L129" s="3" t="s">
        <v>914</v>
      </c>
      <c r="M129" s="3" t="s">
        <v>1071</v>
      </c>
      <c r="N129" s="3" t="s">
        <v>141</v>
      </c>
      <c r="O129" s="3" t="s">
        <v>664</v>
      </c>
      <c r="P129" s="154">
        <v>468</v>
      </c>
      <c r="Q129" s="162">
        <v>3.306</v>
      </c>
      <c r="R129" s="172">
        <v>8934</v>
      </c>
      <c r="T129" s="153">
        <v>138.22800000000001</v>
      </c>
      <c r="U129" s="164">
        <v>9.9999999999999995E-7</v>
      </c>
      <c r="V129" s="164">
        <v>9.6614798793981105E-3</v>
      </c>
      <c r="W129" s="164">
        <v>2.8671806929226602E-3</v>
      </c>
    </row>
    <row r="130" spans="1:23">
      <c r="A130" s="3">
        <v>12904</v>
      </c>
      <c r="B130" s="3">
        <v>12905</v>
      </c>
      <c r="C130" s="3" t="s">
        <v>1097</v>
      </c>
      <c r="D130" s="3" t="s">
        <v>1098</v>
      </c>
      <c r="E130" s="5" t="s">
        <v>651</v>
      </c>
      <c r="F130" s="3" t="s">
        <v>1168</v>
      </c>
      <c r="G130" s="3" t="s">
        <v>1169</v>
      </c>
      <c r="H130" s="3" t="s">
        <v>137</v>
      </c>
      <c r="I130" s="3" t="s">
        <v>1070</v>
      </c>
      <c r="J130" s="3" t="s">
        <v>572</v>
      </c>
      <c r="K130" s="3" t="s">
        <v>224</v>
      </c>
      <c r="L130" s="3" t="s">
        <v>894</v>
      </c>
      <c r="M130" s="3" t="s">
        <v>1090</v>
      </c>
      <c r="N130" s="3" t="s">
        <v>141</v>
      </c>
      <c r="O130" s="3" t="s">
        <v>664</v>
      </c>
      <c r="P130" s="154">
        <v>309</v>
      </c>
      <c r="Q130" s="162">
        <v>3.306</v>
      </c>
      <c r="R130" s="172">
        <v>60037</v>
      </c>
      <c r="S130" s="153">
        <v>0.16</v>
      </c>
      <c r="T130" s="153">
        <v>613.83799999999997</v>
      </c>
      <c r="U130" s="164">
        <v>9.9999999999999995E-7</v>
      </c>
      <c r="V130" s="164">
        <v>4.2904494667007902E-2</v>
      </c>
      <c r="W130" s="164">
        <v>1.27325151306439E-2</v>
      </c>
    </row>
    <row r="131" spans="1:23">
      <c r="A131" s="3">
        <v>12904</v>
      </c>
      <c r="B131" s="3">
        <v>12905</v>
      </c>
      <c r="C131" s="3" t="s">
        <v>1093</v>
      </c>
      <c r="D131" s="3" t="s">
        <v>1094</v>
      </c>
      <c r="E131" s="5" t="s">
        <v>651</v>
      </c>
      <c r="F131" s="3" t="s">
        <v>1170</v>
      </c>
      <c r="G131" s="3" t="s">
        <v>1171</v>
      </c>
      <c r="H131" s="3" t="s">
        <v>137</v>
      </c>
      <c r="I131" s="3" t="s">
        <v>1070</v>
      </c>
      <c r="J131" s="3" t="s">
        <v>572</v>
      </c>
      <c r="K131" s="3" t="s">
        <v>224</v>
      </c>
      <c r="L131" s="3" t="s">
        <v>914</v>
      </c>
      <c r="M131" s="3" t="s">
        <v>1172</v>
      </c>
      <c r="N131" s="3" t="s">
        <v>141</v>
      </c>
      <c r="O131" s="3" t="s">
        <v>664</v>
      </c>
      <c r="P131" s="154">
        <v>324</v>
      </c>
      <c r="Q131" s="162">
        <v>3.306</v>
      </c>
      <c r="R131" s="172">
        <v>4213</v>
      </c>
      <c r="T131" s="153">
        <v>45.127000000000002</v>
      </c>
      <c r="U131" s="164">
        <v>5.0000000000000004E-6</v>
      </c>
      <c r="V131" s="164">
        <v>3.15419342345696E-3</v>
      </c>
      <c r="W131" s="164">
        <v>9.36051474346475E-4</v>
      </c>
    </row>
    <row r="132" spans="1:23">
      <c r="A132" s="3">
        <v>12904</v>
      </c>
      <c r="B132" s="3">
        <v>12905</v>
      </c>
      <c r="C132" s="3" t="s">
        <v>1097</v>
      </c>
      <c r="D132" s="3" t="s">
        <v>1098</v>
      </c>
      <c r="E132" s="5" t="s">
        <v>651</v>
      </c>
      <c r="F132" s="3" t="s">
        <v>1173</v>
      </c>
      <c r="G132" s="3" t="s">
        <v>1174</v>
      </c>
      <c r="H132" s="3" t="s">
        <v>137</v>
      </c>
      <c r="I132" s="3" t="s">
        <v>1070</v>
      </c>
      <c r="J132" s="3" t="s">
        <v>572</v>
      </c>
      <c r="K132" s="3" t="s">
        <v>224</v>
      </c>
      <c r="L132" s="3" t="s">
        <v>914</v>
      </c>
      <c r="M132" s="3" t="s">
        <v>1071</v>
      </c>
      <c r="N132" s="3" t="s">
        <v>141</v>
      </c>
      <c r="O132" s="3" t="s">
        <v>576</v>
      </c>
      <c r="P132" s="154">
        <v>230</v>
      </c>
      <c r="Q132" s="162">
        <v>3.8807</v>
      </c>
      <c r="R132" s="172">
        <v>14074</v>
      </c>
      <c r="T132" s="153">
        <v>125.619</v>
      </c>
      <c r="U132" s="164">
        <v>9.0000000000000006E-5</v>
      </c>
      <c r="V132" s="164">
        <v>8.7802009714442394E-3</v>
      </c>
      <c r="W132" s="164">
        <v>2.6056487225095798E-3</v>
      </c>
    </row>
    <row r="133" spans="1:23">
      <c r="A133" s="3">
        <v>12904</v>
      </c>
      <c r="B133" s="3">
        <v>12905</v>
      </c>
      <c r="C133" s="3" t="s">
        <v>1097</v>
      </c>
      <c r="D133" s="3" t="s">
        <v>1098</v>
      </c>
      <c r="E133" s="5" t="s">
        <v>651</v>
      </c>
      <c r="F133" s="3" t="s">
        <v>1228</v>
      </c>
      <c r="G133" s="3" t="s">
        <v>1229</v>
      </c>
      <c r="H133" s="3" t="s">
        <v>137</v>
      </c>
      <c r="I133" s="3" t="s">
        <v>1070</v>
      </c>
      <c r="J133" s="3" t="s">
        <v>572</v>
      </c>
      <c r="K133" s="3" t="s">
        <v>224</v>
      </c>
      <c r="L133" s="3" t="s">
        <v>1139</v>
      </c>
      <c r="M133" s="3" t="s">
        <v>1206</v>
      </c>
      <c r="N133" s="3" t="s">
        <v>141</v>
      </c>
      <c r="O133" s="3" t="s">
        <v>664</v>
      </c>
      <c r="P133" s="154">
        <v>305</v>
      </c>
      <c r="Q133" s="162">
        <v>3.306</v>
      </c>
      <c r="R133" s="172">
        <v>132232</v>
      </c>
      <c r="T133" s="153">
        <v>1333.335</v>
      </c>
      <c r="U133" s="164">
        <v>6.0000000000000002E-5</v>
      </c>
      <c r="V133" s="164">
        <v>9.3194065660244005E-2</v>
      </c>
      <c r="W133" s="164">
        <v>2.7656656029041399E-2</v>
      </c>
    </row>
    <row r="134" spans="1:23">
      <c r="A134" s="3">
        <v>12904</v>
      </c>
      <c r="B134" s="3">
        <v>12905</v>
      </c>
      <c r="C134" s="3" t="s">
        <v>1093</v>
      </c>
      <c r="D134" s="3" t="s">
        <v>1094</v>
      </c>
      <c r="E134" s="5" t="s">
        <v>651</v>
      </c>
      <c r="F134" s="3" t="s">
        <v>1175</v>
      </c>
      <c r="G134" s="3" t="s">
        <v>1176</v>
      </c>
      <c r="H134" s="3" t="s">
        <v>137</v>
      </c>
      <c r="I134" s="3" t="s">
        <v>1070</v>
      </c>
      <c r="J134" s="3" t="s">
        <v>572</v>
      </c>
      <c r="K134" s="3" t="s">
        <v>1120</v>
      </c>
      <c r="L134" s="3" t="s">
        <v>498</v>
      </c>
      <c r="M134" s="3" t="s">
        <v>1177</v>
      </c>
      <c r="N134" s="3" t="s">
        <v>141</v>
      </c>
      <c r="O134" s="3" t="s">
        <v>576</v>
      </c>
      <c r="P134" s="154">
        <v>115</v>
      </c>
      <c r="Q134" s="162">
        <v>3.8807</v>
      </c>
      <c r="R134" s="172">
        <v>39550</v>
      </c>
      <c r="T134" s="153">
        <v>176.50399999999999</v>
      </c>
      <c r="U134" s="164">
        <v>0</v>
      </c>
      <c r="V134" s="164">
        <v>1.23368249403375E-2</v>
      </c>
      <c r="W134" s="164">
        <v>3.6611271484742699E-3</v>
      </c>
    </row>
    <row r="135" spans="1:23">
      <c r="A135" s="3">
        <v>12904</v>
      </c>
      <c r="B135" s="3">
        <v>12905</v>
      </c>
      <c r="C135" s="3" t="s">
        <v>1093</v>
      </c>
      <c r="D135" s="3" t="s">
        <v>1094</v>
      </c>
      <c r="E135" s="5" t="s">
        <v>651</v>
      </c>
      <c r="F135" s="3" t="s">
        <v>1178</v>
      </c>
      <c r="G135" s="3" t="s">
        <v>1179</v>
      </c>
      <c r="H135" s="3" t="s">
        <v>137</v>
      </c>
      <c r="I135" s="3" t="s">
        <v>1070</v>
      </c>
      <c r="J135" s="3" t="s">
        <v>572</v>
      </c>
      <c r="K135" s="3" t="s">
        <v>224</v>
      </c>
      <c r="L135" s="3" t="s">
        <v>914</v>
      </c>
      <c r="M135" s="3" t="s">
        <v>1071</v>
      </c>
      <c r="N135" s="3" t="s">
        <v>141</v>
      </c>
      <c r="O135" s="3" t="s">
        <v>664</v>
      </c>
      <c r="P135" s="154">
        <v>399</v>
      </c>
      <c r="Q135" s="162">
        <v>3.306</v>
      </c>
      <c r="R135" s="172">
        <v>15285</v>
      </c>
      <c r="T135" s="153">
        <v>201.624</v>
      </c>
      <c r="U135" s="164">
        <v>0</v>
      </c>
      <c r="V135" s="164">
        <v>1.40925696950198E-2</v>
      </c>
      <c r="W135" s="164">
        <v>4.1821692170977004E-3</v>
      </c>
    </row>
    <row r="136" spans="1:23">
      <c r="A136" s="3">
        <v>12904</v>
      </c>
      <c r="B136" s="3">
        <v>12905</v>
      </c>
      <c r="C136" s="3" t="s">
        <v>1180</v>
      </c>
      <c r="D136" s="3" t="s">
        <v>1181</v>
      </c>
      <c r="E136" s="5" t="s">
        <v>651</v>
      </c>
      <c r="F136" s="3" t="s">
        <v>1182</v>
      </c>
      <c r="G136" s="3" t="s">
        <v>1183</v>
      </c>
      <c r="H136" s="3" t="s">
        <v>137</v>
      </c>
      <c r="I136" s="3" t="s">
        <v>1070</v>
      </c>
      <c r="J136" s="3" t="s">
        <v>572</v>
      </c>
      <c r="K136" s="3" t="s">
        <v>224</v>
      </c>
      <c r="L136" s="3" t="s">
        <v>1139</v>
      </c>
      <c r="M136" s="3" t="s">
        <v>1071</v>
      </c>
      <c r="N136" s="3" t="s">
        <v>141</v>
      </c>
      <c r="O136" s="3" t="s">
        <v>664</v>
      </c>
      <c r="P136" s="154">
        <v>615</v>
      </c>
      <c r="Q136" s="162">
        <v>3.306</v>
      </c>
      <c r="R136" s="172">
        <v>6492</v>
      </c>
      <c r="T136" s="153">
        <v>131.995</v>
      </c>
      <c r="U136" s="164">
        <v>0</v>
      </c>
      <c r="V136" s="164">
        <v>9.2258306730093106E-3</v>
      </c>
      <c r="W136" s="164">
        <v>2.73789563421146E-3</v>
      </c>
    </row>
    <row r="137" spans="1:23">
      <c r="A137" s="3">
        <v>12904</v>
      </c>
      <c r="B137" s="3">
        <v>12905</v>
      </c>
      <c r="C137" s="3" t="s">
        <v>1184</v>
      </c>
      <c r="D137" s="3" t="s">
        <v>1185</v>
      </c>
      <c r="E137" s="5" t="s">
        <v>651</v>
      </c>
      <c r="F137" s="3" t="s">
        <v>1235</v>
      </c>
      <c r="G137" s="3" t="s">
        <v>1236</v>
      </c>
      <c r="H137" s="3" t="s">
        <v>137</v>
      </c>
      <c r="I137" s="3" t="s">
        <v>1070</v>
      </c>
      <c r="J137" s="3" t="s">
        <v>572</v>
      </c>
      <c r="K137" s="3" t="s">
        <v>224</v>
      </c>
      <c r="L137" s="3" t="s">
        <v>914</v>
      </c>
      <c r="M137" s="3" t="s">
        <v>1206</v>
      </c>
      <c r="N137" s="3" t="s">
        <v>141</v>
      </c>
      <c r="O137" s="3" t="s">
        <v>664</v>
      </c>
      <c r="P137" s="154">
        <v>288</v>
      </c>
      <c r="Q137" s="162">
        <v>3.306</v>
      </c>
      <c r="R137" s="172">
        <v>61238</v>
      </c>
      <c r="S137" s="153">
        <v>0.501</v>
      </c>
      <c r="T137" s="153">
        <v>584.721</v>
      </c>
      <c r="U137" s="164">
        <v>0</v>
      </c>
      <c r="V137" s="164">
        <v>4.0869335975175003E-2</v>
      </c>
      <c r="W137" s="164">
        <v>1.2128553027415801E-2</v>
      </c>
    </row>
    <row r="138" spans="1:23">
      <c r="A138" s="3">
        <v>12904</v>
      </c>
      <c r="B138" s="3">
        <v>12905</v>
      </c>
      <c r="C138" s="3" t="s">
        <v>1184</v>
      </c>
      <c r="D138" s="3" t="s">
        <v>1185</v>
      </c>
      <c r="E138" s="5" t="s">
        <v>651</v>
      </c>
      <c r="F138" s="3" t="s">
        <v>1186</v>
      </c>
      <c r="G138" s="3" t="s">
        <v>1187</v>
      </c>
      <c r="H138" s="3" t="s">
        <v>137</v>
      </c>
      <c r="I138" s="3" t="s">
        <v>1070</v>
      </c>
      <c r="J138" s="3" t="s">
        <v>572</v>
      </c>
      <c r="K138" s="3" t="s">
        <v>224</v>
      </c>
      <c r="L138" s="3" t="s">
        <v>914</v>
      </c>
      <c r="M138" s="3" t="s">
        <v>1071</v>
      </c>
      <c r="N138" s="3" t="s">
        <v>141</v>
      </c>
      <c r="O138" s="3" t="s">
        <v>664</v>
      </c>
      <c r="P138" s="154">
        <v>1390</v>
      </c>
      <c r="Q138" s="162">
        <v>3.306</v>
      </c>
      <c r="R138" s="172">
        <v>11038</v>
      </c>
      <c r="T138" s="153">
        <v>507.23399999999998</v>
      </c>
      <c r="U138" s="164">
        <v>1.74E-4</v>
      </c>
      <c r="V138" s="164">
        <v>3.54533307701939E-2</v>
      </c>
      <c r="W138" s="164">
        <v>1.0521276942351099E-2</v>
      </c>
    </row>
    <row r="139" spans="1:23">
      <c r="A139" s="3">
        <v>12904</v>
      </c>
      <c r="B139" s="3">
        <v>12905</v>
      </c>
      <c r="C139" s="3" t="s">
        <v>1184</v>
      </c>
      <c r="D139" s="3" t="s">
        <v>1185</v>
      </c>
      <c r="E139" s="5" t="s">
        <v>651</v>
      </c>
      <c r="F139" s="3" t="s">
        <v>1239</v>
      </c>
      <c r="G139" s="3" t="s">
        <v>1240</v>
      </c>
      <c r="H139" s="3" t="s">
        <v>137</v>
      </c>
      <c r="I139" s="3" t="s">
        <v>1070</v>
      </c>
      <c r="J139" s="3" t="s">
        <v>572</v>
      </c>
      <c r="K139" s="3" t="s">
        <v>797</v>
      </c>
      <c r="L139" s="3" t="s">
        <v>914</v>
      </c>
      <c r="M139" s="3" t="s">
        <v>1201</v>
      </c>
      <c r="N139" s="3" t="s">
        <v>141</v>
      </c>
      <c r="O139" s="3" t="s">
        <v>664</v>
      </c>
      <c r="P139" s="154">
        <v>606</v>
      </c>
      <c r="Q139" s="162">
        <v>3.306</v>
      </c>
      <c r="R139" s="172">
        <v>13780</v>
      </c>
      <c r="T139" s="153">
        <v>276.07299999999998</v>
      </c>
      <c r="U139" s="164">
        <v>1.9999999999999999E-6</v>
      </c>
      <c r="V139" s="164">
        <v>1.92962845289225E-2</v>
      </c>
      <c r="W139" s="164">
        <v>5.7264451343985402E-3</v>
      </c>
    </row>
    <row r="140" spans="1:23">
      <c r="A140" s="3">
        <v>12904</v>
      </c>
      <c r="B140" s="3">
        <v>12905</v>
      </c>
      <c r="C140" s="3" t="s">
        <v>1188</v>
      </c>
      <c r="D140" s="3" t="s">
        <v>1189</v>
      </c>
      <c r="E140" s="5" t="s">
        <v>651</v>
      </c>
      <c r="F140" s="3" t="s">
        <v>1190</v>
      </c>
      <c r="G140" s="3" t="s">
        <v>1191</v>
      </c>
      <c r="H140" s="3" t="s">
        <v>137</v>
      </c>
      <c r="I140" s="3" t="s">
        <v>1070</v>
      </c>
      <c r="J140" s="3" t="s">
        <v>572</v>
      </c>
      <c r="K140" s="3" t="s">
        <v>1192</v>
      </c>
      <c r="L140" s="3" t="s">
        <v>914</v>
      </c>
      <c r="M140" s="3" t="s">
        <v>1071</v>
      </c>
      <c r="N140" s="3" t="s">
        <v>141</v>
      </c>
      <c r="O140" s="3" t="s">
        <v>664</v>
      </c>
      <c r="P140" s="154">
        <v>3104</v>
      </c>
      <c r="Q140" s="162">
        <v>3.306</v>
      </c>
      <c r="R140" s="172">
        <v>4420</v>
      </c>
      <c r="T140" s="153">
        <v>453.57299999999998</v>
      </c>
      <c r="U140" s="164">
        <v>1.4100000000000001E-4</v>
      </c>
      <c r="V140" s="164">
        <v>3.1702669594065098E-2</v>
      </c>
      <c r="W140" s="164">
        <v>9.4082152329516902E-3</v>
      </c>
    </row>
    <row r="141" spans="1:23">
      <c r="A141" s="3">
        <v>12904</v>
      </c>
      <c r="B141" s="3">
        <v>13680</v>
      </c>
      <c r="C141" s="3" t="s">
        <v>1066</v>
      </c>
      <c r="D141" s="3" t="s">
        <v>1067</v>
      </c>
      <c r="E141" s="5" t="s">
        <v>651</v>
      </c>
      <c r="F141" s="3" t="s">
        <v>1068</v>
      </c>
      <c r="G141" s="3" t="s">
        <v>1069</v>
      </c>
      <c r="H141" s="3" t="s">
        <v>137</v>
      </c>
      <c r="I141" s="3" t="s">
        <v>1070</v>
      </c>
      <c r="J141" s="3" t="s">
        <v>572</v>
      </c>
      <c r="K141" s="3" t="s">
        <v>224</v>
      </c>
      <c r="L141" s="3" t="s">
        <v>914</v>
      </c>
      <c r="M141" s="3" t="s">
        <v>1071</v>
      </c>
      <c r="N141" s="3" t="s">
        <v>141</v>
      </c>
      <c r="O141" s="3" t="s">
        <v>664</v>
      </c>
      <c r="P141" s="154">
        <v>925</v>
      </c>
      <c r="Q141" s="162">
        <v>3.306</v>
      </c>
      <c r="R141" s="172">
        <v>10725</v>
      </c>
      <c r="T141" s="153">
        <v>327.976</v>
      </c>
      <c r="U141" s="164">
        <v>2.5000000000000001E-5</v>
      </c>
      <c r="V141" s="164">
        <v>1.07528190049363E-2</v>
      </c>
      <c r="W141" s="164">
        <v>6.1228672765108296E-3</v>
      </c>
    </row>
    <row r="142" spans="1:23">
      <c r="A142" s="3">
        <v>12904</v>
      </c>
      <c r="B142" s="3">
        <v>13680</v>
      </c>
      <c r="C142" s="3" t="s">
        <v>1072</v>
      </c>
      <c r="D142" s="3" t="s">
        <v>1073</v>
      </c>
      <c r="E142" s="5" t="s">
        <v>134</v>
      </c>
      <c r="F142" s="3" t="s">
        <v>1193</v>
      </c>
      <c r="G142" s="3" t="s">
        <v>1194</v>
      </c>
      <c r="H142" s="3" t="s">
        <v>137</v>
      </c>
      <c r="I142" s="3" t="s">
        <v>1076</v>
      </c>
      <c r="J142" s="3" t="s">
        <v>30</v>
      </c>
      <c r="K142" s="3" t="s">
        <v>30</v>
      </c>
      <c r="L142" s="3" t="s">
        <v>31</v>
      </c>
      <c r="M142" s="3" t="s">
        <v>1085</v>
      </c>
      <c r="N142" s="3" t="s">
        <v>141</v>
      </c>
      <c r="O142" s="3" t="s">
        <v>34</v>
      </c>
      <c r="P142" s="154">
        <v>13922</v>
      </c>
      <c r="Q142" s="162">
        <v>1</v>
      </c>
      <c r="R142" s="172">
        <v>5003</v>
      </c>
      <c r="T142" s="153">
        <v>696.51800000000003</v>
      </c>
      <c r="U142" s="164">
        <v>1.47E-4</v>
      </c>
      <c r="V142" s="164">
        <v>2.2835608311638299E-2</v>
      </c>
      <c r="W142" s="164">
        <v>1.30030458809325E-2</v>
      </c>
    </row>
    <row r="143" spans="1:23">
      <c r="A143" s="3">
        <v>12904</v>
      </c>
      <c r="B143" s="3">
        <v>13680</v>
      </c>
      <c r="C143" s="3" t="s">
        <v>1072</v>
      </c>
      <c r="D143" s="3" t="s">
        <v>1073</v>
      </c>
      <c r="E143" s="5" t="s">
        <v>134</v>
      </c>
      <c r="F143" s="3" t="s">
        <v>1074</v>
      </c>
      <c r="G143" s="3" t="s">
        <v>1075</v>
      </c>
      <c r="H143" s="3" t="s">
        <v>137</v>
      </c>
      <c r="I143" s="3" t="s">
        <v>1076</v>
      </c>
      <c r="J143" s="3" t="s">
        <v>30</v>
      </c>
      <c r="K143" s="3" t="s">
        <v>30</v>
      </c>
      <c r="L143" s="3" t="s">
        <v>31</v>
      </c>
      <c r="M143" s="3" t="s">
        <v>1077</v>
      </c>
      <c r="N143" s="3" t="s">
        <v>141</v>
      </c>
      <c r="O143" s="3" t="s">
        <v>34</v>
      </c>
      <c r="P143" s="154">
        <v>12460</v>
      </c>
      <c r="Q143" s="162">
        <v>1</v>
      </c>
      <c r="R143" s="172">
        <v>4301</v>
      </c>
      <c r="T143" s="153">
        <v>535.90499999999997</v>
      </c>
      <c r="U143" s="164">
        <v>1.7799999999999999E-4</v>
      </c>
      <c r="V143" s="164">
        <v>1.7569845304432299E-2</v>
      </c>
      <c r="W143" s="164">
        <v>1.00046165399493E-2</v>
      </c>
    </row>
    <row r="144" spans="1:23">
      <c r="A144" s="3">
        <v>12904</v>
      </c>
      <c r="B144" s="3">
        <v>13680</v>
      </c>
      <c r="C144" s="3" t="s">
        <v>1072</v>
      </c>
      <c r="D144" s="3" t="s">
        <v>1073</v>
      </c>
      <c r="E144" s="5" t="s">
        <v>134</v>
      </c>
      <c r="F144" s="3" t="s">
        <v>1078</v>
      </c>
      <c r="G144" s="3" t="s">
        <v>1079</v>
      </c>
      <c r="H144" s="3" t="s">
        <v>137</v>
      </c>
      <c r="I144" s="3" t="s">
        <v>1076</v>
      </c>
      <c r="J144" s="3" t="s">
        <v>30</v>
      </c>
      <c r="K144" s="3" t="s">
        <v>30</v>
      </c>
      <c r="L144" s="3" t="s">
        <v>31</v>
      </c>
      <c r="M144" s="3" t="s">
        <v>1080</v>
      </c>
      <c r="N144" s="3" t="s">
        <v>141</v>
      </c>
      <c r="O144" s="3" t="s">
        <v>34</v>
      </c>
      <c r="P144" s="154">
        <v>24355</v>
      </c>
      <c r="Q144" s="162">
        <v>1</v>
      </c>
      <c r="R144" s="172">
        <v>4757</v>
      </c>
      <c r="T144" s="153">
        <v>1158.567</v>
      </c>
      <c r="U144" s="164">
        <v>4.06E-4</v>
      </c>
      <c r="V144" s="164">
        <v>3.79840910383418E-2</v>
      </c>
      <c r="W144" s="164">
        <v>2.16288907996968E-2</v>
      </c>
    </row>
    <row r="145" spans="1:23">
      <c r="A145" s="3">
        <v>12904</v>
      </c>
      <c r="B145" s="3">
        <v>13680</v>
      </c>
      <c r="C145" s="3" t="s">
        <v>1081</v>
      </c>
      <c r="D145" s="3" t="s">
        <v>1082</v>
      </c>
      <c r="E145" s="5" t="s">
        <v>134</v>
      </c>
      <c r="F145" s="3" t="s">
        <v>1199</v>
      </c>
      <c r="G145" s="3" t="s">
        <v>1200</v>
      </c>
      <c r="H145" s="3" t="s">
        <v>137</v>
      </c>
      <c r="I145" s="3" t="s">
        <v>1070</v>
      </c>
      <c r="J145" s="3" t="s">
        <v>30</v>
      </c>
      <c r="K145" s="3" t="s">
        <v>1107</v>
      </c>
      <c r="L145" s="3" t="s">
        <v>31</v>
      </c>
      <c r="M145" s="3" t="s">
        <v>1201</v>
      </c>
      <c r="N145" s="3" t="s">
        <v>141</v>
      </c>
      <c r="O145" s="3" t="s">
        <v>34</v>
      </c>
      <c r="P145" s="154">
        <v>24877</v>
      </c>
      <c r="Q145" s="162">
        <v>1</v>
      </c>
      <c r="R145" s="172">
        <v>3731</v>
      </c>
      <c r="T145" s="153">
        <v>928.16099999999994</v>
      </c>
      <c r="U145" s="164">
        <v>1.181E-3</v>
      </c>
      <c r="V145" s="164">
        <v>3.0430123017282099E-2</v>
      </c>
      <c r="W145" s="164">
        <v>1.73275123813748E-2</v>
      </c>
    </row>
    <row r="146" spans="1:23">
      <c r="A146" s="3">
        <v>12904</v>
      </c>
      <c r="B146" s="3">
        <v>13680</v>
      </c>
      <c r="C146" s="3" t="s">
        <v>1081</v>
      </c>
      <c r="D146" s="3" t="s">
        <v>1082</v>
      </c>
      <c r="E146" s="5" t="s">
        <v>134</v>
      </c>
      <c r="F146" s="3" t="s">
        <v>1083</v>
      </c>
      <c r="G146" s="3" t="s">
        <v>1084</v>
      </c>
      <c r="H146" s="3" t="s">
        <v>137</v>
      </c>
      <c r="I146" s="3" t="s">
        <v>1076</v>
      </c>
      <c r="J146" s="3" t="s">
        <v>30</v>
      </c>
      <c r="K146" s="3" t="s">
        <v>30</v>
      </c>
      <c r="L146" s="3" t="s">
        <v>31</v>
      </c>
      <c r="M146" s="3" t="s">
        <v>1085</v>
      </c>
      <c r="N146" s="3" t="s">
        <v>141</v>
      </c>
      <c r="O146" s="3" t="s">
        <v>34</v>
      </c>
      <c r="P146" s="154">
        <v>17044</v>
      </c>
      <c r="Q146" s="162">
        <v>1</v>
      </c>
      <c r="R146" s="172">
        <v>3192</v>
      </c>
      <c r="T146" s="153">
        <v>544.04399999999998</v>
      </c>
      <c r="U146" s="164">
        <v>8.2999999999999998E-5</v>
      </c>
      <c r="V146" s="164">
        <v>1.78367145053995E-2</v>
      </c>
      <c r="W146" s="164">
        <v>1.0156577127862099E-2</v>
      </c>
    </row>
    <row r="147" spans="1:23">
      <c r="A147" s="3">
        <v>12904</v>
      </c>
      <c r="B147" s="3">
        <v>13680</v>
      </c>
      <c r="C147" s="3" t="s">
        <v>1086</v>
      </c>
      <c r="D147" s="3" t="s">
        <v>1087</v>
      </c>
      <c r="E147" s="5" t="s">
        <v>134</v>
      </c>
      <c r="F147" s="3" t="s">
        <v>1209</v>
      </c>
      <c r="G147" s="3" t="s">
        <v>1210</v>
      </c>
      <c r="H147" s="3" t="s">
        <v>137</v>
      </c>
      <c r="I147" s="3" t="s">
        <v>1070</v>
      </c>
      <c r="J147" s="3" t="s">
        <v>30</v>
      </c>
      <c r="K147" s="3" t="s">
        <v>224</v>
      </c>
      <c r="L147" s="3" t="s">
        <v>31</v>
      </c>
      <c r="M147" s="3" t="s">
        <v>1206</v>
      </c>
      <c r="N147" s="3" t="s">
        <v>141</v>
      </c>
      <c r="O147" s="3" t="s">
        <v>34</v>
      </c>
      <c r="P147" s="154">
        <v>20455</v>
      </c>
      <c r="Q147" s="162">
        <v>1</v>
      </c>
      <c r="R147" s="172">
        <v>10340</v>
      </c>
      <c r="T147" s="153">
        <v>2115.047</v>
      </c>
      <c r="U147" s="164">
        <v>1.5150000000000001E-3</v>
      </c>
      <c r="V147" s="164">
        <v>6.9342656513125198E-2</v>
      </c>
      <c r="W147" s="164">
        <v>3.9485076632986699E-2</v>
      </c>
    </row>
    <row r="148" spans="1:23">
      <c r="A148" s="3">
        <v>12904</v>
      </c>
      <c r="B148" s="3">
        <v>13680</v>
      </c>
      <c r="C148" s="3" t="s">
        <v>1072</v>
      </c>
      <c r="D148" s="3" t="s">
        <v>1073</v>
      </c>
      <c r="E148" s="5" t="s">
        <v>134</v>
      </c>
      <c r="F148" s="3" t="s">
        <v>1091</v>
      </c>
      <c r="G148" s="3" t="s">
        <v>1092</v>
      </c>
      <c r="H148" s="3" t="s">
        <v>137</v>
      </c>
      <c r="I148" s="3" t="s">
        <v>1070</v>
      </c>
      <c r="J148" s="3" t="s">
        <v>30</v>
      </c>
      <c r="K148" s="3" t="s">
        <v>224</v>
      </c>
      <c r="L148" s="3" t="s">
        <v>31</v>
      </c>
      <c r="M148" s="3" t="s">
        <v>1071</v>
      </c>
      <c r="N148" s="3" t="s">
        <v>141</v>
      </c>
      <c r="O148" s="3" t="s">
        <v>34</v>
      </c>
      <c r="P148" s="154">
        <v>2687</v>
      </c>
      <c r="Q148" s="162">
        <v>1</v>
      </c>
      <c r="R148" s="172">
        <v>3273</v>
      </c>
      <c r="T148" s="153">
        <v>87.945999999999998</v>
      </c>
      <c r="U148" s="164">
        <v>1.34E-4</v>
      </c>
      <c r="V148" s="164">
        <v>2.8833284989891999E-3</v>
      </c>
      <c r="W148" s="164">
        <v>1.6418241305640501E-3</v>
      </c>
    </row>
    <row r="149" spans="1:23">
      <c r="A149" s="3">
        <v>12904</v>
      </c>
      <c r="B149" s="3">
        <v>13680</v>
      </c>
      <c r="C149" s="3" t="s">
        <v>1211</v>
      </c>
      <c r="D149" s="3" t="s">
        <v>1212</v>
      </c>
      <c r="E149" s="5" t="s">
        <v>134</v>
      </c>
      <c r="F149" s="3" t="s">
        <v>1213</v>
      </c>
      <c r="G149" s="3" t="s">
        <v>1214</v>
      </c>
      <c r="H149" s="3" t="s">
        <v>137</v>
      </c>
      <c r="I149" s="3" t="s">
        <v>1070</v>
      </c>
      <c r="J149" s="3" t="s">
        <v>30</v>
      </c>
      <c r="K149" s="3" t="s">
        <v>797</v>
      </c>
      <c r="L149" s="3" t="s">
        <v>31</v>
      </c>
      <c r="M149" s="3" t="s">
        <v>1201</v>
      </c>
      <c r="N149" s="3" t="s">
        <v>141</v>
      </c>
      <c r="O149" s="3" t="s">
        <v>34</v>
      </c>
      <c r="P149" s="154">
        <v>31532</v>
      </c>
      <c r="Q149" s="162">
        <v>1</v>
      </c>
      <c r="R149" s="172">
        <v>1549</v>
      </c>
      <c r="T149" s="153">
        <v>488.43099999999998</v>
      </c>
      <c r="U149" s="164">
        <v>4.66E-4</v>
      </c>
      <c r="V149" s="164">
        <v>1.6013393968886801E-2</v>
      </c>
      <c r="W149" s="164">
        <v>9.1183424433129798E-3</v>
      </c>
    </row>
    <row r="150" spans="1:23">
      <c r="A150" s="3">
        <v>12904</v>
      </c>
      <c r="B150" s="3">
        <v>13680</v>
      </c>
      <c r="C150" s="3" t="s">
        <v>1211</v>
      </c>
      <c r="D150" s="3" t="s">
        <v>1212</v>
      </c>
      <c r="E150" s="5" t="s">
        <v>134</v>
      </c>
      <c r="F150" s="3" t="s">
        <v>1217</v>
      </c>
      <c r="G150" s="3" t="s">
        <v>1218</v>
      </c>
      <c r="H150" s="3" t="s">
        <v>137</v>
      </c>
      <c r="I150" s="3" t="s">
        <v>1076</v>
      </c>
      <c r="J150" s="3" t="s">
        <v>30</v>
      </c>
      <c r="K150" s="3" t="s">
        <v>30</v>
      </c>
      <c r="L150" s="3" t="s">
        <v>31</v>
      </c>
      <c r="M150" s="3" t="s">
        <v>1085</v>
      </c>
      <c r="N150" s="3" t="s">
        <v>141</v>
      </c>
      <c r="O150" s="3" t="s">
        <v>34</v>
      </c>
      <c r="P150" s="154">
        <v>3163</v>
      </c>
      <c r="Q150" s="162">
        <v>1</v>
      </c>
      <c r="R150" s="172">
        <v>31750</v>
      </c>
      <c r="T150" s="153">
        <v>1004.253</v>
      </c>
      <c r="U150" s="164">
        <v>8.8999999999999995E-5</v>
      </c>
      <c r="V150" s="164">
        <v>3.2924817349187598E-2</v>
      </c>
      <c r="W150" s="164">
        <v>1.87480405501005E-2</v>
      </c>
    </row>
    <row r="151" spans="1:23">
      <c r="A151" s="3">
        <v>12904</v>
      </c>
      <c r="B151" s="3">
        <v>13680</v>
      </c>
      <c r="C151" s="3" t="s">
        <v>1211</v>
      </c>
      <c r="D151" s="3" t="s">
        <v>1212</v>
      </c>
      <c r="E151" s="5" t="s">
        <v>134</v>
      </c>
      <c r="F151" s="3" t="s">
        <v>1252</v>
      </c>
      <c r="G151" s="3" t="s">
        <v>1253</v>
      </c>
      <c r="H151" s="3" t="s">
        <v>137</v>
      </c>
      <c r="I151" s="3" t="s">
        <v>1076</v>
      </c>
      <c r="J151" s="3" t="s">
        <v>30</v>
      </c>
      <c r="K151" s="3" t="s">
        <v>30</v>
      </c>
      <c r="L151" s="3" t="s">
        <v>31</v>
      </c>
      <c r="M151" s="3" t="s">
        <v>1254</v>
      </c>
      <c r="N151" s="3" t="s">
        <v>141</v>
      </c>
      <c r="O151" s="3" t="s">
        <v>34</v>
      </c>
      <c r="P151" s="154">
        <v>0.81</v>
      </c>
      <c r="Q151" s="162">
        <v>1</v>
      </c>
      <c r="R151" s="172">
        <v>40720</v>
      </c>
      <c r="T151" s="153">
        <v>0.33</v>
      </c>
      <c r="U151" s="164">
        <v>0</v>
      </c>
      <c r="V151" s="164">
        <v>1.08136732105892E-5</v>
      </c>
      <c r="W151" s="164">
        <v>6.1575188617611197E-6</v>
      </c>
    </row>
    <row r="152" spans="1:23">
      <c r="A152" s="3">
        <v>12904</v>
      </c>
      <c r="B152" s="3">
        <v>13680</v>
      </c>
      <c r="C152" s="3" t="s">
        <v>1093</v>
      </c>
      <c r="D152" s="3" t="s">
        <v>1094</v>
      </c>
      <c r="E152" s="5" t="s">
        <v>651</v>
      </c>
      <c r="F152" s="3" t="s">
        <v>1095</v>
      </c>
      <c r="G152" s="3" t="s">
        <v>1096</v>
      </c>
      <c r="H152" s="3" t="s">
        <v>137</v>
      </c>
      <c r="I152" s="3" t="s">
        <v>1070</v>
      </c>
      <c r="J152" s="3" t="s">
        <v>572</v>
      </c>
      <c r="K152" s="3" t="s">
        <v>224</v>
      </c>
      <c r="L152" s="3" t="s">
        <v>914</v>
      </c>
      <c r="M152" s="3" t="s">
        <v>1071</v>
      </c>
      <c r="N152" s="3" t="s">
        <v>141</v>
      </c>
      <c r="O152" s="3" t="s">
        <v>664</v>
      </c>
      <c r="P152" s="154">
        <v>767</v>
      </c>
      <c r="Q152" s="162">
        <v>3.306</v>
      </c>
      <c r="R152" s="172">
        <v>8721</v>
      </c>
      <c r="T152" s="153">
        <v>221.13900000000001</v>
      </c>
      <c r="U152" s="164">
        <v>3.0000000000000001E-6</v>
      </c>
      <c r="V152" s="164">
        <v>7.25011595476614E-3</v>
      </c>
      <c r="W152" s="164">
        <v>4.1283590572823697E-3</v>
      </c>
    </row>
    <row r="153" spans="1:23">
      <c r="A153" s="3">
        <v>12904</v>
      </c>
      <c r="B153" s="3">
        <v>13680</v>
      </c>
      <c r="C153" s="3" t="s">
        <v>1097</v>
      </c>
      <c r="D153" s="3" t="s">
        <v>1098</v>
      </c>
      <c r="E153" s="5" t="s">
        <v>651</v>
      </c>
      <c r="F153" s="3" t="s">
        <v>1099</v>
      </c>
      <c r="G153" s="3" t="s">
        <v>1100</v>
      </c>
      <c r="H153" s="3" t="s">
        <v>137</v>
      </c>
      <c r="I153" s="3" t="s">
        <v>1070</v>
      </c>
      <c r="J153" s="3" t="s">
        <v>572</v>
      </c>
      <c r="K153" s="3" t="s">
        <v>224</v>
      </c>
      <c r="L153" s="3" t="s">
        <v>914</v>
      </c>
      <c r="M153" s="3" t="s">
        <v>1071</v>
      </c>
      <c r="N153" s="3" t="s">
        <v>141</v>
      </c>
      <c r="O153" s="3" t="s">
        <v>664</v>
      </c>
      <c r="P153" s="154">
        <v>292</v>
      </c>
      <c r="Q153" s="162">
        <v>3.306</v>
      </c>
      <c r="R153" s="172">
        <v>15545</v>
      </c>
      <c r="T153" s="153">
        <v>150.06399999999999</v>
      </c>
      <c r="U153" s="164">
        <v>1.5E-5</v>
      </c>
      <c r="V153" s="164">
        <v>4.9199068463999501E-3</v>
      </c>
      <c r="W153" s="164">
        <v>2.80149201985776E-3</v>
      </c>
    </row>
    <row r="154" spans="1:23">
      <c r="A154" s="3">
        <v>12904</v>
      </c>
      <c r="B154" s="3">
        <v>13680</v>
      </c>
      <c r="C154" s="3" t="s">
        <v>1101</v>
      </c>
      <c r="D154" s="3" t="s">
        <v>1102</v>
      </c>
      <c r="E154" s="5" t="s">
        <v>651</v>
      </c>
      <c r="F154" s="3" t="s">
        <v>1103</v>
      </c>
      <c r="G154" s="3" t="s">
        <v>1104</v>
      </c>
      <c r="H154" s="3" t="s">
        <v>137</v>
      </c>
      <c r="I154" s="3" t="s">
        <v>1070</v>
      </c>
      <c r="J154" s="3" t="s">
        <v>572</v>
      </c>
      <c r="K154" s="3" t="s">
        <v>1063</v>
      </c>
      <c r="L154" s="3" t="s">
        <v>894</v>
      </c>
      <c r="M154" s="3" t="s">
        <v>1071</v>
      </c>
      <c r="N154" s="3" t="s">
        <v>141</v>
      </c>
      <c r="O154" s="3" t="s">
        <v>664</v>
      </c>
      <c r="P154" s="154">
        <v>1373</v>
      </c>
      <c r="Q154" s="162">
        <v>3.306</v>
      </c>
      <c r="R154" s="172">
        <v>15795.9</v>
      </c>
      <c r="T154" s="153">
        <v>716.99800000000005</v>
      </c>
      <c r="U154" s="164">
        <v>0</v>
      </c>
      <c r="V154" s="164">
        <v>2.3507054541186699E-2</v>
      </c>
      <c r="W154" s="164">
        <v>1.3385380610546199E-2</v>
      </c>
    </row>
    <row r="155" spans="1:23">
      <c r="A155" s="3">
        <v>12904</v>
      </c>
      <c r="B155" s="3">
        <v>13680</v>
      </c>
      <c r="C155" s="3" t="s">
        <v>1101</v>
      </c>
      <c r="D155" s="3" t="s">
        <v>1102</v>
      </c>
      <c r="E155" s="5" t="s">
        <v>651</v>
      </c>
      <c r="F155" s="3" t="s">
        <v>1105</v>
      </c>
      <c r="G155" s="3" t="s">
        <v>1106</v>
      </c>
      <c r="H155" s="3" t="s">
        <v>137</v>
      </c>
      <c r="I155" s="3" t="s">
        <v>1070</v>
      </c>
      <c r="J155" s="3" t="s">
        <v>572</v>
      </c>
      <c r="K155" s="3" t="s">
        <v>1107</v>
      </c>
      <c r="L155" s="3" t="s">
        <v>498</v>
      </c>
      <c r="M155" s="3" t="s">
        <v>1108</v>
      </c>
      <c r="N155" s="3" t="s">
        <v>141</v>
      </c>
      <c r="O155" s="3" t="s">
        <v>664</v>
      </c>
      <c r="P155" s="154">
        <v>550</v>
      </c>
      <c r="Q155" s="162">
        <v>3.306</v>
      </c>
      <c r="R155" s="172">
        <v>9072.7999999999993</v>
      </c>
      <c r="T155" s="153">
        <v>164.971</v>
      </c>
      <c r="U155" s="164">
        <v>0</v>
      </c>
      <c r="V155" s="164">
        <v>5.4086307009278403E-3</v>
      </c>
      <c r="W155" s="164">
        <v>3.07978102432862E-3</v>
      </c>
    </row>
    <row r="156" spans="1:23">
      <c r="A156" s="3">
        <v>12904</v>
      </c>
      <c r="B156" s="3">
        <v>13680</v>
      </c>
      <c r="C156" s="3" t="s">
        <v>1101</v>
      </c>
      <c r="D156" s="3" t="s">
        <v>1102</v>
      </c>
      <c r="E156" s="5" t="s">
        <v>651</v>
      </c>
      <c r="F156" s="3" t="s">
        <v>1219</v>
      </c>
      <c r="G156" s="3" t="s">
        <v>1220</v>
      </c>
      <c r="H156" s="3" t="s">
        <v>137</v>
      </c>
      <c r="I156" s="3" t="s">
        <v>1070</v>
      </c>
      <c r="J156" s="3" t="s">
        <v>572</v>
      </c>
      <c r="K156" s="3" t="s">
        <v>1221</v>
      </c>
      <c r="L156" s="3" t="s">
        <v>894</v>
      </c>
      <c r="M156" s="3" t="s">
        <v>1108</v>
      </c>
      <c r="N156" s="3" t="s">
        <v>141</v>
      </c>
      <c r="O156" s="3" t="s">
        <v>664</v>
      </c>
      <c r="P156" s="154">
        <v>5206</v>
      </c>
      <c r="Q156" s="162">
        <v>3.306</v>
      </c>
      <c r="R156" s="172">
        <v>6680</v>
      </c>
      <c r="T156" s="153">
        <v>1149.6969999999999</v>
      </c>
      <c r="U156" s="164">
        <v>0</v>
      </c>
      <c r="V156" s="164">
        <v>3.7693279802551202E-2</v>
      </c>
      <c r="W156" s="164">
        <v>2.1463297144819302E-2</v>
      </c>
    </row>
    <row r="157" spans="1:23">
      <c r="A157" s="3">
        <v>12904</v>
      </c>
      <c r="B157" s="3">
        <v>13680</v>
      </c>
      <c r="C157" s="3" t="s">
        <v>1101</v>
      </c>
      <c r="D157" s="3" t="s">
        <v>1102</v>
      </c>
      <c r="E157" s="5" t="s">
        <v>651</v>
      </c>
      <c r="F157" s="3" t="s">
        <v>1255</v>
      </c>
      <c r="G157" s="3" t="s">
        <v>1256</v>
      </c>
      <c r="H157" s="3" t="s">
        <v>137</v>
      </c>
      <c r="I157" s="3" t="s">
        <v>1070</v>
      </c>
      <c r="J157" s="3" t="s">
        <v>572</v>
      </c>
      <c r="K157" s="3" t="s">
        <v>224</v>
      </c>
      <c r="L157" s="3" t="s">
        <v>1157</v>
      </c>
      <c r="M157" s="3" t="s">
        <v>1206</v>
      </c>
      <c r="N157" s="3" t="s">
        <v>141</v>
      </c>
      <c r="O157" s="3" t="s">
        <v>664</v>
      </c>
      <c r="P157" s="154">
        <v>555</v>
      </c>
      <c r="Q157" s="162">
        <v>3.306</v>
      </c>
      <c r="R157" s="172">
        <v>13170.84</v>
      </c>
      <c r="T157" s="153">
        <v>241.66300000000001</v>
      </c>
      <c r="U157" s="164">
        <v>0</v>
      </c>
      <c r="V157" s="164">
        <v>7.9230018832433594E-3</v>
      </c>
      <c r="W157" s="164">
        <v>4.5115135798690902E-3</v>
      </c>
    </row>
    <row r="158" spans="1:23">
      <c r="A158" s="3">
        <v>12904</v>
      </c>
      <c r="B158" s="3">
        <v>13680</v>
      </c>
      <c r="C158" s="3" t="s">
        <v>1101</v>
      </c>
      <c r="D158" s="3" t="s">
        <v>1102</v>
      </c>
      <c r="E158" s="5" t="s">
        <v>651</v>
      </c>
      <c r="F158" s="3" t="s">
        <v>1109</v>
      </c>
      <c r="G158" s="3" t="s">
        <v>1110</v>
      </c>
      <c r="H158" s="3" t="s">
        <v>137</v>
      </c>
      <c r="I158" s="3" t="s">
        <v>1070</v>
      </c>
      <c r="J158" s="3" t="s">
        <v>572</v>
      </c>
      <c r="K158" s="3" t="s">
        <v>224</v>
      </c>
      <c r="L158" s="3" t="s">
        <v>914</v>
      </c>
      <c r="M158" s="3" t="s">
        <v>1111</v>
      </c>
      <c r="N158" s="3" t="s">
        <v>141</v>
      </c>
      <c r="O158" s="3" t="s">
        <v>576</v>
      </c>
      <c r="P158" s="154">
        <v>595</v>
      </c>
      <c r="Q158" s="162">
        <v>3.8807</v>
      </c>
      <c r="R158" s="172">
        <v>8096.2</v>
      </c>
      <c r="T158" s="153">
        <v>186.94300000000001</v>
      </c>
      <c r="U158" s="164">
        <v>0</v>
      </c>
      <c r="V158" s="164">
        <v>6.1289872398145699E-3</v>
      </c>
      <c r="W158" s="164">
        <v>3.4899662489981101E-3</v>
      </c>
    </row>
    <row r="159" spans="1:23">
      <c r="A159" s="3">
        <v>12904</v>
      </c>
      <c r="B159" s="3">
        <v>13680</v>
      </c>
      <c r="C159" s="3" t="s">
        <v>1093</v>
      </c>
      <c r="D159" s="3" t="s">
        <v>1094</v>
      </c>
      <c r="E159" s="5" t="s">
        <v>651</v>
      </c>
      <c r="F159" s="3" t="s">
        <v>1112</v>
      </c>
      <c r="G159" s="3" t="s">
        <v>1113</v>
      </c>
      <c r="H159" s="3" t="s">
        <v>137</v>
      </c>
      <c r="I159" s="3" t="s">
        <v>1070</v>
      </c>
      <c r="J159" s="3" t="s">
        <v>572</v>
      </c>
      <c r="K159" s="3" t="s">
        <v>224</v>
      </c>
      <c r="L159" s="3" t="s">
        <v>914</v>
      </c>
      <c r="M159" s="3" t="s">
        <v>1071</v>
      </c>
      <c r="N159" s="3" t="s">
        <v>141</v>
      </c>
      <c r="O159" s="3" t="s">
        <v>664</v>
      </c>
      <c r="P159" s="154">
        <v>552</v>
      </c>
      <c r="Q159" s="162">
        <v>3.306</v>
      </c>
      <c r="R159" s="172">
        <v>11837</v>
      </c>
      <c r="T159" s="153">
        <v>216.01499999999999</v>
      </c>
      <c r="U159" s="164">
        <v>3.0000000000000001E-6</v>
      </c>
      <c r="V159" s="164">
        <v>7.0821321686798796E-3</v>
      </c>
      <c r="W159" s="164">
        <v>4.0327057754462499E-3</v>
      </c>
    </row>
    <row r="160" spans="1:23">
      <c r="A160" s="3">
        <v>12904</v>
      </c>
      <c r="B160" s="3">
        <v>13680</v>
      </c>
      <c r="C160" s="3" t="s">
        <v>1093</v>
      </c>
      <c r="D160" s="3" t="s">
        <v>1094</v>
      </c>
      <c r="E160" s="5" t="s">
        <v>651</v>
      </c>
      <c r="F160" s="3" t="s">
        <v>1114</v>
      </c>
      <c r="G160" s="3" t="s">
        <v>1115</v>
      </c>
      <c r="H160" s="3" t="s">
        <v>137</v>
      </c>
      <c r="I160" s="3" t="s">
        <v>1070</v>
      </c>
      <c r="J160" s="3" t="s">
        <v>572</v>
      </c>
      <c r="K160" s="3" t="s">
        <v>224</v>
      </c>
      <c r="L160" s="3" t="s">
        <v>914</v>
      </c>
      <c r="M160" s="3" t="s">
        <v>1071</v>
      </c>
      <c r="N160" s="3" t="s">
        <v>141</v>
      </c>
      <c r="O160" s="3" t="s">
        <v>664</v>
      </c>
      <c r="P160" s="154">
        <v>191</v>
      </c>
      <c r="Q160" s="162">
        <v>3.306</v>
      </c>
      <c r="R160" s="172">
        <v>23964</v>
      </c>
      <c r="T160" s="153">
        <v>151.32</v>
      </c>
      <c r="U160" s="164">
        <v>1.9999999999999999E-6</v>
      </c>
      <c r="V160" s="164">
        <v>4.9610771433402602E-3</v>
      </c>
      <c r="W160" s="164">
        <v>2.82493519915654E-3</v>
      </c>
    </row>
    <row r="161" spans="1:23">
      <c r="A161" s="3">
        <v>12904</v>
      </c>
      <c r="B161" s="3">
        <v>13680</v>
      </c>
      <c r="C161" s="3" t="s">
        <v>1116</v>
      </c>
      <c r="D161" s="3" t="s">
        <v>1117</v>
      </c>
      <c r="E161" s="5" t="s">
        <v>651</v>
      </c>
      <c r="F161" s="3" t="s">
        <v>1118</v>
      </c>
      <c r="G161" s="3" t="s">
        <v>1119</v>
      </c>
      <c r="H161" s="3" t="s">
        <v>137</v>
      </c>
      <c r="I161" s="3" t="s">
        <v>1070</v>
      </c>
      <c r="J161" s="3" t="s">
        <v>572</v>
      </c>
      <c r="K161" s="3" t="s">
        <v>1120</v>
      </c>
      <c r="L161" s="3" t="s">
        <v>498</v>
      </c>
      <c r="M161" s="3" t="s">
        <v>1071</v>
      </c>
      <c r="N161" s="3" t="s">
        <v>141</v>
      </c>
      <c r="O161" s="3" t="s">
        <v>576</v>
      </c>
      <c r="P161" s="154">
        <v>3010</v>
      </c>
      <c r="Q161" s="162">
        <v>3.8807</v>
      </c>
      <c r="R161" s="172">
        <v>10084</v>
      </c>
      <c r="T161" s="153">
        <v>1177.903</v>
      </c>
      <c r="U161" s="164">
        <v>0</v>
      </c>
      <c r="V161" s="164">
        <v>3.8618006923080497E-2</v>
      </c>
      <c r="W161" s="164">
        <v>2.1989855010565201E-2</v>
      </c>
    </row>
    <row r="162" spans="1:23">
      <c r="A162" s="3">
        <v>12904</v>
      </c>
      <c r="B162" s="3">
        <v>13680</v>
      </c>
      <c r="C162" s="3" t="s">
        <v>1093</v>
      </c>
      <c r="D162" s="3" t="s">
        <v>1094</v>
      </c>
      <c r="E162" s="5" t="s">
        <v>651</v>
      </c>
      <c r="F162" s="3" t="s">
        <v>1121</v>
      </c>
      <c r="G162" s="3" t="s">
        <v>1122</v>
      </c>
      <c r="H162" s="3" t="s">
        <v>137</v>
      </c>
      <c r="I162" s="3" t="s">
        <v>1070</v>
      </c>
      <c r="J162" s="3" t="s">
        <v>572</v>
      </c>
      <c r="K162" s="3" t="s">
        <v>224</v>
      </c>
      <c r="L162" s="3" t="s">
        <v>914</v>
      </c>
      <c r="M162" s="3" t="s">
        <v>1123</v>
      </c>
      <c r="N162" s="3" t="s">
        <v>141</v>
      </c>
      <c r="O162" s="3" t="s">
        <v>664</v>
      </c>
      <c r="P162" s="154">
        <v>5735</v>
      </c>
      <c r="Q162" s="162">
        <v>3.306</v>
      </c>
      <c r="R162" s="172">
        <v>5387</v>
      </c>
      <c r="T162" s="153">
        <v>1021.37</v>
      </c>
      <c r="U162" s="164">
        <v>6.0000000000000002E-6</v>
      </c>
      <c r="V162" s="164">
        <v>3.3486032920603197E-2</v>
      </c>
      <c r="W162" s="164">
        <v>1.90676077683073E-2</v>
      </c>
    </row>
    <row r="163" spans="1:23">
      <c r="A163" s="3">
        <v>12904</v>
      </c>
      <c r="B163" s="3">
        <v>13680</v>
      </c>
      <c r="C163" s="3" t="s">
        <v>1124</v>
      </c>
      <c r="D163" s="3" t="s">
        <v>1125</v>
      </c>
      <c r="E163" s="5" t="s">
        <v>651</v>
      </c>
      <c r="F163" s="3" t="s">
        <v>1126</v>
      </c>
      <c r="G163" s="3" t="s">
        <v>1127</v>
      </c>
      <c r="H163" s="3" t="s">
        <v>137</v>
      </c>
      <c r="I163" s="3" t="s">
        <v>1070</v>
      </c>
      <c r="J163" s="3" t="s">
        <v>572</v>
      </c>
      <c r="K163" s="3" t="s">
        <v>797</v>
      </c>
      <c r="L163" s="3" t="s">
        <v>894</v>
      </c>
      <c r="M163" s="3" t="s">
        <v>1090</v>
      </c>
      <c r="N163" s="3" t="s">
        <v>141</v>
      </c>
      <c r="O163" s="3" t="s">
        <v>664</v>
      </c>
      <c r="P163" s="154">
        <v>378</v>
      </c>
      <c r="Q163" s="162">
        <v>3.306</v>
      </c>
      <c r="R163" s="172">
        <v>15108</v>
      </c>
      <c r="T163" s="153">
        <v>188.8</v>
      </c>
      <c r="U163" s="164">
        <v>5.3000000000000001E-5</v>
      </c>
      <c r="V163" s="164">
        <v>6.1898778394553003E-3</v>
      </c>
      <c r="W163" s="164">
        <v>3.5246385577030401E-3</v>
      </c>
    </row>
    <row r="164" spans="1:23">
      <c r="A164" s="3">
        <v>12904</v>
      </c>
      <c r="B164" s="3">
        <v>13680</v>
      </c>
      <c r="C164" s="3" t="s">
        <v>1128</v>
      </c>
      <c r="D164" s="3" t="s">
        <v>1129</v>
      </c>
      <c r="E164" s="5" t="s">
        <v>651</v>
      </c>
      <c r="F164" s="3" t="s">
        <v>1130</v>
      </c>
      <c r="G164" s="3" t="s">
        <v>1131</v>
      </c>
      <c r="H164" s="3" t="s">
        <v>137</v>
      </c>
      <c r="I164" s="3" t="s">
        <v>1070</v>
      </c>
      <c r="J164" s="3" t="s">
        <v>572</v>
      </c>
      <c r="K164" s="3" t="s">
        <v>942</v>
      </c>
      <c r="L164" s="3" t="s">
        <v>914</v>
      </c>
      <c r="M164" s="3" t="s">
        <v>1071</v>
      </c>
      <c r="N164" s="3" t="s">
        <v>141</v>
      </c>
      <c r="O164" s="3" t="s">
        <v>664</v>
      </c>
      <c r="P164" s="154">
        <v>3278</v>
      </c>
      <c r="Q164" s="162">
        <v>3.306</v>
      </c>
      <c r="R164" s="172">
        <v>4763</v>
      </c>
      <c r="T164" s="153">
        <v>516.16999999999996</v>
      </c>
      <c r="U164" s="164">
        <v>2.1999999999999999E-5</v>
      </c>
      <c r="V164" s="164">
        <v>1.69228238085238E-2</v>
      </c>
      <c r="W164" s="164">
        <v>9.6361897355290698E-3</v>
      </c>
    </row>
    <row r="165" spans="1:23">
      <c r="A165" s="3">
        <v>12904</v>
      </c>
      <c r="B165" s="3">
        <v>13680</v>
      </c>
      <c r="C165" s="3" t="s">
        <v>1093</v>
      </c>
      <c r="D165" s="3" t="s">
        <v>1094</v>
      </c>
      <c r="E165" s="5" t="s">
        <v>651</v>
      </c>
      <c r="F165" s="3" t="s">
        <v>1132</v>
      </c>
      <c r="G165" s="3" t="s">
        <v>1133</v>
      </c>
      <c r="H165" s="3" t="s">
        <v>137</v>
      </c>
      <c r="I165" s="3" t="s">
        <v>1070</v>
      </c>
      <c r="J165" s="3" t="s">
        <v>572</v>
      </c>
      <c r="K165" s="3" t="s">
        <v>224</v>
      </c>
      <c r="L165" s="3" t="s">
        <v>914</v>
      </c>
      <c r="M165" s="3" t="s">
        <v>1134</v>
      </c>
      <c r="N165" s="3" t="s">
        <v>141</v>
      </c>
      <c r="O165" s="3" t="s">
        <v>664</v>
      </c>
      <c r="P165" s="154">
        <v>676</v>
      </c>
      <c r="Q165" s="162">
        <v>3.306</v>
      </c>
      <c r="R165" s="172">
        <v>13917</v>
      </c>
      <c r="T165" s="153">
        <v>311.02499999999998</v>
      </c>
      <c r="U165" s="164">
        <v>1.9999999999999999E-6</v>
      </c>
      <c r="V165" s="164">
        <v>1.0197075274389299E-2</v>
      </c>
      <c r="W165" s="164">
        <v>5.8064158324448297E-3</v>
      </c>
    </row>
    <row r="166" spans="1:23">
      <c r="A166" s="3">
        <v>12904</v>
      </c>
      <c r="B166" s="3">
        <v>13680</v>
      </c>
      <c r="C166" s="3" t="s">
        <v>1093</v>
      </c>
      <c r="D166" s="3" t="s">
        <v>1094</v>
      </c>
      <c r="E166" s="5" t="s">
        <v>651</v>
      </c>
      <c r="F166" s="3" t="s">
        <v>1135</v>
      </c>
      <c r="G166" s="3" t="s">
        <v>1136</v>
      </c>
      <c r="H166" s="3" t="s">
        <v>137</v>
      </c>
      <c r="I166" s="3" t="s">
        <v>1070</v>
      </c>
      <c r="J166" s="3" t="s">
        <v>572</v>
      </c>
      <c r="K166" s="3" t="s">
        <v>224</v>
      </c>
      <c r="L166" s="3" t="s">
        <v>914</v>
      </c>
      <c r="M166" s="3" t="s">
        <v>1071</v>
      </c>
      <c r="N166" s="3" t="s">
        <v>141</v>
      </c>
      <c r="O166" s="3" t="s">
        <v>664</v>
      </c>
      <c r="P166" s="154">
        <v>580</v>
      </c>
      <c r="Q166" s="162">
        <v>3.306</v>
      </c>
      <c r="R166" s="172">
        <v>15423</v>
      </c>
      <c r="T166" s="153">
        <v>295.733</v>
      </c>
      <c r="U166" s="164">
        <v>3.9999999999999998E-6</v>
      </c>
      <c r="V166" s="164">
        <v>9.6957219890497492E-3</v>
      </c>
      <c r="W166" s="164">
        <v>5.5209353809123297E-3</v>
      </c>
    </row>
    <row r="167" spans="1:23">
      <c r="A167" s="3">
        <v>12904</v>
      </c>
      <c r="B167" s="3">
        <v>13680</v>
      </c>
      <c r="C167" s="3" t="s">
        <v>1097</v>
      </c>
      <c r="D167" s="3" t="s">
        <v>1098</v>
      </c>
      <c r="E167" s="5" t="s">
        <v>651</v>
      </c>
      <c r="F167" s="3" t="s">
        <v>1222</v>
      </c>
      <c r="G167" s="3" t="s">
        <v>1223</v>
      </c>
      <c r="H167" s="3" t="s">
        <v>137</v>
      </c>
      <c r="I167" s="3" t="s">
        <v>1070</v>
      </c>
      <c r="J167" s="3" t="s">
        <v>572</v>
      </c>
      <c r="K167" s="3" t="s">
        <v>224</v>
      </c>
      <c r="L167" s="3" t="s">
        <v>894</v>
      </c>
      <c r="M167" s="3" t="s">
        <v>1071</v>
      </c>
      <c r="N167" s="3" t="s">
        <v>141</v>
      </c>
      <c r="O167" s="3" t="s">
        <v>664</v>
      </c>
      <c r="P167" s="154">
        <v>1600</v>
      </c>
      <c r="Q167" s="162">
        <v>3.306</v>
      </c>
      <c r="R167" s="172">
        <v>5610</v>
      </c>
      <c r="T167" s="153">
        <v>296.74700000000001</v>
      </c>
      <c r="U167" s="164">
        <v>0</v>
      </c>
      <c r="V167" s="164">
        <v>9.7289539104953599E-3</v>
      </c>
      <c r="W167" s="164">
        <v>5.5398582925935804E-3</v>
      </c>
    </row>
    <row r="168" spans="1:23">
      <c r="A168" s="3">
        <v>12904</v>
      </c>
      <c r="B168" s="3">
        <v>13680</v>
      </c>
      <c r="C168" s="3" t="s">
        <v>1066</v>
      </c>
      <c r="D168" s="3" t="s">
        <v>1067</v>
      </c>
      <c r="E168" s="5" t="s">
        <v>651</v>
      </c>
      <c r="F168" s="3" t="s">
        <v>1137</v>
      </c>
      <c r="G168" s="3" t="s">
        <v>1138</v>
      </c>
      <c r="H168" s="3" t="s">
        <v>137</v>
      </c>
      <c r="I168" s="3" t="s">
        <v>1070</v>
      </c>
      <c r="J168" s="3" t="s">
        <v>572</v>
      </c>
      <c r="K168" s="3" t="s">
        <v>566</v>
      </c>
      <c r="L168" s="3" t="s">
        <v>1139</v>
      </c>
      <c r="M168" s="3" t="s">
        <v>1140</v>
      </c>
      <c r="N168" s="3" t="s">
        <v>141</v>
      </c>
      <c r="O168" s="3" t="s">
        <v>1141</v>
      </c>
      <c r="P168" s="154">
        <v>11276</v>
      </c>
      <c r="Q168" s="162">
        <v>4.4409000000000001</v>
      </c>
      <c r="R168" s="172">
        <v>908.4</v>
      </c>
      <c r="T168" s="153">
        <v>454.887</v>
      </c>
      <c r="U168" s="164">
        <v>1.8E-5</v>
      </c>
      <c r="V168" s="164">
        <v>1.4913639450290299E-2</v>
      </c>
      <c r="W168" s="164">
        <v>8.4921205241103494E-3</v>
      </c>
    </row>
    <row r="169" spans="1:23">
      <c r="A169" s="3">
        <v>12904</v>
      </c>
      <c r="B169" s="3">
        <v>13680</v>
      </c>
      <c r="C169" s="3" t="s">
        <v>1066</v>
      </c>
      <c r="D169" s="3" t="s">
        <v>1067</v>
      </c>
      <c r="E169" s="5" t="s">
        <v>651</v>
      </c>
      <c r="F169" s="3" t="s">
        <v>1142</v>
      </c>
      <c r="G169" s="3" t="s">
        <v>1143</v>
      </c>
      <c r="H169" s="3" t="s">
        <v>137</v>
      </c>
      <c r="I169" s="3" t="s">
        <v>1070</v>
      </c>
      <c r="J169" s="3" t="s">
        <v>572</v>
      </c>
      <c r="K169" s="3" t="s">
        <v>1000</v>
      </c>
      <c r="L169" s="3" t="s">
        <v>914</v>
      </c>
      <c r="M169" s="3" t="s">
        <v>1144</v>
      </c>
      <c r="N169" s="3" t="s">
        <v>141</v>
      </c>
      <c r="O169" s="3" t="s">
        <v>664</v>
      </c>
      <c r="P169" s="154">
        <v>7475</v>
      </c>
      <c r="Q169" s="162">
        <v>3.306</v>
      </c>
      <c r="R169" s="172">
        <v>4114</v>
      </c>
      <c r="T169" s="153">
        <v>1016.6660000000001</v>
      </c>
      <c r="U169" s="164">
        <v>4.3999999999999999E-5</v>
      </c>
      <c r="V169" s="164">
        <v>3.3331801470436698E-2</v>
      </c>
      <c r="W169" s="164">
        <v>1.89797853378545E-2</v>
      </c>
    </row>
    <row r="170" spans="1:23">
      <c r="A170" s="3">
        <v>12904</v>
      </c>
      <c r="B170" s="3">
        <v>13680</v>
      </c>
      <c r="C170" s="3" t="s">
        <v>1066</v>
      </c>
      <c r="D170" s="3" t="s">
        <v>1067</v>
      </c>
      <c r="E170" s="5" t="s">
        <v>651</v>
      </c>
      <c r="F170" s="3" t="s">
        <v>1145</v>
      </c>
      <c r="G170" s="3" t="s">
        <v>1146</v>
      </c>
      <c r="H170" s="3" t="s">
        <v>137</v>
      </c>
      <c r="I170" s="3" t="s">
        <v>1147</v>
      </c>
      <c r="J170" s="3" t="s">
        <v>572</v>
      </c>
      <c r="K170" s="3" t="s">
        <v>1148</v>
      </c>
      <c r="L170" s="3" t="s">
        <v>1139</v>
      </c>
      <c r="M170" s="3" t="s">
        <v>1108</v>
      </c>
      <c r="N170" s="3" t="s">
        <v>141</v>
      </c>
      <c r="O170" s="3" t="s">
        <v>664</v>
      </c>
      <c r="P170" s="154">
        <v>5687</v>
      </c>
      <c r="Q170" s="162">
        <v>3.306</v>
      </c>
      <c r="R170" s="172">
        <v>661.1</v>
      </c>
      <c r="T170" s="153">
        <v>124.295</v>
      </c>
      <c r="U170" s="164">
        <v>0</v>
      </c>
      <c r="V170" s="164">
        <v>4.0750569968481896E-3</v>
      </c>
      <c r="W170" s="164">
        <v>2.3204178480512E-3</v>
      </c>
    </row>
    <row r="171" spans="1:23">
      <c r="A171" s="3">
        <v>12904</v>
      </c>
      <c r="B171" s="3">
        <v>13680</v>
      </c>
      <c r="C171" s="3" t="s">
        <v>1066</v>
      </c>
      <c r="D171" s="3" t="s">
        <v>1067</v>
      </c>
      <c r="E171" s="5" t="s">
        <v>651</v>
      </c>
      <c r="F171" s="3" t="s">
        <v>1149</v>
      </c>
      <c r="G171" s="3" t="s">
        <v>1150</v>
      </c>
      <c r="H171" s="3" t="s">
        <v>137</v>
      </c>
      <c r="I171" s="3" t="s">
        <v>1070</v>
      </c>
      <c r="J171" s="3" t="s">
        <v>572</v>
      </c>
      <c r="K171" s="3" t="s">
        <v>224</v>
      </c>
      <c r="L171" s="3" t="s">
        <v>894</v>
      </c>
      <c r="M171" s="3" t="s">
        <v>1108</v>
      </c>
      <c r="N171" s="3" t="s">
        <v>141</v>
      </c>
      <c r="O171" s="3" t="s">
        <v>664</v>
      </c>
      <c r="P171" s="154">
        <v>830</v>
      </c>
      <c r="Q171" s="162">
        <v>3.306</v>
      </c>
      <c r="R171" s="172">
        <v>6751</v>
      </c>
      <c r="T171" s="153">
        <v>185.24600000000001</v>
      </c>
      <c r="U171" s="164">
        <v>0</v>
      </c>
      <c r="V171" s="164">
        <v>6.07336667951158E-3</v>
      </c>
      <c r="W171" s="164">
        <v>3.45829480466114E-3</v>
      </c>
    </row>
    <row r="172" spans="1:23">
      <c r="A172" s="3">
        <v>12904</v>
      </c>
      <c r="B172" s="3">
        <v>13680</v>
      </c>
      <c r="C172" s="3" t="s">
        <v>1066</v>
      </c>
      <c r="D172" s="3" t="s">
        <v>1067</v>
      </c>
      <c r="E172" s="5" t="s">
        <v>651</v>
      </c>
      <c r="F172" s="3" t="s">
        <v>1151</v>
      </c>
      <c r="G172" s="3" t="s">
        <v>1152</v>
      </c>
      <c r="H172" s="3" t="s">
        <v>137</v>
      </c>
      <c r="I172" s="3" t="s">
        <v>1070</v>
      </c>
      <c r="J172" s="3" t="s">
        <v>572</v>
      </c>
      <c r="K172" s="3" t="s">
        <v>1120</v>
      </c>
      <c r="L172" s="3" t="s">
        <v>1153</v>
      </c>
      <c r="M172" s="3" t="s">
        <v>1111</v>
      </c>
      <c r="N172" s="3" t="s">
        <v>141</v>
      </c>
      <c r="O172" s="3" t="s">
        <v>576</v>
      </c>
      <c r="P172" s="154">
        <v>744</v>
      </c>
      <c r="Q172" s="162">
        <v>3.8807</v>
      </c>
      <c r="R172" s="172">
        <v>10690</v>
      </c>
      <c r="T172" s="153">
        <v>308.64600000000002</v>
      </c>
      <c r="U172" s="164">
        <v>1.4899999999999999E-4</v>
      </c>
      <c r="V172" s="164">
        <v>1.01190831415364E-2</v>
      </c>
      <c r="W172" s="164">
        <v>5.7620055733443197E-3</v>
      </c>
    </row>
    <row r="173" spans="1:23">
      <c r="A173" s="3">
        <v>12904</v>
      </c>
      <c r="B173" s="3">
        <v>13680</v>
      </c>
      <c r="C173" s="3" t="s">
        <v>1066</v>
      </c>
      <c r="D173" s="3" t="s">
        <v>1067</v>
      </c>
      <c r="E173" s="5" t="s">
        <v>651</v>
      </c>
      <c r="F173" s="3" t="s">
        <v>1224</v>
      </c>
      <c r="G173" s="3" t="s">
        <v>1225</v>
      </c>
      <c r="H173" s="3" t="s">
        <v>137</v>
      </c>
      <c r="I173" s="3" t="s">
        <v>1070</v>
      </c>
      <c r="J173" s="3" t="s">
        <v>572</v>
      </c>
      <c r="K173" s="3" t="s">
        <v>224</v>
      </c>
      <c r="L173" s="3" t="s">
        <v>914</v>
      </c>
      <c r="M173" s="3" t="s">
        <v>1206</v>
      </c>
      <c r="N173" s="3" t="s">
        <v>141</v>
      </c>
      <c r="O173" s="3" t="s">
        <v>664</v>
      </c>
      <c r="P173" s="154">
        <v>665</v>
      </c>
      <c r="Q173" s="162">
        <v>3.306</v>
      </c>
      <c r="R173" s="172">
        <v>66930</v>
      </c>
      <c r="T173" s="153">
        <v>1471.4490000000001</v>
      </c>
      <c r="U173" s="164">
        <v>9.9999999999999995E-7</v>
      </c>
      <c r="V173" s="164">
        <v>4.8242051991709799E-2</v>
      </c>
      <c r="W173" s="164">
        <v>2.7469976138924601E-2</v>
      </c>
    </row>
    <row r="174" spans="1:23">
      <c r="A174" s="3">
        <v>12904</v>
      </c>
      <c r="B174" s="3">
        <v>13680</v>
      </c>
      <c r="C174" s="3" t="s">
        <v>1154</v>
      </c>
      <c r="D174" s="3" t="s">
        <v>1102</v>
      </c>
      <c r="E174" s="5" t="s">
        <v>651</v>
      </c>
      <c r="F174" s="3" t="s">
        <v>1155</v>
      </c>
      <c r="G174" s="3" t="s">
        <v>1156</v>
      </c>
      <c r="H174" s="3" t="s">
        <v>137</v>
      </c>
      <c r="I174" s="3" t="s">
        <v>1070</v>
      </c>
      <c r="J174" s="3" t="s">
        <v>572</v>
      </c>
      <c r="K174" s="3" t="s">
        <v>1120</v>
      </c>
      <c r="L174" s="3" t="s">
        <v>1157</v>
      </c>
      <c r="M174" s="3" t="s">
        <v>1111</v>
      </c>
      <c r="N174" s="3" t="s">
        <v>141</v>
      </c>
      <c r="O174" s="3" t="s">
        <v>576</v>
      </c>
      <c r="P174" s="154">
        <v>1012</v>
      </c>
      <c r="Q174" s="162">
        <v>3.8807</v>
      </c>
      <c r="R174" s="172">
        <v>26801</v>
      </c>
      <c r="T174" s="153">
        <v>1052.547</v>
      </c>
      <c r="U174" s="164">
        <v>4.5000000000000003E-5</v>
      </c>
      <c r="V174" s="164">
        <v>3.45081784105878E-2</v>
      </c>
      <c r="W174" s="164">
        <v>1.96496375755222E-2</v>
      </c>
    </row>
    <row r="175" spans="1:23">
      <c r="A175" s="3">
        <v>12904</v>
      </c>
      <c r="B175" s="3">
        <v>13680</v>
      </c>
      <c r="C175" s="3" t="s">
        <v>1154</v>
      </c>
      <c r="D175" s="3" t="s">
        <v>1102</v>
      </c>
      <c r="E175" s="5" t="s">
        <v>651</v>
      </c>
      <c r="F175" s="3" t="s">
        <v>1158</v>
      </c>
      <c r="G175" s="3" t="s">
        <v>1159</v>
      </c>
      <c r="H175" s="3" t="s">
        <v>137</v>
      </c>
      <c r="I175" s="3" t="s">
        <v>1070</v>
      </c>
      <c r="J175" s="3" t="s">
        <v>572</v>
      </c>
      <c r="K175" s="3" t="s">
        <v>1063</v>
      </c>
      <c r="L175" s="3" t="s">
        <v>1157</v>
      </c>
      <c r="M175" s="3" t="s">
        <v>1111</v>
      </c>
      <c r="N175" s="3" t="s">
        <v>141</v>
      </c>
      <c r="O175" s="3" t="s">
        <v>576</v>
      </c>
      <c r="P175" s="154">
        <v>209</v>
      </c>
      <c r="Q175" s="162">
        <v>3.8807</v>
      </c>
      <c r="R175" s="172">
        <v>13635.6</v>
      </c>
      <c r="T175" s="153">
        <v>110.59399999999999</v>
      </c>
      <c r="U175" s="164">
        <v>6.4999999999999994E-5</v>
      </c>
      <c r="V175" s="164">
        <v>3.6258602587723099E-3</v>
      </c>
      <c r="W175" s="164">
        <v>2.0646363634918802E-3</v>
      </c>
    </row>
    <row r="176" spans="1:23">
      <c r="A176" s="3">
        <v>12904</v>
      </c>
      <c r="B176" s="3">
        <v>13680</v>
      </c>
      <c r="C176" s="3" t="s">
        <v>1093</v>
      </c>
      <c r="D176" s="3" t="s">
        <v>1094</v>
      </c>
      <c r="E176" s="5" t="s">
        <v>651</v>
      </c>
      <c r="F176" s="3" t="s">
        <v>1160</v>
      </c>
      <c r="G176" s="3" t="s">
        <v>1161</v>
      </c>
      <c r="H176" s="3" t="s">
        <v>137</v>
      </c>
      <c r="I176" s="3" t="s">
        <v>1070</v>
      </c>
      <c r="J176" s="3" t="s">
        <v>572</v>
      </c>
      <c r="K176" s="3" t="s">
        <v>224</v>
      </c>
      <c r="L176" s="3" t="s">
        <v>914</v>
      </c>
      <c r="M176" s="3" t="s">
        <v>1071</v>
      </c>
      <c r="N176" s="3" t="s">
        <v>141</v>
      </c>
      <c r="O176" s="3" t="s">
        <v>664</v>
      </c>
      <c r="P176" s="154">
        <v>919</v>
      </c>
      <c r="Q176" s="162">
        <v>3.306</v>
      </c>
      <c r="R176" s="172">
        <v>8962</v>
      </c>
      <c r="T176" s="153">
        <v>272.28500000000003</v>
      </c>
      <c r="U176" s="164">
        <v>1.2E-5</v>
      </c>
      <c r="V176" s="164">
        <v>8.9269633762527594E-3</v>
      </c>
      <c r="W176" s="164">
        <v>5.0831890604665303E-3</v>
      </c>
    </row>
    <row r="177" spans="1:23">
      <c r="A177" s="3">
        <v>12904</v>
      </c>
      <c r="B177" s="3">
        <v>13680</v>
      </c>
      <c r="C177" s="3" t="s">
        <v>1162</v>
      </c>
      <c r="D177" s="3" t="s">
        <v>1163</v>
      </c>
      <c r="E177" s="5" t="s">
        <v>651</v>
      </c>
      <c r="F177" s="3" t="s">
        <v>1164</v>
      </c>
      <c r="G177" s="3" t="s">
        <v>1165</v>
      </c>
      <c r="H177" s="3" t="s">
        <v>137</v>
      </c>
      <c r="I177" s="3" t="s">
        <v>1070</v>
      </c>
      <c r="J177" s="3" t="s">
        <v>572</v>
      </c>
      <c r="K177" s="3" t="s">
        <v>224</v>
      </c>
      <c r="L177" s="3" t="s">
        <v>914</v>
      </c>
      <c r="M177" s="3" t="s">
        <v>1090</v>
      </c>
      <c r="N177" s="3" t="s">
        <v>141</v>
      </c>
      <c r="O177" s="3" t="s">
        <v>664</v>
      </c>
      <c r="P177" s="154">
        <v>3297</v>
      </c>
      <c r="Q177" s="162">
        <v>3.306</v>
      </c>
      <c r="R177" s="172">
        <v>9964.5</v>
      </c>
      <c r="T177" s="153">
        <v>1086.1189999999999</v>
      </c>
      <c r="U177" s="164">
        <v>6.6000000000000005E-5</v>
      </c>
      <c r="V177" s="164">
        <v>3.5608834627006397E-2</v>
      </c>
      <c r="W177" s="164">
        <v>2.02763729392537E-2</v>
      </c>
    </row>
    <row r="178" spans="1:23">
      <c r="A178" s="3">
        <v>12904</v>
      </c>
      <c r="B178" s="3">
        <v>13680</v>
      </c>
      <c r="C178" s="3" t="s">
        <v>1093</v>
      </c>
      <c r="D178" s="3" t="s">
        <v>1094</v>
      </c>
      <c r="E178" s="5" t="s">
        <v>651</v>
      </c>
      <c r="F178" s="3" t="s">
        <v>1166</v>
      </c>
      <c r="G178" s="3" t="s">
        <v>1167</v>
      </c>
      <c r="H178" s="3" t="s">
        <v>137</v>
      </c>
      <c r="I178" s="3" t="s">
        <v>1070</v>
      </c>
      <c r="J178" s="3" t="s">
        <v>572</v>
      </c>
      <c r="K178" s="3" t="s">
        <v>224</v>
      </c>
      <c r="L178" s="3" t="s">
        <v>914</v>
      </c>
      <c r="M178" s="3" t="s">
        <v>1071</v>
      </c>
      <c r="N178" s="3" t="s">
        <v>141</v>
      </c>
      <c r="O178" s="3" t="s">
        <v>664</v>
      </c>
      <c r="P178" s="154">
        <v>967</v>
      </c>
      <c r="Q178" s="162">
        <v>3.306</v>
      </c>
      <c r="R178" s="172">
        <v>8934</v>
      </c>
      <c r="T178" s="153">
        <v>285.61099999999999</v>
      </c>
      <c r="U178" s="164">
        <v>1.9999999999999999E-6</v>
      </c>
      <c r="V178" s="164">
        <v>9.3638775163285993E-3</v>
      </c>
      <c r="W178" s="164">
        <v>5.3319765914095398E-3</v>
      </c>
    </row>
    <row r="179" spans="1:23">
      <c r="A179" s="3">
        <v>12904</v>
      </c>
      <c r="B179" s="3">
        <v>13680</v>
      </c>
      <c r="C179" s="3" t="s">
        <v>1097</v>
      </c>
      <c r="D179" s="3" t="s">
        <v>1098</v>
      </c>
      <c r="E179" s="5" t="s">
        <v>651</v>
      </c>
      <c r="F179" s="3" t="s">
        <v>1168</v>
      </c>
      <c r="G179" s="3" t="s">
        <v>1169</v>
      </c>
      <c r="H179" s="3" t="s">
        <v>137</v>
      </c>
      <c r="I179" s="3" t="s">
        <v>1070</v>
      </c>
      <c r="J179" s="3" t="s">
        <v>572</v>
      </c>
      <c r="K179" s="3" t="s">
        <v>224</v>
      </c>
      <c r="L179" s="3" t="s">
        <v>894</v>
      </c>
      <c r="M179" s="3" t="s">
        <v>1090</v>
      </c>
      <c r="N179" s="3" t="s">
        <v>141</v>
      </c>
      <c r="O179" s="3" t="s">
        <v>664</v>
      </c>
      <c r="P179" s="154">
        <v>1301</v>
      </c>
      <c r="Q179" s="162">
        <v>3.306</v>
      </c>
      <c r="R179" s="172">
        <v>60037</v>
      </c>
      <c r="S179" s="153">
        <v>0.67200000000000004</v>
      </c>
      <c r="T179" s="153">
        <v>2584.4769999999999</v>
      </c>
      <c r="U179" s="164">
        <v>1.9999999999999999E-6</v>
      </c>
      <c r="V179" s="164">
        <v>8.4733093808141605E-2</v>
      </c>
      <c r="W179" s="164">
        <v>4.8248695256306602E-2</v>
      </c>
    </row>
    <row r="180" spans="1:23">
      <c r="A180" s="3">
        <v>12904</v>
      </c>
      <c r="B180" s="3">
        <v>13680</v>
      </c>
      <c r="C180" s="3" t="s">
        <v>1093</v>
      </c>
      <c r="D180" s="3" t="s">
        <v>1094</v>
      </c>
      <c r="E180" s="5" t="s">
        <v>651</v>
      </c>
      <c r="F180" s="3" t="s">
        <v>1170</v>
      </c>
      <c r="G180" s="3" t="s">
        <v>1171</v>
      </c>
      <c r="H180" s="3" t="s">
        <v>137</v>
      </c>
      <c r="I180" s="3" t="s">
        <v>1070</v>
      </c>
      <c r="J180" s="3" t="s">
        <v>572</v>
      </c>
      <c r="K180" s="3" t="s">
        <v>224</v>
      </c>
      <c r="L180" s="3" t="s">
        <v>914</v>
      </c>
      <c r="M180" s="3" t="s">
        <v>1172</v>
      </c>
      <c r="N180" s="3" t="s">
        <v>141</v>
      </c>
      <c r="O180" s="3" t="s">
        <v>664</v>
      </c>
      <c r="P180" s="154">
        <v>862</v>
      </c>
      <c r="Q180" s="162">
        <v>3.306</v>
      </c>
      <c r="R180" s="172">
        <v>4213</v>
      </c>
      <c r="T180" s="153">
        <v>120.06100000000001</v>
      </c>
      <c r="U180" s="164">
        <v>1.4E-5</v>
      </c>
      <c r="V180" s="164">
        <v>3.9362441393803902E-3</v>
      </c>
      <c r="W180" s="164">
        <v>2.24137506846397E-3</v>
      </c>
    </row>
    <row r="181" spans="1:23">
      <c r="A181" s="3">
        <v>12904</v>
      </c>
      <c r="B181" s="3">
        <v>13680</v>
      </c>
      <c r="C181" s="3" t="s">
        <v>1097</v>
      </c>
      <c r="D181" s="3" t="s">
        <v>1098</v>
      </c>
      <c r="E181" s="5" t="s">
        <v>651</v>
      </c>
      <c r="F181" s="3" t="s">
        <v>1173</v>
      </c>
      <c r="G181" s="3" t="s">
        <v>1174</v>
      </c>
      <c r="H181" s="3" t="s">
        <v>137</v>
      </c>
      <c r="I181" s="3" t="s">
        <v>1070</v>
      </c>
      <c r="J181" s="3" t="s">
        <v>572</v>
      </c>
      <c r="K181" s="3" t="s">
        <v>224</v>
      </c>
      <c r="L181" s="3" t="s">
        <v>914</v>
      </c>
      <c r="M181" s="3" t="s">
        <v>1071</v>
      </c>
      <c r="N181" s="3" t="s">
        <v>141</v>
      </c>
      <c r="O181" s="3" t="s">
        <v>576</v>
      </c>
      <c r="P181" s="154">
        <v>885</v>
      </c>
      <c r="Q181" s="162">
        <v>3.8807</v>
      </c>
      <c r="R181" s="172">
        <v>14074</v>
      </c>
      <c r="T181" s="153">
        <v>483.36</v>
      </c>
      <c r="U181" s="164">
        <v>3.48E-4</v>
      </c>
      <c r="V181" s="164">
        <v>1.58471562809398E-2</v>
      </c>
      <c r="W181" s="164">
        <v>9.0236834242049205E-3</v>
      </c>
    </row>
    <row r="182" spans="1:23">
      <c r="A182" s="3">
        <v>12904</v>
      </c>
      <c r="B182" s="3">
        <v>13680</v>
      </c>
      <c r="C182" s="3" t="s">
        <v>1097</v>
      </c>
      <c r="D182" s="3" t="s">
        <v>1098</v>
      </c>
      <c r="E182" s="5" t="s">
        <v>651</v>
      </c>
      <c r="F182" s="3" t="s">
        <v>1228</v>
      </c>
      <c r="G182" s="3" t="s">
        <v>1229</v>
      </c>
      <c r="H182" s="3" t="s">
        <v>137</v>
      </c>
      <c r="I182" s="3" t="s">
        <v>1070</v>
      </c>
      <c r="J182" s="3" t="s">
        <v>572</v>
      </c>
      <c r="K182" s="3" t="s">
        <v>224</v>
      </c>
      <c r="L182" s="3" t="s">
        <v>1139</v>
      </c>
      <c r="M182" s="3" t="s">
        <v>1206</v>
      </c>
      <c r="N182" s="3" t="s">
        <v>141</v>
      </c>
      <c r="O182" s="3" t="s">
        <v>664</v>
      </c>
      <c r="P182" s="154">
        <v>67</v>
      </c>
      <c r="Q182" s="162">
        <v>3.306</v>
      </c>
      <c r="R182" s="172">
        <v>132232</v>
      </c>
      <c r="T182" s="153">
        <v>292.89699999999999</v>
      </c>
      <c r="U182" s="164">
        <v>1.2999999999999999E-5</v>
      </c>
      <c r="V182" s="164">
        <v>9.6027289710345007E-3</v>
      </c>
      <c r="W182" s="164">
        <v>5.4679833218580403E-3</v>
      </c>
    </row>
    <row r="183" spans="1:23">
      <c r="A183" s="3">
        <v>12904</v>
      </c>
      <c r="B183" s="3">
        <v>13680</v>
      </c>
      <c r="C183" s="3" t="s">
        <v>1093</v>
      </c>
      <c r="D183" s="3" t="s">
        <v>1094</v>
      </c>
      <c r="E183" s="5" t="s">
        <v>651</v>
      </c>
      <c r="F183" s="3" t="s">
        <v>1230</v>
      </c>
      <c r="G183" s="3" t="s">
        <v>1231</v>
      </c>
      <c r="H183" s="3" t="s">
        <v>137</v>
      </c>
      <c r="I183" s="3" t="s">
        <v>1147</v>
      </c>
      <c r="J183" s="3" t="s">
        <v>572</v>
      </c>
      <c r="K183" s="3" t="s">
        <v>224</v>
      </c>
      <c r="L183" s="3" t="s">
        <v>914</v>
      </c>
      <c r="M183" s="3" t="s">
        <v>1232</v>
      </c>
      <c r="N183" s="3" t="s">
        <v>141</v>
      </c>
      <c r="O183" s="3" t="s">
        <v>664</v>
      </c>
      <c r="P183" s="154">
        <v>36001</v>
      </c>
      <c r="Q183" s="162">
        <v>3.306</v>
      </c>
      <c r="R183" s="172">
        <v>1153.5999999999999</v>
      </c>
      <c r="T183" s="153">
        <v>1373.0070000000001</v>
      </c>
      <c r="U183" s="164">
        <v>0</v>
      </c>
      <c r="V183" s="164">
        <v>4.5014570815790897E-2</v>
      </c>
      <c r="W183" s="164">
        <v>2.5632184684561101E-2</v>
      </c>
    </row>
    <row r="184" spans="1:23">
      <c r="A184" s="3">
        <v>12904</v>
      </c>
      <c r="B184" s="3">
        <v>13680</v>
      </c>
      <c r="C184" s="3" t="s">
        <v>1093</v>
      </c>
      <c r="D184" s="3" t="s">
        <v>1094</v>
      </c>
      <c r="E184" s="5" t="s">
        <v>651</v>
      </c>
      <c r="F184" s="3" t="s">
        <v>1175</v>
      </c>
      <c r="G184" s="3" t="s">
        <v>1176</v>
      </c>
      <c r="H184" s="3" t="s">
        <v>137</v>
      </c>
      <c r="I184" s="3" t="s">
        <v>1070</v>
      </c>
      <c r="J184" s="3" t="s">
        <v>572</v>
      </c>
      <c r="K184" s="3" t="s">
        <v>1120</v>
      </c>
      <c r="L184" s="3" t="s">
        <v>498</v>
      </c>
      <c r="M184" s="3" t="s">
        <v>1177</v>
      </c>
      <c r="N184" s="3" t="s">
        <v>141</v>
      </c>
      <c r="O184" s="3" t="s">
        <v>576</v>
      </c>
      <c r="P184" s="154">
        <v>288</v>
      </c>
      <c r="Q184" s="162">
        <v>3.8807</v>
      </c>
      <c r="R184" s="172">
        <v>39550</v>
      </c>
      <c r="T184" s="153">
        <v>442.02699999999999</v>
      </c>
      <c r="U184" s="164">
        <v>0</v>
      </c>
      <c r="V184" s="164">
        <v>1.44920391652529E-2</v>
      </c>
      <c r="W184" s="164">
        <v>8.2520530043429605E-3</v>
      </c>
    </row>
    <row r="185" spans="1:23">
      <c r="A185" s="3">
        <v>12904</v>
      </c>
      <c r="B185" s="3">
        <v>13680</v>
      </c>
      <c r="C185" s="3" t="s">
        <v>1093</v>
      </c>
      <c r="D185" s="3" t="s">
        <v>1094</v>
      </c>
      <c r="E185" s="5" t="s">
        <v>651</v>
      </c>
      <c r="F185" s="3" t="s">
        <v>1178</v>
      </c>
      <c r="G185" s="3" t="s">
        <v>1179</v>
      </c>
      <c r="H185" s="3" t="s">
        <v>137</v>
      </c>
      <c r="I185" s="3" t="s">
        <v>1070</v>
      </c>
      <c r="J185" s="3" t="s">
        <v>572</v>
      </c>
      <c r="K185" s="3" t="s">
        <v>224</v>
      </c>
      <c r="L185" s="3" t="s">
        <v>914</v>
      </c>
      <c r="M185" s="3" t="s">
        <v>1071</v>
      </c>
      <c r="N185" s="3" t="s">
        <v>141</v>
      </c>
      <c r="O185" s="3" t="s">
        <v>664</v>
      </c>
      <c r="P185" s="154">
        <v>543</v>
      </c>
      <c r="Q185" s="162">
        <v>3.306</v>
      </c>
      <c r="R185" s="172">
        <v>15285</v>
      </c>
      <c r="T185" s="153">
        <v>274.39</v>
      </c>
      <c r="U185" s="164">
        <v>0</v>
      </c>
      <c r="V185" s="164">
        <v>8.9959819366536801E-3</v>
      </c>
      <c r="W185" s="164">
        <v>5.1224895903793496E-3</v>
      </c>
    </row>
    <row r="186" spans="1:23">
      <c r="A186" s="3">
        <v>12904</v>
      </c>
      <c r="B186" s="3">
        <v>13680</v>
      </c>
      <c r="C186" s="3" t="s">
        <v>1180</v>
      </c>
      <c r="D186" s="3" t="s">
        <v>1181</v>
      </c>
      <c r="E186" s="5" t="s">
        <v>651</v>
      </c>
      <c r="F186" s="3" t="s">
        <v>1182</v>
      </c>
      <c r="G186" s="3" t="s">
        <v>1183</v>
      </c>
      <c r="H186" s="3" t="s">
        <v>137</v>
      </c>
      <c r="I186" s="3" t="s">
        <v>1070</v>
      </c>
      <c r="J186" s="3" t="s">
        <v>572</v>
      </c>
      <c r="K186" s="3" t="s">
        <v>224</v>
      </c>
      <c r="L186" s="3" t="s">
        <v>1139</v>
      </c>
      <c r="M186" s="3" t="s">
        <v>1071</v>
      </c>
      <c r="N186" s="3" t="s">
        <v>141</v>
      </c>
      <c r="O186" s="3" t="s">
        <v>664</v>
      </c>
      <c r="P186" s="154">
        <v>966</v>
      </c>
      <c r="Q186" s="162">
        <v>3.306</v>
      </c>
      <c r="R186" s="172">
        <v>6492</v>
      </c>
      <c r="T186" s="153">
        <v>207.328</v>
      </c>
      <c r="U186" s="164">
        <v>0</v>
      </c>
      <c r="V186" s="164">
        <v>6.7973391542090096E-3</v>
      </c>
      <c r="W186" s="164">
        <v>3.8705390145175999E-3</v>
      </c>
    </row>
    <row r="187" spans="1:23">
      <c r="A187" s="3">
        <v>12904</v>
      </c>
      <c r="B187" s="3">
        <v>13680</v>
      </c>
      <c r="C187" s="3" t="s">
        <v>1184</v>
      </c>
      <c r="D187" s="3" t="s">
        <v>1185</v>
      </c>
      <c r="E187" s="5" t="s">
        <v>651</v>
      </c>
      <c r="F187" s="3" t="s">
        <v>1235</v>
      </c>
      <c r="G187" s="3" t="s">
        <v>1236</v>
      </c>
      <c r="H187" s="3" t="s">
        <v>137</v>
      </c>
      <c r="I187" s="3" t="s">
        <v>1070</v>
      </c>
      <c r="J187" s="3" t="s">
        <v>572</v>
      </c>
      <c r="K187" s="3" t="s">
        <v>224</v>
      </c>
      <c r="L187" s="3" t="s">
        <v>914</v>
      </c>
      <c r="M187" s="3" t="s">
        <v>1206</v>
      </c>
      <c r="N187" s="3" t="s">
        <v>141</v>
      </c>
      <c r="O187" s="3" t="s">
        <v>664</v>
      </c>
      <c r="P187" s="154">
        <v>610</v>
      </c>
      <c r="Q187" s="162">
        <v>3.306</v>
      </c>
      <c r="R187" s="172">
        <v>61238</v>
      </c>
      <c r="S187" s="153">
        <v>1.0609999999999999</v>
      </c>
      <c r="T187" s="153">
        <v>1238.471</v>
      </c>
      <c r="U187" s="164">
        <v>9.9999999999999995E-7</v>
      </c>
      <c r="V187" s="164">
        <v>4.0603771803288599E-2</v>
      </c>
      <c r="W187" s="164">
        <v>2.3120588709169099E-2</v>
      </c>
    </row>
    <row r="188" spans="1:23">
      <c r="A188" s="3">
        <v>12904</v>
      </c>
      <c r="B188" s="3">
        <v>13680</v>
      </c>
      <c r="C188" s="3" t="s">
        <v>1184</v>
      </c>
      <c r="D188" s="3" t="s">
        <v>1185</v>
      </c>
      <c r="E188" s="5" t="s">
        <v>651</v>
      </c>
      <c r="F188" s="3" t="s">
        <v>1237</v>
      </c>
      <c r="G188" s="3" t="s">
        <v>1238</v>
      </c>
      <c r="H188" s="3" t="s">
        <v>137</v>
      </c>
      <c r="I188" s="3" t="s">
        <v>1070</v>
      </c>
      <c r="J188" s="3" t="s">
        <v>572</v>
      </c>
      <c r="K188" s="3" t="s">
        <v>224</v>
      </c>
      <c r="L188" s="3" t="s">
        <v>894</v>
      </c>
      <c r="M188" s="3" t="s">
        <v>1206</v>
      </c>
      <c r="N188" s="3" t="s">
        <v>141</v>
      </c>
      <c r="O188" s="3" t="s">
        <v>664</v>
      </c>
      <c r="P188" s="154">
        <v>205</v>
      </c>
      <c r="Q188" s="162">
        <v>3.306</v>
      </c>
      <c r="R188" s="172">
        <v>19947</v>
      </c>
      <c r="T188" s="153">
        <v>135.18700000000001</v>
      </c>
      <c r="U188" s="164">
        <v>0</v>
      </c>
      <c r="V188" s="164">
        <v>4.4321530691614798E-3</v>
      </c>
      <c r="W188" s="164">
        <v>2.5237553965335E-3</v>
      </c>
    </row>
    <row r="189" spans="1:23">
      <c r="A189" s="3">
        <v>12904</v>
      </c>
      <c r="B189" s="3">
        <v>13680</v>
      </c>
      <c r="C189" s="3" t="s">
        <v>1184</v>
      </c>
      <c r="D189" s="3" t="s">
        <v>1185</v>
      </c>
      <c r="E189" s="5" t="s">
        <v>651</v>
      </c>
      <c r="F189" s="3" t="s">
        <v>1186</v>
      </c>
      <c r="G189" s="3" t="s">
        <v>1187</v>
      </c>
      <c r="H189" s="3" t="s">
        <v>137</v>
      </c>
      <c r="I189" s="3" t="s">
        <v>1070</v>
      </c>
      <c r="J189" s="3" t="s">
        <v>572</v>
      </c>
      <c r="K189" s="3" t="s">
        <v>224</v>
      </c>
      <c r="L189" s="3" t="s">
        <v>914</v>
      </c>
      <c r="M189" s="3" t="s">
        <v>1071</v>
      </c>
      <c r="N189" s="3" t="s">
        <v>141</v>
      </c>
      <c r="O189" s="3" t="s">
        <v>664</v>
      </c>
      <c r="P189" s="154">
        <v>2241</v>
      </c>
      <c r="Q189" s="162">
        <v>3.306</v>
      </c>
      <c r="R189" s="172">
        <v>11038</v>
      </c>
      <c r="T189" s="153">
        <v>817.77700000000004</v>
      </c>
      <c r="U189" s="164">
        <v>2.81E-4</v>
      </c>
      <c r="V189" s="164">
        <v>2.68111565401884E-2</v>
      </c>
      <c r="W189" s="164">
        <v>1.52668014731735E-2</v>
      </c>
    </row>
    <row r="190" spans="1:23">
      <c r="A190" s="3">
        <v>12904</v>
      </c>
      <c r="B190" s="3">
        <v>13680</v>
      </c>
      <c r="C190" s="3" t="s">
        <v>1184</v>
      </c>
      <c r="D190" s="3" t="s">
        <v>1185</v>
      </c>
      <c r="E190" s="5" t="s">
        <v>651</v>
      </c>
      <c r="F190" s="3" t="s">
        <v>1239</v>
      </c>
      <c r="G190" s="3" t="s">
        <v>1240</v>
      </c>
      <c r="H190" s="3" t="s">
        <v>137</v>
      </c>
      <c r="I190" s="3" t="s">
        <v>1070</v>
      </c>
      <c r="J190" s="3" t="s">
        <v>572</v>
      </c>
      <c r="K190" s="3" t="s">
        <v>797</v>
      </c>
      <c r="L190" s="3" t="s">
        <v>914</v>
      </c>
      <c r="M190" s="3" t="s">
        <v>1201</v>
      </c>
      <c r="N190" s="3" t="s">
        <v>141</v>
      </c>
      <c r="O190" s="3" t="s">
        <v>664</v>
      </c>
      <c r="P190" s="154">
        <v>590</v>
      </c>
      <c r="Q190" s="162">
        <v>3.306</v>
      </c>
      <c r="R190" s="172">
        <v>13780</v>
      </c>
      <c r="T190" s="153">
        <v>268.78399999999999</v>
      </c>
      <c r="U190" s="164">
        <v>1.9999999999999999E-6</v>
      </c>
      <c r="V190" s="164">
        <v>8.8122037748562202E-3</v>
      </c>
      <c r="W190" s="164">
        <v>5.0178426794167102E-3</v>
      </c>
    </row>
    <row r="191" spans="1:23">
      <c r="A191" s="3">
        <v>12904</v>
      </c>
      <c r="B191" s="3">
        <v>13680</v>
      </c>
      <c r="C191" s="3" t="s">
        <v>1188</v>
      </c>
      <c r="D191" s="3" t="s">
        <v>1189</v>
      </c>
      <c r="E191" s="5" t="s">
        <v>651</v>
      </c>
      <c r="F191" s="3" t="s">
        <v>1190</v>
      </c>
      <c r="G191" s="3" t="s">
        <v>1191</v>
      </c>
      <c r="H191" s="3" t="s">
        <v>137</v>
      </c>
      <c r="I191" s="3" t="s">
        <v>1070</v>
      </c>
      <c r="J191" s="3" t="s">
        <v>572</v>
      </c>
      <c r="K191" s="3" t="s">
        <v>1192</v>
      </c>
      <c r="L191" s="3" t="s">
        <v>914</v>
      </c>
      <c r="M191" s="3" t="s">
        <v>1071</v>
      </c>
      <c r="N191" s="3" t="s">
        <v>141</v>
      </c>
      <c r="O191" s="3" t="s">
        <v>664</v>
      </c>
      <c r="P191" s="154">
        <v>6854</v>
      </c>
      <c r="Q191" s="162">
        <v>3.306</v>
      </c>
      <c r="R191" s="172">
        <v>4420</v>
      </c>
      <c r="T191" s="153">
        <v>1001.542</v>
      </c>
      <c r="U191" s="164">
        <v>3.1199999999999999E-4</v>
      </c>
      <c r="V191" s="164">
        <v>3.2835956489884799E-2</v>
      </c>
      <c r="W191" s="164">
        <v>1.8697441423737599E-2</v>
      </c>
    </row>
    <row r="192" spans="1:23">
      <c r="A192" s="3">
        <v>424</v>
      </c>
      <c r="B192" s="3">
        <v>7228</v>
      </c>
      <c r="C192" s="3" t="s">
        <v>1066</v>
      </c>
      <c r="D192" s="3" t="s">
        <v>1067</v>
      </c>
      <c r="E192" s="5" t="s">
        <v>651</v>
      </c>
      <c r="F192" s="3" t="s">
        <v>1068</v>
      </c>
      <c r="G192" s="3" t="s">
        <v>1069</v>
      </c>
      <c r="H192" s="3" t="s">
        <v>137</v>
      </c>
      <c r="I192" s="3" t="s">
        <v>1070</v>
      </c>
      <c r="J192" s="3" t="s">
        <v>572</v>
      </c>
      <c r="K192" s="3" t="s">
        <v>224</v>
      </c>
      <c r="L192" s="3" t="s">
        <v>914</v>
      </c>
      <c r="M192" s="3" t="s">
        <v>1071</v>
      </c>
      <c r="N192" s="3" t="s">
        <v>141</v>
      </c>
      <c r="O192" s="3" t="s">
        <v>664</v>
      </c>
      <c r="P192" s="154">
        <v>21845</v>
      </c>
      <c r="Q192" s="162">
        <v>3.306</v>
      </c>
      <c r="R192" s="172">
        <v>10725</v>
      </c>
      <c r="T192" s="153">
        <v>7745.549</v>
      </c>
      <c r="U192" s="164">
        <v>5.9299999999999999E-4</v>
      </c>
      <c r="V192" s="164">
        <v>2.0433143914918499E-2</v>
      </c>
      <c r="W192" s="164">
        <v>3.0309761204788E-3</v>
      </c>
    </row>
    <row r="193" spans="1:23">
      <c r="A193" s="3">
        <v>424</v>
      </c>
      <c r="B193" s="3">
        <v>7228</v>
      </c>
      <c r="C193" s="3" t="s">
        <v>1072</v>
      </c>
      <c r="D193" s="3" t="s">
        <v>1073</v>
      </c>
      <c r="E193" s="5" t="s">
        <v>134</v>
      </c>
      <c r="F193" s="3" t="s">
        <v>1074</v>
      </c>
      <c r="G193" s="3" t="s">
        <v>1075</v>
      </c>
      <c r="H193" s="3" t="s">
        <v>137</v>
      </c>
      <c r="I193" s="3" t="s">
        <v>1076</v>
      </c>
      <c r="J193" s="3" t="s">
        <v>30</v>
      </c>
      <c r="K193" s="3" t="s">
        <v>30</v>
      </c>
      <c r="L193" s="3" t="s">
        <v>31</v>
      </c>
      <c r="M193" s="3" t="s">
        <v>1077</v>
      </c>
      <c r="N193" s="3" t="s">
        <v>141</v>
      </c>
      <c r="O193" s="3" t="s">
        <v>34</v>
      </c>
      <c r="P193" s="154">
        <v>299153</v>
      </c>
      <c r="Q193" s="162">
        <v>1</v>
      </c>
      <c r="R193" s="172">
        <v>4301</v>
      </c>
      <c r="T193" s="153">
        <v>12866.571</v>
      </c>
      <c r="U193" s="164">
        <v>4.274E-3</v>
      </c>
      <c r="V193" s="164">
        <v>3.3942654202975299E-2</v>
      </c>
      <c r="W193" s="164">
        <v>5.0349263325931001E-3</v>
      </c>
    </row>
    <row r="194" spans="1:23">
      <c r="A194" s="3">
        <v>424</v>
      </c>
      <c r="B194" s="3">
        <v>7228</v>
      </c>
      <c r="C194" s="3" t="s">
        <v>1072</v>
      </c>
      <c r="D194" s="3" t="s">
        <v>1073</v>
      </c>
      <c r="E194" s="5" t="s">
        <v>134</v>
      </c>
      <c r="F194" s="3" t="s">
        <v>1078</v>
      </c>
      <c r="G194" s="3" t="s">
        <v>1079</v>
      </c>
      <c r="H194" s="3" t="s">
        <v>137</v>
      </c>
      <c r="I194" s="3" t="s">
        <v>1076</v>
      </c>
      <c r="J194" s="3" t="s">
        <v>30</v>
      </c>
      <c r="K194" s="3" t="s">
        <v>30</v>
      </c>
      <c r="L194" s="3" t="s">
        <v>31</v>
      </c>
      <c r="M194" s="3" t="s">
        <v>1080</v>
      </c>
      <c r="N194" s="3" t="s">
        <v>141</v>
      </c>
      <c r="O194" s="3" t="s">
        <v>34</v>
      </c>
      <c r="P194" s="154">
        <v>70319</v>
      </c>
      <c r="Q194" s="162">
        <v>1</v>
      </c>
      <c r="R194" s="172">
        <v>4757</v>
      </c>
      <c r="T194" s="153">
        <v>3345.0749999999998</v>
      </c>
      <c r="U194" s="164">
        <v>1.1720000000000001E-3</v>
      </c>
      <c r="V194" s="164">
        <v>8.8244740875614291E-3</v>
      </c>
      <c r="W194" s="164">
        <v>1.30898947056573E-3</v>
      </c>
    </row>
    <row r="195" spans="1:23">
      <c r="A195" s="3">
        <v>424</v>
      </c>
      <c r="B195" s="3">
        <v>7228</v>
      </c>
      <c r="C195" s="3" t="s">
        <v>1081</v>
      </c>
      <c r="D195" s="3" t="s">
        <v>1082</v>
      </c>
      <c r="E195" s="5" t="s">
        <v>134</v>
      </c>
      <c r="F195" s="3" t="s">
        <v>1083</v>
      </c>
      <c r="G195" s="3" t="s">
        <v>1084</v>
      </c>
      <c r="H195" s="3" t="s">
        <v>137</v>
      </c>
      <c r="I195" s="3" t="s">
        <v>1076</v>
      </c>
      <c r="J195" s="3" t="s">
        <v>30</v>
      </c>
      <c r="K195" s="3" t="s">
        <v>30</v>
      </c>
      <c r="L195" s="3" t="s">
        <v>31</v>
      </c>
      <c r="M195" s="3" t="s">
        <v>1085</v>
      </c>
      <c r="N195" s="3" t="s">
        <v>141</v>
      </c>
      <c r="O195" s="3" t="s">
        <v>34</v>
      </c>
      <c r="P195" s="154">
        <v>361353</v>
      </c>
      <c r="Q195" s="162">
        <v>1</v>
      </c>
      <c r="R195" s="172">
        <v>3192</v>
      </c>
      <c r="T195" s="153">
        <v>11534.388000000001</v>
      </c>
      <c r="U195" s="164">
        <v>1.75E-3</v>
      </c>
      <c r="V195" s="164">
        <v>3.0428289672672498E-2</v>
      </c>
      <c r="W195" s="164">
        <v>4.5136186466902704E-3</v>
      </c>
    </row>
    <row r="196" spans="1:23">
      <c r="A196" s="3">
        <v>424</v>
      </c>
      <c r="B196" s="3">
        <v>7228</v>
      </c>
      <c r="C196" s="3" t="s">
        <v>1072</v>
      </c>
      <c r="D196" s="3" t="s">
        <v>1073</v>
      </c>
      <c r="E196" s="5" t="s">
        <v>134</v>
      </c>
      <c r="F196" s="3" t="s">
        <v>1091</v>
      </c>
      <c r="G196" s="3" t="s">
        <v>1092</v>
      </c>
      <c r="H196" s="3" t="s">
        <v>137</v>
      </c>
      <c r="I196" s="3" t="s">
        <v>1070</v>
      </c>
      <c r="J196" s="3" t="s">
        <v>30</v>
      </c>
      <c r="K196" s="3" t="s">
        <v>224</v>
      </c>
      <c r="L196" s="3" t="s">
        <v>31</v>
      </c>
      <c r="M196" s="3" t="s">
        <v>1071</v>
      </c>
      <c r="N196" s="3" t="s">
        <v>141</v>
      </c>
      <c r="O196" s="3" t="s">
        <v>34</v>
      </c>
      <c r="P196" s="154">
        <v>125683</v>
      </c>
      <c r="Q196" s="162">
        <v>1</v>
      </c>
      <c r="R196" s="172">
        <v>3273</v>
      </c>
      <c r="T196" s="153">
        <v>4113.6049999999996</v>
      </c>
      <c r="U196" s="164">
        <v>6.2839999999999997E-3</v>
      </c>
      <c r="V196" s="164">
        <v>1.0851893890495901E-2</v>
      </c>
      <c r="W196" s="164">
        <v>1.60972933881448E-3</v>
      </c>
    </row>
    <row r="197" spans="1:23">
      <c r="A197" s="3">
        <v>424</v>
      </c>
      <c r="B197" s="3">
        <v>7228</v>
      </c>
      <c r="C197" s="3" t="s">
        <v>1211</v>
      </c>
      <c r="D197" s="3" t="s">
        <v>1212</v>
      </c>
      <c r="E197" s="5" t="s">
        <v>134</v>
      </c>
      <c r="F197" s="3" t="s">
        <v>1217</v>
      </c>
      <c r="G197" s="3" t="s">
        <v>1218</v>
      </c>
      <c r="H197" s="3" t="s">
        <v>137</v>
      </c>
      <c r="I197" s="3" t="s">
        <v>1076</v>
      </c>
      <c r="J197" s="3" t="s">
        <v>30</v>
      </c>
      <c r="K197" s="3" t="s">
        <v>30</v>
      </c>
      <c r="L197" s="3" t="s">
        <v>31</v>
      </c>
      <c r="M197" s="3" t="s">
        <v>1085</v>
      </c>
      <c r="N197" s="3" t="s">
        <v>141</v>
      </c>
      <c r="O197" s="3" t="s">
        <v>34</v>
      </c>
      <c r="P197" s="154">
        <v>47665</v>
      </c>
      <c r="Q197" s="162">
        <v>1</v>
      </c>
      <c r="R197" s="172">
        <v>31750</v>
      </c>
      <c r="T197" s="153">
        <v>15133.638000000001</v>
      </c>
      <c r="U197" s="164">
        <v>1.346E-3</v>
      </c>
      <c r="V197" s="164">
        <v>3.9923289838421298E-2</v>
      </c>
      <c r="W197" s="164">
        <v>5.9220714470111704E-3</v>
      </c>
    </row>
    <row r="198" spans="1:23">
      <c r="A198" s="3">
        <v>424</v>
      </c>
      <c r="B198" s="3">
        <v>7228</v>
      </c>
      <c r="C198" s="3" t="s">
        <v>1093</v>
      </c>
      <c r="D198" s="3" t="s">
        <v>1094</v>
      </c>
      <c r="E198" s="5" t="s">
        <v>651</v>
      </c>
      <c r="F198" s="3" t="s">
        <v>1095</v>
      </c>
      <c r="G198" s="3" t="s">
        <v>1096</v>
      </c>
      <c r="H198" s="3" t="s">
        <v>137</v>
      </c>
      <c r="I198" s="3" t="s">
        <v>1070</v>
      </c>
      <c r="J198" s="3" t="s">
        <v>572</v>
      </c>
      <c r="K198" s="3" t="s">
        <v>224</v>
      </c>
      <c r="L198" s="3" t="s">
        <v>914</v>
      </c>
      <c r="M198" s="3" t="s">
        <v>1071</v>
      </c>
      <c r="N198" s="3" t="s">
        <v>141</v>
      </c>
      <c r="O198" s="3" t="s">
        <v>664</v>
      </c>
      <c r="P198" s="154">
        <v>31293</v>
      </c>
      <c r="Q198" s="162">
        <v>3.306</v>
      </c>
      <c r="R198" s="172">
        <v>8721</v>
      </c>
      <c r="T198" s="153">
        <v>9022.2810000000009</v>
      </c>
      <c r="U198" s="164">
        <v>1.3899999999999999E-4</v>
      </c>
      <c r="V198" s="164">
        <v>2.38012261331778E-2</v>
      </c>
      <c r="W198" s="164">
        <v>3.5305848355086898E-3</v>
      </c>
    </row>
    <row r="199" spans="1:23">
      <c r="A199" s="3">
        <v>424</v>
      </c>
      <c r="B199" s="3">
        <v>7228</v>
      </c>
      <c r="C199" s="3" t="s">
        <v>1097</v>
      </c>
      <c r="D199" s="3" t="s">
        <v>1098</v>
      </c>
      <c r="E199" s="5" t="s">
        <v>651</v>
      </c>
      <c r="F199" s="3" t="s">
        <v>1099</v>
      </c>
      <c r="G199" s="3" t="s">
        <v>1100</v>
      </c>
      <c r="H199" s="3" t="s">
        <v>137</v>
      </c>
      <c r="I199" s="3" t="s">
        <v>1070</v>
      </c>
      <c r="J199" s="3" t="s">
        <v>572</v>
      </c>
      <c r="K199" s="3" t="s">
        <v>224</v>
      </c>
      <c r="L199" s="3" t="s">
        <v>914</v>
      </c>
      <c r="M199" s="3" t="s">
        <v>1071</v>
      </c>
      <c r="N199" s="3" t="s">
        <v>141</v>
      </c>
      <c r="O199" s="3" t="s">
        <v>664</v>
      </c>
      <c r="P199" s="154">
        <v>15319</v>
      </c>
      <c r="Q199" s="162">
        <v>3.306</v>
      </c>
      <c r="R199" s="172">
        <v>15545</v>
      </c>
      <c r="T199" s="153">
        <v>7872.7049999999999</v>
      </c>
      <c r="U199" s="164">
        <v>7.94E-4</v>
      </c>
      <c r="V199" s="164">
        <v>2.0768588738860401E-2</v>
      </c>
      <c r="W199" s="164">
        <v>3.0807347506406398E-3</v>
      </c>
    </row>
    <row r="200" spans="1:23">
      <c r="A200" s="3">
        <v>424</v>
      </c>
      <c r="B200" s="3">
        <v>7228</v>
      </c>
      <c r="C200" s="3" t="s">
        <v>1101</v>
      </c>
      <c r="D200" s="3" t="s">
        <v>1102</v>
      </c>
      <c r="E200" s="5" t="s">
        <v>651</v>
      </c>
      <c r="F200" s="3" t="s">
        <v>1109</v>
      </c>
      <c r="G200" s="3" t="s">
        <v>1110</v>
      </c>
      <c r="H200" s="3" t="s">
        <v>137</v>
      </c>
      <c r="I200" s="3" t="s">
        <v>1070</v>
      </c>
      <c r="J200" s="3" t="s">
        <v>572</v>
      </c>
      <c r="K200" s="3" t="s">
        <v>224</v>
      </c>
      <c r="L200" s="3" t="s">
        <v>914</v>
      </c>
      <c r="M200" s="3" t="s">
        <v>1111</v>
      </c>
      <c r="N200" s="3" t="s">
        <v>141</v>
      </c>
      <c r="O200" s="3" t="s">
        <v>576</v>
      </c>
      <c r="P200" s="154">
        <v>13615</v>
      </c>
      <c r="Q200" s="162">
        <v>3.8807</v>
      </c>
      <c r="R200" s="172">
        <v>8096.2</v>
      </c>
      <c r="T200" s="153">
        <v>4277.6859999999997</v>
      </c>
      <c r="U200" s="164">
        <v>0</v>
      </c>
      <c r="V200" s="164">
        <v>1.1284749915130199E-2</v>
      </c>
      <c r="W200" s="164">
        <v>1.6739375820361199E-3</v>
      </c>
    </row>
    <row r="201" spans="1:23">
      <c r="A201" s="3">
        <v>424</v>
      </c>
      <c r="B201" s="3">
        <v>7228</v>
      </c>
      <c r="C201" s="3" t="s">
        <v>1093</v>
      </c>
      <c r="D201" s="3" t="s">
        <v>1094</v>
      </c>
      <c r="E201" s="5" t="s">
        <v>651</v>
      </c>
      <c r="F201" s="3" t="s">
        <v>1114</v>
      </c>
      <c r="G201" s="3" t="s">
        <v>1115</v>
      </c>
      <c r="H201" s="3" t="s">
        <v>137</v>
      </c>
      <c r="I201" s="3" t="s">
        <v>1070</v>
      </c>
      <c r="J201" s="3" t="s">
        <v>572</v>
      </c>
      <c r="K201" s="3" t="s">
        <v>224</v>
      </c>
      <c r="L201" s="3" t="s">
        <v>914</v>
      </c>
      <c r="M201" s="3" t="s">
        <v>1071</v>
      </c>
      <c r="N201" s="3" t="s">
        <v>141</v>
      </c>
      <c r="O201" s="3" t="s">
        <v>664</v>
      </c>
      <c r="P201" s="154">
        <v>4348</v>
      </c>
      <c r="Q201" s="162">
        <v>3.306</v>
      </c>
      <c r="R201" s="172">
        <v>23964</v>
      </c>
      <c r="T201" s="153">
        <v>3444.7020000000002</v>
      </c>
      <c r="U201" s="164">
        <v>4.5000000000000003E-5</v>
      </c>
      <c r="V201" s="164">
        <v>9.0872963292827104E-3</v>
      </c>
      <c r="W201" s="164">
        <v>1.3479755385885899E-3</v>
      </c>
    </row>
    <row r="202" spans="1:23">
      <c r="A202" s="3">
        <v>424</v>
      </c>
      <c r="B202" s="3">
        <v>7228</v>
      </c>
      <c r="C202" s="3" t="s">
        <v>1116</v>
      </c>
      <c r="D202" s="3" t="s">
        <v>1117</v>
      </c>
      <c r="E202" s="5" t="s">
        <v>651</v>
      </c>
      <c r="F202" s="3" t="s">
        <v>1118</v>
      </c>
      <c r="G202" s="3" t="s">
        <v>1119</v>
      </c>
      <c r="H202" s="3" t="s">
        <v>137</v>
      </c>
      <c r="I202" s="3" t="s">
        <v>1070</v>
      </c>
      <c r="J202" s="3" t="s">
        <v>572</v>
      </c>
      <c r="K202" s="3" t="s">
        <v>1120</v>
      </c>
      <c r="L202" s="3" t="s">
        <v>498</v>
      </c>
      <c r="M202" s="3" t="s">
        <v>1071</v>
      </c>
      <c r="N202" s="3" t="s">
        <v>141</v>
      </c>
      <c r="O202" s="3" t="s">
        <v>576</v>
      </c>
      <c r="P202" s="154">
        <v>113403</v>
      </c>
      <c r="Q202" s="162">
        <v>3.8807</v>
      </c>
      <c r="R202" s="172">
        <v>10084</v>
      </c>
      <c r="T202" s="153">
        <v>44377.972000000002</v>
      </c>
      <c r="U202" s="164">
        <v>0</v>
      </c>
      <c r="V202" s="164">
        <v>0.11707130136716</v>
      </c>
      <c r="W202" s="164">
        <v>1.7365918838273601E-2</v>
      </c>
    </row>
    <row r="203" spans="1:23">
      <c r="A203" s="3">
        <v>424</v>
      </c>
      <c r="B203" s="3">
        <v>7228</v>
      </c>
      <c r="C203" s="3" t="s">
        <v>1093</v>
      </c>
      <c r="D203" s="3" t="s">
        <v>1094</v>
      </c>
      <c r="E203" s="5" t="s">
        <v>651</v>
      </c>
      <c r="F203" s="3" t="s">
        <v>1121</v>
      </c>
      <c r="G203" s="3" t="s">
        <v>1122</v>
      </c>
      <c r="H203" s="3" t="s">
        <v>137</v>
      </c>
      <c r="I203" s="3" t="s">
        <v>1070</v>
      </c>
      <c r="J203" s="3" t="s">
        <v>572</v>
      </c>
      <c r="K203" s="3" t="s">
        <v>224</v>
      </c>
      <c r="L203" s="3" t="s">
        <v>914</v>
      </c>
      <c r="M203" s="3" t="s">
        <v>1123</v>
      </c>
      <c r="N203" s="3" t="s">
        <v>141</v>
      </c>
      <c r="O203" s="3" t="s">
        <v>664</v>
      </c>
      <c r="P203" s="154">
        <v>187002</v>
      </c>
      <c r="Q203" s="162">
        <v>3.306</v>
      </c>
      <c r="R203" s="172">
        <v>5387</v>
      </c>
      <c r="T203" s="153">
        <v>33303.974999999999</v>
      </c>
      <c r="U203" s="164">
        <v>2.0799999999999999E-4</v>
      </c>
      <c r="V203" s="164">
        <v>8.7857546462900504E-2</v>
      </c>
      <c r="W203" s="164">
        <v>1.3032459735111201E-2</v>
      </c>
    </row>
    <row r="204" spans="1:23">
      <c r="A204" s="3">
        <v>424</v>
      </c>
      <c r="B204" s="3">
        <v>7228</v>
      </c>
      <c r="C204" s="3" t="s">
        <v>1124</v>
      </c>
      <c r="D204" s="3" t="s">
        <v>1125</v>
      </c>
      <c r="E204" s="5" t="s">
        <v>651</v>
      </c>
      <c r="F204" s="3" t="s">
        <v>1126</v>
      </c>
      <c r="G204" s="3" t="s">
        <v>1127</v>
      </c>
      <c r="H204" s="3" t="s">
        <v>137</v>
      </c>
      <c r="I204" s="3" t="s">
        <v>1070</v>
      </c>
      <c r="J204" s="3" t="s">
        <v>572</v>
      </c>
      <c r="K204" s="3" t="s">
        <v>797</v>
      </c>
      <c r="L204" s="3" t="s">
        <v>894</v>
      </c>
      <c r="M204" s="3" t="s">
        <v>1090</v>
      </c>
      <c r="N204" s="3" t="s">
        <v>141</v>
      </c>
      <c r="O204" s="3" t="s">
        <v>664</v>
      </c>
      <c r="P204" s="154">
        <v>9000</v>
      </c>
      <c r="Q204" s="162">
        <v>3.306</v>
      </c>
      <c r="R204" s="172">
        <v>15108</v>
      </c>
      <c r="T204" s="153">
        <v>4495.2340000000004</v>
      </c>
      <c r="U204" s="164">
        <v>1.2589999999999999E-3</v>
      </c>
      <c r="V204" s="164">
        <v>1.18586521349529E-2</v>
      </c>
      <c r="W204" s="164">
        <v>1.75906809014665E-3</v>
      </c>
    </row>
    <row r="205" spans="1:23">
      <c r="A205" s="3">
        <v>424</v>
      </c>
      <c r="B205" s="3">
        <v>7228</v>
      </c>
      <c r="C205" s="3" t="s">
        <v>1128</v>
      </c>
      <c r="D205" s="3" t="s">
        <v>1129</v>
      </c>
      <c r="E205" s="5" t="s">
        <v>651</v>
      </c>
      <c r="F205" s="3" t="s">
        <v>1130</v>
      </c>
      <c r="G205" s="3" t="s">
        <v>1131</v>
      </c>
      <c r="H205" s="3" t="s">
        <v>137</v>
      </c>
      <c r="I205" s="3" t="s">
        <v>1070</v>
      </c>
      <c r="J205" s="3" t="s">
        <v>572</v>
      </c>
      <c r="K205" s="3" t="s">
        <v>942</v>
      </c>
      <c r="L205" s="3" t="s">
        <v>914</v>
      </c>
      <c r="M205" s="3" t="s">
        <v>1071</v>
      </c>
      <c r="N205" s="3" t="s">
        <v>141</v>
      </c>
      <c r="O205" s="3" t="s">
        <v>664</v>
      </c>
      <c r="P205" s="154">
        <v>47750</v>
      </c>
      <c r="Q205" s="162">
        <v>3.306</v>
      </c>
      <c r="R205" s="172">
        <v>4763</v>
      </c>
      <c r="T205" s="153">
        <v>7518.9430000000002</v>
      </c>
      <c r="U205" s="164">
        <v>3.1700000000000001E-4</v>
      </c>
      <c r="V205" s="164">
        <v>1.9835346951370798E-2</v>
      </c>
      <c r="W205" s="164">
        <v>2.94230115548308E-3</v>
      </c>
    </row>
    <row r="206" spans="1:23">
      <c r="A206" s="3">
        <v>424</v>
      </c>
      <c r="B206" s="3">
        <v>7228</v>
      </c>
      <c r="C206" s="3" t="s">
        <v>1093</v>
      </c>
      <c r="D206" s="3" t="s">
        <v>1094</v>
      </c>
      <c r="E206" s="5" t="s">
        <v>651</v>
      </c>
      <c r="F206" s="3" t="s">
        <v>1132</v>
      </c>
      <c r="G206" s="3" t="s">
        <v>1133</v>
      </c>
      <c r="H206" s="3" t="s">
        <v>137</v>
      </c>
      <c r="I206" s="3" t="s">
        <v>1070</v>
      </c>
      <c r="J206" s="3" t="s">
        <v>572</v>
      </c>
      <c r="K206" s="3" t="s">
        <v>224</v>
      </c>
      <c r="L206" s="3" t="s">
        <v>914</v>
      </c>
      <c r="M206" s="3" t="s">
        <v>1134</v>
      </c>
      <c r="N206" s="3" t="s">
        <v>141</v>
      </c>
      <c r="O206" s="3" t="s">
        <v>664</v>
      </c>
      <c r="P206" s="154">
        <v>44945</v>
      </c>
      <c r="Q206" s="162">
        <v>3.306</v>
      </c>
      <c r="R206" s="172">
        <v>13917</v>
      </c>
      <c r="T206" s="153">
        <v>20679.016</v>
      </c>
      <c r="U206" s="164">
        <v>1.4899999999999999E-4</v>
      </c>
      <c r="V206" s="164">
        <v>5.4552273643833901E-2</v>
      </c>
      <c r="W206" s="164">
        <v>8.0920801723303893E-3</v>
      </c>
    </row>
    <row r="207" spans="1:23">
      <c r="A207" s="3">
        <v>424</v>
      </c>
      <c r="B207" s="3">
        <v>7228</v>
      </c>
      <c r="C207" s="3" t="s">
        <v>1093</v>
      </c>
      <c r="D207" s="3" t="s">
        <v>1094</v>
      </c>
      <c r="E207" s="5" t="s">
        <v>651</v>
      </c>
      <c r="F207" s="3" t="s">
        <v>1135</v>
      </c>
      <c r="G207" s="3" t="s">
        <v>1136</v>
      </c>
      <c r="H207" s="3" t="s">
        <v>137</v>
      </c>
      <c r="I207" s="3" t="s">
        <v>1070</v>
      </c>
      <c r="J207" s="3" t="s">
        <v>572</v>
      </c>
      <c r="K207" s="3" t="s">
        <v>224</v>
      </c>
      <c r="L207" s="3" t="s">
        <v>914</v>
      </c>
      <c r="M207" s="3" t="s">
        <v>1071</v>
      </c>
      <c r="N207" s="3" t="s">
        <v>141</v>
      </c>
      <c r="O207" s="3" t="s">
        <v>664</v>
      </c>
      <c r="P207" s="154">
        <v>29719</v>
      </c>
      <c r="Q207" s="162">
        <v>3.306</v>
      </c>
      <c r="R207" s="172">
        <v>15423</v>
      </c>
      <c r="T207" s="153">
        <v>15153.254000000001</v>
      </c>
      <c r="U207" s="164">
        <v>2.1499999999999999E-4</v>
      </c>
      <c r="V207" s="164">
        <v>3.9975038850673897E-2</v>
      </c>
      <c r="W207" s="164">
        <v>5.9297477018767399E-3</v>
      </c>
    </row>
    <row r="208" spans="1:23">
      <c r="A208" s="3">
        <v>424</v>
      </c>
      <c r="B208" s="3">
        <v>7228</v>
      </c>
      <c r="C208" s="3" t="s">
        <v>1066</v>
      </c>
      <c r="D208" s="3" t="s">
        <v>1067</v>
      </c>
      <c r="E208" s="5" t="s">
        <v>651</v>
      </c>
      <c r="F208" s="3" t="s">
        <v>1137</v>
      </c>
      <c r="G208" s="3" t="s">
        <v>1138</v>
      </c>
      <c r="H208" s="3" t="s">
        <v>137</v>
      </c>
      <c r="I208" s="3" t="s">
        <v>1070</v>
      </c>
      <c r="J208" s="3" t="s">
        <v>572</v>
      </c>
      <c r="K208" s="3" t="s">
        <v>566</v>
      </c>
      <c r="L208" s="3" t="s">
        <v>1139</v>
      </c>
      <c r="M208" s="3" t="s">
        <v>1140</v>
      </c>
      <c r="N208" s="3" t="s">
        <v>141</v>
      </c>
      <c r="O208" s="3" t="s">
        <v>1141</v>
      </c>
      <c r="P208" s="154">
        <v>832298</v>
      </c>
      <c r="Q208" s="162">
        <v>4.4409000000000001</v>
      </c>
      <c r="R208" s="172">
        <v>908.4</v>
      </c>
      <c r="T208" s="153">
        <v>33575.845999999998</v>
      </c>
      <c r="U208" s="164">
        <v>1.343E-3</v>
      </c>
      <c r="V208" s="164">
        <v>8.8574756101823804E-2</v>
      </c>
      <c r="W208" s="164">
        <v>1.31388479296057E-2</v>
      </c>
    </row>
    <row r="209" spans="1:23">
      <c r="A209" s="3">
        <v>424</v>
      </c>
      <c r="B209" s="3">
        <v>7228</v>
      </c>
      <c r="C209" s="3" t="s">
        <v>1066</v>
      </c>
      <c r="D209" s="3" t="s">
        <v>1067</v>
      </c>
      <c r="E209" s="5" t="s">
        <v>651</v>
      </c>
      <c r="F209" s="3" t="s">
        <v>1142</v>
      </c>
      <c r="G209" s="3" t="s">
        <v>1143</v>
      </c>
      <c r="H209" s="3" t="s">
        <v>137</v>
      </c>
      <c r="I209" s="3" t="s">
        <v>1070</v>
      </c>
      <c r="J209" s="3" t="s">
        <v>572</v>
      </c>
      <c r="K209" s="3" t="s">
        <v>1000</v>
      </c>
      <c r="L209" s="3" t="s">
        <v>914</v>
      </c>
      <c r="M209" s="3" t="s">
        <v>1144</v>
      </c>
      <c r="N209" s="3" t="s">
        <v>141</v>
      </c>
      <c r="O209" s="3" t="s">
        <v>664</v>
      </c>
      <c r="P209" s="154">
        <v>189493</v>
      </c>
      <c r="Q209" s="162">
        <v>3.306</v>
      </c>
      <c r="R209" s="172">
        <v>4114</v>
      </c>
      <c r="T209" s="153">
        <v>25772.723000000002</v>
      </c>
      <c r="U209" s="164">
        <v>1.111E-3</v>
      </c>
      <c r="V209" s="164">
        <v>6.7989727847656403E-2</v>
      </c>
      <c r="W209" s="164">
        <v>1.00853418544975E-2</v>
      </c>
    </row>
    <row r="210" spans="1:23">
      <c r="A210" s="3">
        <v>424</v>
      </c>
      <c r="B210" s="3">
        <v>7228</v>
      </c>
      <c r="C210" s="3" t="s">
        <v>1066</v>
      </c>
      <c r="D210" s="3" t="s">
        <v>1067</v>
      </c>
      <c r="E210" s="5" t="s">
        <v>651</v>
      </c>
      <c r="F210" s="3" t="s">
        <v>1145</v>
      </c>
      <c r="G210" s="3" t="s">
        <v>1146</v>
      </c>
      <c r="H210" s="3" t="s">
        <v>137</v>
      </c>
      <c r="I210" s="3" t="s">
        <v>1147</v>
      </c>
      <c r="J210" s="3" t="s">
        <v>572</v>
      </c>
      <c r="K210" s="3" t="s">
        <v>1148</v>
      </c>
      <c r="L210" s="3" t="s">
        <v>1139</v>
      </c>
      <c r="M210" s="3" t="s">
        <v>1108</v>
      </c>
      <c r="N210" s="3" t="s">
        <v>141</v>
      </c>
      <c r="O210" s="3" t="s">
        <v>664</v>
      </c>
      <c r="P210" s="154">
        <v>519103</v>
      </c>
      <c r="Q210" s="162">
        <v>3.306</v>
      </c>
      <c r="R210" s="172">
        <v>661.1</v>
      </c>
      <c r="T210" s="153">
        <v>11345.498</v>
      </c>
      <c r="U210" s="164">
        <v>0</v>
      </c>
      <c r="V210" s="164">
        <v>2.9929987803136299E-2</v>
      </c>
      <c r="W210" s="164">
        <v>4.4397024116927001E-3</v>
      </c>
    </row>
    <row r="211" spans="1:23">
      <c r="A211" s="3">
        <v>424</v>
      </c>
      <c r="B211" s="3">
        <v>7228</v>
      </c>
      <c r="C211" s="3" t="s">
        <v>1066</v>
      </c>
      <c r="D211" s="3" t="s">
        <v>1067</v>
      </c>
      <c r="E211" s="5" t="s">
        <v>651</v>
      </c>
      <c r="F211" s="3" t="s">
        <v>1149</v>
      </c>
      <c r="G211" s="3" t="s">
        <v>1150</v>
      </c>
      <c r="H211" s="3" t="s">
        <v>137</v>
      </c>
      <c r="I211" s="3" t="s">
        <v>1070</v>
      </c>
      <c r="J211" s="3" t="s">
        <v>572</v>
      </c>
      <c r="K211" s="3" t="s">
        <v>224</v>
      </c>
      <c r="L211" s="3" t="s">
        <v>894</v>
      </c>
      <c r="M211" s="3" t="s">
        <v>1108</v>
      </c>
      <c r="N211" s="3" t="s">
        <v>141</v>
      </c>
      <c r="O211" s="3" t="s">
        <v>664</v>
      </c>
      <c r="P211" s="154">
        <v>39623</v>
      </c>
      <c r="Q211" s="162">
        <v>3.306</v>
      </c>
      <c r="R211" s="172">
        <v>6751</v>
      </c>
      <c r="T211" s="153">
        <v>8843.3809999999994</v>
      </c>
      <c r="U211" s="164">
        <v>0</v>
      </c>
      <c r="V211" s="164">
        <v>2.3329278430782901E-2</v>
      </c>
      <c r="W211" s="164">
        <v>3.4605778790642899E-3</v>
      </c>
    </row>
    <row r="212" spans="1:23">
      <c r="A212" s="3">
        <v>424</v>
      </c>
      <c r="B212" s="3">
        <v>7228</v>
      </c>
      <c r="C212" s="3" t="s">
        <v>1066</v>
      </c>
      <c r="D212" s="3" t="s">
        <v>1067</v>
      </c>
      <c r="E212" s="5" t="s">
        <v>651</v>
      </c>
      <c r="F212" s="3" t="s">
        <v>1151</v>
      </c>
      <c r="G212" s="3" t="s">
        <v>1152</v>
      </c>
      <c r="H212" s="3" t="s">
        <v>137</v>
      </c>
      <c r="I212" s="3" t="s">
        <v>1070</v>
      </c>
      <c r="J212" s="3" t="s">
        <v>572</v>
      </c>
      <c r="K212" s="3" t="s">
        <v>1120</v>
      </c>
      <c r="L212" s="3" t="s">
        <v>1153</v>
      </c>
      <c r="M212" s="3" t="s">
        <v>1111</v>
      </c>
      <c r="N212" s="3" t="s">
        <v>141</v>
      </c>
      <c r="O212" s="3" t="s">
        <v>576</v>
      </c>
      <c r="P212" s="154">
        <v>21447</v>
      </c>
      <c r="Q212" s="162">
        <v>3.8807</v>
      </c>
      <c r="R212" s="172">
        <v>10690</v>
      </c>
      <c r="T212" s="153">
        <v>8897.2199999999993</v>
      </c>
      <c r="U212" s="164">
        <v>4.3039999999999997E-3</v>
      </c>
      <c r="V212" s="164">
        <v>2.3471309613398401E-2</v>
      </c>
      <c r="W212" s="164">
        <v>3.4816462533029001E-3</v>
      </c>
    </row>
    <row r="213" spans="1:23">
      <c r="A213" s="3">
        <v>424</v>
      </c>
      <c r="B213" s="3">
        <v>7228</v>
      </c>
      <c r="C213" s="3" t="s">
        <v>1154</v>
      </c>
      <c r="D213" s="3" t="s">
        <v>1102</v>
      </c>
      <c r="E213" s="5" t="s">
        <v>651</v>
      </c>
      <c r="F213" s="3" t="s">
        <v>1158</v>
      </c>
      <c r="G213" s="3" t="s">
        <v>1159</v>
      </c>
      <c r="H213" s="3" t="s">
        <v>137</v>
      </c>
      <c r="I213" s="3" t="s">
        <v>1070</v>
      </c>
      <c r="J213" s="3" t="s">
        <v>572</v>
      </c>
      <c r="K213" s="3" t="s">
        <v>1063</v>
      </c>
      <c r="L213" s="3" t="s">
        <v>1157</v>
      </c>
      <c r="M213" s="3" t="s">
        <v>1111</v>
      </c>
      <c r="N213" s="3" t="s">
        <v>141</v>
      </c>
      <c r="O213" s="3" t="s">
        <v>576</v>
      </c>
      <c r="P213" s="154">
        <v>5533</v>
      </c>
      <c r="Q213" s="162">
        <v>3.8807</v>
      </c>
      <c r="R213" s="172">
        <v>13635.6</v>
      </c>
      <c r="T213" s="153">
        <v>2927.8240000000001</v>
      </c>
      <c r="U213" s="164">
        <v>1.7240000000000001E-3</v>
      </c>
      <c r="V213" s="164">
        <v>7.7237460881706696E-3</v>
      </c>
      <c r="W213" s="164">
        <v>1.1457115973619E-3</v>
      </c>
    </row>
    <row r="214" spans="1:23">
      <c r="A214" s="3">
        <v>424</v>
      </c>
      <c r="B214" s="3">
        <v>7228</v>
      </c>
      <c r="C214" s="3" t="s">
        <v>1093</v>
      </c>
      <c r="D214" s="3" t="s">
        <v>1094</v>
      </c>
      <c r="E214" s="5" t="s">
        <v>651</v>
      </c>
      <c r="F214" s="3" t="s">
        <v>1160</v>
      </c>
      <c r="G214" s="3" t="s">
        <v>1161</v>
      </c>
      <c r="H214" s="3" t="s">
        <v>137</v>
      </c>
      <c r="I214" s="3" t="s">
        <v>1070</v>
      </c>
      <c r="J214" s="3" t="s">
        <v>572</v>
      </c>
      <c r="K214" s="3" t="s">
        <v>224</v>
      </c>
      <c r="L214" s="3" t="s">
        <v>914</v>
      </c>
      <c r="M214" s="3" t="s">
        <v>1071</v>
      </c>
      <c r="N214" s="3" t="s">
        <v>141</v>
      </c>
      <c r="O214" s="3" t="s">
        <v>664</v>
      </c>
      <c r="P214" s="154">
        <v>25118</v>
      </c>
      <c r="Q214" s="162">
        <v>3.306</v>
      </c>
      <c r="R214" s="172">
        <v>8962</v>
      </c>
      <c r="T214" s="153">
        <v>7442.0540000000001</v>
      </c>
      <c r="U214" s="164">
        <v>3.2299999999999999E-4</v>
      </c>
      <c r="V214" s="164">
        <v>1.96325105551684E-2</v>
      </c>
      <c r="W214" s="164">
        <v>2.91221316335551E-3</v>
      </c>
    </row>
    <row r="215" spans="1:23">
      <c r="A215" s="3">
        <v>424</v>
      </c>
      <c r="B215" s="3">
        <v>7228</v>
      </c>
      <c r="C215" s="3" t="s">
        <v>1093</v>
      </c>
      <c r="D215" s="3" t="s">
        <v>1094</v>
      </c>
      <c r="E215" s="5" t="s">
        <v>651</v>
      </c>
      <c r="F215" s="3" t="s">
        <v>1166</v>
      </c>
      <c r="G215" s="3" t="s">
        <v>1167</v>
      </c>
      <c r="H215" s="3" t="s">
        <v>137</v>
      </c>
      <c r="I215" s="3" t="s">
        <v>1070</v>
      </c>
      <c r="J215" s="3" t="s">
        <v>572</v>
      </c>
      <c r="K215" s="3" t="s">
        <v>224</v>
      </c>
      <c r="L215" s="3" t="s">
        <v>914</v>
      </c>
      <c r="M215" s="3" t="s">
        <v>1071</v>
      </c>
      <c r="N215" s="3" t="s">
        <v>141</v>
      </c>
      <c r="O215" s="3" t="s">
        <v>664</v>
      </c>
      <c r="P215" s="154">
        <v>25462</v>
      </c>
      <c r="Q215" s="162">
        <v>3.306</v>
      </c>
      <c r="R215" s="172">
        <v>8934</v>
      </c>
      <c r="T215" s="153">
        <v>7520.4059999999999</v>
      </c>
      <c r="U215" s="164">
        <v>5.5000000000000002E-5</v>
      </c>
      <c r="V215" s="164">
        <v>1.9839206865369101E-2</v>
      </c>
      <c r="W215" s="164">
        <v>2.9428737206842501E-3</v>
      </c>
    </row>
    <row r="216" spans="1:23">
      <c r="A216" s="3">
        <v>424</v>
      </c>
      <c r="B216" s="3">
        <v>7228</v>
      </c>
      <c r="C216" s="3" t="s">
        <v>1097</v>
      </c>
      <c r="D216" s="3" t="s">
        <v>1098</v>
      </c>
      <c r="E216" s="5" t="s">
        <v>651</v>
      </c>
      <c r="F216" s="3" t="s">
        <v>1168</v>
      </c>
      <c r="G216" s="3" t="s">
        <v>1169</v>
      </c>
      <c r="H216" s="3" t="s">
        <v>137</v>
      </c>
      <c r="I216" s="3" t="s">
        <v>1070</v>
      </c>
      <c r="J216" s="3" t="s">
        <v>572</v>
      </c>
      <c r="K216" s="3" t="s">
        <v>224</v>
      </c>
      <c r="L216" s="3" t="s">
        <v>894</v>
      </c>
      <c r="M216" s="3" t="s">
        <v>1090</v>
      </c>
      <c r="N216" s="3" t="s">
        <v>141</v>
      </c>
      <c r="O216" s="3" t="s">
        <v>664</v>
      </c>
      <c r="P216" s="154">
        <v>13116</v>
      </c>
      <c r="Q216" s="162">
        <v>3.306</v>
      </c>
      <c r="R216" s="172">
        <v>60037</v>
      </c>
      <c r="S216" s="153">
        <v>6.7750000000000004</v>
      </c>
      <c r="T216" s="153">
        <v>26055.339</v>
      </c>
      <c r="U216" s="164">
        <v>2.4000000000000001E-5</v>
      </c>
      <c r="V216" s="164">
        <v>6.8735281950277796E-2</v>
      </c>
      <c r="W216" s="164">
        <v>1.019593456069E-2</v>
      </c>
    </row>
    <row r="217" spans="1:23">
      <c r="A217" s="3">
        <v>424</v>
      </c>
      <c r="B217" s="3">
        <v>7228</v>
      </c>
      <c r="C217" s="3" t="s">
        <v>1093</v>
      </c>
      <c r="D217" s="3" t="s">
        <v>1094</v>
      </c>
      <c r="E217" s="5" t="s">
        <v>651</v>
      </c>
      <c r="F217" s="3" t="s">
        <v>1170</v>
      </c>
      <c r="G217" s="3" t="s">
        <v>1171</v>
      </c>
      <c r="H217" s="3" t="s">
        <v>137</v>
      </c>
      <c r="I217" s="3" t="s">
        <v>1070</v>
      </c>
      <c r="J217" s="3" t="s">
        <v>572</v>
      </c>
      <c r="K217" s="3" t="s">
        <v>224</v>
      </c>
      <c r="L217" s="3" t="s">
        <v>914</v>
      </c>
      <c r="M217" s="3" t="s">
        <v>1172</v>
      </c>
      <c r="N217" s="3" t="s">
        <v>141</v>
      </c>
      <c r="O217" s="3" t="s">
        <v>664</v>
      </c>
      <c r="P217" s="154">
        <v>36972</v>
      </c>
      <c r="Q217" s="162">
        <v>3.306</v>
      </c>
      <c r="R217" s="172">
        <v>4213</v>
      </c>
      <c r="T217" s="153">
        <v>5149.5259999999998</v>
      </c>
      <c r="U217" s="164">
        <v>6.02E-4</v>
      </c>
      <c r="V217" s="164">
        <v>1.3584706111612299E-2</v>
      </c>
      <c r="W217" s="164">
        <v>2.0151044792454599E-3</v>
      </c>
    </row>
    <row r="218" spans="1:23">
      <c r="A218" s="3">
        <v>424</v>
      </c>
      <c r="B218" s="3">
        <v>7228</v>
      </c>
      <c r="C218" s="3" t="s">
        <v>1097</v>
      </c>
      <c r="D218" s="3" t="s">
        <v>1098</v>
      </c>
      <c r="E218" s="5" t="s">
        <v>651</v>
      </c>
      <c r="F218" s="3" t="s">
        <v>1228</v>
      </c>
      <c r="G218" s="3" t="s">
        <v>1229</v>
      </c>
      <c r="H218" s="3" t="s">
        <v>137</v>
      </c>
      <c r="I218" s="3" t="s">
        <v>1070</v>
      </c>
      <c r="J218" s="3" t="s">
        <v>572</v>
      </c>
      <c r="K218" s="3" t="s">
        <v>224</v>
      </c>
      <c r="L218" s="3" t="s">
        <v>1139</v>
      </c>
      <c r="M218" s="3" t="s">
        <v>1206</v>
      </c>
      <c r="N218" s="3" t="s">
        <v>141</v>
      </c>
      <c r="O218" s="3" t="s">
        <v>664</v>
      </c>
      <c r="P218" s="154">
        <v>192</v>
      </c>
      <c r="Q218" s="162">
        <v>3.306</v>
      </c>
      <c r="R218" s="172">
        <v>132232</v>
      </c>
      <c r="T218" s="153">
        <v>839.34500000000003</v>
      </c>
      <c r="U218" s="164">
        <v>3.8000000000000002E-5</v>
      </c>
      <c r="V218" s="164">
        <v>2.2142346329313898E-3</v>
      </c>
      <c r="W218" s="164">
        <v>3.2845128118792202E-4</v>
      </c>
    </row>
    <row r="219" spans="1:23">
      <c r="A219" s="3">
        <v>424</v>
      </c>
      <c r="B219" s="3">
        <v>7228</v>
      </c>
      <c r="C219" s="3" t="s">
        <v>1093</v>
      </c>
      <c r="D219" s="3" t="s">
        <v>1094</v>
      </c>
      <c r="E219" s="5" t="s">
        <v>651</v>
      </c>
      <c r="F219" s="3" t="s">
        <v>1178</v>
      </c>
      <c r="G219" s="3" t="s">
        <v>1179</v>
      </c>
      <c r="H219" s="3" t="s">
        <v>137</v>
      </c>
      <c r="I219" s="3" t="s">
        <v>1070</v>
      </c>
      <c r="J219" s="3" t="s">
        <v>572</v>
      </c>
      <c r="K219" s="3" t="s">
        <v>224</v>
      </c>
      <c r="L219" s="3" t="s">
        <v>914</v>
      </c>
      <c r="M219" s="3" t="s">
        <v>1071</v>
      </c>
      <c r="N219" s="3" t="s">
        <v>141</v>
      </c>
      <c r="O219" s="3" t="s">
        <v>664</v>
      </c>
      <c r="P219" s="154">
        <v>20690</v>
      </c>
      <c r="Q219" s="162">
        <v>3.306</v>
      </c>
      <c r="R219" s="172">
        <v>15285</v>
      </c>
      <c r="T219" s="153">
        <v>10455.114</v>
      </c>
      <c r="U219" s="164">
        <v>0</v>
      </c>
      <c r="V219" s="164">
        <v>2.75811123701513E-2</v>
      </c>
      <c r="W219" s="164">
        <v>4.0912790179652801E-3</v>
      </c>
    </row>
    <row r="220" spans="1:23">
      <c r="A220" s="3">
        <v>424</v>
      </c>
      <c r="B220" s="3">
        <v>7228</v>
      </c>
      <c r="C220" s="3" t="s">
        <v>1180</v>
      </c>
      <c r="D220" s="3" t="s">
        <v>1181</v>
      </c>
      <c r="E220" s="5" t="s">
        <v>651</v>
      </c>
      <c r="F220" s="3" t="s">
        <v>1182</v>
      </c>
      <c r="G220" s="3" t="s">
        <v>1183</v>
      </c>
      <c r="H220" s="3" t="s">
        <v>137</v>
      </c>
      <c r="I220" s="3" t="s">
        <v>1070</v>
      </c>
      <c r="J220" s="3" t="s">
        <v>572</v>
      </c>
      <c r="K220" s="3" t="s">
        <v>224</v>
      </c>
      <c r="L220" s="3" t="s">
        <v>1139</v>
      </c>
      <c r="M220" s="3" t="s">
        <v>1071</v>
      </c>
      <c r="N220" s="3" t="s">
        <v>141</v>
      </c>
      <c r="O220" s="3" t="s">
        <v>664</v>
      </c>
      <c r="P220" s="154">
        <v>36286</v>
      </c>
      <c r="Q220" s="162">
        <v>3.306</v>
      </c>
      <c r="R220" s="172">
        <v>6492</v>
      </c>
      <c r="T220" s="153">
        <v>7787.902</v>
      </c>
      <c r="U220" s="164">
        <v>0</v>
      </c>
      <c r="V220" s="164">
        <v>2.05448725435157E-2</v>
      </c>
      <c r="W220" s="164">
        <v>3.0475495272272602E-3</v>
      </c>
    </row>
    <row r="221" spans="1:23">
      <c r="A221" s="3">
        <v>424</v>
      </c>
      <c r="B221" s="3">
        <v>7228</v>
      </c>
      <c r="C221" s="3" t="s">
        <v>1184</v>
      </c>
      <c r="D221" s="3" t="s">
        <v>1185</v>
      </c>
      <c r="E221" s="5" t="s">
        <v>651</v>
      </c>
      <c r="F221" s="3" t="s">
        <v>1186</v>
      </c>
      <c r="G221" s="3" t="s">
        <v>1187</v>
      </c>
      <c r="H221" s="3" t="s">
        <v>137</v>
      </c>
      <c r="I221" s="3" t="s">
        <v>1070</v>
      </c>
      <c r="J221" s="3" t="s">
        <v>572</v>
      </c>
      <c r="K221" s="3" t="s">
        <v>224</v>
      </c>
      <c r="L221" s="3" t="s">
        <v>914</v>
      </c>
      <c r="M221" s="3" t="s">
        <v>1071</v>
      </c>
      <c r="N221" s="3" t="s">
        <v>141</v>
      </c>
      <c r="O221" s="3" t="s">
        <v>664</v>
      </c>
      <c r="P221" s="154">
        <v>4400</v>
      </c>
      <c r="Q221" s="162">
        <v>3.306</v>
      </c>
      <c r="R221" s="172">
        <v>11038</v>
      </c>
      <c r="T221" s="153">
        <v>1605.6320000000001</v>
      </c>
      <c r="U221" s="164">
        <v>5.5199999999999997E-4</v>
      </c>
      <c r="V221" s="164">
        <v>4.2357362542926897E-3</v>
      </c>
      <c r="W221" s="164">
        <v>6.2831326852418295E-4</v>
      </c>
    </row>
    <row r="222" spans="1:23">
      <c r="A222" s="3">
        <v>424</v>
      </c>
      <c r="B222" s="3">
        <v>7228</v>
      </c>
      <c r="C222" s="3" t="s">
        <v>1188</v>
      </c>
      <c r="D222" s="3" t="s">
        <v>1189</v>
      </c>
      <c r="E222" s="5" t="s">
        <v>651</v>
      </c>
      <c r="F222" s="3" t="s">
        <v>1190</v>
      </c>
      <c r="G222" s="3" t="s">
        <v>1191</v>
      </c>
      <c r="H222" s="3" t="s">
        <v>137</v>
      </c>
      <c r="I222" s="3" t="s">
        <v>1070</v>
      </c>
      <c r="J222" s="3" t="s">
        <v>572</v>
      </c>
      <c r="K222" s="3" t="s">
        <v>1192</v>
      </c>
      <c r="L222" s="3" t="s">
        <v>914</v>
      </c>
      <c r="M222" s="3" t="s">
        <v>1071</v>
      </c>
      <c r="N222" s="3" t="s">
        <v>141</v>
      </c>
      <c r="O222" s="3" t="s">
        <v>664</v>
      </c>
      <c r="P222" s="154">
        <v>109259</v>
      </c>
      <c r="Q222" s="162">
        <v>3.306</v>
      </c>
      <c r="R222" s="172">
        <v>4420</v>
      </c>
      <c r="T222" s="153">
        <v>15965.493</v>
      </c>
      <c r="U222" s="164">
        <v>4.9659999999999999E-3</v>
      </c>
      <c r="V222" s="164">
        <v>4.2117766697324997E-2</v>
      </c>
      <c r="W222" s="164">
        <v>6.2475919339208801E-3</v>
      </c>
    </row>
    <row r="223" spans="1:23">
      <c r="A223" s="3">
        <v>424</v>
      </c>
      <c r="B223" s="3">
        <v>7229</v>
      </c>
      <c r="C223" s="3" t="s">
        <v>1066</v>
      </c>
      <c r="D223" s="3" t="s">
        <v>1067</v>
      </c>
      <c r="E223" s="5" t="s">
        <v>651</v>
      </c>
      <c r="F223" s="3" t="s">
        <v>1068</v>
      </c>
      <c r="G223" s="3" t="s">
        <v>1069</v>
      </c>
      <c r="H223" s="3" t="s">
        <v>137</v>
      </c>
      <c r="I223" s="3" t="s">
        <v>1070</v>
      </c>
      <c r="J223" s="3" t="s">
        <v>572</v>
      </c>
      <c r="K223" s="3" t="s">
        <v>224</v>
      </c>
      <c r="L223" s="3" t="s">
        <v>914</v>
      </c>
      <c r="M223" s="3" t="s">
        <v>1071</v>
      </c>
      <c r="N223" s="3" t="s">
        <v>141</v>
      </c>
      <c r="O223" s="3" t="s">
        <v>664</v>
      </c>
      <c r="P223" s="154">
        <v>1244</v>
      </c>
      <c r="Q223" s="162">
        <v>3.306</v>
      </c>
      <c r="R223" s="172">
        <v>10725</v>
      </c>
      <c r="T223" s="153">
        <v>441.08300000000003</v>
      </c>
      <c r="U223" s="164">
        <v>3.4E-5</v>
      </c>
      <c r="V223" s="164">
        <v>1.9459940642913998E-2</v>
      </c>
      <c r="W223" s="164">
        <v>2.9069952807310698E-3</v>
      </c>
    </row>
    <row r="224" spans="1:23">
      <c r="A224" s="3">
        <v>424</v>
      </c>
      <c r="B224" s="3">
        <v>7229</v>
      </c>
      <c r="C224" s="3" t="s">
        <v>1072</v>
      </c>
      <c r="D224" s="3" t="s">
        <v>1073</v>
      </c>
      <c r="E224" s="5" t="s">
        <v>134</v>
      </c>
      <c r="F224" s="3" t="s">
        <v>1257</v>
      </c>
      <c r="G224" s="3" t="s">
        <v>1258</v>
      </c>
      <c r="H224" s="3" t="s">
        <v>137</v>
      </c>
      <c r="I224" s="3" t="s">
        <v>1070</v>
      </c>
      <c r="J224" s="3" t="s">
        <v>30</v>
      </c>
      <c r="K224" s="3" t="s">
        <v>224</v>
      </c>
      <c r="L224" s="3" t="s">
        <v>31</v>
      </c>
      <c r="M224" s="3" t="s">
        <v>1206</v>
      </c>
      <c r="N224" s="3" t="s">
        <v>141</v>
      </c>
      <c r="O224" s="3" t="s">
        <v>34</v>
      </c>
      <c r="P224" s="154">
        <v>4602</v>
      </c>
      <c r="Q224" s="162">
        <v>1</v>
      </c>
      <c r="R224" s="172">
        <v>9467</v>
      </c>
      <c r="T224" s="153">
        <v>435.67099999999999</v>
      </c>
      <c r="U224" s="164">
        <v>5.3000000000000001E-5</v>
      </c>
      <c r="V224" s="164">
        <v>1.9221176746523901E-2</v>
      </c>
      <c r="W224" s="164">
        <v>2.8713278790287E-3</v>
      </c>
    </row>
    <row r="225" spans="1:23">
      <c r="A225" s="3">
        <v>424</v>
      </c>
      <c r="B225" s="3">
        <v>7229</v>
      </c>
      <c r="C225" s="3" t="s">
        <v>1072</v>
      </c>
      <c r="D225" s="3" t="s">
        <v>1073</v>
      </c>
      <c r="E225" s="5" t="s">
        <v>134</v>
      </c>
      <c r="F225" s="3" t="s">
        <v>1074</v>
      </c>
      <c r="G225" s="3" t="s">
        <v>1075</v>
      </c>
      <c r="H225" s="3" t="s">
        <v>137</v>
      </c>
      <c r="I225" s="3" t="s">
        <v>1076</v>
      </c>
      <c r="J225" s="3" t="s">
        <v>30</v>
      </c>
      <c r="K225" s="3" t="s">
        <v>30</v>
      </c>
      <c r="L225" s="3" t="s">
        <v>31</v>
      </c>
      <c r="M225" s="3" t="s">
        <v>1077</v>
      </c>
      <c r="N225" s="3" t="s">
        <v>141</v>
      </c>
      <c r="O225" s="3" t="s">
        <v>34</v>
      </c>
      <c r="P225" s="154">
        <v>18047</v>
      </c>
      <c r="Q225" s="162">
        <v>1</v>
      </c>
      <c r="R225" s="172">
        <v>4301</v>
      </c>
      <c r="T225" s="153">
        <v>776.20100000000002</v>
      </c>
      <c r="U225" s="164">
        <v>2.5799999999999998E-4</v>
      </c>
      <c r="V225" s="164">
        <v>3.4244863675865503E-2</v>
      </c>
      <c r="W225" s="164">
        <v>5.1156197709816198E-3</v>
      </c>
    </row>
    <row r="226" spans="1:23">
      <c r="A226" s="3">
        <v>424</v>
      </c>
      <c r="B226" s="3">
        <v>7229</v>
      </c>
      <c r="C226" s="3" t="s">
        <v>1072</v>
      </c>
      <c r="D226" s="3" t="s">
        <v>1073</v>
      </c>
      <c r="E226" s="5" t="s">
        <v>134</v>
      </c>
      <c r="F226" s="3" t="s">
        <v>1078</v>
      </c>
      <c r="G226" s="3" t="s">
        <v>1079</v>
      </c>
      <c r="H226" s="3" t="s">
        <v>137</v>
      </c>
      <c r="I226" s="3" t="s">
        <v>1076</v>
      </c>
      <c r="J226" s="3" t="s">
        <v>30</v>
      </c>
      <c r="K226" s="3" t="s">
        <v>30</v>
      </c>
      <c r="L226" s="3" t="s">
        <v>31</v>
      </c>
      <c r="M226" s="3" t="s">
        <v>1080</v>
      </c>
      <c r="N226" s="3" t="s">
        <v>141</v>
      </c>
      <c r="O226" s="3" t="s">
        <v>34</v>
      </c>
      <c r="P226" s="154">
        <v>4230</v>
      </c>
      <c r="Q226" s="162">
        <v>1</v>
      </c>
      <c r="R226" s="172">
        <v>4757</v>
      </c>
      <c r="T226" s="153">
        <v>201.221</v>
      </c>
      <c r="U226" s="164">
        <v>7.1000000000000005E-5</v>
      </c>
      <c r="V226" s="164">
        <v>8.8775780574181194E-3</v>
      </c>
      <c r="W226" s="164">
        <v>1.3261642463762301E-3</v>
      </c>
    </row>
    <row r="227" spans="1:23">
      <c r="A227" s="3">
        <v>424</v>
      </c>
      <c r="B227" s="3">
        <v>7229</v>
      </c>
      <c r="C227" s="3" t="s">
        <v>1072</v>
      </c>
      <c r="D227" s="3" t="s">
        <v>1073</v>
      </c>
      <c r="E227" s="5" t="s">
        <v>134</v>
      </c>
      <c r="F227" s="3" t="s">
        <v>1195</v>
      </c>
      <c r="G227" s="3" t="s">
        <v>1196</v>
      </c>
      <c r="H227" s="3" t="s">
        <v>137</v>
      </c>
      <c r="I227" s="3" t="s">
        <v>1197</v>
      </c>
      <c r="J227" s="3" t="s">
        <v>30</v>
      </c>
      <c r="K227" s="3" t="s">
        <v>30</v>
      </c>
      <c r="L227" s="3" t="s">
        <v>31</v>
      </c>
      <c r="M227" s="3" t="s">
        <v>1198</v>
      </c>
      <c r="N227" s="3" t="s">
        <v>141</v>
      </c>
      <c r="O227" s="3" t="s">
        <v>34</v>
      </c>
      <c r="P227" s="154">
        <v>60829</v>
      </c>
      <c r="Q227" s="162">
        <v>1</v>
      </c>
      <c r="R227" s="172">
        <v>499.28</v>
      </c>
      <c r="T227" s="153">
        <v>303.70699999999999</v>
      </c>
      <c r="U227" s="164">
        <v>2.9E-4</v>
      </c>
      <c r="V227" s="164">
        <v>1.3399106137799301E-2</v>
      </c>
      <c r="W227" s="164">
        <v>2.00160622395221E-3</v>
      </c>
    </row>
    <row r="228" spans="1:23">
      <c r="A228" s="3">
        <v>424</v>
      </c>
      <c r="B228" s="3">
        <v>7229</v>
      </c>
      <c r="C228" s="3" t="s">
        <v>1081</v>
      </c>
      <c r="D228" s="3" t="s">
        <v>1082</v>
      </c>
      <c r="E228" s="5" t="s">
        <v>134</v>
      </c>
      <c r="F228" s="3" t="s">
        <v>1248</v>
      </c>
      <c r="G228" s="3" t="s">
        <v>1249</v>
      </c>
      <c r="H228" s="3" t="s">
        <v>137</v>
      </c>
      <c r="I228" s="3" t="s">
        <v>1197</v>
      </c>
      <c r="J228" s="3" t="s">
        <v>30</v>
      </c>
      <c r="K228" s="3" t="s">
        <v>30</v>
      </c>
      <c r="L228" s="3" t="s">
        <v>31</v>
      </c>
      <c r="M228" s="3" t="s">
        <v>1245</v>
      </c>
      <c r="N228" s="3" t="s">
        <v>141</v>
      </c>
      <c r="O228" s="3" t="s">
        <v>34</v>
      </c>
      <c r="P228" s="154">
        <v>72108</v>
      </c>
      <c r="Q228" s="162">
        <v>1</v>
      </c>
      <c r="R228" s="172">
        <v>419.81</v>
      </c>
      <c r="T228" s="153">
        <v>302.71699999999998</v>
      </c>
      <c r="U228" s="164">
        <v>2.6400000000000002E-4</v>
      </c>
      <c r="V228" s="164">
        <v>1.3355409545086501E-2</v>
      </c>
      <c r="W228" s="164">
        <v>1.9950786712154898E-3</v>
      </c>
    </row>
    <row r="229" spans="1:23">
      <c r="A229" s="3">
        <v>424</v>
      </c>
      <c r="B229" s="3">
        <v>7229</v>
      </c>
      <c r="C229" s="3" t="s">
        <v>1081</v>
      </c>
      <c r="D229" s="3" t="s">
        <v>1082</v>
      </c>
      <c r="E229" s="5" t="s">
        <v>134</v>
      </c>
      <c r="F229" s="3" t="s">
        <v>1083</v>
      </c>
      <c r="G229" s="3" t="s">
        <v>1084</v>
      </c>
      <c r="H229" s="3" t="s">
        <v>137</v>
      </c>
      <c r="I229" s="3" t="s">
        <v>1076</v>
      </c>
      <c r="J229" s="3" t="s">
        <v>30</v>
      </c>
      <c r="K229" s="3" t="s">
        <v>30</v>
      </c>
      <c r="L229" s="3" t="s">
        <v>31</v>
      </c>
      <c r="M229" s="3" t="s">
        <v>1085</v>
      </c>
      <c r="N229" s="3" t="s">
        <v>141</v>
      </c>
      <c r="O229" s="3" t="s">
        <v>34</v>
      </c>
      <c r="P229" s="154">
        <v>9709</v>
      </c>
      <c r="Q229" s="162">
        <v>1</v>
      </c>
      <c r="R229" s="172">
        <v>3192</v>
      </c>
      <c r="T229" s="153">
        <v>309.911</v>
      </c>
      <c r="U229" s="164">
        <v>4.6999999999999997E-5</v>
      </c>
      <c r="V229" s="164">
        <v>1.3672828441323301E-2</v>
      </c>
      <c r="W229" s="164">
        <v>2.04249583709011E-3</v>
      </c>
    </row>
    <row r="230" spans="1:23">
      <c r="A230" s="3">
        <v>424</v>
      </c>
      <c r="B230" s="3">
        <v>7229</v>
      </c>
      <c r="C230" s="3" t="s">
        <v>1086</v>
      </c>
      <c r="D230" s="3" t="s">
        <v>1087</v>
      </c>
      <c r="E230" s="5" t="s">
        <v>134</v>
      </c>
      <c r="F230" s="3" t="s">
        <v>1088</v>
      </c>
      <c r="G230" s="3" t="s">
        <v>1089</v>
      </c>
      <c r="H230" s="3" t="s">
        <v>137</v>
      </c>
      <c r="I230" s="3" t="s">
        <v>1070</v>
      </c>
      <c r="J230" s="3" t="s">
        <v>30</v>
      </c>
      <c r="K230" s="3" t="s">
        <v>224</v>
      </c>
      <c r="L230" s="3" t="s">
        <v>31</v>
      </c>
      <c r="M230" s="3" t="s">
        <v>1090</v>
      </c>
      <c r="N230" s="3" t="s">
        <v>141</v>
      </c>
      <c r="O230" s="3" t="s">
        <v>34</v>
      </c>
      <c r="P230" s="154">
        <v>5045</v>
      </c>
      <c r="Q230" s="162">
        <v>1</v>
      </c>
      <c r="R230" s="172">
        <v>12290</v>
      </c>
      <c r="T230" s="153">
        <v>620.03</v>
      </c>
      <c r="U230" s="164">
        <v>5.31E-4</v>
      </c>
      <c r="V230" s="164">
        <v>2.7354830888659198E-2</v>
      </c>
      <c r="W230" s="164">
        <v>4.0863621198908798E-3</v>
      </c>
    </row>
    <row r="231" spans="1:23">
      <c r="A231" s="3">
        <v>424</v>
      </c>
      <c r="B231" s="3">
        <v>7229</v>
      </c>
      <c r="C231" s="3" t="s">
        <v>1072</v>
      </c>
      <c r="D231" s="3" t="s">
        <v>1073</v>
      </c>
      <c r="E231" s="5" t="s">
        <v>134</v>
      </c>
      <c r="F231" s="3" t="s">
        <v>1091</v>
      </c>
      <c r="G231" s="3" t="s">
        <v>1092</v>
      </c>
      <c r="H231" s="3" t="s">
        <v>137</v>
      </c>
      <c r="I231" s="3" t="s">
        <v>1070</v>
      </c>
      <c r="J231" s="3" t="s">
        <v>30</v>
      </c>
      <c r="K231" s="3" t="s">
        <v>224</v>
      </c>
      <c r="L231" s="3" t="s">
        <v>31</v>
      </c>
      <c r="M231" s="3" t="s">
        <v>1071</v>
      </c>
      <c r="N231" s="3" t="s">
        <v>141</v>
      </c>
      <c r="O231" s="3" t="s">
        <v>34</v>
      </c>
      <c r="P231" s="154">
        <v>9975</v>
      </c>
      <c r="Q231" s="162">
        <v>1</v>
      </c>
      <c r="R231" s="172">
        <v>3273</v>
      </c>
      <c r="T231" s="153">
        <v>326.48200000000003</v>
      </c>
      <c r="U231" s="164">
        <v>4.9899999999999999E-4</v>
      </c>
      <c r="V231" s="164">
        <v>1.44038931302307E-2</v>
      </c>
      <c r="W231" s="164">
        <v>2.1517048855430299E-3</v>
      </c>
    </row>
    <row r="232" spans="1:23">
      <c r="A232" s="3">
        <v>424</v>
      </c>
      <c r="B232" s="3">
        <v>7229</v>
      </c>
      <c r="C232" s="3" t="s">
        <v>1093</v>
      </c>
      <c r="D232" s="3" t="s">
        <v>1094</v>
      </c>
      <c r="E232" s="5" t="s">
        <v>651</v>
      </c>
      <c r="F232" s="3" t="s">
        <v>1095</v>
      </c>
      <c r="G232" s="3" t="s">
        <v>1096</v>
      </c>
      <c r="H232" s="3" t="s">
        <v>137</v>
      </c>
      <c r="I232" s="3" t="s">
        <v>1070</v>
      </c>
      <c r="J232" s="3" t="s">
        <v>572</v>
      </c>
      <c r="K232" s="3" t="s">
        <v>224</v>
      </c>
      <c r="L232" s="3" t="s">
        <v>914</v>
      </c>
      <c r="M232" s="3" t="s">
        <v>1071</v>
      </c>
      <c r="N232" s="3" t="s">
        <v>141</v>
      </c>
      <c r="O232" s="3" t="s">
        <v>664</v>
      </c>
      <c r="P232" s="154">
        <v>791</v>
      </c>
      <c r="Q232" s="162">
        <v>3.306</v>
      </c>
      <c r="R232" s="172">
        <v>8721</v>
      </c>
      <c r="T232" s="153">
        <v>228.05799999999999</v>
      </c>
      <c r="U232" s="164">
        <v>3.9999999999999998E-6</v>
      </c>
      <c r="V232" s="164">
        <v>1.0061589623394001E-2</v>
      </c>
      <c r="W232" s="164">
        <v>1.5030361134482501E-3</v>
      </c>
    </row>
    <row r="233" spans="1:23">
      <c r="A233" s="3">
        <v>424</v>
      </c>
      <c r="B233" s="3">
        <v>7229</v>
      </c>
      <c r="C233" s="3" t="s">
        <v>1097</v>
      </c>
      <c r="D233" s="3" t="s">
        <v>1098</v>
      </c>
      <c r="E233" s="5" t="s">
        <v>651</v>
      </c>
      <c r="F233" s="3" t="s">
        <v>1099</v>
      </c>
      <c r="G233" s="3" t="s">
        <v>1100</v>
      </c>
      <c r="H233" s="3" t="s">
        <v>137</v>
      </c>
      <c r="I233" s="3" t="s">
        <v>1070</v>
      </c>
      <c r="J233" s="3" t="s">
        <v>572</v>
      </c>
      <c r="K233" s="3" t="s">
        <v>224</v>
      </c>
      <c r="L233" s="3" t="s">
        <v>914</v>
      </c>
      <c r="M233" s="3" t="s">
        <v>1071</v>
      </c>
      <c r="N233" s="3" t="s">
        <v>141</v>
      </c>
      <c r="O233" s="3" t="s">
        <v>664</v>
      </c>
      <c r="P233" s="154">
        <v>620</v>
      </c>
      <c r="Q233" s="162">
        <v>3.306</v>
      </c>
      <c r="R233" s="172">
        <v>15545</v>
      </c>
      <c r="T233" s="153">
        <v>318.62900000000002</v>
      </c>
      <c r="U233" s="164">
        <v>3.1999999999999999E-5</v>
      </c>
      <c r="V233" s="164">
        <v>1.40574402388221E-2</v>
      </c>
      <c r="W233" s="164">
        <v>2.09995051800403E-3</v>
      </c>
    </row>
    <row r="234" spans="1:23">
      <c r="A234" s="3">
        <v>424</v>
      </c>
      <c r="B234" s="3">
        <v>7229</v>
      </c>
      <c r="C234" s="3" t="s">
        <v>1093</v>
      </c>
      <c r="D234" s="3" t="s">
        <v>1094</v>
      </c>
      <c r="E234" s="5" t="s">
        <v>651</v>
      </c>
      <c r="F234" s="3" t="s">
        <v>1114</v>
      </c>
      <c r="G234" s="3" t="s">
        <v>1115</v>
      </c>
      <c r="H234" s="3" t="s">
        <v>137</v>
      </c>
      <c r="I234" s="3" t="s">
        <v>1070</v>
      </c>
      <c r="J234" s="3" t="s">
        <v>572</v>
      </c>
      <c r="K234" s="3" t="s">
        <v>224</v>
      </c>
      <c r="L234" s="3" t="s">
        <v>914</v>
      </c>
      <c r="M234" s="3" t="s">
        <v>1071</v>
      </c>
      <c r="N234" s="3" t="s">
        <v>141</v>
      </c>
      <c r="O234" s="3" t="s">
        <v>664</v>
      </c>
      <c r="P234" s="154">
        <v>187</v>
      </c>
      <c r="Q234" s="162">
        <v>3.306</v>
      </c>
      <c r="R234" s="172">
        <v>23964</v>
      </c>
      <c r="T234" s="153">
        <v>148.15100000000001</v>
      </c>
      <c r="U234" s="164">
        <v>1.9999999999999999E-6</v>
      </c>
      <c r="V234" s="164">
        <v>6.5361911935324004E-3</v>
      </c>
      <c r="W234" s="164">
        <v>9.7639953287696301E-4</v>
      </c>
    </row>
    <row r="235" spans="1:23">
      <c r="A235" s="3">
        <v>424</v>
      </c>
      <c r="B235" s="3">
        <v>7229</v>
      </c>
      <c r="C235" s="3" t="s">
        <v>1116</v>
      </c>
      <c r="D235" s="3" t="s">
        <v>1117</v>
      </c>
      <c r="E235" s="5" t="s">
        <v>651</v>
      </c>
      <c r="F235" s="3" t="s">
        <v>1118</v>
      </c>
      <c r="G235" s="3" t="s">
        <v>1119</v>
      </c>
      <c r="H235" s="3" t="s">
        <v>137</v>
      </c>
      <c r="I235" s="3" t="s">
        <v>1070</v>
      </c>
      <c r="J235" s="3" t="s">
        <v>572</v>
      </c>
      <c r="K235" s="3" t="s">
        <v>1120</v>
      </c>
      <c r="L235" s="3" t="s">
        <v>498</v>
      </c>
      <c r="M235" s="3" t="s">
        <v>1071</v>
      </c>
      <c r="N235" s="3" t="s">
        <v>141</v>
      </c>
      <c r="O235" s="3" t="s">
        <v>576</v>
      </c>
      <c r="P235" s="154">
        <v>4931</v>
      </c>
      <c r="Q235" s="162">
        <v>3.8807</v>
      </c>
      <c r="R235" s="172">
        <v>10084</v>
      </c>
      <c r="T235" s="153">
        <v>1929.6469999999999</v>
      </c>
      <c r="U235" s="164">
        <v>0</v>
      </c>
      <c r="V235" s="164">
        <v>8.5133186851737694E-2</v>
      </c>
      <c r="W235" s="164">
        <v>1.27174988327477E-2</v>
      </c>
    </row>
    <row r="236" spans="1:23">
      <c r="A236" s="3">
        <v>424</v>
      </c>
      <c r="B236" s="3">
        <v>7229</v>
      </c>
      <c r="C236" s="3" t="s">
        <v>1093</v>
      </c>
      <c r="D236" s="3" t="s">
        <v>1094</v>
      </c>
      <c r="E236" s="5" t="s">
        <v>651</v>
      </c>
      <c r="F236" s="3" t="s">
        <v>1121</v>
      </c>
      <c r="G236" s="3" t="s">
        <v>1122</v>
      </c>
      <c r="H236" s="3" t="s">
        <v>137</v>
      </c>
      <c r="I236" s="3" t="s">
        <v>1070</v>
      </c>
      <c r="J236" s="3" t="s">
        <v>572</v>
      </c>
      <c r="K236" s="3" t="s">
        <v>224</v>
      </c>
      <c r="L236" s="3" t="s">
        <v>914</v>
      </c>
      <c r="M236" s="3" t="s">
        <v>1123</v>
      </c>
      <c r="N236" s="3" t="s">
        <v>141</v>
      </c>
      <c r="O236" s="3" t="s">
        <v>664</v>
      </c>
      <c r="P236" s="154">
        <v>8093</v>
      </c>
      <c r="Q236" s="162">
        <v>3.306</v>
      </c>
      <c r="R236" s="172">
        <v>5387</v>
      </c>
      <c r="T236" s="153">
        <v>1441.317</v>
      </c>
      <c r="U236" s="164">
        <v>9.0000000000000002E-6</v>
      </c>
      <c r="V236" s="164">
        <v>6.3588758502886103E-2</v>
      </c>
      <c r="W236" s="164">
        <v>9.4991153502181E-3</v>
      </c>
    </row>
    <row r="237" spans="1:23">
      <c r="A237" s="3">
        <v>424</v>
      </c>
      <c r="B237" s="3">
        <v>7229</v>
      </c>
      <c r="C237" s="3" t="s">
        <v>1124</v>
      </c>
      <c r="D237" s="3" t="s">
        <v>1125</v>
      </c>
      <c r="E237" s="5" t="s">
        <v>651</v>
      </c>
      <c r="F237" s="3" t="s">
        <v>1126</v>
      </c>
      <c r="G237" s="3" t="s">
        <v>1127</v>
      </c>
      <c r="H237" s="3" t="s">
        <v>137</v>
      </c>
      <c r="I237" s="3" t="s">
        <v>1070</v>
      </c>
      <c r="J237" s="3" t="s">
        <v>572</v>
      </c>
      <c r="K237" s="3" t="s">
        <v>797</v>
      </c>
      <c r="L237" s="3" t="s">
        <v>894</v>
      </c>
      <c r="M237" s="3" t="s">
        <v>1090</v>
      </c>
      <c r="N237" s="3" t="s">
        <v>141</v>
      </c>
      <c r="O237" s="3" t="s">
        <v>664</v>
      </c>
      <c r="P237" s="154">
        <v>569</v>
      </c>
      <c r="Q237" s="162">
        <v>3.306</v>
      </c>
      <c r="R237" s="172">
        <v>15108</v>
      </c>
      <c r="T237" s="153">
        <v>284.19900000000001</v>
      </c>
      <c r="U237" s="164">
        <v>8.0000000000000007E-5</v>
      </c>
      <c r="V237" s="164">
        <v>1.25384274848155E-2</v>
      </c>
      <c r="W237" s="164">
        <v>1.87303497965291E-3</v>
      </c>
    </row>
    <row r="238" spans="1:23">
      <c r="A238" s="3">
        <v>424</v>
      </c>
      <c r="B238" s="3">
        <v>7229</v>
      </c>
      <c r="C238" s="3" t="s">
        <v>1093</v>
      </c>
      <c r="D238" s="3" t="s">
        <v>1094</v>
      </c>
      <c r="E238" s="5" t="s">
        <v>651</v>
      </c>
      <c r="F238" s="3" t="s">
        <v>1132</v>
      </c>
      <c r="G238" s="3" t="s">
        <v>1133</v>
      </c>
      <c r="H238" s="3" t="s">
        <v>137</v>
      </c>
      <c r="I238" s="3" t="s">
        <v>1070</v>
      </c>
      <c r="J238" s="3" t="s">
        <v>572</v>
      </c>
      <c r="K238" s="3" t="s">
        <v>224</v>
      </c>
      <c r="L238" s="3" t="s">
        <v>914</v>
      </c>
      <c r="M238" s="3" t="s">
        <v>1134</v>
      </c>
      <c r="N238" s="3" t="s">
        <v>141</v>
      </c>
      <c r="O238" s="3" t="s">
        <v>664</v>
      </c>
      <c r="P238" s="154">
        <v>902</v>
      </c>
      <c r="Q238" s="162">
        <v>3.306</v>
      </c>
      <c r="R238" s="172">
        <v>13917</v>
      </c>
      <c r="T238" s="153">
        <v>415.00700000000001</v>
      </c>
      <c r="U238" s="164">
        <v>3.0000000000000001E-6</v>
      </c>
      <c r="V238" s="164">
        <v>1.8309479348709402E-2</v>
      </c>
      <c r="W238" s="164">
        <v>2.7351352728160702E-3</v>
      </c>
    </row>
    <row r="239" spans="1:23">
      <c r="A239" s="3">
        <v>424</v>
      </c>
      <c r="B239" s="3">
        <v>7229</v>
      </c>
      <c r="C239" s="3" t="s">
        <v>1093</v>
      </c>
      <c r="D239" s="3" t="s">
        <v>1094</v>
      </c>
      <c r="E239" s="5" t="s">
        <v>651</v>
      </c>
      <c r="F239" s="3" t="s">
        <v>1135</v>
      </c>
      <c r="G239" s="3" t="s">
        <v>1136</v>
      </c>
      <c r="H239" s="3" t="s">
        <v>137</v>
      </c>
      <c r="I239" s="3" t="s">
        <v>1070</v>
      </c>
      <c r="J239" s="3" t="s">
        <v>572</v>
      </c>
      <c r="K239" s="3" t="s">
        <v>224</v>
      </c>
      <c r="L239" s="3" t="s">
        <v>914</v>
      </c>
      <c r="M239" s="3" t="s">
        <v>1071</v>
      </c>
      <c r="N239" s="3" t="s">
        <v>141</v>
      </c>
      <c r="O239" s="3" t="s">
        <v>664</v>
      </c>
      <c r="P239" s="154">
        <v>2984</v>
      </c>
      <c r="Q239" s="162">
        <v>3.306</v>
      </c>
      <c r="R239" s="172">
        <v>15423</v>
      </c>
      <c r="T239" s="153">
        <v>1521.4949999999999</v>
      </c>
      <c r="U239" s="164">
        <v>2.1999999999999999E-5</v>
      </c>
      <c r="V239" s="164">
        <v>6.7126114194711206E-2</v>
      </c>
      <c r="W239" s="164">
        <v>1.0027538149192401E-2</v>
      </c>
    </row>
    <row r="240" spans="1:23">
      <c r="A240" s="3">
        <v>424</v>
      </c>
      <c r="B240" s="3">
        <v>7229</v>
      </c>
      <c r="C240" s="3" t="s">
        <v>1066</v>
      </c>
      <c r="D240" s="3" t="s">
        <v>1067</v>
      </c>
      <c r="E240" s="5" t="s">
        <v>651</v>
      </c>
      <c r="F240" s="3" t="s">
        <v>1137</v>
      </c>
      <c r="G240" s="3" t="s">
        <v>1138</v>
      </c>
      <c r="H240" s="3" t="s">
        <v>137</v>
      </c>
      <c r="I240" s="3" t="s">
        <v>1070</v>
      </c>
      <c r="J240" s="3" t="s">
        <v>572</v>
      </c>
      <c r="K240" s="3" t="s">
        <v>566</v>
      </c>
      <c r="L240" s="3" t="s">
        <v>1139</v>
      </c>
      <c r="M240" s="3" t="s">
        <v>1140</v>
      </c>
      <c r="N240" s="3" t="s">
        <v>141</v>
      </c>
      <c r="O240" s="3" t="s">
        <v>1141</v>
      </c>
      <c r="P240" s="154">
        <v>28000</v>
      </c>
      <c r="Q240" s="162">
        <v>4.4409000000000001</v>
      </c>
      <c r="R240" s="172">
        <v>908.4</v>
      </c>
      <c r="T240" s="153">
        <v>1129.5519999999999</v>
      </c>
      <c r="U240" s="164">
        <v>4.5000000000000003E-5</v>
      </c>
      <c r="V240" s="164">
        <v>4.9834158773552503E-2</v>
      </c>
      <c r="W240" s="164">
        <v>7.4444042267246598E-3</v>
      </c>
    </row>
    <row r="241" spans="1:23">
      <c r="A241" s="3">
        <v>424</v>
      </c>
      <c r="B241" s="3">
        <v>7229</v>
      </c>
      <c r="C241" s="3" t="s">
        <v>1066</v>
      </c>
      <c r="D241" s="3" t="s">
        <v>1067</v>
      </c>
      <c r="E241" s="5" t="s">
        <v>651</v>
      </c>
      <c r="F241" s="3" t="s">
        <v>1142</v>
      </c>
      <c r="G241" s="3" t="s">
        <v>1143</v>
      </c>
      <c r="H241" s="3" t="s">
        <v>137</v>
      </c>
      <c r="I241" s="3" t="s">
        <v>1070</v>
      </c>
      <c r="J241" s="3" t="s">
        <v>572</v>
      </c>
      <c r="K241" s="3" t="s">
        <v>1000</v>
      </c>
      <c r="L241" s="3" t="s">
        <v>914</v>
      </c>
      <c r="M241" s="3" t="s">
        <v>1144</v>
      </c>
      <c r="N241" s="3" t="s">
        <v>141</v>
      </c>
      <c r="O241" s="3" t="s">
        <v>664</v>
      </c>
      <c r="P241" s="154">
        <v>6722</v>
      </c>
      <c r="Q241" s="162">
        <v>3.306</v>
      </c>
      <c r="R241" s="172">
        <v>4114</v>
      </c>
      <c r="T241" s="153">
        <v>914.25099999999998</v>
      </c>
      <c r="U241" s="164">
        <v>3.8999999999999999E-5</v>
      </c>
      <c r="V241" s="164">
        <v>4.0335423905205503E-2</v>
      </c>
      <c r="W241" s="164">
        <v>6.02544936237593E-3</v>
      </c>
    </row>
    <row r="242" spans="1:23">
      <c r="A242" s="3">
        <v>424</v>
      </c>
      <c r="B242" s="3">
        <v>7229</v>
      </c>
      <c r="C242" s="3" t="s">
        <v>1066</v>
      </c>
      <c r="D242" s="3" t="s">
        <v>1067</v>
      </c>
      <c r="E242" s="5" t="s">
        <v>651</v>
      </c>
      <c r="F242" s="3" t="s">
        <v>1145</v>
      </c>
      <c r="G242" s="3" t="s">
        <v>1146</v>
      </c>
      <c r="H242" s="3" t="s">
        <v>137</v>
      </c>
      <c r="I242" s="3" t="s">
        <v>1147</v>
      </c>
      <c r="J242" s="3" t="s">
        <v>572</v>
      </c>
      <c r="K242" s="3" t="s">
        <v>1148</v>
      </c>
      <c r="L242" s="3" t="s">
        <v>1139</v>
      </c>
      <c r="M242" s="3" t="s">
        <v>1108</v>
      </c>
      <c r="N242" s="3" t="s">
        <v>141</v>
      </c>
      <c r="O242" s="3" t="s">
        <v>664</v>
      </c>
      <c r="P242" s="154">
        <v>44989</v>
      </c>
      <c r="Q242" s="162">
        <v>3.306</v>
      </c>
      <c r="R242" s="172">
        <v>661.1</v>
      </c>
      <c r="T242" s="153">
        <v>983.27800000000002</v>
      </c>
      <c r="U242" s="164">
        <v>0</v>
      </c>
      <c r="V242" s="164">
        <v>4.3380777064887403E-2</v>
      </c>
      <c r="W242" s="164">
        <v>6.4803750697972496E-3</v>
      </c>
    </row>
    <row r="243" spans="1:23">
      <c r="A243" s="3">
        <v>424</v>
      </c>
      <c r="B243" s="3">
        <v>7229</v>
      </c>
      <c r="C243" s="3" t="s">
        <v>1066</v>
      </c>
      <c r="D243" s="3" t="s">
        <v>1067</v>
      </c>
      <c r="E243" s="5" t="s">
        <v>651</v>
      </c>
      <c r="F243" s="3" t="s">
        <v>1149</v>
      </c>
      <c r="G243" s="3" t="s">
        <v>1150</v>
      </c>
      <c r="H243" s="3" t="s">
        <v>137</v>
      </c>
      <c r="I243" s="3" t="s">
        <v>1070</v>
      </c>
      <c r="J243" s="3" t="s">
        <v>572</v>
      </c>
      <c r="K243" s="3" t="s">
        <v>224</v>
      </c>
      <c r="L243" s="3" t="s">
        <v>894</v>
      </c>
      <c r="M243" s="3" t="s">
        <v>1108</v>
      </c>
      <c r="N243" s="3" t="s">
        <v>141</v>
      </c>
      <c r="O243" s="3" t="s">
        <v>664</v>
      </c>
      <c r="P243" s="154">
        <v>943</v>
      </c>
      <c r="Q243" s="162">
        <v>3.306</v>
      </c>
      <c r="R243" s="172">
        <v>6751</v>
      </c>
      <c r="T243" s="153">
        <v>210.46600000000001</v>
      </c>
      <c r="U243" s="164">
        <v>0</v>
      </c>
      <c r="V243" s="164">
        <v>9.2854644317027207E-3</v>
      </c>
      <c r="W243" s="164">
        <v>1.38709576651175E-3</v>
      </c>
    </row>
    <row r="244" spans="1:23">
      <c r="A244" s="3">
        <v>424</v>
      </c>
      <c r="B244" s="3">
        <v>7229</v>
      </c>
      <c r="C244" s="3" t="s">
        <v>1066</v>
      </c>
      <c r="D244" s="3" t="s">
        <v>1067</v>
      </c>
      <c r="E244" s="5" t="s">
        <v>651</v>
      </c>
      <c r="F244" s="3" t="s">
        <v>1151</v>
      </c>
      <c r="G244" s="3" t="s">
        <v>1152</v>
      </c>
      <c r="H244" s="3" t="s">
        <v>137</v>
      </c>
      <c r="I244" s="3" t="s">
        <v>1070</v>
      </c>
      <c r="J244" s="3" t="s">
        <v>572</v>
      </c>
      <c r="K244" s="3" t="s">
        <v>1120</v>
      </c>
      <c r="L244" s="3" t="s">
        <v>1153</v>
      </c>
      <c r="M244" s="3" t="s">
        <v>1111</v>
      </c>
      <c r="N244" s="3" t="s">
        <v>141</v>
      </c>
      <c r="O244" s="3" t="s">
        <v>576</v>
      </c>
      <c r="P244" s="154">
        <v>654</v>
      </c>
      <c r="Q244" s="162">
        <v>3.8807</v>
      </c>
      <c r="R244" s="172">
        <v>10690</v>
      </c>
      <c r="T244" s="153">
        <v>271.31</v>
      </c>
      <c r="U244" s="164">
        <v>1.3100000000000001E-4</v>
      </c>
      <c r="V244" s="164">
        <v>1.1969789278257301E-2</v>
      </c>
      <c r="W244" s="164">
        <v>1.7880897779567399E-3</v>
      </c>
    </row>
    <row r="245" spans="1:23">
      <c r="A245" s="3">
        <v>424</v>
      </c>
      <c r="B245" s="3">
        <v>7229</v>
      </c>
      <c r="C245" s="3" t="s">
        <v>1154</v>
      </c>
      <c r="D245" s="3" t="s">
        <v>1102</v>
      </c>
      <c r="E245" s="5" t="s">
        <v>651</v>
      </c>
      <c r="F245" s="3" t="s">
        <v>1158</v>
      </c>
      <c r="G245" s="3" t="s">
        <v>1159</v>
      </c>
      <c r="H245" s="3" t="s">
        <v>137</v>
      </c>
      <c r="I245" s="3" t="s">
        <v>1070</v>
      </c>
      <c r="J245" s="3" t="s">
        <v>572</v>
      </c>
      <c r="K245" s="3" t="s">
        <v>1063</v>
      </c>
      <c r="L245" s="3" t="s">
        <v>1157</v>
      </c>
      <c r="M245" s="3" t="s">
        <v>1111</v>
      </c>
      <c r="N245" s="3" t="s">
        <v>141</v>
      </c>
      <c r="O245" s="3" t="s">
        <v>576</v>
      </c>
      <c r="P245" s="154">
        <v>562</v>
      </c>
      <c r="Q245" s="162">
        <v>3.8807</v>
      </c>
      <c r="R245" s="172">
        <v>13635.6</v>
      </c>
      <c r="T245" s="153">
        <v>297.38600000000002</v>
      </c>
      <c r="U245" s="164">
        <v>1.75E-4</v>
      </c>
      <c r="V245" s="164">
        <v>1.3120235176438001E-2</v>
      </c>
      <c r="W245" s="164">
        <v>1.9599474859588201E-3</v>
      </c>
    </row>
    <row r="246" spans="1:23">
      <c r="A246" s="3">
        <v>424</v>
      </c>
      <c r="B246" s="3">
        <v>7229</v>
      </c>
      <c r="C246" s="3" t="s">
        <v>1093</v>
      </c>
      <c r="D246" s="3" t="s">
        <v>1094</v>
      </c>
      <c r="E246" s="5" t="s">
        <v>651</v>
      </c>
      <c r="F246" s="3" t="s">
        <v>1160</v>
      </c>
      <c r="G246" s="3" t="s">
        <v>1161</v>
      </c>
      <c r="H246" s="3" t="s">
        <v>137</v>
      </c>
      <c r="I246" s="3" t="s">
        <v>1070</v>
      </c>
      <c r="J246" s="3" t="s">
        <v>572</v>
      </c>
      <c r="K246" s="3" t="s">
        <v>224</v>
      </c>
      <c r="L246" s="3" t="s">
        <v>914</v>
      </c>
      <c r="M246" s="3" t="s">
        <v>1071</v>
      </c>
      <c r="N246" s="3" t="s">
        <v>141</v>
      </c>
      <c r="O246" s="3" t="s">
        <v>664</v>
      </c>
      <c r="P246" s="154">
        <v>867</v>
      </c>
      <c r="Q246" s="162">
        <v>3.306</v>
      </c>
      <c r="R246" s="172">
        <v>8962</v>
      </c>
      <c r="T246" s="153">
        <v>256.87799999999999</v>
      </c>
      <c r="U246" s="164">
        <v>1.1E-5</v>
      </c>
      <c r="V246" s="164">
        <v>1.13330777199826E-2</v>
      </c>
      <c r="W246" s="164">
        <v>1.6929755363947799E-3</v>
      </c>
    </row>
    <row r="247" spans="1:23">
      <c r="A247" s="3">
        <v>424</v>
      </c>
      <c r="B247" s="3">
        <v>7229</v>
      </c>
      <c r="C247" s="3" t="s">
        <v>1093</v>
      </c>
      <c r="D247" s="3" t="s">
        <v>1094</v>
      </c>
      <c r="E247" s="5" t="s">
        <v>651</v>
      </c>
      <c r="F247" s="3" t="s">
        <v>1166</v>
      </c>
      <c r="G247" s="3" t="s">
        <v>1167</v>
      </c>
      <c r="H247" s="3" t="s">
        <v>137</v>
      </c>
      <c r="I247" s="3" t="s">
        <v>1070</v>
      </c>
      <c r="J247" s="3" t="s">
        <v>572</v>
      </c>
      <c r="K247" s="3" t="s">
        <v>224</v>
      </c>
      <c r="L247" s="3" t="s">
        <v>914</v>
      </c>
      <c r="M247" s="3" t="s">
        <v>1071</v>
      </c>
      <c r="N247" s="3" t="s">
        <v>141</v>
      </c>
      <c r="O247" s="3" t="s">
        <v>664</v>
      </c>
      <c r="P247" s="154">
        <v>752</v>
      </c>
      <c r="Q247" s="162">
        <v>3.306</v>
      </c>
      <c r="R247" s="172">
        <v>8934</v>
      </c>
      <c r="T247" s="153">
        <v>222.10900000000001</v>
      </c>
      <c r="U247" s="164">
        <v>1.9999999999999999E-6</v>
      </c>
      <c r="V247" s="164">
        <v>9.7991322448266593E-3</v>
      </c>
      <c r="W247" s="164">
        <v>1.4638292949441E-3</v>
      </c>
    </row>
    <row r="248" spans="1:23">
      <c r="A248" s="3">
        <v>424</v>
      </c>
      <c r="B248" s="3">
        <v>7229</v>
      </c>
      <c r="C248" s="3" t="s">
        <v>1097</v>
      </c>
      <c r="D248" s="3" t="s">
        <v>1098</v>
      </c>
      <c r="E248" s="5" t="s">
        <v>651</v>
      </c>
      <c r="F248" s="3" t="s">
        <v>1168</v>
      </c>
      <c r="G248" s="3" t="s">
        <v>1169</v>
      </c>
      <c r="H248" s="3" t="s">
        <v>137</v>
      </c>
      <c r="I248" s="3" t="s">
        <v>1070</v>
      </c>
      <c r="J248" s="3" t="s">
        <v>572</v>
      </c>
      <c r="K248" s="3" t="s">
        <v>224</v>
      </c>
      <c r="L248" s="3" t="s">
        <v>894</v>
      </c>
      <c r="M248" s="3" t="s">
        <v>1090</v>
      </c>
      <c r="N248" s="3" t="s">
        <v>141</v>
      </c>
      <c r="O248" s="3" t="s">
        <v>664</v>
      </c>
      <c r="P248" s="154">
        <v>476</v>
      </c>
      <c r="Q248" s="162">
        <v>3.306</v>
      </c>
      <c r="R248" s="172">
        <v>60037</v>
      </c>
      <c r="S248" s="153">
        <v>0.246</v>
      </c>
      <c r="T248" s="153">
        <v>945.58900000000006</v>
      </c>
      <c r="U248" s="164">
        <v>9.9999999999999995E-7</v>
      </c>
      <c r="V248" s="164">
        <v>4.1717977593095201E-2</v>
      </c>
      <c r="W248" s="164">
        <v>6.2319801591446296E-3</v>
      </c>
    </row>
    <row r="249" spans="1:23">
      <c r="A249" s="3">
        <v>424</v>
      </c>
      <c r="B249" s="3">
        <v>7229</v>
      </c>
      <c r="C249" s="3" t="s">
        <v>1093</v>
      </c>
      <c r="D249" s="3" t="s">
        <v>1094</v>
      </c>
      <c r="E249" s="5" t="s">
        <v>651</v>
      </c>
      <c r="F249" s="3" t="s">
        <v>1170</v>
      </c>
      <c r="G249" s="3" t="s">
        <v>1171</v>
      </c>
      <c r="H249" s="3" t="s">
        <v>137</v>
      </c>
      <c r="I249" s="3" t="s">
        <v>1070</v>
      </c>
      <c r="J249" s="3" t="s">
        <v>572</v>
      </c>
      <c r="K249" s="3" t="s">
        <v>224</v>
      </c>
      <c r="L249" s="3" t="s">
        <v>914</v>
      </c>
      <c r="M249" s="3" t="s">
        <v>1172</v>
      </c>
      <c r="N249" s="3" t="s">
        <v>141</v>
      </c>
      <c r="O249" s="3" t="s">
        <v>664</v>
      </c>
      <c r="P249" s="154">
        <v>1646</v>
      </c>
      <c r="Q249" s="162">
        <v>3.306</v>
      </c>
      <c r="R249" s="172">
        <v>4213</v>
      </c>
      <c r="T249" s="153">
        <v>229.25800000000001</v>
      </c>
      <c r="U249" s="164">
        <v>2.6999999999999999E-5</v>
      </c>
      <c r="V249" s="164">
        <v>1.01145163329413E-2</v>
      </c>
      <c r="W249" s="164">
        <v>1.5109424939301801E-3</v>
      </c>
    </row>
    <row r="250" spans="1:23">
      <c r="A250" s="3">
        <v>424</v>
      </c>
      <c r="B250" s="3">
        <v>7229</v>
      </c>
      <c r="C250" s="3" t="s">
        <v>1093</v>
      </c>
      <c r="D250" s="3" t="s">
        <v>1094</v>
      </c>
      <c r="E250" s="5" t="s">
        <v>651</v>
      </c>
      <c r="F250" s="3" t="s">
        <v>1178</v>
      </c>
      <c r="G250" s="3" t="s">
        <v>1179</v>
      </c>
      <c r="H250" s="3" t="s">
        <v>137</v>
      </c>
      <c r="I250" s="3" t="s">
        <v>1070</v>
      </c>
      <c r="J250" s="3" t="s">
        <v>572</v>
      </c>
      <c r="K250" s="3" t="s">
        <v>224</v>
      </c>
      <c r="L250" s="3" t="s">
        <v>914</v>
      </c>
      <c r="M250" s="3" t="s">
        <v>1071</v>
      </c>
      <c r="N250" s="3" t="s">
        <v>141</v>
      </c>
      <c r="O250" s="3" t="s">
        <v>664</v>
      </c>
      <c r="P250" s="154">
        <v>828</v>
      </c>
      <c r="Q250" s="162">
        <v>3.306</v>
      </c>
      <c r="R250" s="172">
        <v>15285</v>
      </c>
      <c r="T250" s="153">
        <v>418.40699999999998</v>
      </c>
      <c r="U250" s="164">
        <v>0</v>
      </c>
      <c r="V250" s="164">
        <v>1.84594862484284E-2</v>
      </c>
      <c r="W250" s="164">
        <v>2.7575438380610501E-3</v>
      </c>
    </row>
    <row r="251" spans="1:23">
      <c r="A251" s="3">
        <v>424</v>
      </c>
      <c r="B251" s="3">
        <v>7229</v>
      </c>
      <c r="C251" s="3" t="s">
        <v>1180</v>
      </c>
      <c r="D251" s="3" t="s">
        <v>1181</v>
      </c>
      <c r="E251" s="5" t="s">
        <v>651</v>
      </c>
      <c r="F251" s="3" t="s">
        <v>1182</v>
      </c>
      <c r="G251" s="3" t="s">
        <v>1183</v>
      </c>
      <c r="H251" s="3" t="s">
        <v>137</v>
      </c>
      <c r="I251" s="3" t="s">
        <v>1070</v>
      </c>
      <c r="J251" s="3" t="s">
        <v>572</v>
      </c>
      <c r="K251" s="3" t="s">
        <v>224</v>
      </c>
      <c r="L251" s="3" t="s">
        <v>1139</v>
      </c>
      <c r="M251" s="3" t="s">
        <v>1071</v>
      </c>
      <c r="N251" s="3" t="s">
        <v>141</v>
      </c>
      <c r="O251" s="3" t="s">
        <v>664</v>
      </c>
      <c r="P251" s="154">
        <v>1107</v>
      </c>
      <c r="Q251" s="162">
        <v>3.306</v>
      </c>
      <c r="R251" s="172">
        <v>6492</v>
      </c>
      <c r="T251" s="153">
        <v>237.59</v>
      </c>
      <c r="U251" s="164">
        <v>0</v>
      </c>
      <c r="V251" s="164">
        <v>1.0482140149585401E-2</v>
      </c>
      <c r="W251" s="164">
        <v>1.56585944972562E-3</v>
      </c>
    </row>
    <row r="252" spans="1:23">
      <c r="A252" s="3">
        <v>424</v>
      </c>
      <c r="B252" s="3">
        <v>7229</v>
      </c>
      <c r="C252" s="3" t="s">
        <v>1184</v>
      </c>
      <c r="D252" s="3" t="s">
        <v>1185</v>
      </c>
      <c r="E252" s="5" t="s">
        <v>651</v>
      </c>
      <c r="F252" s="3" t="s">
        <v>1235</v>
      </c>
      <c r="G252" s="3" t="s">
        <v>1236</v>
      </c>
      <c r="H252" s="3" t="s">
        <v>137</v>
      </c>
      <c r="I252" s="3" t="s">
        <v>1070</v>
      </c>
      <c r="J252" s="3" t="s">
        <v>572</v>
      </c>
      <c r="K252" s="3" t="s">
        <v>224</v>
      </c>
      <c r="L252" s="3" t="s">
        <v>914</v>
      </c>
      <c r="M252" s="3" t="s">
        <v>1206</v>
      </c>
      <c r="N252" s="3" t="s">
        <v>141</v>
      </c>
      <c r="O252" s="3" t="s">
        <v>664</v>
      </c>
      <c r="P252" s="154">
        <v>2735</v>
      </c>
      <c r="Q252" s="162">
        <v>3.306</v>
      </c>
      <c r="R252" s="172">
        <v>61238</v>
      </c>
      <c r="S252" s="153">
        <v>4.7590000000000003</v>
      </c>
      <c r="T252" s="153">
        <v>5552.8180000000002</v>
      </c>
      <c r="U252" s="164">
        <v>3.9999999999999998E-6</v>
      </c>
      <c r="V252" s="164">
        <v>0.24498212754373899</v>
      </c>
      <c r="W252" s="164">
        <v>3.6596303231398897E-2</v>
      </c>
    </row>
    <row r="253" spans="1:23">
      <c r="A253" s="3">
        <v>424</v>
      </c>
      <c r="B253" s="3">
        <v>7229</v>
      </c>
      <c r="C253" s="3" t="s">
        <v>1188</v>
      </c>
      <c r="D253" s="3" t="s">
        <v>1189</v>
      </c>
      <c r="E253" s="5" t="s">
        <v>651</v>
      </c>
      <c r="F253" s="3" t="s">
        <v>1190</v>
      </c>
      <c r="G253" s="3" t="s">
        <v>1191</v>
      </c>
      <c r="H253" s="3" t="s">
        <v>137</v>
      </c>
      <c r="I253" s="3" t="s">
        <v>1070</v>
      </c>
      <c r="J253" s="3" t="s">
        <v>572</v>
      </c>
      <c r="K253" s="3" t="s">
        <v>1192</v>
      </c>
      <c r="L253" s="3" t="s">
        <v>914</v>
      </c>
      <c r="M253" s="3" t="s">
        <v>1071</v>
      </c>
      <c r="N253" s="3" t="s">
        <v>141</v>
      </c>
      <c r="O253" s="3" t="s">
        <v>664</v>
      </c>
      <c r="P253" s="154">
        <v>6801</v>
      </c>
      <c r="Q253" s="162">
        <v>3.306</v>
      </c>
      <c r="R253" s="172">
        <v>4420</v>
      </c>
      <c r="T253" s="153">
        <v>993.79700000000003</v>
      </c>
      <c r="U253" s="164">
        <v>3.0899999999999998E-4</v>
      </c>
      <c r="V253" s="164">
        <v>4.3844878832929701E-2</v>
      </c>
      <c r="W253" s="164">
        <v>6.5497042457816198E-3</v>
      </c>
    </row>
    <row r="254" spans="1:23">
      <c r="A254" s="3">
        <v>424</v>
      </c>
      <c r="B254" s="3">
        <v>9817</v>
      </c>
      <c r="C254" s="3" t="s">
        <v>1072</v>
      </c>
      <c r="D254" s="3" t="s">
        <v>1073</v>
      </c>
      <c r="E254" s="5" t="s">
        <v>134</v>
      </c>
      <c r="F254" s="3" t="s">
        <v>1078</v>
      </c>
      <c r="G254" s="3" t="s">
        <v>1079</v>
      </c>
      <c r="H254" s="3" t="s">
        <v>137</v>
      </c>
      <c r="I254" s="3" t="s">
        <v>1076</v>
      </c>
      <c r="J254" s="3" t="s">
        <v>30</v>
      </c>
      <c r="K254" s="3" t="s">
        <v>30</v>
      </c>
      <c r="L254" s="3" t="s">
        <v>31</v>
      </c>
      <c r="M254" s="3" t="s">
        <v>1080</v>
      </c>
      <c r="N254" s="3" t="s">
        <v>141</v>
      </c>
      <c r="O254" s="3" t="s">
        <v>34</v>
      </c>
      <c r="P254" s="154">
        <v>809</v>
      </c>
      <c r="Q254" s="162">
        <v>1</v>
      </c>
      <c r="R254" s="172">
        <v>4757</v>
      </c>
      <c r="T254" s="153">
        <v>38.484000000000002</v>
      </c>
      <c r="U254" s="164">
        <v>1.2999999999999999E-5</v>
      </c>
      <c r="V254" s="164">
        <v>3.3284927149398402E-2</v>
      </c>
      <c r="W254" s="164">
        <v>1.99488855956707E-2</v>
      </c>
    </row>
    <row r="255" spans="1:23">
      <c r="A255" s="3">
        <v>424</v>
      </c>
      <c r="B255" s="3">
        <v>9817</v>
      </c>
      <c r="C255" s="3" t="s">
        <v>1072</v>
      </c>
      <c r="D255" s="3" t="s">
        <v>1073</v>
      </c>
      <c r="E255" s="5" t="s">
        <v>134</v>
      </c>
      <c r="F255" s="3" t="s">
        <v>1195</v>
      </c>
      <c r="G255" s="3" t="s">
        <v>1196</v>
      </c>
      <c r="H255" s="3" t="s">
        <v>137</v>
      </c>
      <c r="I255" s="3" t="s">
        <v>1197</v>
      </c>
      <c r="J255" s="3" t="s">
        <v>30</v>
      </c>
      <c r="K255" s="3" t="s">
        <v>30</v>
      </c>
      <c r="L255" s="3" t="s">
        <v>31</v>
      </c>
      <c r="M255" s="3" t="s">
        <v>1198</v>
      </c>
      <c r="N255" s="3" t="s">
        <v>141</v>
      </c>
      <c r="O255" s="3" t="s">
        <v>34</v>
      </c>
      <c r="P255" s="154">
        <v>16615</v>
      </c>
      <c r="Q255" s="162">
        <v>1</v>
      </c>
      <c r="R255" s="172">
        <v>499.28</v>
      </c>
      <c r="T255" s="153">
        <v>82.954999999999998</v>
      </c>
      <c r="U255" s="164">
        <v>7.8999999999999996E-5</v>
      </c>
      <c r="V255" s="164">
        <v>7.1748107951803697E-2</v>
      </c>
      <c r="W255" s="164">
        <v>4.3001289767348301E-2</v>
      </c>
    </row>
    <row r="256" spans="1:23">
      <c r="A256" s="3">
        <v>424</v>
      </c>
      <c r="B256" s="3">
        <v>9817</v>
      </c>
      <c r="C256" s="3" t="s">
        <v>1072</v>
      </c>
      <c r="D256" s="3" t="s">
        <v>1073</v>
      </c>
      <c r="E256" s="5" t="s">
        <v>134</v>
      </c>
      <c r="F256" s="3" t="s">
        <v>1259</v>
      </c>
      <c r="G256" s="3" t="s">
        <v>1260</v>
      </c>
      <c r="H256" s="3" t="s">
        <v>137</v>
      </c>
      <c r="I256" s="3" t="s">
        <v>1197</v>
      </c>
      <c r="J256" s="3" t="s">
        <v>30</v>
      </c>
      <c r="K256" s="3" t="s">
        <v>30</v>
      </c>
      <c r="L256" s="3" t="s">
        <v>31</v>
      </c>
      <c r="M256" s="3" t="s">
        <v>1245</v>
      </c>
      <c r="N256" s="3" t="s">
        <v>141</v>
      </c>
      <c r="O256" s="3" t="s">
        <v>34</v>
      </c>
      <c r="P256" s="154">
        <v>5136</v>
      </c>
      <c r="Q256" s="162">
        <v>1</v>
      </c>
      <c r="R256" s="172">
        <v>487.71</v>
      </c>
      <c r="T256" s="153">
        <v>25.048999999999999</v>
      </c>
      <c r="U256" s="164">
        <v>2.0999999999999999E-5</v>
      </c>
      <c r="V256" s="164">
        <v>2.16646966912569E-2</v>
      </c>
      <c r="W256" s="164">
        <v>1.29844525066536E-2</v>
      </c>
    </row>
    <row r="257" spans="1:23">
      <c r="A257" s="3">
        <v>424</v>
      </c>
      <c r="B257" s="3">
        <v>9817</v>
      </c>
      <c r="C257" s="3" t="s">
        <v>1261</v>
      </c>
      <c r="D257" s="3" t="s">
        <v>1262</v>
      </c>
      <c r="E257" s="5" t="s">
        <v>134</v>
      </c>
      <c r="F257" s="3" t="s">
        <v>1263</v>
      </c>
      <c r="G257" s="3" t="s">
        <v>1264</v>
      </c>
      <c r="H257" s="3" t="s">
        <v>137</v>
      </c>
      <c r="I257" s="3" t="s">
        <v>1197</v>
      </c>
      <c r="J257" s="3" t="s">
        <v>30</v>
      </c>
      <c r="K257" s="3" t="s">
        <v>30</v>
      </c>
      <c r="L257" s="3" t="s">
        <v>31</v>
      </c>
      <c r="M257" s="3" t="s">
        <v>1265</v>
      </c>
      <c r="N257" s="3" t="s">
        <v>141</v>
      </c>
      <c r="O257" s="3" t="s">
        <v>34</v>
      </c>
      <c r="P257" s="154">
        <v>1769</v>
      </c>
      <c r="Q257" s="162">
        <v>1</v>
      </c>
      <c r="R257" s="172">
        <v>4138.58</v>
      </c>
      <c r="T257" s="153">
        <v>73.210999999999999</v>
      </c>
      <c r="U257" s="164">
        <v>1.1400000000000001E-4</v>
      </c>
      <c r="V257" s="164">
        <v>6.3320615145947903E-2</v>
      </c>
      <c r="W257" s="164">
        <v>3.7950382217280497E-2</v>
      </c>
    </row>
    <row r="258" spans="1:23">
      <c r="A258" s="3">
        <v>424</v>
      </c>
      <c r="B258" s="3">
        <v>9817</v>
      </c>
      <c r="C258" s="3" t="s">
        <v>1261</v>
      </c>
      <c r="D258" s="3" t="s">
        <v>1262</v>
      </c>
      <c r="E258" s="5" t="s">
        <v>134</v>
      </c>
      <c r="F258" s="3" t="s">
        <v>1266</v>
      </c>
      <c r="G258" s="3" t="s">
        <v>1267</v>
      </c>
      <c r="H258" s="3" t="s">
        <v>137</v>
      </c>
      <c r="I258" s="3" t="s">
        <v>1076</v>
      </c>
      <c r="J258" s="3" t="s">
        <v>30</v>
      </c>
      <c r="K258" s="3" t="s">
        <v>30</v>
      </c>
      <c r="L258" s="3" t="s">
        <v>31</v>
      </c>
      <c r="M258" s="3" t="s">
        <v>1085</v>
      </c>
      <c r="N258" s="3" t="s">
        <v>141</v>
      </c>
      <c r="O258" s="3" t="s">
        <v>34</v>
      </c>
      <c r="P258" s="154">
        <v>1217</v>
      </c>
      <c r="Q258" s="162">
        <v>1</v>
      </c>
      <c r="R258" s="172">
        <v>3172</v>
      </c>
      <c r="T258" s="153">
        <v>38.603000000000002</v>
      </c>
      <c r="U258" s="164">
        <v>3.0000000000000001E-6</v>
      </c>
      <c r="V258" s="164">
        <v>3.3387945398031402E-2</v>
      </c>
      <c r="W258" s="164">
        <v>2.0010628235124901E-2</v>
      </c>
    </row>
    <row r="259" spans="1:23">
      <c r="A259" s="3">
        <v>424</v>
      </c>
      <c r="B259" s="3">
        <v>9817</v>
      </c>
      <c r="C259" s="3" t="s">
        <v>1081</v>
      </c>
      <c r="D259" s="3" t="s">
        <v>1082</v>
      </c>
      <c r="E259" s="5" t="s">
        <v>134</v>
      </c>
      <c r="F259" s="3" t="s">
        <v>1199</v>
      </c>
      <c r="G259" s="3" t="s">
        <v>1200</v>
      </c>
      <c r="H259" s="3" t="s">
        <v>137</v>
      </c>
      <c r="I259" s="3" t="s">
        <v>1070</v>
      </c>
      <c r="J259" s="3" t="s">
        <v>30</v>
      </c>
      <c r="K259" s="3" t="s">
        <v>1107</v>
      </c>
      <c r="L259" s="3" t="s">
        <v>31</v>
      </c>
      <c r="M259" s="3" t="s">
        <v>1201</v>
      </c>
      <c r="N259" s="3" t="s">
        <v>141</v>
      </c>
      <c r="O259" s="3" t="s">
        <v>34</v>
      </c>
      <c r="P259" s="154">
        <v>1061</v>
      </c>
      <c r="Q259" s="162">
        <v>1</v>
      </c>
      <c r="R259" s="172">
        <v>3731</v>
      </c>
      <c r="T259" s="153">
        <v>39.585999999999999</v>
      </c>
      <c r="U259" s="164">
        <v>5.0000000000000002E-5</v>
      </c>
      <c r="V259" s="164">
        <v>3.4237856760504698E-2</v>
      </c>
      <c r="W259" s="164">
        <v>2.0520011490204298E-2</v>
      </c>
    </row>
    <row r="260" spans="1:23">
      <c r="A260" s="3">
        <v>424</v>
      </c>
      <c r="B260" s="3">
        <v>9817</v>
      </c>
      <c r="C260" s="3" t="s">
        <v>1081</v>
      </c>
      <c r="D260" s="3" t="s">
        <v>1082</v>
      </c>
      <c r="E260" s="5" t="s">
        <v>134</v>
      </c>
      <c r="F260" s="3" t="s">
        <v>1246</v>
      </c>
      <c r="G260" s="3" t="s">
        <v>1247</v>
      </c>
      <c r="H260" s="3" t="s">
        <v>137</v>
      </c>
      <c r="I260" s="3" t="s">
        <v>1197</v>
      </c>
      <c r="J260" s="3" t="s">
        <v>30</v>
      </c>
      <c r="K260" s="3" t="s">
        <v>30</v>
      </c>
      <c r="L260" s="3" t="s">
        <v>31</v>
      </c>
      <c r="M260" s="3" t="s">
        <v>1198</v>
      </c>
      <c r="N260" s="3" t="s">
        <v>141</v>
      </c>
      <c r="O260" s="3" t="s">
        <v>34</v>
      </c>
      <c r="P260" s="154">
        <v>20069</v>
      </c>
      <c r="Q260" s="162">
        <v>1</v>
      </c>
      <c r="R260" s="172">
        <v>390.79</v>
      </c>
      <c r="T260" s="153">
        <v>78.427999999999997</v>
      </c>
      <c r="U260" s="164">
        <v>6.4999999999999994E-5</v>
      </c>
      <c r="V260" s="164">
        <v>6.7832076589814397E-2</v>
      </c>
      <c r="W260" s="164">
        <v>4.0654267606874898E-2</v>
      </c>
    </row>
    <row r="261" spans="1:23">
      <c r="A261" s="3">
        <v>424</v>
      </c>
      <c r="B261" s="3">
        <v>9817</v>
      </c>
      <c r="C261" s="3" t="s">
        <v>1081</v>
      </c>
      <c r="D261" s="3" t="s">
        <v>1082</v>
      </c>
      <c r="E261" s="5" t="s">
        <v>134</v>
      </c>
      <c r="F261" s="3" t="s">
        <v>1248</v>
      </c>
      <c r="G261" s="3" t="s">
        <v>1249</v>
      </c>
      <c r="H261" s="3" t="s">
        <v>137</v>
      </c>
      <c r="I261" s="3" t="s">
        <v>1197</v>
      </c>
      <c r="J261" s="3" t="s">
        <v>30</v>
      </c>
      <c r="K261" s="3" t="s">
        <v>30</v>
      </c>
      <c r="L261" s="3" t="s">
        <v>31</v>
      </c>
      <c r="M261" s="3" t="s">
        <v>1245</v>
      </c>
      <c r="N261" s="3" t="s">
        <v>141</v>
      </c>
      <c r="O261" s="3" t="s">
        <v>34</v>
      </c>
      <c r="P261" s="154">
        <v>5966</v>
      </c>
      <c r="Q261" s="162">
        <v>1</v>
      </c>
      <c r="R261" s="172">
        <v>419.81</v>
      </c>
      <c r="T261" s="153">
        <v>25.045999999999999</v>
      </c>
      <c r="U261" s="164">
        <v>2.1999999999999999E-5</v>
      </c>
      <c r="V261" s="164">
        <v>2.1662170318120701E-2</v>
      </c>
      <c r="W261" s="164">
        <v>1.29829383579688E-2</v>
      </c>
    </row>
    <row r="262" spans="1:23">
      <c r="A262" s="3">
        <v>424</v>
      </c>
      <c r="B262" s="3">
        <v>9817</v>
      </c>
      <c r="C262" s="3" t="s">
        <v>1086</v>
      </c>
      <c r="D262" s="3" t="s">
        <v>1087</v>
      </c>
      <c r="E262" s="5" t="s">
        <v>134</v>
      </c>
      <c r="F262" s="3" t="s">
        <v>1268</v>
      </c>
      <c r="G262" s="3" t="s">
        <v>1269</v>
      </c>
      <c r="H262" s="3" t="s">
        <v>137</v>
      </c>
      <c r="I262" s="3" t="s">
        <v>1076</v>
      </c>
      <c r="J262" s="3" t="s">
        <v>30</v>
      </c>
      <c r="K262" s="3" t="s">
        <v>30</v>
      </c>
      <c r="L262" s="3" t="s">
        <v>31</v>
      </c>
      <c r="M262" s="3" t="s">
        <v>1085</v>
      </c>
      <c r="N262" s="3" t="s">
        <v>141</v>
      </c>
      <c r="O262" s="3" t="s">
        <v>34</v>
      </c>
      <c r="P262" s="154">
        <v>470</v>
      </c>
      <c r="Q262" s="162">
        <v>1</v>
      </c>
      <c r="R262" s="172">
        <v>8821</v>
      </c>
      <c r="T262" s="153">
        <v>41.459000000000003</v>
      </c>
      <c r="U262" s="164">
        <v>3.1999999999999999E-5</v>
      </c>
      <c r="V262" s="164">
        <v>3.5857632982966403E-2</v>
      </c>
      <c r="W262" s="164">
        <v>2.1490803176406299E-2</v>
      </c>
    </row>
    <row r="263" spans="1:23">
      <c r="A263" s="3">
        <v>424</v>
      </c>
      <c r="B263" s="3">
        <v>9817</v>
      </c>
      <c r="C263" s="3" t="s">
        <v>1086</v>
      </c>
      <c r="D263" s="3" t="s">
        <v>1087</v>
      </c>
      <c r="E263" s="5" t="s">
        <v>134</v>
      </c>
      <c r="F263" s="3" t="s">
        <v>1088</v>
      </c>
      <c r="G263" s="3" t="s">
        <v>1089</v>
      </c>
      <c r="H263" s="3" t="s">
        <v>137</v>
      </c>
      <c r="I263" s="3" t="s">
        <v>1070</v>
      </c>
      <c r="J263" s="3" t="s">
        <v>30</v>
      </c>
      <c r="K263" s="3" t="s">
        <v>224</v>
      </c>
      <c r="L263" s="3" t="s">
        <v>31</v>
      </c>
      <c r="M263" s="3" t="s">
        <v>1090</v>
      </c>
      <c r="N263" s="3" t="s">
        <v>141</v>
      </c>
      <c r="O263" s="3" t="s">
        <v>34</v>
      </c>
      <c r="P263" s="154">
        <v>451</v>
      </c>
      <c r="Q263" s="162">
        <v>1</v>
      </c>
      <c r="R263" s="172">
        <v>12290</v>
      </c>
      <c r="T263" s="153">
        <v>55.427999999999997</v>
      </c>
      <c r="U263" s="164">
        <v>4.6999999999999997E-5</v>
      </c>
      <c r="V263" s="164">
        <v>4.7939595192723401E-2</v>
      </c>
      <c r="W263" s="164">
        <v>2.8731969149576101E-2</v>
      </c>
    </row>
    <row r="264" spans="1:23">
      <c r="A264" s="3">
        <v>424</v>
      </c>
      <c r="B264" s="3">
        <v>9817</v>
      </c>
      <c r="C264" s="3" t="s">
        <v>1211</v>
      </c>
      <c r="D264" s="3" t="s">
        <v>1212</v>
      </c>
      <c r="E264" s="5" t="s">
        <v>134</v>
      </c>
      <c r="F264" s="3" t="s">
        <v>1270</v>
      </c>
      <c r="G264" s="3" t="s">
        <v>1271</v>
      </c>
      <c r="H264" s="3" t="s">
        <v>137</v>
      </c>
      <c r="I264" s="3" t="s">
        <v>1147</v>
      </c>
      <c r="J264" s="3" t="s">
        <v>30</v>
      </c>
      <c r="K264" s="3" t="s">
        <v>224</v>
      </c>
      <c r="L264" s="3" t="s">
        <v>31</v>
      </c>
      <c r="M264" s="3" t="s">
        <v>1232</v>
      </c>
      <c r="N264" s="3" t="s">
        <v>141</v>
      </c>
      <c r="O264" s="3" t="s">
        <v>34</v>
      </c>
      <c r="P264" s="154">
        <v>371</v>
      </c>
      <c r="Q264" s="162">
        <v>1</v>
      </c>
      <c r="R264" s="172">
        <v>9950.5</v>
      </c>
      <c r="T264" s="153">
        <v>36.915999999999997</v>
      </c>
      <c r="U264" s="164">
        <v>1.6000000000000001E-4</v>
      </c>
      <c r="V264" s="164">
        <v>3.1928958425104903E-2</v>
      </c>
      <c r="W264" s="164">
        <v>1.9136203481907098E-2</v>
      </c>
    </row>
    <row r="265" spans="1:23">
      <c r="A265" s="3">
        <v>424</v>
      </c>
      <c r="B265" s="3">
        <v>9817</v>
      </c>
      <c r="C265" s="3" t="s">
        <v>1211</v>
      </c>
      <c r="D265" s="3" t="s">
        <v>1212</v>
      </c>
      <c r="E265" s="5" t="s">
        <v>134</v>
      </c>
      <c r="F265" s="3" t="s">
        <v>1213</v>
      </c>
      <c r="G265" s="3" t="s">
        <v>1214</v>
      </c>
      <c r="H265" s="3" t="s">
        <v>137</v>
      </c>
      <c r="I265" s="3" t="s">
        <v>1070</v>
      </c>
      <c r="J265" s="3" t="s">
        <v>30</v>
      </c>
      <c r="K265" s="3" t="s">
        <v>797</v>
      </c>
      <c r="L265" s="3" t="s">
        <v>31</v>
      </c>
      <c r="M265" s="3" t="s">
        <v>1201</v>
      </c>
      <c r="N265" s="3" t="s">
        <v>141</v>
      </c>
      <c r="O265" s="3" t="s">
        <v>34</v>
      </c>
      <c r="P265" s="154">
        <v>7663</v>
      </c>
      <c r="Q265" s="162">
        <v>1</v>
      </c>
      <c r="R265" s="172">
        <v>1549</v>
      </c>
      <c r="T265" s="153">
        <v>118.7</v>
      </c>
      <c r="U265" s="164">
        <v>1.13E-4</v>
      </c>
      <c r="V265" s="164">
        <v>0.102663527162835</v>
      </c>
      <c r="W265" s="164">
        <v>6.1530041782183499E-2</v>
      </c>
    </row>
    <row r="266" spans="1:23">
      <c r="A266" s="3">
        <v>424</v>
      </c>
      <c r="B266" s="3">
        <v>9817</v>
      </c>
      <c r="C266" s="3" t="s">
        <v>1211</v>
      </c>
      <c r="D266" s="3" t="s">
        <v>1212</v>
      </c>
      <c r="E266" s="5" t="s">
        <v>134</v>
      </c>
      <c r="F266" s="3" t="s">
        <v>1272</v>
      </c>
      <c r="G266" s="3" t="s">
        <v>1273</v>
      </c>
      <c r="H266" s="3" t="s">
        <v>137</v>
      </c>
      <c r="I266" s="3" t="s">
        <v>1076</v>
      </c>
      <c r="J266" s="3" t="s">
        <v>30</v>
      </c>
      <c r="K266" s="3" t="s">
        <v>30</v>
      </c>
      <c r="L266" s="3" t="s">
        <v>31</v>
      </c>
      <c r="M266" s="3" t="s">
        <v>1080</v>
      </c>
      <c r="N266" s="3" t="s">
        <v>141</v>
      </c>
      <c r="O266" s="3" t="s">
        <v>34</v>
      </c>
      <c r="P266" s="154">
        <v>110.18</v>
      </c>
      <c r="Q266" s="162">
        <v>1</v>
      </c>
      <c r="R266" s="172">
        <v>30420</v>
      </c>
      <c r="T266" s="153">
        <v>33.517000000000003</v>
      </c>
      <c r="U266" s="164">
        <v>3.9999999999999998E-6</v>
      </c>
      <c r="V266" s="164">
        <v>2.8988644975062799E-2</v>
      </c>
      <c r="W266" s="164">
        <v>1.7373965085920099E-2</v>
      </c>
    </row>
    <row r="267" spans="1:23">
      <c r="A267" s="3">
        <v>424</v>
      </c>
      <c r="B267" s="3">
        <v>9817</v>
      </c>
      <c r="C267" s="3" t="s">
        <v>1211</v>
      </c>
      <c r="D267" s="3" t="s">
        <v>1212</v>
      </c>
      <c r="E267" s="5" t="s">
        <v>134</v>
      </c>
      <c r="F267" s="3" t="s">
        <v>1274</v>
      </c>
      <c r="G267" s="3" t="s">
        <v>1275</v>
      </c>
      <c r="H267" s="3" t="s">
        <v>137</v>
      </c>
      <c r="I267" s="3" t="s">
        <v>1197</v>
      </c>
      <c r="J267" s="3" t="s">
        <v>30</v>
      </c>
      <c r="K267" s="3" t="s">
        <v>30</v>
      </c>
      <c r="L267" s="3" t="s">
        <v>31</v>
      </c>
      <c r="M267" s="3" t="s">
        <v>1276</v>
      </c>
      <c r="N267" s="3" t="s">
        <v>141</v>
      </c>
      <c r="O267" s="3" t="s">
        <v>34</v>
      </c>
      <c r="P267" s="154">
        <v>598</v>
      </c>
      <c r="Q267" s="162">
        <v>1</v>
      </c>
      <c r="R267" s="172">
        <v>4185.1899999999996</v>
      </c>
      <c r="T267" s="153">
        <v>25.027000000000001</v>
      </c>
      <c r="U267" s="164">
        <v>1.1E-5</v>
      </c>
      <c r="V267" s="164">
        <v>2.1646231593470299E-2</v>
      </c>
      <c r="W267" s="164">
        <v>1.29733856918877E-2</v>
      </c>
    </row>
    <row r="268" spans="1:23">
      <c r="A268" s="3">
        <v>424</v>
      </c>
      <c r="B268" s="3">
        <v>9817</v>
      </c>
      <c r="C268" s="3" t="s">
        <v>1211</v>
      </c>
      <c r="D268" s="3" t="s">
        <v>1212</v>
      </c>
      <c r="E268" s="5" t="s">
        <v>134</v>
      </c>
      <c r="F268" s="3" t="s">
        <v>1252</v>
      </c>
      <c r="G268" s="3" t="s">
        <v>1253</v>
      </c>
      <c r="H268" s="3" t="s">
        <v>137</v>
      </c>
      <c r="I268" s="3" t="s">
        <v>1076</v>
      </c>
      <c r="J268" s="3" t="s">
        <v>30</v>
      </c>
      <c r="K268" s="3" t="s">
        <v>30</v>
      </c>
      <c r="L268" s="3" t="s">
        <v>31</v>
      </c>
      <c r="M268" s="3" t="s">
        <v>1254</v>
      </c>
      <c r="N268" s="3" t="s">
        <v>141</v>
      </c>
      <c r="O268" s="3" t="s">
        <v>34</v>
      </c>
      <c r="P268" s="154">
        <v>35</v>
      </c>
      <c r="Q268" s="162">
        <v>1</v>
      </c>
      <c r="R268" s="172">
        <v>40720</v>
      </c>
      <c r="T268" s="153">
        <v>14.252000000000001</v>
      </c>
      <c r="U268" s="164">
        <v>1.9000000000000001E-5</v>
      </c>
      <c r="V268" s="164">
        <v>1.2326555952628399E-2</v>
      </c>
      <c r="W268" s="164">
        <v>7.3877600327589199E-3</v>
      </c>
    </row>
    <row r="269" spans="1:23">
      <c r="A269" s="3">
        <v>424</v>
      </c>
      <c r="B269" s="3">
        <v>9817</v>
      </c>
      <c r="C269" s="3" t="s">
        <v>1101</v>
      </c>
      <c r="D269" s="3" t="s">
        <v>1102</v>
      </c>
      <c r="E269" s="5" t="s">
        <v>651</v>
      </c>
      <c r="F269" s="3" t="s">
        <v>1103</v>
      </c>
      <c r="G269" s="3" t="s">
        <v>1104</v>
      </c>
      <c r="H269" s="3" t="s">
        <v>137</v>
      </c>
      <c r="I269" s="3" t="s">
        <v>1070</v>
      </c>
      <c r="J269" s="3" t="s">
        <v>572</v>
      </c>
      <c r="K269" s="3" t="s">
        <v>1063</v>
      </c>
      <c r="L269" s="3" t="s">
        <v>894</v>
      </c>
      <c r="M269" s="3" t="s">
        <v>1071</v>
      </c>
      <c r="N269" s="3" t="s">
        <v>141</v>
      </c>
      <c r="O269" s="3" t="s">
        <v>664</v>
      </c>
      <c r="P269" s="154">
        <v>135</v>
      </c>
      <c r="Q269" s="162">
        <v>3.306</v>
      </c>
      <c r="R269" s="172">
        <v>15795.9</v>
      </c>
      <c r="T269" s="153">
        <v>70.498999999999995</v>
      </c>
      <c r="U269" s="164">
        <v>0</v>
      </c>
      <c r="V269" s="164">
        <v>6.0974315149291601E-2</v>
      </c>
      <c r="W269" s="164">
        <v>3.6544158012662899E-2</v>
      </c>
    </row>
    <row r="270" spans="1:23">
      <c r="A270" s="3">
        <v>424</v>
      </c>
      <c r="B270" s="3">
        <v>9817</v>
      </c>
      <c r="C270" s="3" t="s">
        <v>1116</v>
      </c>
      <c r="D270" s="3" t="s">
        <v>1117</v>
      </c>
      <c r="E270" s="5" t="s">
        <v>651</v>
      </c>
      <c r="F270" s="3" t="s">
        <v>1118</v>
      </c>
      <c r="G270" s="3" t="s">
        <v>1119</v>
      </c>
      <c r="H270" s="3" t="s">
        <v>137</v>
      </c>
      <c r="I270" s="3" t="s">
        <v>1070</v>
      </c>
      <c r="J270" s="3" t="s">
        <v>572</v>
      </c>
      <c r="K270" s="3" t="s">
        <v>1120</v>
      </c>
      <c r="L270" s="3" t="s">
        <v>498</v>
      </c>
      <c r="M270" s="3" t="s">
        <v>1071</v>
      </c>
      <c r="N270" s="3" t="s">
        <v>141</v>
      </c>
      <c r="O270" s="3" t="s">
        <v>576</v>
      </c>
      <c r="P270" s="154">
        <v>17</v>
      </c>
      <c r="Q270" s="162">
        <v>3.8807</v>
      </c>
      <c r="R270" s="172">
        <v>10084</v>
      </c>
      <c r="T270" s="153">
        <v>6.6529999999999996</v>
      </c>
      <c r="U270" s="164">
        <v>0</v>
      </c>
      <c r="V270" s="164">
        <v>5.75383980992898E-3</v>
      </c>
      <c r="W270" s="164">
        <v>3.4484886083388398E-3</v>
      </c>
    </row>
    <row r="271" spans="1:23">
      <c r="A271" s="3">
        <v>424</v>
      </c>
      <c r="B271" s="3">
        <v>9817</v>
      </c>
      <c r="C271" s="3" t="s">
        <v>1093</v>
      </c>
      <c r="D271" s="3" t="s">
        <v>1094</v>
      </c>
      <c r="E271" s="5" t="s">
        <v>651</v>
      </c>
      <c r="F271" s="3" t="s">
        <v>1132</v>
      </c>
      <c r="G271" s="3" t="s">
        <v>1133</v>
      </c>
      <c r="H271" s="3" t="s">
        <v>137</v>
      </c>
      <c r="I271" s="3" t="s">
        <v>1070</v>
      </c>
      <c r="J271" s="3" t="s">
        <v>572</v>
      </c>
      <c r="K271" s="3" t="s">
        <v>224</v>
      </c>
      <c r="L271" s="3" t="s">
        <v>914</v>
      </c>
      <c r="M271" s="3" t="s">
        <v>1134</v>
      </c>
      <c r="N271" s="3" t="s">
        <v>141</v>
      </c>
      <c r="O271" s="3" t="s">
        <v>664</v>
      </c>
      <c r="P271" s="154">
        <v>65</v>
      </c>
      <c r="Q271" s="162">
        <v>3.306</v>
      </c>
      <c r="R271" s="172">
        <v>13917</v>
      </c>
      <c r="T271" s="153">
        <v>29.905999999999999</v>
      </c>
      <c r="U271" s="164">
        <v>0</v>
      </c>
      <c r="V271" s="164">
        <v>2.5865910519032899E-2</v>
      </c>
      <c r="W271" s="164">
        <v>1.55023950467432E-2</v>
      </c>
    </row>
    <row r="272" spans="1:23">
      <c r="A272" s="3">
        <v>424</v>
      </c>
      <c r="B272" s="3">
        <v>9817</v>
      </c>
      <c r="C272" s="3" t="s">
        <v>1066</v>
      </c>
      <c r="D272" s="3" t="s">
        <v>1067</v>
      </c>
      <c r="E272" s="5" t="s">
        <v>651</v>
      </c>
      <c r="F272" s="3" t="s">
        <v>1137</v>
      </c>
      <c r="G272" s="3" t="s">
        <v>1138</v>
      </c>
      <c r="H272" s="3" t="s">
        <v>137</v>
      </c>
      <c r="I272" s="3" t="s">
        <v>1070</v>
      </c>
      <c r="J272" s="3" t="s">
        <v>572</v>
      </c>
      <c r="K272" s="3" t="s">
        <v>566</v>
      </c>
      <c r="L272" s="3" t="s">
        <v>1139</v>
      </c>
      <c r="M272" s="3" t="s">
        <v>1140</v>
      </c>
      <c r="N272" s="3" t="s">
        <v>141</v>
      </c>
      <c r="O272" s="3" t="s">
        <v>1141</v>
      </c>
      <c r="P272" s="154">
        <v>545</v>
      </c>
      <c r="Q272" s="162">
        <v>4.4409000000000001</v>
      </c>
      <c r="R272" s="172">
        <v>908.4</v>
      </c>
      <c r="T272" s="153">
        <v>21.986000000000001</v>
      </c>
      <c r="U272" s="164">
        <v>9.9999999999999995E-7</v>
      </c>
      <c r="V272" s="164">
        <v>1.9015623036447798E-2</v>
      </c>
      <c r="W272" s="164">
        <v>1.13967648714338E-2</v>
      </c>
    </row>
    <row r="273" spans="1:23">
      <c r="A273" s="3">
        <v>424</v>
      </c>
      <c r="B273" s="3">
        <v>9817</v>
      </c>
      <c r="C273" s="3" t="s">
        <v>1066</v>
      </c>
      <c r="D273" s="3" t="s">
        <v>1067</v>
      </c>
      <c r="E273" s="5" t="s">
        <v>651</v>
      </c>
      <c r="F273" s="3" t="s">
        <v>1277</v>
      </c>
      <c r="G273" s="3" t="s">
        <v>1278</v>
      </c>
      <c r="H273" s="3" t="s">
        <v>137</v>
      </c>
      <c r="I273" s="3" t="s">
        <v>1070</v>
      </c>
      <c r="J273" s="3" t="s">
        <v>572</v>
      </c>
      <c r="K273" s="3" t="s">
        <v>1107</v>
      </c>
      <c r="L273" s="3" t="s">
        <v>894</v>
      </c>
      <c r="M273" s="3" t="s">
        <v>1071</v>
      </c>
      <c r="N273" s="3" t="s">
        <v>141</v>
      </c>
      <c r="O273" s="3" t="s">
        <v>664</v>
      </c>
      <c r="P273" s="154">
        <v>21</v>
      </c>
      <c r="Q273" s="162">
        <v>3.306</v>
      </c>
      <c r="R273" s="172">
        <v>9122</v>
      </c>
      <c r="T273" s="153">
        <v>6.3330000000000002</v>
      </c>
      <c r="U273" s="164">
        <v>0</v>
      </c>
      <c r="V273" s="164">
        <v>5.4774465660116702E-3</v>
      </c>
      <c r="W273" s="164">
        <v>3.28283593385425E-3</v>
      </c>
    </row>
    <row r="274" spans="1:23">
      <c r="A274" s="3">
        <v>424</v>
      </c>
      <c r="B274" s="3">
        <v>9817</v>
      </c>
      <c r="C274" s="3" t="s">
        <v>1066</v>
      </c>
      <c r="D274" s="3" t="s">
        <v>1067</v>
      </c>
      <c r="E274" s="5" t="s">
        <v>651</v>
      </c>
      <c r="F274" s="3" t="s">
        <v>1151</v>
      </c>
      <c r="G274" s="3" t="s">
        <v>1152</v>
      </c>
      <c r="H274" s="3" t="s">
        <v>137</v>
      </c>
      <c r="I274" s="3" t="s">
        <v>1070</v>
      </c>
      <c r="J274" s="3" t="s">
        <v>572</v>
      </c>
      <c r="K274" s="3" t="s">
        <v>1120</v>
      </c>
      <c r="L274" s="3" t="s">
        <v>1153</v>
      </c>
      <c r="M274" s="3" t="s">
        <v>1111</v>
      </c>
      <c r="N274" s="3" t="s">
        <v>141</v>
      </c>
      <c r="O274" s="3" t="s">
        <v>576</v>
      </c>
      <c r="P274" s="154">
        <v>93</v>
      </c>
      <c r="Q274" s="162">
        <v>3.8807</v>
      </c>
      <c r="R274" s="172">
        <v>10690</v>
      </c>
      <c r="T274" s="153">
        <v>38.581000000000003</v>
      </c>
      <c r="U274" s="164">
        <v>1.9000000000000001E-5</v>
      </c>
      <c r="V274" s="164">
        <v>3.3368498284044E-2</v>
      </c>
      <c r="W274" s="164">
        <v>1.9998972861797502E-2</v>
      </c>
    </row>
    <row r="275" spans="1:23">
      <c r="A275" s="3">
        <v>424</v>
      </c>
      <c r="B275" s="3">
        <v>9817</v>
      </c>
      <c r="C275" s="3" t="s">
        <v>1097</v>
      </c>
      <c r="D275" s="3" t="s">
        <v>1098</v>
      </c>
      <c r="E275" s="5" t="s">
        <v>651</v>
      </c>
      <c r="F275" s="3" t="s">
        <v>1228</v>
      </c>
      <c r="G275" s="3" t="s">
        <v>1229</v>
      </c>
      <c r="H275" s="3" t="s">
        <v>137</v>
      </c>
      <c r="I275" s="3" t="s">
        <v>1070</v>
      </c>
      <c r="J275" s="3" t="s">
        <v>572</v>
      </c>
      <c r="K275" s="3" t="s">
        <v>224</v>
      </c>
      <c r="L275" s="3" t="s">
        <v>1139</v>
      </c>
      <c r="M275" s="3" t="s">
        <v>1206</v>
      </c>
      <c r="N275" s="3" t="s">
        <v>141</v>
      </c>
      <c r="O275" s="3" t="s">
        <v>664</v>
      </c>
      <c r="P275" s="154">
        <v>36</v>
      </c>
      <c r="Q275" s="162">
        <v>3.306</v>
      </c>
      <c r="R275" s="172">
        <v>132232</v>
      </c>
      <c r="T275" s="153">
        <v>157.37700000000001</v>
      </c>
      <c r="U275" s="164">
        <v>6.9999999999999999E-6</v>
      </c>
      <c r="V275" s="164">
        <v>0.13611558511294899</v>
      </c>
      <c r="W275" s="164">
        <v>8.1579095036567503E-2</v>
      </c>
    </row>
    <row r="276" spans="1:23">
      <c r="A276" s="3">
        <v>424</v>
      </c>
      <c r="B276" s="3">
        <v>9817</v>
      </c>
      <c r="C276" s="3" t="s">
        <v>1093</v>
      </c>
      <c r="D276" s="3" t="s">
        <v>1094</v>
      </c>
      <c r="E276" s="5" t="s">
        <v>651</v>
      </c>
      <c r="F276" s="3" t="s">
        <v>1279</v>
      </c>
      <c r="G276" s="3" t="s">
        <v>1280</v>
      </c>
      <c r="H276" s="3" t="s">
        <v>137</v>
      </c>
      <c r="I276" s="3" t="s">
        <v>1070</v>
      </c>
      <c r="J276" s="3" t="s">
        <v>572</v>
      </c>
      <c r="K276" s="3" t="s">
        <v>224</v>
      </c>
      <c r="L276" s="3" t="s">
        <v>914</v>
      </c>
      <c r="M276" s="3" t="s">
        <v>1206</v>
      </c>
      <c r="N276" s="3" t="s">
        <v>141</v>
      </c>
      <c r="O276" s="3" t="s">
        <v>664</v>
      </c>
      <c r="P276" s="154">
        <v>9</v>
      </c>
      <c r="Q276" s="162">
        <v>3.306</v>
      </c>
      <c r="R276" s="172">
        <v>66618</v>
      </c>
      <c r="S276" s="153">
        <v>1.2E-2</v>
      </c>
      <c r="T276" s="153">
        <v>19.861999999999998</v>
      </c>
      <c r="U276" s="164">
        <v>0</v>
      </c>
      <c r="V276" s="164">
        <v>1.7178705707169999E-2</v>
      </c>
      <c r="W276" s="164">
        <v>1.0295832503879301E-2</v>
      </c>
    </row>
    <row r="277" spans="1:23">
      <c r="A277" s="3">
        <v>424</v>
      </c>
      <c r="B277" s="3">
        <v>9817</v>
      </c>
      <c r="C277" s="3" t="s">
        <v>1184</v>
      </c>
      <c r="D277" s="3" t="s">
        <v>1185</v>
      </c>
      <c r="E277" s="5" t="s">
        <v>651</v>
      </c>
      <c r="F277" s="3" t="s">
        <v>1235</v>
      </c>
      <c r="G277" s="3" t="s">
        <v>1236</v>
      </c>
      <c r="H277" s="3" t="s">
        <v>137</v>
      </c>
      <c r="I277" s="3" t="s">
        <v>1070</v>
      </c>
      <c r="J277" s="3" t="s">
        <v>572</v>
      </c>
      <c r="K277" s="3" t="s">
        <v>224</v>
      </c>
      <c r="L277" s="3" t="s">
        <v>914</v>
      </c>
      <c r="M277" s="3" t="s">
        <v>1206</v>
      </c>
      <c r="N277" s="3" t="s">
        <v>141</v>
      </c>
      <c r="O277" s="3" t="s">
        <v>664</v>
      </c>
      <c r="P277" s="154">
        <v>14</v>
      </c>
      <c r="Q277" s="162">
        <v>3.306</v>
      </c>
      <c r="R277" s="172">
        <v>61238</v>
      </c>
      <c r="S277" s="153">
        <v>2.4E-2</v>
      </c>
      <c r="T277" s="153">
        <v>28.423999999999999</v>
      </c>
      <c r="U277" s="164">
        <v>0</v>
      </c>
      <c r="V277" s="164">
        <v>2.4583859424973199E-2</v>
      </c>
      <c r="W277" s="164">
        <v>1.47340144975413E-2</v>
      </c>
    </row>
    <row r="278" spans="1:23">
      <c r="A278" s="3">
        <v>424</v>
      </c>
      <c r="B278" s="3">
        <v>9817</v>
      </c>
      <c r="C278" s="3" t="s">
        <v>1188</v>
      </c>
      <c r="D278" s="3" t="s">
        <v>1189</v>
      </c>
      <c r="E278" s="5" t="s">
        <v>651</v>
      </c>
      <c r="F278" s="3" t="s">
        <v>1241</v>
      </c>
      <c r="G278" s="3" t="s">
        <v>1242</v>
      </c>
      <c r="H278" s="3" t="s">
        <v>137</v>
      </c>
      <c r="I278" s="3" t="s">
        <v>1070</v>
      </c>
      <c r="J278" s="3" t="s">
        <v>572</v>
      </c>
      <c r="K278" s="3" t="s">
        <v>797</v>
      </c>
      <c r="L278" s="3" t="s">
        <v>914</v>
      </c>
      <c r="M278" s="3" t="s">
        <v>1108</v>
      </c>
      <c r="N278" s="3" t="s">
        <v>141</v>
      </c>
      <c r="O278" s="3" t="s">
        <v>664</v>
      </c>
      <c r="P278" s="154">
        <v>398</v>
      </c>
      <c r="Q278" s="162">
        <v>3.306</v>
      </c>
      <c r="R278" s="172">
        <v>3794</v>
      </c>
      <c r="T278" s="153">
        <v>49.920999999999999</v>
      </c>
      <c r="U278" s="164">
        <v>5.0000000000000004E-6</v>
      </c>
      <c r="V278" s="164">
        <v>4.3176674100481399E-2</v>
      </c>
      <c r="W278" s="164">
        <v>2.5877374709760401E-2</v>
      </c>
    </row>
    <row r="279" spans="1:23">
      <c r="A279" s="3">
        <v>424</v>
      </c>
      <c r="B279" s="3">
        <v>15416</v>
      </c>
      <c r="C279" s="3" t="s">
        <v>1072</v>
      </c>
      <c r="D279" s="3" t="s">
        <v>1073</v>
      </c>
      <c r="E279" s="5" t="s">
        <v>134</v>
      </c>
      <c r="F279" s="3" t="s">
        <v>1257</v>
      </c>
      <c r="G279" s="3" t="s">
        <v>1258</v>
      </c>
      <c r="H279" s="3" t="s">
        <v>137</v>
      </c>
      <c r="I279" s="3" t="s">
        <v>1070</v>
      </c>
      <c r="J279" s="3" t="s">
        <v>30</v>
      </c>
      <c r="K279" s="3" t="s">
        <v>224</v>
      </c>
      <c r="L279" s="3" t="s">
        <v>31</v>
      </c>
      <c r="M279" s="3" t="s">
        <v>1206</v>
      </c>
      <c r="N279" s="3" t="s">
        <v>141</v>
      </c>
      <c r="O279" s="3" t="s">
        <v>34</v>
      </c>
      <c r="P279" s="154">
        <v>10089</v>
      </c>
      <c r="Q279" s="162">
        <v>1</v>
      </c>
      <c r="R279" s="172">
        <v>9467</v>
      </c>
      <c r="T279" s="153">
        <v>955.12599999999998</v>
      </c>
      <c r="U279" s="164">
        <v>1.16E-4</v>
      </c>
      <c r="V279" s="164">
        <v>0.101756406174295</v>
      </c>
      <c r="W279" s="164">
        <v>9.1846432114482707E-2</v>
      </c>
    </row>
    <row r="280" spans="1:23">
      <c r="A280" s="3">
        <v>424</v>
      </c>
      <c r="B280" s="3">
        <v>15416</v>
      </c>
      <c r="C280" s="3" t="s">
        <v>1261</v>
      </c>
      <c r="D280" s="3" t="s">
        <v>1262</v>
      </c>
      <c r="E280" s="5" t="s">
        <v>134</v>
      </c>
      <c r="F280" s="3" t="s">
        <v>1281</v>
      </c>
      <c r="G280" s="3" t="s">
        <v>1282</v>
      </c>
      <c r="H280" s="3" t="s">
        <v>137</v>
      </c>
      <c r="I280" s="3" t="s">
        <v>1070</v>
      </c>
      <c r="J280" s="3" t="s">
        <v>30</v>
      </c>
      <c r="K280" s="3" t="s">
        <v>224</v>
      </c>
      <c r="L280" s="3" t="s">
        <v>31</v>
      </c>
      <c r="M280" s="3" t="s">
        <v>1206</v>
      </c>
      <c r="N280" s="3" t="s">
        <v>141</v>
      </c>
      <c r="O280" s="3" t="s">
        <v>34</v>
      </c>
      <c r="P280" s="154">
        <v>5616</v>
      </c>
      <c r="Q280" s="162">
        <v>1</v>
      </c>
      <c r="R280" s="172">
        <v>21730</v>
      </c>
      <c r="T280" s="153">
        <v>1220.357</v>
      </c>
      <c r="U280" s="164">
        <v>5.5999999999999999E-5</v>
      </c>
      <c r="V280" s="164">
        <v>0.130013391241908</v>
      </c>
      <c r="W280" s="164">
        <v>0.117351492270862</v>
      </c>
    </row>
    <row r="281" spans="1:23">
      <c r="A281" s="3">
        <v>424</v>
      </c>
      <c r="B281" s="3">
        <v>15416</v>
      </c>
      <c r="C281" s="3" t="s">
        <v>1081</v>
      </c>
      <c r="D281" s="3" t="s">
        <v>1082</v>
      </c>
      <c r="E281" s="5" t="s">
        <v>134</v>
      </c>
      <c r="F281" s="3" t="s">
        <v>1204</v>
      </c>
      <c r="G281" s="3" t="s">
        <v>1205</v>
      </c>
      <c r="H281" s="3" t="s">
        <v>137</v>
      </c>
      <c r="I281" s="3" t="s">
        <v>1070</v>
      </c>
      <c r="J281" s="3" t="s">
        <v>30</v>
      </c>
      <c r="K281" s="3" t="s">
        <v>224</v>
      </c>
      <c r="L281" s="3" t="s">
        <v>31</v>
      </c>
      <c r="M281" s="3" t="s">
        <v>1206</v>
      </c>
      <c r="N281" s="3" t="s">
        <v>141</v>
      </c>
      <c r="O281" s="3" t="s">
        <v>34</v>
      </c>
      <c r="P281" s="154">
        <v>32946</v>
      </c>
      <c r="Q281" s="162">
        <v>1</v>
      </c>
      <c r="R281" s="172">
        <v>2569</v>
      </c>
      <c r="T281" s="153">
        <v>846.38300000000004</v>
      </c>
      <c r="U281" s="164">
        <v>8.7000000000000001E-5</v>
      </c>
      <c r="V281" s="164">
        <v>9.0171243619913202E-2</v>
      </c>
      <c r="W281" s="164">
        <v>8.1389539166988795E-2</v>
      </c>
    </row>
    <row r="282" spans="1:23">
      <c r="A282" s="3">
        <v>424</v>
      </c>
      <c r="B282" s="3">
        <v>15416</v>
      </c>
      <c r="C282" s="3" t="s">
        <v>1086</v>
      </c>
      <c r="D282" s="3" t="s">
        <v>1087</v>
      </c>
      <c r="E282" s="5" t="s">
        <v>134</v>
      </c>
      <c r="F282" s="3" t="s">
        <v>1250</v>
      </c>
      <c r="G282" s="3" t="s">
        <v>1251</v>
      </c>
      <c r="H282" s="3" t="s">
        <v>137</v>
      </c>
      <c r="I282" s="3" t="s">
        <v>1070</v>
      </c>
      <c r="J282" s="3" t="s">
        <v>30</v>
      </c>
      <c r="K282" s="3" t="s">
        <v>224</v>
      </c>
      <c r="L282" s="3" t="s">
        <v>31</v>
      </c>
      <c r="M282" s="3" t="s">
        <v>1206</v>
      </c>
      <c r="N282" s="3" t="s">
        <v>141</v>
      </c>
      <c r="O282" s="3" t="s">
        <v>34</v>
      </c>
      <c r="P282" s="154">
        <v>5350</v>
      </c>
      <c r="Q282" s="162">
        <v>1</v>
      </c>
      <c r="R282" s="172">
        <v>10950</v>
      </c>
      <c r="T282" s="153">
        <v>585.82500000000005</v>
      </c>
      <c r="U282" s="164">
        <v>7.7999999999999999E-5</v>
      </c>
      <c r="V282" s="164">
        <v>6.2412152678864498E-2</v>
      </c>
      <c r="W282" s="164">
        <v>5.6333883631064202E-2</v>
      </c>
    </row>
    <row r="283" spans="1:23">
      <c r="A283" s="3">
        <v>424</v>
      </c>
      <c r="B283" s="3">
        <v>15416</v>
      </c>
      <c r="C283" s="3" t="s">
        <v>1211</v>
      </c>
      <c r="D283" s="3" t="s">
        <v>1212</v>
      </c>
      <c r="E283" s="5" t="s">
        <v>134</v>
      </c>
      <c r="F283" s="3" t="s">
        <v>1215</v>
      </c>
      <c r="G283" s="3" t="s">
        <v>1216</v>
      </c>
      <c r="H283" s="3" t="s">
        <v>137</v>
      </c>
      <c r="I283" s="3" t="s">
        <v>1070</v>
      </c>
      <c r="J283" s="3" t="s">
        <v>30</v>
      </c>
      <c r="K283" s="3" t="s">
        <v>224</v>
      </c>
      <c r="L283" s="3" t="s">
        <v>31</v>
      </c>
      <c r="M283" s="3" t="s">
        <v>1206</v>
      </c>
      <c r="N283" s="3" t="s">
        <v>141</v>
      </c>
      <c r="O283" s="3" t="s">
        <v>34</v>
      </c>
      <c r="P283" s="154">
        <v>3493</v>
      </c>
      <c r="Q283" s="162">
        <v>1</v>
      </c>
      <c r="R283" s="172">
        <v>24260</v>
      </c>
      <c r="T283" s="153">
        <v>847.40200000000004</v>
      </c>
      <c r="U283" s="164">
        <v>1.1900000000000001E-4</v>
      </c>
      <c r="V283" s="164">
        <v>9.0279811414577096E-2</v>
      </c>
      <c r="W283" s="164">
        <v>8.14875336319794E-2</v>
      </c>
    </row>
    <row r="284" spans="1:23">
      <c r="A284" s="3">
        <v>424</v>
      </c>
      <c r="B284" s="3">
        <v>15416</v>
      </c>
      <c r="C284" s="3" t="s">
        <v>1066</v>
      </c>
      <c r="D284" s="3" t="s">
        <v>1067</v>
      </c>
      <c r="E284" s="5" t="s">
        <v>651</v>
      </c>
      <c r="F284" s="3" t="s">
        <v>1224</v>
      </c>
      <c r="G284" s="3" t="s">
        <v>1225</v>
      </c>
      <c r="H284" s="3" t="s">
        <v>137</v>
      </c>
      <c r="I284" s="3" t="s">
        <v>1070</v>
      </c>
      <c r="J284" s="3" t="s">
        <v>572</v>
      </c>
      <c r="K284" s="3" t="s">
        <v>224</v>
      </c>
      <c r="L284" s="3" t="s">
        <v>914</v>
      </c>
      <c r="M284" s="3" t="s">
        <v>1206</v>
      </c>
      <c r="N284" s="3" t="s">
        <v>141</v>
      </c>
      <c r="O284" s="3" t="s">
        <v>664</v>
      </c>
      <c r="P284" s="154">
        <v>565</v>
      </c>
      <c r="Q284" s="162">
        <v>3.306</v>
      </c>
      <c r="R284" s="172">
        <v>66930</v>
      </c>
      <c r="T284" s="153">
        <v>1250.1790000000001</v>
      </c>
      <c r="U284" s="164">
        <v>9.9999999999999995E-7</v>
      </c>
      <c r="V284" s="164">
        <v>0.13319054104212</v>
      </c>
      <c r="W284" s="164">
        <v>0.120219222022864</v>
      </c>
    </row>
    <row r="285" spans="1:23">
      <c r="A285" s="3">
        <v>424</v>
      </c>
      <c r="B285" s="3">
        <v>15416</v>
      </c>
      <c r="C285" s="3" t="s">
        <v>1154</v>
      </c>
      <c r="D285" s="3" t="s">
        <v>1102</v>
      </c>
      <c r="E285" s="5" t="s">
        <v>651</v>
      </c>
      <c r="F285" s="3" t="s">
        <v>1226</v>
      </c>
      <c r="G285" s="3" t="s">
        <v>1227</v>
      </c>
      <c r="H285" s="3" t="s">
        <v>137</v>
      </c>
      <c r="I285" s="3" t="s">
        <v>1070</v>
      </c>
      <c r="J285" s="3" t="s">
        <v>572</v>
      </c>
      <c r="K285" s="3" t="s">
        <v>224</v>
      </c>
      <c r="L285" s="3" t="s">
        <v>1139</v>
      </c>
      <c r="M285" s="3" t="s">
        <v>1206</v>
      </c>
      <c r="N285" s="3" t="s">
        <v>141</v>
      </c>
      <c r="O285" s="3" t="s">
        <v>664</v>
      </c>
      <c r="P285" s="154">
        <v>766</v>
      </c>
      <c r="Q285" s="162">
        <v>3.306</v>
      </c>
      <c r="R285" s="172">
        <v>47917</v>
      </c>
      <c r="T285" s="153">
        <v>1213.4480000000001</v>
      </c>
      <c r="U285" s="164">
        <v>8.6000000000000003E-5</v>
      </c>
      <c r="V285" s="164">
        <v>0.129277367446858</v>
      </c>
      <c r="W285" s="164">
        <v>0.11668714923765</v>
      </c>
    </row>
    <row r="286" spans="1:23">
      <c r="A286" s="3">
        <v>424</v>
      </c>
      <c r="B286" s="3">
        <v>15416</v>
      </c>
      <c r="C286" s="3" t="s">
        <v>1097</v>
      </c>
      <c r="D286" s="3" t="s">
        <v>1098</v>
      </c>
      <c r="E286" s="5" t="s">
        <v>651</v>
      </c>
      <c r="F286" s="3" t="s">
        <v>1228</v>
      </c>
      <c r="G286" s="3" t="s">
        <v>1229</v>
      </c>
      <c r="H286" s="3" t="s">
        <v>137</v>
      </c>
      <c r="I286" s="3" t="s">
        <v>1070</v>
      </c>
      <c r="J286" s="3" t="s">
        <v>572</v>
      </c>
      <c r="K286" s="3" t="s">
        <v>224</v>
      </c>
      <c r="L286" s="3" t="s">
        <v>1139</v>
      </c>
      <c r="M286" s="3" t="s">
        <v>1206</v>
      </c>
      <c r="N286" s="3" t="s">
        <v>141</v>
      </c>
      <c r="O286" s="3" t="s">
        <v>664</v>
      </c>
      <c r="P286" s="154">
        <v>277</v>
      </c>
      <c r="Q286" s="162">
        <v>3.306</v>
      </c>
      <c r="R286" s="172">
        <v>132232</v>
      </c>
      <c r="T286" s="153">
        <v>1210.93</v>
      </c>
      <c r="U286" s="164">
        <v>5.5000000000000002E-5</v>
      </c>
      <c r="V286" s="164">
        <v>0.12900912985548499</v>
      </c>
      <c r="W286" s="164">
        <v>0.116445035088253</v>
      </c>
    </row>
    <row r="287" spans="1:23">
      <c r="A287" s="3">
        <v>424</v>
      </c>
      <c r="B287" s="3">
        <v>15416</v>
      </c>
      <c r="C287" s="3" t="s">
        <v>1184</v>
      </c>
      <c r="D287" s="3" t="s">
        <v>1185</v>
      </c>
      <c r="E287" s="5" t="s">
        <v>651</v>
      </c>
      <c r="F287" s="3" t="s">
        <v>1235</v>
      </c>
      <c r="G287" s="3" t="s">
        <v>1236</v>
      </c>
      <c r="H287" s="3" t="s">
        <v>137</v>
      </c>
      <c r="I287" s="3" t="s">
        <v>1070</v>
      </c>
      <c r="J287" s="3" t="s">
        <v>572</v>
      </c>
      <c r="K287" s="3" t="s">
        <v>224</v>
      </c>
      <c r="L287" s="3" t="s">
        <v>914</v>
      </c>
      <c r="M287" s="3" t="s">
        <v>1206</v>
      </c>
      <c r="N287" s="3" t="s">
        <v>141</v>
      </c>
      <c r="O287" s="3" t="s">
        <v>664</v>
      </c>
      <c r="P287" s="154">
        <v>619</v>
      </c>
      <c r="Q287" s="162">
        <v>3.306</v>
      </c>
      <c r="R287" s="172">
        <v>61238</v>
      </c>
      <c r="S287" s="153">
        <v>1.077</v>
      </c>
      <c r="T287" s="153">
        <v>1256.7439999999999</v>
      </c>
      <c r="U287" s="164">
        <v>9.9999999999999995E-7</v>
      </c>
      <c r="V287" s="164">
        <v>0.13388995652597799</v>
      </c>
      <c r="W287" s="164">
        <v>0.12085052199868999</v>
      </c>
    </row>
    <row r="288" spans="1:23">
      <c r="A288" s="3">
        <v>969</v>
      </c>
      <c r="B288" s="3">
        <v>969</v>
      </c>
      <c r="C288" s="3" t="s">
        <v>1066</v>
      </c>
      <c r="D288" s="3" t="s">
        <v>1067</v>
      </c>
      <c r="E288" s="5" t="s">
        <v>651</v>
      </c>
      <c r="F288" s="3" t="s">
        <v>1068</v>
      </c>
      <c r="G288" s="3" t="s">
        <v>1069</v>
      </c>
      <c r="H288" s="3" t="s">
        <v>137</v>
      </c>
      <c r="I288" s="3" t="s">
        <v>1070</v>
      </c>
      <c r="J288" s="3" t="s">
        <v>572</v>
      </c>
      <c r="K288" s="3" t="s">
        <v>224</v>
      </c>
      <c r="L288" s="3" t="s">
        <v>914</v>
      </c>
      <c r="M288" s="3" t="s">
        <v>1071</v>
      </c>
      <c r="N288" s="3" t="s">
        <v>141</v>
      </c>
      <c r="O288" s="3" t="s">
        <v>664</v>
      </c>
      <c r="P288" s="154">
        <v>618</v>
      </c>
      <c r="Q288" s="162">
        <v>3.306</v>
      </c>
      <c r="R288" s="172">
        <v>10725</v>
      </c>
      <c r="T288" s="153">
        <v>219.12299999999999</v>
      </c>
      <c r="U288" s="164">
        <v>1.7E-5</v>
      </c>
      <c r="V288" s="164">
        <v>9.9310130601731293E-3</v>
      </c>
      <c r="W288" s="164">
        <v>2.8866767636499999E-3</v>
      </c>
    </row>
    <row r="289" spans="1:23">
      <c r="A289" s="3">
        <v>969</v>
      </c>
      <c r="B289" s="3">
        <v>969</v>
      </c>
      <c r="C289" s="3" t="s">
        <v>1072</v>
      </c>
      <c r="D289" s="3" t="s">
        <v>1073</v>
      </c>
      <c r="E289" s="5" t="s">
        <v>134</v>
      </c>
      <c r="F289" s="3" t="s">
        <v>1074</v>
      </c>
      <c r="G289" s="3" t="s">
        <v>1075</v>
      </c>
      <c r="H289" s="3" t="s">
        <v>137</v>
      </c>
      <c r="I289" s="3" t="s">
        <v>1076</v>
      </c>
      <c r="J289" s="3" t="s">
        <v>30</v>
      </c>
      <c r="K289" s="3" t="s">
        <v>30</v>
      </c>
      <c r="L289" s="3" t="s">
        <v>31</v>
      </c>
      <c r="M289" s="3" t="s">
        <v>1077</v>
      </c>
      <c r="N289" s="3" t="s">
        <v>141</v>
      </c>
      <c r="O289" s="3" t="s">
        <v>34</v>
      </c>
      <c r="P289" s="154">
        <v>8652</v>
      </c>
      <c r="Q289" s="162">
        <v>1</v>
      </c>
      <c r="R289" s="172">
        <v>4301</v>
      </c>
      <c r="T289" s="153">
        <v>372.12299999999999</v>
      </c>
      <c r="U289" s="164">
        <v>1.2400000000000001E-4</v>
      </c>
      <c r="V289" s="164">
        <v>1.6865176133956199E-2</v>
      </c>
      <c r="W289" s="164">
        <v>4.9022503309352396E-3</v>
      </c>
    </row>
    <row r="290" spans="1:23">
      <c r="A290" s="3">
        <v>969</v>
      </c>
      <c r="B290" s="3">
        <v>969</v>
      </c>
      <c r="C290" s="3" t="s">
        <v>1072</v>
      </c>
      <c r="D290" s="3" t="s">
        <v>1073</v>
      </c>
      <c r="E290" s="5" t="s">
        <v>134</v>
      </c>
      <c r="F290" s="3" t="s">
        <v>1078</v>
      </c>
      <c r="G290" s="3" t="s">
        <v>1079</v>
      </c>
      <c r="H290" s="3" t="s">
        <v>137</v>
      </c>
      <c r="I290" s="3" t="s">
        <v>1076</v>
      </c>
      <c r="J290" s="3" t="s">
        <v>30</v>
      </c>
      <c r="K290" s="3" t="s">
        <v>30</v>
      </c>
      <c r="L290" s="3" t="s">
        <v>31</v>
      </c>
      <c r="M290" s="3" t="s">
        <v>1080</v>
      </c>
      <c r="N290" s="3" t="s">
        <v>141</v>
      </c>
      <c r="O290" s="3" t="s">
        <v>34</v>
      </c>
      <c r="P290" s="154">
        <v>2287</v>
      </c>
      <c r="Q290" s="162">
        <v>1</v>
      </c>
      <c r="R290" s="172">
        <v>4757</v>
      </c>
      <c r="T290" s="153">
        <v>108.79300000000001</v>
      </c>
      <c r="U290" s="164">
        <v>3.8000000000000002E-5</v>
      </c>
      <c r="V290" s="164">
        <v>4.93065077711309E-3</v>
      </c>
      <c r="W290" s="164">
        <v>1.4332067576313301E-3</v>
      </c>
    </row>
    <row r="291" spans="1:23">
      <c r="A291" s="3">
        <v>969</v>
      </c>
      <c r="B291" s="3">
        <v>969</v>
      </c>
      <c r="C291" s="3" t="s">
        <v>1072</v>
      </c>
      <c r="D291" s="3" t="s">
        <v>1073</v>
      </c>
      <c r="E291" s="5" t="s">
        <v>134</v>
      </c>
      <c r="F291" s="3" t="s">
        <v>1195</v>
      </c>
      <c r="G291" s="3" t="s">
        <v>1196</v>
      </c>
      <c r="H291" s="3" t="s">
        <v>137</v>
      </c>
      <c r="I291" s="3" t="s">
        <v>1197</v>
      </c>
      <c r="J291" s="3" t="s">
        <v>30</v>
      </c>
      <c r="K291" s="3" t="s">
        <v>30</v>
      </c>
      <c r="L291" s="3" t="s">
        <v>31</v>
      </c>
      <c r="M291" s="3" t="s">
        <v>1198</v>
      </c>
      <c r="N291" s="3" t="s">
        <v>141</v>
      </c>
      <c r="O291" s="3" t="s">
        <v>34</v>
      </c>
      <c r="P291" s="154">
        <v>121659</v>
      </c>
      <c r="Q291" s="162">
        <v>1</v>
      </c>
      <c r="R291" s="172">
        <v>499.28</v>
      </c>
      <c r="T291" s="153">
        <v>607.41899999999998</v>
      </c>
      <c r="U291" s="164">
        <v>5.7899999999999998E-4</v>
      </c>
      <c r="V291" s="164">
        <v>2.7529184079128698E-2</v>
      </c>
      <c r="W291" s="164">
        <v>8.0019888728329793E-3</v>
      </c>
    </row>
    <row r="292" spans="1:23">
      <c r="A292" s="3">
        <v>969</v>
      </c>
      <c r="B292" s="3">
        <v>969</v>
      </c>
      <c r="C292" s="3" t="s">
        <v>1081</v>
      </c>
      <c r="D292" s="3" t="s">
        <v>1082</v>
      </c>
      <c r="E292" s="5" t="s">
        <v>134</v>
      </c>
      <c r="F292" s="3" t="s">
        <v>1246</v>
      </c>
      <c r="G292" s="3" t="s">
        <v>1247</v>
      </c>
      <c r="H292" s="3" t="s">
        <v>137</v>
      </c>
      <c r="I292" s="3" t="s">
        <v>1197</v>
      </c>
      <c r="J292" s="3" t="s">
        <v>30</v>
      </c>
      <c r="K292" s="3" t="s">
        <v>30</v>
      </c>
      <c r="L292" s="3" t="s">
        <v>31</v>
      </c>
      <c r="M292" s="3" t="s">
        <v>1198</v>
      </c>
      <c r="N292" s="3" t="s">
        <v>141</v>
      </c>
      <c r="O292" s="3" t="s">
        <v>34</v>
      </c>
      <c r="P292" s="154">
        <v>97248</v>
      </c>
      <c r="Q292" s="162">
        <v>1</v>
      </c>
      <c r="R292" s="172">
        <v>390.79</v>
      </c>
      <c r="T292" s="153">
        <v>380.03500000000003</v>
      </c>
      <c r="U292" s="164">
        <v>3.1500000000000001E-4</v>
      </c>
      <c r="V292" s="164">
        <v>1.7223802946827599E-2</v>
      </c>
      <c r="W292" s="164">
        <v>5.0064934410051897E-3</v>
      </c>
    </row>
    <row r="293" spans="1:23">
      <c r="A293" s="3">
        <v>969</v>
      </c>
      <c r="B293" s="3">
        <v>969</v>
      </c>
      <c r="C293" s="3" t="s">
        <v>1081</v>
      </c>
      <c r="D293" s="3" t="s">
        <v>1082</v>
      </c>
      <c r="E293" s="5" t="s">
        <v>134</v>
      </c>
      <c r="F293" s="3" t="s">
        <v>1248</v>
      </c>
      <c r="G293" s="3" t="s">
        <v>1249</v>
      </c>
      <c r="H293" s="3" t="s">
        <v>137</v>
      </c>
      <c r="I293" s="3" t="s">
        <v>1197</v>
      </c>
      <c r="J293" s="3" t="s">
        <v>30</v>
      </c>
      <c r="K293" s="3" t="s">
        <v>30</v>
      </c>
      <c r="L293" s="3" t="s">
        <v>31</v>
      </c>
      <c r="M293" s="3" t="s">
        <v>1245</v>
      </c>
      <c r="N293" s="3" t="s">
        <v>141</v>
      </c>
      <c r="O293" s="3" t="s">
        <v>34</v>
      </c>
      <c r="P293" s="154">
        <v>266291</v>
      </c>
      <c r="Q293" s="162">
        <v>1</v>
      </c>
      <c r="R293" s="172">
        <v>419.81</v>
      </c>
      <c r="T293" s="153">
        <v>1117.9159999999999</v>
      </c>
      <c r="U293" s="164">
        <v>9.7599999999999998E-4</v>
      </c>
      <c r="V293" s="164">
        <v>5.0665717329746097E-2</v>
      </c>
      <c r="W293" s="164">
        <v>1.47271530148292E-2</v>
      </c>
    </row>
    <row r="294" spans="1:23">
      <c r="A294" s="3">
        <v>969</v>
      </c>
      <c r="B294" s="3">
        <v>969</v>
      </c>
      <c r="C294" s="3" t="s">
        <v>1081</v>
      </c>
      <c r="D294" s="3" t="s">
        <v>1082</v>
      </c>
      <c r="E294" s="5" t="s">
        <v>134</v>
      </c>
      <c r="F294" s="3" t="s">
        <v>1083</v>
      </c>
      <c r="G294" s="3" t="s">
        <v>1084</v>
      </c>
      <c r="H294" s="3" t="s">
        <v>137</v>
      </c>
      <c r="I294" s="3" t="s">
        <v>1076</v>
      </c>
      <c r="J294" s="3" t="s">
        <v>30</v>
      </c>
      <c r="K294" s="3" t="s">
        <v>30</v>
      </c>
      <c r="L294" s="3" t="s">
        <v>31</v>
      </c>
      <c r="M294" s="3" t="s">
        <v>1085</v>
      </c>
      <c r="N294" s="3" t="s">
        <v>141</v>
      </c>
      <c r="O294" s="3" t="s">
        <v>34</v>
      </c>
      <c r="P294" s="154">
        <v>10457</v>
      </c>
      <c r="Q294" s="162">
        <v>1</v>
      </c>
      <c r="R294" s="172">
        <v>3192</v>
      </c>
      <c r="T294" s="153">
        <v>333.78699999999998</v>
      </c>
      <c r="U294" s="164">
        <v>5.1E-5</v>
      </c>
      <c r="V294" s="164">
        <v>1.5127770194887299E-2</v>
      </c>
      <c r="W294" s="164">
        <v>4.3972334386051803E-3</v>
      </c>
    </row>
    <row r="295" spans="1:23">
      <c r="A295" s="3">
        <v>969</v>
      </c>
      <c r="B295" s="3">
        <v>969</v>
      </c>
      <c r="C295" s="3" t="s">
        <v>1086</v>
      </c>
      <c r="D295" s="3" t="s">
        <v>1087</v>
      </c>
      <c r="E295" s="5" t="s">
        <v>134</v>
      </c>
      <c r="F295" s="3" t="s">
        <v>1088</v>
      </c>
      <c r="G295" s="3" t="s">
        <v>1089</v>
      </c>
      <c r="H295" s="3" t="s">
        <v>137</v>
      </c>
      <c r="I295" s="3" t="s">
        <v>1070</v>
      </c>
      <c r="J295" s="3" t="s">
        <v>30</v>
      </c>
      <c r="K295" s="3" t="s">
        <v>224</v>
      </c>
      <c r="L295" s="3" t="s">
        <v>31</v>
      </c>
      <c r="M295" s="3" t="s">
        <v>1090</v>
      </c>
      <c r="N295" s="3" t="s">
        <v>141</v>
      </c>
      <c r="O295" s="3" t="s">
        <v>34</v>
      </c>
      <c r="P295" s="154">
        <v>5044</v>
      </c>
      <c r="Q295" s="162">
        <v>1</v>
      </c>
      <c r="R295" s="172">
        <v>12290</v>
      </c>
      <c r="T295" s="153">
        <v>619.90800000000002</v>
      </c>
      <c r="U295" s="164">
        <v>5.31E-4</v>
      </c>
      <c r="V295" s="164">
        <v>2.8095184512826801E-2</v>
      </c>
      <c r="W295" s="164">
        <v>8.1665098829527098E-3</v>
      </c>
    </row>
    <row r="296" spans="1:23">
      <c r="A296" s="3">
        <v>969</v>
      </c>
      <c r="B296" s="3">
        <v>969</v>
      </c>
      <c r="C296" s="3" t="s">
        <v>1072</v>
      </c>
      <c r="D296" s="3" t="s">
        <v>1073</v>
      </c>
      <c r="E296" s="5" t="s">
        <v>134</v>
      </c>
      <c r="F296" s="3" t="s">
        <v>1091</v>
      </c>
      <c r="G296" s="3" t="s">
        <v>1092</v>
      </c>
      <c r="H296" s="3" t="s">
        <v>137</v>
      </c>
      <c r="I296" s="3" t="s">
        <v>1070</v>
      </c>
      <c r="J296" s="3" t="s">
        <v>30</v>
      </c>
      <c r="K296" s="3" t="s">
        <v>224</v>
      </c>
      <c r="L296" s="3" t="s">
        <v>31</v>
      </c>
      <c r="M296" s="3" t="s">
        <v>1071</v>
      </c>
      <c r="N296" s="3" t="s">
        <v>141</v>
      </c>
      <c r="O296" s="3" t="s">
        <v>34</v>
      </c>
      <c r="P296" s="154">
        <v>4783</v>
      </c>
      <c r="Q296" s="162">
        <v>1</v>
      </c>
      <c r="R296" s="172">
        <v>3273</v>
      </c>
      <c r="T296" s="153">
        <v>156.548</v>
      </c>
      <c r="U296" s="164">
        <v>2.3900000000000001E-4</v>
      </c>
      <c r="V296" s="164">
        <v>7.0949822620151003E-3</v>
      </c>
      <c r="W296" s="164">
        <v>2.06231935354144E-3</v>
      </c>
    </row>
    <row r="297" spans="1:23">
      <c r="A297" s="3">
        <v>969</v>
      </c>
      <c r="B297" s="3">
        <v>969</v>
      </c>
      <c r="C297" s="3" t="s">
        <v>1211</v>
      </c>
      <c r="D297" s="3" t="s">
        <v>1212</v>
      </c>
      <c r="E297" s="5" t="s">
        <v>134</v>
      </c>
      <c r="F297" s="3" t="s">
        <v>1217</v>
      </c>
      <c r="G297" s="3" t="s">
        <v>1218</v>
      </c>
      <c r="H297" s="3" t="s">
        <v>137</v>
      </c>
      <c r="I297" s="3" t="s">
        <v>1076</v>
      </c>
      <c r="J297" s="3" t="s">
        <v>30</v>
      </c>
      <c r="K297" s="3" t="s">
        <v>30</v>
      </c>
      <c r="L297" s="3" t="s">
        <v>31</v>
      </c>
      <c r="M297" s="3" t="s">
        <v>1085</v>
      </c>
      <c r="N297" s="3" t="s">
        <v>141</v>
      </c>
      <c r="O297" s="3" t="s">
        <v>34</v>
      </c>
      <c r="P297" s="154">
        <v>1867</v>
      </c>
      <c r="Q297" s="162">
        <v>1</v>
      </c>
      <c r="R297" s="172">
        <v>31750</v>
      </c>
      <c r="T297" s="153">
        <v>592.77300000000002</v>
      </c>
      <c r="U297" s="164">
        <v>5.3000000000000001E-5</v>
      </c>
      <c r="V297" s="164">
        <v>2.6865379230113701E-2</v>
      </c>
      <c r="W297" s="164">
        <v>7.8090387657653903E-3</v>
      </c>
    </row>
    <row r="298" spans="1:23">
      <c r="A298" s="3">
        <v>969</v>
      </c>
      <c r="B298" s="3">
        <v>969</v>
      </c>
      <c r="C298" s="3" t="s">
        <v>1093</v>
      </c>
      <c r="D298" s="3" t="s">
        <v>1094</v>
      </c>
      <c r="E298" s="5" t="s">
        <v>651</v>
      </c>
      <c r="F298" s="3" t="s">
        <v>1095</v>
      </c>
      <c r="G298" s="3" t="s">
        <v>1096</v>
      </c>
      <c r="H298" s="3" t="s">
        <v>137</v>
      </c>
      <c r="I298" s="3" t="s">
        <v>1070</v>
      </c>
      <c r="J298" s="3" t="s">
        <v>572</v>
      </c>
      <c r="K298" s="3" t="s">
        <v>224</v>
      </c>
      <c r="L298" s="3" t="s">
        <v>914</v>
      </c>
      <c r="M298" s="3" t="s">
        <v>1071</v>
      </c>
      <c r="N298" s="3" t="s">
        <v>141</v>
      </c>
      <c r="O298" s="3" t="s">
        <v>664</v>
      </c>
      <c r="P298" s="154">
        <v>1010</v>
      </c>
      <c r="Q298" s="162">
        <v>3.306</v>
      </c>
      <c r="R298" s="172">
        <v>8721</v>
      </c>
      <c r="T298" s="153">
        <v>291.19900000000001</v>
      </c>
      <c r="U298" s="164">
        <v>3.9999999999999998E-6</v>
      </c>
      <c r="V298" s="164">
        <v>1.3197614463793699E-2</v>
      </c>
      <c r="W298" s="164">
        <v>3.8361893975376701E-3</v>
      </c>
    </row>
    <row r="299" spans="1:23">
      <c r="A299" s="3">
        <v>969</v>
      </c>
      <c r="B299" s="3">
        <v>969</v>
      </c>
      <c r="C299" s="3" t="s">
        <v>1097</v>
      </c>
      <c r="D299" s="3" t="s">
        <v>1098</v>
      </c>
      <c r="E299" s="5" t="s">
        <v>651</v>
      </c>
      <c r="F299" s="3" t="s">
        <v>1099</v>
      </c>
      <c r="G299" s="3" t="s">
        <v>1100</v>
      </c>
      <c r="H299" s="3" t="s">
        <v>137</v>
      </c>
      <c r="I299" s="3" t="s">
        <v>1070</v>
      </c>
      <c r="J299" s="3" t="s">
        <v>572</v>
      </c>
      <c r="K299" s="3" t="s">
        <v>224</v>
      </c>
      <c r="L299" s="3" t="s">
        <v>914</v>
      </c>
      <c r="M299" s="3" t="s">
        <v>1071</v>
      </c>
      <c r="N299" s="3" t="s">
        <v>141</v>
      </c>
      <c r="O299" s="3" t="s">
        <v>664</v>
      </c>
      <c r="P299" s="154">
        <v>587</v>
      </c>
      <c r="Q299" s="162">
        <v>3.306</v>
      </c>
      <c r="R299" s="172">
        <v>15545</v>
      </c>
      <c r="T299" s="153">
        <v>301.67</v>
      </c>
      <c r="U299" s="164">
        <v>3.0000000000000001E-5</v>
      </c>
      <c r="V299" s="164">
        <v>1.3672143396318601E-2</v>
      </c>
      <c r="W299" s="164">
        <v>3.9741221174827198E-3</v>
      </c>
    </row>
    <row r="300" spans="1:23">
      <c r="A300" s="3">
        <v>969</v>
      </c>
      <c r="B300" s="3">
        <v>969</v>
      </c>
      <c r="C300" s="3" t="s">
        <v>1093</v>
      </c>
      <c r="D300" s="3" t="s">
        <v>1094</v>
      </c>
      <c r="E300" s="5" t="s">
        <v>651</v>
      </c>
      <c r="F300" s="3" t="s">
        <v>1114</v>
      </c>
      <c r="G300" s="3" t="s">
        <v>1115</v>
      </c>
      <c r="H300" s="3" t="s">
        <v>137</v>
      </c>
      <c r="I300" s="3" t="s">
        <v>1070</v>
      </c>
      <c r="J300" s="3" t="s">
        <v>572</v>
      </c>
      <c r="K300" s="3" t="s">
        <v>224</v>
      </c>
      <c r="L300" s="3" t="s">
        <v>914</v>
      </c>
      <c r="M300" s="3" t="s">
        <v>1071</v>
      </c>
      <c r="N300" s="3" t="s">
        <v>141</v>
      </c>
      <c r="O300" s="3" t="s">
        <v>664</v>
      </c>
      <c r="P300" s="154">
        <v>135</v>
      </c>
      <c r="Q300" s="162">
        <v>3.306</v>
      </c>
      <c r="R300" s="172">
        <v>23964</v>
      </c>
      <c r="T300" s="153">
        <v>106.95399999999999</v>
      </c>
      <c r="U300" s="164">
        <v>9.9999999999999995E-7</v>
      </c>
      <c r="V300" s="164">
        <v>4.8473106858711798E-3</v>
      </c>
      <c r="W300" s="164">
        <v>1.4089820482879099E-3</v>
      </c>
    </row>
    <row r="301" spans="1:23">
      <c r="A301" s="3">
        <v>969</v>
      </c>
      <c r="B301" s="3">
        <v>969</v>
      </c>
      <c r="C301" s="3" t="s">
        <v>1116</v>
      </c>
      <c r="D301" s="3" t="s">
        <v>1117</v>
      </c>
      <c r="E301" s="5" t="s">
        <v>651</v>
      </c>
      <c r="F301" s="3" t="s">
        <v>1118</v>
      </c>
      <c r="G301" s="3" t="s">
        <v>1119</v>
      </c>
      <c r="H301" s="3" t="s">
        <v>137</v>
      </c>
      <c r="I301" s="3" t="s">
        <v>1070</v>
      </c>
      <c r="J301" s="3" t="s">
        <v>572</v>
      </c>
      <c r="K301" s="3" t="s">
        <v>1120</v>
      </c>
      <c r="L301" s="3" t="s">
        <v>498</v>
      </c>
      <c r="M301" s="3" t="s">
        <v>1071</v>
      </c>
      <c r="N301" s="3" t="s">
        <v>141</v>
      </c>
      <c r="O301" s="3" t="s">
        <v>576</v>
      </c>
      <c r="P301" s="154">
        <v>3377</v>
      </c>
      <c r="Q301" s="162">
        <v>3.8807</v>
      </c>
      <c r="R301" s="172">
        <v>10084</v>
      </c>
      <c r="T301" s="153">
        <v>1321.521</v>
      </c>
      <c r="U301" s="164">
        <v>0</v>
      </c>
      <c r="V301" s="164">
        <v>5.98933901400533E-2</v>
      </c>
      <c r="W301" s="164">
        <v>1.7409387800211201E-2</v>
      </c>
    </row>
    <row r="302" spans="1:23">
      <c r="A302" s="3">
        <v>969</v>
      </c>
      <c r="B302" s="3">
        <v>969</v>
      </c>
      <c r="C302" s="3" t="s">
        <v>1093</v>
      </c>
      <c r="D302" s="3" t="s">
        <v>1094</v>
      </c>
      <c r="E302" s="5" t="s">
        <v>651</v>
      </c>
      <c r="F302" s="3" t="s">
        <v>1121</v>
      </c>
      <c r="G302" s="3" t="s">
        <v>1122</v>
      </c>
      <c r="H302" s="3" t="s">
        <v>137</v>
      </c>
      <c r="I302" s="3" t="s">
        <v>1070</v>
      </c>
      <c r="J302" s="3" t="s">
        <v>572</v>
      </c>
      <c r="K302" s="3" t="s">
        <v>224</v>
      </c>
      <c r="L302" s="3" t="s">
        <v>914</v>
      </c>
      <c r="M302" s="3" t="s">
        <v>1123</v>
      </c>
      <c r="N302" s="3" t="s">
        <v>141</v>
      </c>
      <c r="O302" s="3" t="s">
        <v>664</v>
      </c>
      <c r="P302" s="154">
        <v>11728</v>
      </c>
      <c r="Q302" s="162">
        <v>3.306</v>
      </c>
      <c r="R302" s="172">
        <v>5387</v>
      </c>
      <c r="T302" s="153">
        <v>2088.6889999999999</v>
      </c>
      <c r="U302" s="164">
        <v>1.2999999999999999E-5</v>
      </c>
      <c r="V302" s="164">
        <v>9.4662661316862504E-2</v>
      </c>
      <c r="W302" s="164">
        <v>2.75158740757806E-2</v>
      </c>
    </row>
    <row r="303" spans="1:23">
      <c r="A303" s="3">
        <v>969</v>
      </c>
      <c r="B303" s="3">
        <v>969</v>
      </c>
      <c r="C303" s="3" t="s">
        <v>1124</v>
      </c>
      <c r="D303" s="3" t="s">
        <v>1125</v>
      </c>
      <c r="E303" s="5" t="s">
        <v>651</v>
      </c>
      <c r="F303" s="3" t="s">
        <v>1126</v>
      </c>
      <c r="G303" s="3" t="s">
        <v>1127</v>
      </c>
      <c r="H303" s="3" t="s">
        <v>137</v>
      </c>
      <c r="I303" s="3" t="s">
        <v>1070</v>
      </c>
      <c r="J303" s="3" t="s">
        <v>572</v>
      </c>
      <c r="K303" s="3" t="s">
        <v>797</v>
      </c>
      <c r="L303" s="3" t="s">
        <v>894</v>
      </c>
      <c r="M303" s="3" t="s">
        <v>1090</v>
      </c>
      <c r="N303" s="3" t="s">
        <v>141</v>
      </c>
      <c r="O303" s="3" t="s">
        <v>664</v>
      </c>
      <c r="P303" s="154">
        <v>853</v>
      </c>
      <c r="Q303" s="162">
        <v>3.306</v>
      </c>
      <c r="R303" s="172">
        <v>15108</v>
      </c>
      <c r="T303" s="153">
        <v>426.048</v>
      </c>
      <c r="U303" s="164">
        <v>1.1900000000000001E-4</v>
      </c>
      <c r="V303" s="164">
        <v>1.9309177925946601E-2</v>
      </c>
      <c r="W303" s="164">
        <v>5.6126555172450699E-3</v>
      </c>
    </row>
    <row r="304" spans="1:23">
      <c r="A304" s="3">
        <v>969</v>
      </c>
      <c r="B304" s="3">
        <v>969</v>
      </c>
      <c r="C304" s="3" t="s">
        <v>1128</v>
      </c>
      <c r="D304" s="3" t="s">
        <v>1129</v>
      </c>
      <c r="E304" s="5" t="s">
        <v>651</v>
      </c>
      <c r="F304" s="3" t="s">
        <v>1130</v>
      </c>
      <c r="G304" s="3" t="s">
        <v>1131</v>
      </c>
      <c r="H304" s="3" t="s">
        <v>137</v>
      </c>
      <c r="I304" s="3" t="s">
        <v>1070</v>
      </c>
      <c r="J304" s="3" t="s">
        <v>572</v>
      </c>
      <c r="K304" s="3" t="s">
        <v>942</v>
      </c>
      <c r="L304" s="3" t="s">
        <v>914</v>
      </c>
      <c r="M304" s="3" t="s">
        <v>1071</v>
      </c>
      <c r="N304" s="3" t="s">
        <v>141</v>
      </c>
      <c r="O304" s="3" t="s">
        <v>664</v>
      </c>
      <c r="P304" s="154">
        <v>1027</v>
      </c>
      <c r="Q304" s="162">
        <v>3.306</v>
      </c>
      <c r="R304" s="172">
        <v>4763</v>
      </c>
      <c r="T304" s="153">
        <v>161.71600000000001</v>
      </c>
      <c r="U304" s="164">
        <v>6.9999999999999999E-6</v>
      </c>
      <c r="V304" s="164">
        <v>7.3292376213450298E-3</v>
      </c>
      <c r="W304" s="164">
        <v>2.1304110475550298E-3</v>
      </c>
    </row>
    <row r="305" spans="1:23">
      <c r="A305" s="3">
        <v>969</v>
      </c>
      <c r="B305" s="3">
        <v>969</v>
      </c>
      <c r="C305" s="3" t="s">
        <v>1093</v>
      </c>
      <c r="D305" s="3" t="s">
        <v>1094</v>
      </c>
      <c r="E305" s="5" t="s">
        <v>651</v>
      </c>
      <c r="F305" s="3" t="s">
        <v>1132</v>
      </c>
      <c r="G305" s="3" t="s">
        <v>1133</v>
      </c>
      <c r="H305" s="3" t="s">
        <v>137</v>
      </c>
      <c r="I305" s="3" t="s">
        <v>1070</v>
      </c>
      <c r="J305" s="3" t="s">
        <v>572</v>
      </c>
      <c r="K305" s="3" t="s">
        <v>224</v>
      </c>
      <c r="L305" s="3" t="s">
        <v>914</v>
      </c>
      <c r="M305" s="3" t="s">
        <v>1134</v>
      </c>
      <c r="N305" s="3" t="s">
        <v>141</v>
      </c>
      <c r="O305" s="3" t="s">
        <v>664</v>
      </c>
      <c r="P305" s="154">
        <v>1684</v>
      </c>
      <c r="Q305" s="162">
        <v>3.306</v>
      </c>
      <c r="R305" s="172">
        <v>13917</v>
      </c>
      <c r="T305" s="153">
        <v>774.80200000000002</v>
      </c>
      <c r="U305" s="164">
        <v>6.0000000000000002E-6</v>
      </c>
      <c r="V305" s="164">
        <v>3.5115227910048202E-2</v>
      </c>
      <c r="W305" s="164">
        <v>1.02070465363423E-2</v>
      </c>
    </row>
    <row r="306" spans="1:23">
      <c r="A306" s="3">
        <v>969</v>
      </c>
      <c r="B306" s="3">
        <v>969</v>
      </c>
      <c r="C306" s="3" t="s">
        <v>1093</v>
      </c>
      <c r="D306" s="3" t="s">
        <v>1094</v>
      </c>
      <c r="E306" s="5" t="s">
        <v>651</v>
      </c>
      <c r="F306" s="3" t="s">
        <v>1135</v>
      </c>
      <c r="G306" s="3" t="s">
        <v>1136</v>
      </c>
      <c r="H306" s="3" t="s">
        <v>137</v>
      </c>
      <c r="I306" s="3" t="s">
        <v>1070</v>
      </c>
      <c r="J306" s="3" t="s">
        <v>572</v>
      </c>
      <c r="K306" s="3" t="s">
        <v>224</v>
      </c>
      <c r="L306" s="3" t="s">
        <v>914</v>
      </c>
      <c r="M306" s="3" t="s">
        <v>1071</v>
      </c>
      <c r="N306" s="3" t="s">
        <v>141</v>
      </c>
      <c r="O306" s="3" t="s">
        <v>664</v>
      </c>
      <c r="P306" s="154">
        <v>905</v>
      </c>
      <c r="Q306" s="162">
        <v>3.306</v>
      </c>
      <c r="R306" s="172">
        <v>15423</v>
      </c>
      <c r="T306" s="153">
        <v>461.44499999999999</v>
      </c>
      <c r="U306" s="164">
        <v>6.9999999999999999E-6</v>
      </c>
      <c r="V306" s="164">
        <v>2.0913427487191601E-2</v>
      </c>
      <c r="W306" s="164">
        <v>6.0789674537496596E-3</v>
      </c>
    </row>
    <row r="307" spans="1:23">
      <c r="A307" s="3">
        <v>969</v>
      </c>
      <c r="B307" s="3">
        <v>969</v>
      </c>
      <c r="C307" s="3" t="s">
        <v>1066</v>
      </c>
      <c r="D307" s="3" t="s">
        <v>1067</v>
      </c>
      <c r="E307" s="5" t="s">
        <v>651</v>
      </c>
      <c r="F307" s="3" t="s">
        <v>1137</v>
      </c>
      <c r="G307" s="3" t="s">
        <v>1138</v>
      </c>
      <c r="H307" s="3" t="s">
        <v>137</v>
      </c>
      <c r="I307" s="3" t="s">
        <v>1070</v>
      </c>
      <c r="J307" s="3" t="s">
        <v>572</v>
      </c>
      <c r="K307" s="3" t="s">
        <v>566</v>
      </c>
      <c r="L307" s="3" t="s">
        <v>1139</v>
      </c>
      <c r="M307" s="3" t="s">
        <v>1140</v>
      </c>
      <c r="N307" s="3" t="s">
        <v>141</v>
      </c>
      <c r="O307" s="3" t="s">
        <v>1141</v>
      </c>
      <c r="P307" s="154">
        <v>30122</v>
      </c>
      <c r="Q307" s="162">
        <v>4.4409000000000001</v>
      </c>
      <c r="R307" s="172">
        <v>908.4</v>
      </c>
      <c r="T307" s="153">
        <v>1215.1559999999999</v>
      </c>
      <c r="U307" s="164">
        <v>4.8999999999999998E-5</v>
      </c>
      <c r="V307" s="164">
        <v>5.5072761207060401E-2</v>
      </c>
      <c r="W307" s="164">
        <v>1.6008161415477399E-2</v>
      </c>
    </row>
    <row r="308" spans="1:23">
      <c r="A308" s="3">
        <v>969</v>
      </c>
      <c r="B308" s="3">
        <v>969</v>
      </c>
      <c r="C308" s="3" t="s">
        <v>1066</v>
      </c>
      <c r="D308" s="3" t="s">
        <v>1067</v>
      </c>
      <c r="E308" s="5" t="s">
        <v>651</v>
      </c>
      <c r="F308" s="3" t="s">
        <v>1142</v>
      </c>
      <c r="G308" s="3" t="s">
        <v>1143</v>
      </c>
      <c r="H308" s="3" t="s">
        <v>137</v>
      </c>
      <c r="I308" s="3" t="s">
        <v>1070</v>
      </c>
      <c r="J308" s="3" t="s">
        <v>572</v>
      </c>
      <c r="K308" s="3" t="s">
        <v>1000</v>
      </c>
      <c r="L308" s="3" t="s">
        <v>914</v>
      </c>
      <c r="M308" s="3" t="s">
        <v>1144</v>
      </c>
      <c r="N308" s="3" t="s">
        <v>141</v>
      </c>
      <c r="O308" s="3" t="s">
        <v>664</v>
      </c>
      <c r="P308" s="154">
        <v>5702</v>
      </c>
      <c r="Q308" s="162">
        <v>3.306</v>
      </c>
      <c r="R308" s="172">
        <v>4114</v>
      </c>
      <c r="T308" s="153">
        <v>775.52200000000005</v>
      </c>
      <c r="U308" s="164">
        <v>3.3000000000000003E-5</v>
      </c>
      <c r="V308" s="164">
        <v>3.51478915267548E-2</v>
      </c>
      <c r="W308" s="164">
        <v>1.02165409658423E-2</v>
      </c>
    </row>
    <row r="309" spans="1:23">
      <c r="A309" s="3">
        <v>969</v>
      </c>
      <c r="B309" s="3">
        <v>969</v>
      </c>
      <c r="C309" s="3" t="s">
        <v>1066</v>
      </c>
      <c r="D309" s="3" t="s">
        <v>1067</v>
      </c>
      <c r="E309" s="5" t="s">
        <v>651</v>
      </c>
      <c r="F309" s="3" t="s">
        <v>1145</v>
      </c>
      <c r="G309" s="3" t="s">
        <v>1146</v>
      </c>
      <c r="H309" s="3" t="s">
        <v>137</v>
      </c>
      <c r="I309" s="3" t="s">
        <v>1147</v>
      </c>
      <c r="J309" s="3" t="s">
        <v>572</v>
      </c>
      <c r="K309" s="3" t="s">
        <v>1148</v>
      </c>
      <c r="L309" s="3" t="s">
        <v>1139</v>
      </c>
      <c r="M309" s="3" t="s">
        <v>1108</v>
      </c>
      <c r="N309" s="3" t="s">
        <v>141</v>
      </c>
      <c r="O309" s="3" t="s">
        <v>664</v>
      </c>
      <c r="P309" s="154">
        <v>16611</v>
      </c>
      <c r="Q309" s="162">
        <v>3.306</v>
      </c>
      <c r="R309" s="172">
        <v>661.1</v>
      </c>
      <c r="T309" s="153">
        <v>363.04899999999998</v>
      </c>
      <c r="U309" s="164">
        <v>0</v>
      </c>
      <c r="V309" s="164">
        <v>1.6453970429584901E-2</v>
      </c>
      <c r="W309" s="164">
        <v>4.7827239598896504E-3</v>
      </c>
    </row>
    <row r="310" spans="1:23">
      <c r="A310" s="3">
        <v>969</v>
      </c>
      <c r="B310" s="3">
        <v>969</v>
      </c>
      <c r="C310" s="3" t="s">
        <v>1066</v>
      </c>
      <c r="D310" s="3" t="s">
        <v>1067</v>
      </c>
      <c r="E310" s="5" t="s">
        <v>651</v>
      </c>
      <c r="F310" s="3" t="s">
        <v>1149</v>
      </c>
      <c r="G310" s="3" t="s">
        <v>1150</v>
      </c>
      <c r="H310" s="3" t="s">
        <v>137</v>
      </c>
      <c r="I310" s="3" t="s">
        <v>1070</v>
      </c>
      <c r="J310" s="3" t="s">
        <v>572</v>
      </c>
      <c r="K310" s="3" t="s">
        <v>224</v>
      </c>
      <c r="L310" s="3" t="s">
        <v>894</v>
      </c>
      <c r="M310" s="3" t="s">
        <v>1108</v>
      </c>
      <c r="N310" s="3" t="s">
        <v>141</v>
      </c>
      <c r="O310" s="3" t="s">
        <v>664</v>
      </c>
      <c r="P310" s="154">
        <v>1396</v>
      </c>
      <c r="Q310" s="162">
        <v>3.306</v>
      </c>
      <c r="R310" s="172">
        <v>6751</v>
      </c>
      <c r="T310" s="153">
        <v>311.57100000000003</v>
      </c>
      <c r="U310" s="164">
        <v>0</v>
      </c>
      <c r="V310" s="164">
        <v>1.41208650749834E-2</v>
      </c>
      <c r="W310" s="164">
        <v>4.1045533670741796E-3</v>
      </c>
    </row>
    <row r="311" spans="1:23">
      <c r="A311" s="3">
        <v>969</v>
      </c>
      <c r="B311" s="3">
        <v>969</v>
      </c>
      <c r="C311" s="3" t="s">
        <v>1066</v>
      </c>
      <c r="D311" s="3" t="s">
        <v>1067</v>
      </c>
      <c r="E311" s="5" t="s">
        <v>651</v>
      </c>
      <c r="F311" s="3" t="s">
        <v>1151</v>
      </c>
      <c r="G311" s="3" t="s">
        <v>1152</v>
      </c>
      <c r="H311" s="3" t="s">
        <v>137</v>
      </c>
      <c r="I311" s="3" t="s">
        <v>1070</v>
      </c>
      <c r="J311" s="3" t="s">
        <v>572</v>
      </c>
      <c r="K311" s="3" t="s">
        <v>1120</v>
      </c>
      <c r="L311" s="3" t="s">
        <v>1153</v>
      </c>
      <c r="M311" s="3" t="s">
        <v>1111</v>
      </c>
      <c r="N311" s="3" t="s">
        <v>141</v>
      </c>
      <c r="O311" s="3" t="s">
        <v>576</v>
      </c>
      <c r="P311" s="154">
        <v>699</v>
      </c>
      <c r="Q311" s="162">
        <v>3.8807</v>
      </c>
      <c r="R311" s="172">
        <v>10690</v>
      </c>
      <c r="T311" s="153">
        <v>289.97800000000001</v>
      </c>
      <c r="U311" s="164">
        <v>1.3999999999999999E-4</v>
      </c>
      <c r="V311" s="164">
        <v>1.3142254692722699E-2</v>
      </c>
      <c r="W311" s="164">
        <v>3.8200978101212398E-3</v>
      </c>
    </row>
    <row r="312" spans="1:23">
      <c r="A312" s="3">
        <v>969</v>
      </c>
      <c r="B312" s="3">
        <v>969</v>
      </c>
      <c r="C312" s="3" t="s">
        <v>1154</v>
      </c>
      <c r="D312" s="3" t="s">
        <v>1102</v>
      </c>
      <c r="E312" s="5" t="s">
        <v>651</v>
      </c>
      <c r="F312" s="3" t="s">
        <v>1158</v>
      </c>
      <c r="G312" s="3" t="s">
        <v>1159</v>
      </c>
      <c r="H312" s="3" t="s">
        <v>137</v>
      </c>
      <c r="I312" s="3" t="s">
        <v>1070</v>
      </c>
      <c r="J312" s="3" t="s">
        <v>572</v>
      </c>
      <c r="K312" s="3" t="s">
        <v>1063</v>
      </c>
      <c r="L312" s="3" t="s">
        <v>1157</v>
      </c>
      <c r="M312" s="3" t="s">
        <v>1111</v>
      </c>
      <c r="N312" s="3" t="s">
        <v>141</v>
      </c>
      <c r="O312" s="3" t="s">
        <v>576</v>
      </c>
      <c r="P312" s="154">
        <v>156</v>
      </c>
      <c r="Q312" s="162">
        <v>3.8807</v>
      </c>
      <c r="R312" s="172">
        <v>13635.6</v>
      </c>
      <c r="T312" s="153">
        <v>82.548000000000002</v>
      </c>
      <c r="U312" s="164">
        <v>4.8999999999999998E-5</v>
      </c>
      <c r="V312" s="164">
        <v>3.7412251876249802E-3</v>
      </c>
      <c r="W312" s="164">
        <v>1.0874729245911299E-3</v>
      </c>
    </row>
    <row r="313" spans="1:23">
      <c r="A313" s="3">
        <v>969</v>
      </c>
      <c r="B313" s="3">
        <v>969</v>
      </c>
      <c r="C313" s="3" t="s">
        <v>1093</v>
      </c>
      <c r="D313" s="3" t="s">
        <v>1094</v>
      </c>
      <c r="E313" s="5" t="s">
        <v>651</v>
      </c>
      <c r="F313" s="3" t="s">
        <v>1160</v>
      </c>
      <c r="G313" s="3" t="s">
        <v>1161</v>
      </c>
      <c r="H313" s="3" t="s">
        <v>137</v>
      </c>
      <c r="I313" s="3" t="s">
        <v>1070</v>
      </c>
      <c r="J313" s="3" t="s">
        <v>572</v>
      </c>
      <c r="K313" s="3" t="s">
        <v>224</v>
      </c>
      <c r="L313" s="3" t="s">
        <v>914</v>
      </c>
      <c r="M313" s="3" t="s">
        <v>1071</v>
      </c>
      <c r="N313" s="3" t="s">
        <v>141</v>
      </c>
      <c r="O313" s="3" t="s">
        <v>664</v>
      </c>
      <c r="P313" s="154">
        <v>400</v>
      </c>
      <c r="Q313" s="162">
        <v>3.306</v>
      </c>
      <c r="R313" s="172">
        <v>8962</v>
      </c>
      <c r="T313" s="153">
        <v>118.51300000000001</v>
      </c>
      <c r="U313" s="164">
        <v>5.0000000000000004E-6</v>
      </c>
      <c r="V313" s="164">
        <v>5.3712171178715703E-3</v>
      </c>
      <c r="W313" s="164">
        <v>1.56126747117667E-3</v>
      </c>
    </row>
    <row r="314" spans="1:23">
      <c r="A314" s="3">
        <v>969</v>
      </c>
      <c r="B314" s="3">
        <v>969</v>
      </c>
      <c r="C314" s="3" t="s">
        <v>1093</v>
      </c>
      <c r="D314" s="3" t="s">
        <v>1094</v>
      </c>
      <c r="E314" s="5" t="s">
        <v>651</v>
      </c>
      <c r="F314" s="3" t="s">
        <v>1166</v>
      </c>
      <c r="G314" s="3" t="s">
        <v>1167</v>
      </c>
      <c r="H314" s="3" t="s">
        <v>137</v>
      </c>
      <c r="I314" s="3" t="s">
        <v>1070</v>
      </c>
      <c r="J314" s="3" t="s">
        <v>572</v>
      </c>
      <c r="K314" s="3" t="s">
        <v>224</v>
      </c>
      <c r="L314" s="3" t="s">
        <v>914</v>
      </c>
      <c r="M314" s="3" t="s">
        <v>1071</v>
      </c>
      <c r="N314" s="3" t="s">
        <v>141</v>
      </c>
      <c r="O314" s="3" t="s">
        <v>664</v>
      </c>
      <c r="P314" s="154">
        <v>515</v>
      </c>
      <c r="Q314" s="162">
        <v>3.306</v>
      </c>
      <c r="R314" s="172">
        <v>8934</v>
      </c>
      <c r="T314" s="153">
        <v>152.10900000000001</v>
      </c>
      <c r="U314" s="164">
        <v>9.9999999999999995E-7</v>
      </c>
      <c r="V314" s="164">
        <v>6.8938361056399998E-3</v>
      </c>
      <c r="W314" s="164">
        <v>2.0038516088926998E-3</v>
      </c>
    </row>
    <row r="315" spans="1:23">
      <c r="A315" s="3">
        <v>969</v>
      </c>
      <c r="B315" s="3">
        <v>969</v>
      </c>
      <c r="C315" s="3" t="s">
        <v>1097</v>
      </c>
      <c r="D315" s="3" t="s">
        <v>1098</v>
      </c>
      <c r="E315" s="5" t="s">
        <v>651</v>
      </c>
      <c r="F315" s="3" t="s">
        <v>1168</v>
      </c>
      <c r="G315" s="3" t="s">
        <v>1169</v>
      </c>
      <c r="H315" s="3" t="s">
        <v>137</v>
      </c>
      <c r="I315" s="3" t="s">
        <v>1070</v>
      </c>
      <c r="J315" s="3" t="s">
        <v>572</v>
      </c>
      <c r="K315" s="3" t="s">
        <v>224</v>
      </c>
      <c r="L315" s="3" t="s">
        <v>894</v>
      </c>
      <c r="M315" s="3" t="s">
        <v>1090</v>
      </c>
      <c r="N315" s="3" t="s">
        <v>141</v>
      </c>
      <c r="O315" s="3" t="s">
        <v>664</v>
      </c>
      <c r="P315" s="154">
        <v>251</v>
      </c>
      <c r="Q315" s="162">
        <v>3.306</v>
      </c>
      <c r="R315" s="172">
        <v>60037</v>
      </c>
      <c r="S315" s="153">
        <v>0.13</v>
      </c>
      <c r="T315" s="153">
        <v>498.61900000000003</v>
      </c>
      <c r="U315" s="164">
        <v>0</v>
      </c>
      <c r="V315" s="164">
        <v>2.2598205310733699E-2</v>
      </c>
      <c r="W315" s="164">
        <v>6.5686867770114203E-3</v>
      </c>
    </row>
    <row r="316" spans="1:23">
      <c r="A316" s="3">
        <v>969</v>
      </c>
      <c r="B316" s="3">
        <v>969</v>
      </c>
      <c r="C316" s="3" t="s">
        <v>1093</v>
      </c>
      <c r="D316" s="3" t="s">
        <v>1094</v>
      </c>
      <c r="E316" s="5" t="s">
        <v>651</v>
      </c>
      <c r="F316" s="3" t="s">
        <v>1170</v>
      </c>
      <c r="G316" s="3" t="s">
        <v>1171</v>
      </c>
      <c r="H316" s="3" t="s">
        <v>137</v>
      </c>
      <c r="I316" s="3" t="s">
        <v>1070</v>
      </c>
      <c r="J316" s="3" t="s">
        <v>572</v>
      </c>
      <c r="K316" s="3" t="s">
        <v>224</v>
      </c>
      <c r="L316" s="3" t="s">
        <v>914</v>
      </c>
      <c r="M316" s="3" t="s">
        <v>1172</v>
      </c>
      <c r="N316" s="3" t="s">
        <v>141</v>
      </c>
      <c r="O316" s="3" t="s">
        <v>664</v>
      </c>
      <c r="P316" s="154">
        <v>1268</v>
      </c>
      <c r="Q316" s="162">
        <v>3.306</v>
      </c>
      <c r="R316" s="172">
        <v>4213</v>
      </c>
      <c r="T316" s="153">
        <v>176.60900000000001</v>
      </c>
      <c r="U316" s="164">
        <v>2.0999999999999999E-5</v>
      </c>
      <c r="V316" s="164">
        <v>8.0042102839510808E-3</v>
      </c>
      <c r="W316" s="164">
        <v>2.3266073358327801E-3</v>
      </c>
    </row>
    <row r="317" spans="1:23">
      <c r="A317" s="3">
        <v>969</v>
      </c>
      <c r="B317" s="3">
        <v>969</v>
      </c>
      <c r="C317" s="3" t="s">
        <v>1097</v>
      </c>
      <c r="D317" s="3" t="s">
        <v>1098</v>
      </c>
      <c r="E317" s="5" t="s">
        <v>651</v>
      </c>
      <c r="F317" s="3" t="s">
        <v>1228</v>
      </c>
      <c r="G317" s="3" t="s">
        <v>1229</v>
      </c>
      <c r="H317" s="3" t="s">
        <v>137</v>
      </c>
      <c r="I317" s="3" t="s">
        <v>1070</v>
      </c>
      <c r="J317" s="3" t="s">
        <v>572</v>
      </c>
      <c r="K317" s="3" t="s">
        <v>224</v>
      </c>
      <c r="L317" s="3" t="s">
        <v>1139</v>
      </c>
      <c r="M317" s="3" t="s">
        <v>1206</v>
      </c>
      <c r="N317" s="3" t="s">
        <v>141</v>
      </c>
      <c r="O317" s="3" t="s">
        <v>664</v>
      </c>
      <c r="P317" s="154">
        <v>771</v>
      </c>
      <c r="Q317" s="162">
        <v>3.306</v>
      </c>
      <c r="R317" s="172">
        <v>132232</v>
      </c>
      <c r="T317" s="153">
        <v>3370.4960000000001</v>
      </c>
      <c r="U317" s="164">
        <v>1.5200000000000001E-4</v>
      </c>
      <c r="V317" s="164">
        <v>0.152756156234192</v>
      </c>
      <c r="W317" s="164">
        <v>4.44020810398617E-2</v>
      </c>
    </row>
    <row r="318" spans="1:23">
      <c r="A318" s="3">
        <v>969</v>
      </c>
      <c r="B318" s="3">
        <v>969</v>
      </c>
      <c r="C318" s="3" t="s">
        <v>1093</v>
      </c>
      <c r="D318" s="3" t="s">
        <v>1094</v>
      </c>
      <c r="E318" s="5" t="s">
        <v>651</v>
      </c>
      <c r="F318" s="3" t="s">
        <v>1178</v>
      </c>
      <c r="G318" s="3" t="s">
        <v>1179</v>
      </c>
      <c r="H318" s="3" t="s">
        <v>137</v>
      </c>
      <c r="I318" s="3" t="s">
        <v>1070</v>
      </c>
      <c r="J318" s="3" t="s">
        <v>572</v>
      </c>
      <c r="K318" s="3" t="s">
        <v>224</v>
      </c>
      <c r="L318" s="3" t="s">
        <v>914</v>
      </c>
      <c r="M318" s="3" t="s">
        <v>1071</v>
      </c>
      <c r="N318" s="3" t="s">
        <v>141</v>
      </c>
      <c r="O318" s="3" t="s">
        <v>664</v>
      </c>
      <c r="P318" s="154">
        <v>862</v>
      </c>
      <c r="Q318" s="162">
        <v>3.306</v>
      </c>
      <c r="R318" s="172">
        <v>15285</v>
      </c>
      <c r="T318" s="153">
        <v>435.58800000000002</v>
      </c>
      <c r="U318" s="164">
        <v>0</v>
      </c>
      <c r="V318" s="164">
        <v>1.9741515354671599E-2</v>
      </c>
      <c r="W318" s="164">
        <v>5.7383243087364101E-3</v>
      </c>
    </row>
    <row r="319" spans="1:23">
      <c r="A319" s="3">
        <v>969</v>
      </c>
      <c r="B319" s="3">
        <v>969</v>
      </c>
      <c r="C319" s="3" t="s">
        <v>1180</v>
      </c>
      <c r="D319" s="3" t="s">
        <v>1181</v>
      </c>
      <c r="E319" s="5" t="s">
        <v>651</v>
      </c>
      <c r="F319" s="3" t="s">
        <v>1182</v>
      </c>
      <c r="G319" s="3" t="s">
        <v>1183</v>
      </c>
      <c r="H319" s="3" t="s">
        <v>137</v>
      </c>
      <c r="I319" s="3" t="s">
        <v>1070</v>
      </c>
      <c r="J319" s="3" t="s">
        <v>572</v>
      </c>
      <c r="K319" s="3" t="s">
        <v>224</v>
      </c>
      <c r="L319" s="3" t="s">
        <v>1139</v>
      </c>
      <c r="M319" s="3" t="s">
        <v>1071</v>
      </c>
      <c r="N319" s="3" t="s">
        <v>141</v>
      </c>
      <c r="O319" s="3" t="s">
        <v>664</v>
      </c>
      <c r="P319" s="154">
        <v>1107</v>
      </c>
      <c r="Q319" s="162">
        <v>3.306</v>
      </c>
      <c r="R319" s="172">
        <v>6492</v>
      </c>
      <c r="T319" s="153">
        <v>237.59</v>
      </c>
      <c r="U319" s="164">
        <v>0</v>
      </c>
      <c r="V319" s="164">
        <v>1.0767971790015899E-2</v>
      </c>
      <c r="W319" s="164">
        <v>3.1299580183349099E-3</v>
      </c>
    </row>
    <row r="320" spans="1:23">
      <c r="A320" s="3">
        <v>969</v>
      </c>
      <c r="B320" s="3">
        <v>969</v>
      </c>
      <c r="C320" s="3" t="s">
        <v>1184</v>
      </c>
      <c r="D320" s="3" t="s">
        <v>1185</v>
      </c>
      <c r="E320" s="5" t="s">
        <v>651</v>
      </c>
      <c r="F320" s="3" t="s">
        <v>1235</v>
      </c>
      <c r="G320" s="3" t="s">
        <v>1236</v>
      </c>
      <c r="H320" s="3" t="s">
        <v>137</v>
      </c>
      <c r="I320" s="3" t="s">
        <v>1070</v>
      </c>
      <c r="J320" s="3" t="s">
        <v>572</v>
      </c>
      <c r="K320" s="3" t="s">
        <v>224</v>
      </c>
      <c r="L320" s="3" t="s">
        <v>914</v>
      </c>
      <c r="M320" s="3" t="s">
        <v>1206</v>
      </c>
      <c r="N320" s="3" t="s">
        <v>141</v>
      </c>
      <c r="O320" s="3" t="s">
        <v>664</v>
      </c>
      <c r="P320" s="154">
        <v>1640</v>
      </c>
      <c r="Q320" s="162">
        <v>3.306</v>
      </c>
      <c r="R320" s="172">
        <v>61238</v>
      </c>
      <c r="S320" s="153">
        <v>2.8540000000000001</v>
      </c>
      <c r="T320" s="153">
        <v>3329.66</v>
      </c>
      <c r="U320" s="164">
        <v>1.9999999999999999E-6</v>
      </c>
      <c r="V320" s="164">
        <v>0.150905429718276</v>
      </c>
      <c r="W320" s="164">
        <v>4.3864124922293697E-2</v>
      </c>
    </row>
    <row r="321" spans="1:23">
      <c r="A321" s="3">
        <v>969</v>
      </c>
      <c r="B321" s="3">
        <v>969</v>
      </c>
      <c r="C321" s="3" t="s">
        <v>1188</v>
      </c>
      <c r="D321" s="3" t="s">
        <v>1189</v>
      </c>
      <c r="E321" s="5" t="s">
        <v>651</v>
      </c>
      <c r="F321" s="3" t="s">
        <v>1190</v>
      </c>
      <c r="G321" s="3" t="s">
        <v>1191</v>
      </c>
      <c r="H321" s="3" t="s">
        <v>137</v>
      </c>
      <c r="I321" s="3" t="s">
        <v>1070</v>
      </c>
      <c r="J321" s="3" t="s">
        <v>572</v>
      </c>
      <c r="K321" s="3" t="s">
        <v>1192</v>
      </c>
      <c r="L321" s="3" t="s">
        <v>914</v>
      </c>
      <c r="M321" s="3" t="s">
        <v>1071</v>
      </c>
      <c r="N321" s="3" t="s">
        <v>141</v>
      </c>
      <c r="O321" s="3" t="s">
        <v>664</v>
      </c>
      <c r="P321" s="154">
        <v>1814</v>
      </c>
      <c r="Q321" s="162">
        <v>3.306</v>
      </c>
      <c r="R321" s="172">
        <v>4420</v>
      </c>
      <c r="T321" s="153">
        <v>265.07100000000003</v>
      </c>
      <c r="U321" s="164">
        <v>8.2000000000000001E-5</v>
      </c>
      <c r="V321" s="164">
        <v>1.20134384916983E-2</v>
      </c>
      <c r="W321" s="164">
        <v>3.4919814862190298E-3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6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1283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131</v>
      </c>
      <c r="M1" s="19" t="s">
        <v>8</v>
      </c>
      <c r="N1" s="19" t="s">
        <v>1065</v>
      </c>
      <c r="O1" s="19" t="s">
        <v>125</v>
      </c>
      <c r="P1" s="19" t="s">
        <v>11</v>
      </c>
      <c r="Q1" s="19" t="s">
        <v>17</v>
      </c>
      <c r="R1" s="161" t="s">
        <v>18</v>
      </c>
      <c r="S1" s="167" t="s">
        <v>19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18">
        <v>1182</v>
      </c>
      <c r="B2" s="18">
        <v>1182</v>
      </c>
      <c r="C2" s="18" t="s">
        <v>1284</v>
      </c>
      <c r="D2" s="18" t="s">
        <v>1285</v>
      </c>
      <c r="E2" s="18" t="s">
        <v>651</v>
      </c>
      <c r="F2" s="18" t="s">
        <v>1286</v>
      </c>
      <c r="G2" s="18" t="s">
        <v>1287</v>
      </c>
      <c r="H2" s="18" t="s">
        <v>137</v>
      </c>
      <c r="I2" s="18" t="s">
        <v>703</v>
      </c>
      <c r="J2" s="18" t="s">
        <v>572</v>
      </c>
      <c r="K2" s="18" t="s">
        <v>566</v>
      </c>
      <c r="L2" s="5" t="s">
        <v>139</v>
      </c>
      <c r="M2" s="18" t="s">
        <v>498</v>
      </c>
      <c r="N2" s="20" t="s">
        <v>1177</v>
      </c>
      <c r="O2" s="20" t="s">
        <v>141</v>
      </c>
      <c r="P2" s="18" t="s">
        <v>1141</v>
      </c>
      <c r="Q2" s="156">
        <v>30953.09</v>
      </c>
      <c r="R2" s="173">
        <v>4.4409000000000001</v>
      </c>
      <c r="S2" s="174">
        <v>811.34</v>
      </c>
      <c r="T2" s="156">
        <v>1115.2650000000001</v>
      </c>
      <c r="U2" s="175">
        <v>0</v>
      </c>
      <c r="V2" s="175">
        <v>8.0811784570526402E-2</v>
      </c>
      <c r="W2" s="175">
        <v>2.4155043392638399E-3</v>
      </c>
    </row>
    <row r="3" spans="1:23">
      <c r="A3" s="18">
        <v>1182</v>
      </c>
      <c r="B3" s="18">
        <v>1182</v>
      </c>
      <c r="C3" s="18" t="s">
        <v>1288</v>
      </c>
      <c r="D3" s="18" t="s">
        <v>1289</v>
      </c>
      <c r="E3" s="18" t="s">
        <v>651</v>
      </c>
      <c r="F3" s="18" t="s">
        <v>1290</v>
      </c>
      <c r="G3" s="18" t="s">
        <v>1291</v>
      </c>
      <c r="H3" s="18" t="s">
        <v>137</v>
      </c>
      <c r="I3" s="18" t="s">
        <v>703</v>
      </c>
      <c r="J3" s="18" t="s">
        <v>572</v>
      </c>
      <c r="K3" s="18" t="s">
        <v>566</v>
      </c>
      <c r="L3" s="5" t="s">
        <v>139</v>
      </c>
      <c r="M3" s="18" t="s">
        <v>1139</v>
      </c>
      <c r="N3" s="20" t="s">
        <v>1232</v>
      </c>
      <c r="O3" s="20" t="s">
        <v>141</v>
      </c>
      <c r="P3" s="18" t="s">
        <v>1141</v>
      </c>
      <c r="Q3" s="156">
        <v>33506.959999999999</v>
      </c>
      <c r="R3" s="173">
        <v>4.4409000000000001</v>
      </c>
      <c r="S3" s="174">
        <v>1310.29</v>
      </c>
      <c r="T3" s="156">
        <v>1949.7249999999999</v>
      </c>
      <c r="U3" s="175">
        <v>1.9599999999999999E-4</v>
      </c>
      <c r="V3" s="175">
        <v>0.141276606000695</v>
      </c>
      <c r="W3" s="175">
        <v>4.2228278541890903E-3</v>
      </c>
    </row>
    <row r="4" spans="1:23">
      <c r="A4" s="18">
        <v>1182</v>
      </c>
      <c r="B4" s="18">
        <v>1182</v>
      </c>
      <c r="C4" s="18" t="s">
        <v>1292</v>
      </c>
      <c r="D4" s="18" t="s">
        <v>1293</v>
      </c>
      <c r="E4" s="18" t="s">
        <v>651</v>
      </c>
      <c r="F4" s="18" t="s">
        <v>1294</v>
      </c>
      <c r="G4" s="18" t="s">
        <v>1295</v>
      </c>
      <c r="H4" s="18" t="s">
        <v>137</v>
      </c>
      <c r="I4" s="18" t="s">
        <v>1296</v>
      </c>
      <c r="J4" s="18" t="s">
        <v>572</v>
      </c>
      <c r="K4" s="18" t="s">
        <v>224</v>
      </c>
      <c r="L4" s="5" t="s">
        <v>139</v>
      </c>
      <c r="M4" s="18" t="s">
        <v>498</v>
      </c>
      <c r="N4" s="20" t="s">
        <v>1232</v>
      </c>
      <c r="O4" s="20" t="s">
        <v>141</v>
      </c>
      <c r="P4" s="18" t="s">
        <v>664</v>
      </c>
      <c r="Q4" s="156">
        <v>387.13</v>
      </c>
      <c r="R4" s="173">
        <v>3.306</v>
      </c>
      <c r="S4" s="174">
        <v>144422.416</v>
      </c>
      <c r="T4" s="156">
        <v>1848.393</v>
      </c>
      <c r="U4" s="175">
        <v>5.4799999999999998E-4</v>
      </c>
      <c r="V4" s="175">
        <v>0.13393407667238599</v>
      </c>
      <c r="W4" s="175">
        <v>4.0033560092352996E-3</v>
      </c>
    </row>
    <row r="5" spans="1:23">
      <c r="A5" s="18">
        <v>1182</v>
      </c>
      <c r="B5" s="18">
        <v>1182</v>
      </c>
      <c r="C5" s="18" t="s">
        <v>1297</v>
      </c>
      <c r="D5" s="18" t="s">
        <v>1285</v>
      </c>
      <c r="E5" s="18" t="s">
        <v>651</v>
      </c>
      <c r="F5" s="18" t="s">
        <v>1298</v>
      </c>
      <c r="G5" s="18" t="s">
        <v>1299</v>
      </c>
      <c r="H5" s="18" t="s">
        <v>137</v>
      </c>
      <c r="I5" s="18" t="s">
        <v>703</v>
      </c>
      <c r="J5" s="18" t="s">
        <v>572</v>
      </c>
      <c r="K5" s="18" t="s">
        <v>1192</v>
      </c>
      <c r="L5" s="5" t="s">
        <v>139</v>
      </c>
      <c r="M5" s="18" t="s">
        <v>498</v>
      </c>
      <c r="N5" s="20" t="s">
        <v>1300</v>
      </c>
      <c r="O5" s="20" t="s">
        <v>141</v>
      </c>
      <c r="P5" s="18" t="s">
        <v>664</v>
      </c>
      <c r="Q5" s="156">
        <v>28772.31</v>
      </c>
      <c r="R5" s="173">
        <v>3.306</v>
      </c>
      <c r="S5" s="174">
        <v>1433.42</v>
      </c>
      <c r="T5" s="156">
        <v>1363.4870000000001</v>
      </c>
      <c r="U5" s="175">
        <v>1.2539999999999999E-3</v>
      </c>
      <c r="V5" s="175">
        <v>9.87979299464148E-2</v>
      </c>
      <c r="W5" s="175">
        <v>2.95311914919509E-3</v>
      </c>
    </row>
    <row r="6" spans="1:23">
      <c r="A6" s="18">
        <v>1182</v>
      </c>
      <c r="B6" s="18">
        <v>1182</v>
      </c>
      <c r="C6" s="18" t="s">
        <v>938</v>
      </c>
      <c r="D6" s="18" t="s">
        <v>939</v>
      </c>
      <c r="E6" s="18" t="s">
        <v>651</v>
      </c>
      <c r="F6" s="18" t="s">
        <v>1301</v>
      </c>
      <c r="G6" s="18" t="s">
        <v>1302</v>
      </c>
      <c r="H6" s="18" t="s">
        <v>137</v>
      </c>
      <c r="I6" s="18" t="s">
        <v>1296</v>
      </c>
      <c r="J6" s="18" t="s">
        <v>572</v>
      </c>
      <c r="K6" s="18" t="s">
        <v>942</v>
      </c>
      <c r="L6" s="5" t="s">
        <v>139</v>
      </c>
      <c r="M6" s="18" t="s">
        <v>498</v>
      </c>
      <c r="N6" s="20" t="s">
        <v>1232</v>
      </c>
      <c r="O6" s="20" t="s">
        <v>141</v>
      </c>
      <c r="P6" s="18" t="s">
        <v>664</v>
      </c>
      <c r="Q6" s="156">
        <v>29128.48</v>
      </c>
      <c r="R6" s="173">
        <v>3.306</v>
      </c>
      <c r="S6" s="174">
        <v>1198.68</v>
      </c>
      <c r="T6" s="156">
        <v>1154.3140000000001</v>
      </c>
      <c r="U6" s="175">
        <v>0</v>
      </c>
      <c r="V6" s="175">
        <v>8.3641292704690701E-2</v>
      </c>
      <c r="W6" s="175">
        <v>2.5000797413834599E-3</v>
      </c>
    </row>
    <row r="7" spans="1:23">
      <c r="A7" s="18">
        <v>1182</v>
      </c>
      <c r="B7" s="18">
        <v>1182</v>
      </c>
      <c r="C7" s="18" t="s">
        <v>1303</v>
      </c>
      <c r="D7" s="18" t="s">
        <v>1304</v>
      </c>
      <c r="E7" s="18" t="s">
        <v>651</v>
      </c>
      <c r="F7" s="18" t="s">
        <v>1303</v>
      </c>
      <c r="G7" s="18" t="s">
        <v>1305</v>
      </c>
      <c r="H7" s="18" t="s">
        <v>137</v>
      </c>
      <c r="I7" s="18" t="s">
        <v>703</v>
      </c>
      <c r="J7" s="18" t="s">
        <v>572</v>
      </c>
      <c r="K7" s="18" t="s">
        <v>224</v>
      </c>
      <c r="L7" s="5" t="s">
        <v>139</v>
      </c>
      <c r="M7" s="18" t="s">
        <v>914</v>
      </c>
      <c r="N7" s="20" t="s">
        <v>1232</v>
      </c>
      <c r="O7" s="20" t="s">
        <v>141</v>
      </c>
      <c r="P7" s="18" t="s">
        <v>664</v>
      </c>
      <c r="Q7" s="156">
        <v>4000</v>
      </c>
      <c r="R7" s="173">
        <v>3.306</v>
      </c>
      <c r="S7" s="174">
        <v>12479</v>
      </c>
      <c r="T7" s="156">
        <v>1650.223</v>
      </c>
      <c r="U7" s="175">
        <v>0</v>
      </c>
      <c r="V7" s="175">
        <v>0.119574735981494</v>
      </c>
      <c r="W7" s="175">
        <v>3.5741481909430401E-3</v>
      </c>
    </row>
    <row r="8" spans="1:23">
      <c r="A8" s="18">
        <v>1182</v>
      </c>
      <c r="B8" s="18">
        <v>1182</v>
      </c>
      <c r="C8" s="18" t="s">
        <v>1306</v>
      </c>
      <c r="D8" s="18" t="s">
        <v>1307</v>
      </c>
      <c r="E8" s="18" t="s">
        <v>651</v>
      </c>
      <c r="F8" s="18" t="s">
        <v>1308</v>
      </c>
      <c r="G8" s="18" t="s">
        <v>1309</v>
      </c>
      <c r="H8" s="18" t="s">
        <v>137</v>
      </c>
      <c r="I8" s="18" t="s">
        <v>1296</v>
      </c>
      <c r="J8" s="18" t="s">
        <v>572</v>
      </c>
      <c r="K8" s="18" t="s">
        <v>1148</v>
      </c>
      <c r="L8" s="5" t="s">
        <v>139</v>
      </c>
      <c r="M8" s="18" t="s">
        <v>1310</v>
      </c>
      <c r="N8" s="20" t="s">
        <v>1232</v>
      </c>
      <c r="O8" s="20" t="s">
        <v>141</v>
      </c>
      <c r="P8" s="18" t="s">
        <v>664</v>
      </c>
      <c r="Q8" s="156">
        <v>57288.42</v>
      </c>
      <c r="R8" s="173">
        <v>3.306</v>
      </c>
      <c r="S8" s="174">
        <v>1320.42</v>
      </c>
      <c r="T8" s="156">
        <v>2500.8159999999998</v>
      </c>
      <c r="U8" s="175">
        <v>2.32E-3</v>
      </c>
      <c r="V8" s="175">
        <v>0.18120851156231199</v>
      </c>
      <c r="W8" s="175">
        <v>5.4164123254611101E-3</v>
      </c>
    </row>
    <row r="9" spans="1:23">
      <c r="A9" s="18">
        <v>1182</v>
      </c>
      <c r="B9" s="18">
        <v>1182</v>
      </c>
      <c r="C9" s="18" t="s">
        <v>1311</v>
      </c>
      <c r="D9" s="18" t="s">
        <v>1312</v>
      </c>
      <c r="E9" s="18" t="s">
        <v>651</v>
      </c>
      <c r="F9" s="18" t="s">
        <v>1313</v>
      </c>
      <c r="G9" s="18" t="s">
        <v>1314</v>
      </c>
      <c r="H9" s="18" t="s">
        <v>137</v>
      </c>
      <c r="I9" s="18" t="s">
        <v>1296</v>
      </c>
      <c r="J9" s="18" t="s">
        <v>572</v>
      </c>
      <c r="K9" s="18" t="s">
        <v>1315</v>
      </c>
      <c r="L9" s="5" t="s">
        <v>139</v>
      </c>
      <c r="M9" s="18" t="s">
        <v>498</v>
      </c>
      <c r="N9" s="20" t="s">
        <v>1232</v>
      </c>
      <c r="O9" s="20" t="s">
        <v>141</v>
      </c>
      <c r="P9" s="18" t="s">
        <v>664</v>
      </c>
      <c r="Q9" s="156">
        <v>2515.71</v>
      </c>
      <c r="R9" s="173">
        <v>3.306</v>
      </c>
      <c r="S9" s="174">
        <v>26675</v>
      </c>
      <c r="T9" s="156">
        <v>2218.5430000000001</v>
      </c>
      <c r="U9" s="175">
        <v>1.3450000000000001E-3</v>
      </c>
      <c r="V9" s="175">
        <v>0.160755062561481</v>
      </c>
      <c r="W9" s="175">
        <v>4.8050485859151499E-3</v>
      </c>
    </row>
    <row r="10" spans="1:23">
      <c r="A10" s="18">
        <v>1182</v>
      </c>
      <c r="B10" s="18">
        <v>14769</v>
      </c>
      <c r="C10" s="18" t="s">
        <v>1288</v>
      </c>
      <c r="D10" s="18" t="s">
        <v>1289</v>
      </c>
      <c r="E10" s="18" t="s">
        <v>651</v>
      </c>
      <c r="F10" s="18" t="s">
        <v>1290</v>
      </c>
      <c r="G10" s="18" t="s">
        <v>1291</v>
      </c>
      <c r="H10" s="18" t="s">
        <v>137</v>
      </c>
      <c r="I10" s="18" t="s">
        <v>703</v>
      </c>
      <c r="J10" s="18" t="s">
        <v>572</v>
      </c>
      <c r="K10" s="18" t="s">
        <v>566</v>
      </c>
      <c r="L10" s="5" t="s">
        <v>139</v>
      </c>
      <c r="M10" s="18" t="s">
        <v>1139</v>
      </c>
      <c r="N10" s="20" t="s">
        <v>1232</v>
      </c>
      <c r="O10" s="20" t="s">
        <v>141</v>
      </c>
      <c r="P10" s="18" t="s">
        <v>1141</v>
      </c>
      <c r="Q10" s="156">
        <v>3490.2</v>
      </c>
      <c r="R10" s="173">
        <v>4.4409000000000001</v>
      </c>
      <c r="S10" s="174">
        <v>1310.29</v>
      </c>
      <c r="T10" s="156">
        <v>203.09</v>
      </c>
      <c r="U10" s="175">
        <v>2.0000000000000002E-5</v>
      </c>
      <c r="V10" s="175">
        <v>0.69992154904318704</v>
      </c>
      <c r="W10" s="175">
        <v>7.0473708385598204E-3</v>
      </c>
    </row>
    <row r="11" spans="1:23">
      <c r="A11" s="18">
        <v>1182</v>
      </c>
      <c r="B11" s="18">
        <v>14769</v>
      </c>
      <c r="C11" s="18" t="s">
        <v>1292</v>
      </c>
      <c r="D11" s="18" t="s">
        <v>1293</v>
      </c>
      <c r="E11" s="18" t="s">
        <v>651</v>
      </c>
      <c r="F11" s="18" t="s">
        <v>1294</v>
      </c>
      <c r="G11" s="18" t="s">
        <v>1295</v>
      </c>
      <c r="H11" s="18" t="s">
        <v>137</v>
      </c>
      <c r="I11" s="18" t="s">
        <v>1296</v>
      </c>
      <c r="J11" s="18" t="s">
        <v>572</v>
      </c>
      <c r="K11" s="18" t="s">
        <v>224</v>
      </c>
      <c r="L11" s="5" t="s">
        <v>139</v>
      </c>
      <c r="M11" s="18" t="s">
        <v>498</v>
      </c>
      <c r="N11" s="20" t="s">
        <v>1232</v>
      </c>
      <c r="O11" s="20" t="s">
        <v>141</v>
      </c>
      <c r="P11" s="18" t="s">
        <v>664</v>
      </c>
      <c r="Q11" s="156">
        <v>2.3199999999999998</v>
      </c>
      <c r="R11" s="173">
        <v>3.306</v>
      </c>
      <c r="S11" s="174">
        <v>144422.416</v>
      </c>
      <c r="T11" s="156">
        <v>11.077</v>
      </c>
      <c r="U11" s="175">
        <v>3.0000000000000001E-6</v>
      </c>
      <c r="V11" s="175">
        <v>3.8175617458829803E-2</v>
      </c>
      <c r="W11" s="175">
        <v>3.8438269773398897E-4</v>
      </c>
    </row>
    <row r="12" spans="1:23">
      <c r="A12" s="18">
        <v>1182</v>
      </c>
      <c r="B12" s="18">
        <v>14769</v>
      </c>
      <c r="C12" s="18" t="s">
        <v>1297</v>
      </c>
      <c r="D12" s="18" t="s">
        <v>1285</v>
      </c>
      <c r="E12" s="18" t="s">
        <v>651</v>
      </c>
      <c r="F12" s="18" t="s">
        <v>1298</v>
      </c>
      <c r="G12" s="18" t="s">
        <v>1299</v>
      </c>
      <c r="H12" s="18" t="s">
        <v>137</v>
      </c>
      <c r="I12" s="18" t="s">
        <v>703</v>
      </c>
      <c r="J12" s="18" t="s">
        <v>572</v>
      </c>
      <c r="K12" s="18" t="s">
        <v>1192</v>
      </c>
      <c r="L12" s="5" t="s">
        <v>139</v>
      </c>
      <c r="M12" s="18" t="s">
        <v>498</v>
      </c>
      <c r="N12" s="20" t="s">
        <v>1300</v>
      </c>
      <c r="O12" s="20" t="s">
        <v>141</v>
      </c>
      <c r="P12" s="18" t="s">
        <v>664</v>
      </c>
      <c r="Q12" s="156">
        <v>801.55</v>
      </c>
      <c r="R12" s="173">
        <v>3.306</v>
      </c>
      <c r="S12" s="174">
        <v>1433.42</v>
      </c>
      <c r="T12" s="156">
        <v>37.984999999999999</v>
      </c>
      <c r="U12" s="175">
        <v>3.4999999999999997E-5</v>
      </c>
      <c r="V12" s="175">
        <v>0.13090841287251001</v>
      </c>
      <c r="W12" s="175">
        <v>1.3180907669738801E-3</v>
      </c>
    </row>
    <row r="13" spans="1:23">
      <c r="A13" s="18">
        <v>1182</v>
      </c>
      <c r="B13" s="18">
        <v>14769</v>
      </c>
      <c r="C13" s="18" t="s">
        <v>938</v>
      </c>
      <c r="D13" s="18" t="s">
        <v>939</v>
      </c>
      <c r="E13" s="18" t="s">
        <v>651</v>
      </c>
      <c r="F13" s="18" t="s">
        <v>1301</v>
      </c>
      <c r="G13" s="18" t="s">
        <v>1302</v>
      </c>
      <c r="H13" s="18" t="s">
        <v>137</v>
      </c>
      <c r="I13" s="18" t="s">
        <v>1296</v>
      </c>
      <c r="J13" s="18" t="s">
        <v>572</v>
      </c>
      <c r="K13" s="18" t="s">
        <v>942</v>
      </c>
      <c r="L13" s="5" t="s">
        <v>139</v>
      </c>
      <c r="M13" s="18" t="s">
        <v>498</v>
      </c>
      <c r="N13" s="20" t="s">
        <v>1232</v>
      </c>
      <c r="O13" s="20" t="s">
        <v>141</v>
      </c>
      <c r="P13" s="18" t="s">
        <v>664</v>
      </c>
      <c r="Q13" s="156">
        <v>339.83</v>
      </c>
      <c r="R13" s="173">
        <v>3.306</v>
      </c>
      <c r="S13" s="174">
        <v>1198.68</v>
      </c>
      <c r="T13" s="156">
        <v>13.467000000000001</v>
      </c>
      <c r="U13" s="175">
        <v>0</v>
      </c>
      <c r="V13" s="175">
        <v>4.6411804480109703E-2</v>
      </c>
      <c r="W13" s="175">
        <v>4.67311226387007E-4</v>
      </c>
    </row>
    <row r="14" spans="1:23">
      <c r="A14" s="18">
        <v>1182</v>
      </c>
      <c r="B14" s="18">
        <v>14769</v>
      </c>
      <c r="C14" s="18" t="s">
        <v>1311</v>
      </c>
      <c r="D14" s="18" t="s">
        <v>1312</v>
      </c>
      <c r="E14" s="18" t="s">
        <v>651</v>
      </c>
      <c r="F14" s="18" t="s">
        <v>1313</v>
      </c>
      <c r="G14" s="18" t="s">
        <v>1314</v>
      </c>
      <c r="H14" s="18" t="s">
        <v>137</v>
      </c>
      <c r="I14" s="18" t="s">
        <v>1296</v>
      </c>
      <c r="J14" s="18" t="s">
        <v>572</v>
      </c>
      <c r="K14" s="18" t="s">
        <v>1315</v>
      </c>
      <c r="L14" s="5" t="s">
        <v>139</v>
      </c>
      <c r="M14" s="18" t="s">
        <v>498</v>
      </c>
      <c r="N14" s="20" t="s">
        <v>1232</v>
      </c>
      <c r="O14" s="20" t="s">
        <v>141</v>
      </c>
      <c r="P14" s="18" t="s">
        <v>664</v>
      </c>
      <c r="Q14" s="156">
        <v>27.83</v>
      </c>
      <c r="R14" s="173">
        <v>3.306</v>
      </c>
      <c r="S14" s="174">
        <v>26675</v>
      </c>
      <c r="T14" s="156">
        <v>24.542999999999999</v>
      </c>
      <c r="U14" s="175">
        <v>1.5E-5</v>
      </c>
      <c r="V14" s="175">
        <v>8.4582616145363707E-2</v>
      </c>
      <c r="W14" s="175">
        <v>8.5164553554152101E-4</v>
      </c>
    </row>
    <row r="15" spans="1:23">
      <c r="A15" s="18">
        <v>12904</v>
      </c>
      <c r="B15" s="18">
        <v>12905</v>
      </c>
      <c r="C15" s="18" t="s">
        <v>1288</v>
      </c>
      <c r="D15" s="18" t="s">
        <v>1289</v>
      </c>
      <c r="E15" s="18" t="s">
        <v>651</v>
      </c>
      <c r="F15" s="18" t="s">
        <v>1290</v>
      </c>
      <c r="G15" s="18" t="s">
        <v>1291</v>
      </c>
      <c r="H15" s="18" t="s">
        <v>137</v>
      </c>
      <c r="I15" s="18" t="s">
        <v>703</v>
      </c>
      <c r="J15" s="18" t="s">
        <v>572</v>
      </c>
      <c r="K15" s="18" t="s">
        <v>566</v>
      </c>
      <c r="L15" s="5" t="s">
        <v>139</v>
      </c>
      <c r="M15" s="18" t="s">
        <v>1139</v>
      </c>
      <c r="N15" s="20" t="s">
        <v>1232</v>
      </c>
      <c r="O15" s="20" t="s">
        <v>141</v>
      </c>
      <c r="P15" s="18" t="s">
        <v>1141</v>
      </c>
      <c r="Q15" s="156">
        <v>3822.01</v>
      </c>
      <c r="R15" s="173">
        <v>4.4409000000000001</v>
      </c>
      <c r="S15" s="174">
        <v>1310.29</v>
      </c>
      <c r="T15" s="156">
        <v>222.398</v>
      </c>
      <c r="U15" s="175">
        <v>2.1999999999999999E-5</v>
      </c>
      <c r="V15" s="175">
        <v>0.20814414952243299</v>
      </c>
      <c r="W15" s="175">
        <v>4.6130764554446098E-3</v>
      </c>
    </row>
    <row r="16" spans="1:23">
      <c r="A16" s="18">
        <v>12904</v>
      </c>
      <c r="B16" s="18">
        <v>12905</v>
      </c>
      <c r="C16" s="18" t="s">
        <v>1292</v>
      </c>
      <c r="D16" s="18" t="s">
        <v>1293</v>
      </c>
      <c r="E16" s="18" t="s">
        <v>651</v>
      </c>
      <c r="F16" s="18" t="s">
        <v>1294</v>
      </c>
      <c r="G16" s="18" t="s">
        <v>1295</v>
      </c>
      <c r="H16" s="18" t="s">
        <v>137</v>
      </c>
      <c r="I16" s="18" t="s">
        <v>1296</v>
      </c>
      <c r="J16" s="18" t="s">
        <v>572</v>
      </c>
      <c r="K16" s="18" t="s">
        <v>224</v>
      </c>
      <c r="L16" s="5" t="s">
        <v>139</v>
      </c>
      <c r="M16" s="18" t="s">
        <v>498</v>
      </c>
      <c r="N16" s="20" t="s">
        <v>1232</v>
      </c>
      <c r="O16" s="20" t="s">
        <v>141</v>
      </c>
      <c r="P16" s="18" t="s">
        <v>664</v>
      </c>
      <c r="Q16" s="156">
        <v>28.65</v>
      </c>
      <c r="R16" s="173">
        <v>3.306</v>
      </c>
      <c r="S16" s="174">
        <v>144422.416</v>
      </c>
      <c r="T16" s="156">
        <v>136.792</v>
      </c>
      <c r="U16" s="175">
        <v>4.1E-5</v>
      </c>
      <c r="V16" s="175">
        <v>0.12802537315575399</v>
      </c>
      <c r="W16" s="175">
        <v>2.8374126102481199E-3</v>
      </c>
    </row>
    <row r="17" spans="1:23">
      <c r="A17" s="18">
        <v>12904</v>
      </c>
      <c r="B17" s="18">
        <v>12905</v>
      </c>
      <c r="C17" s="18" t="s">
        <v>1097</v>
      </c>
      <c r="D17" s="18" t="s">
        <v>1098</v>
      </c>
      <c r="E17" s="18" t="s">
        <v>651</v>
      </c>
      <c r="F17" s="18" t="s">
        <v>1316</v>
      </c>
      <c r="G17" s="18" t="s">
        <v>1317</v>
      </c>
      <c r="H17" s="18" t="s">
        <v>137</v>
      </c>
      <c r="I17" s="18" t="s">
        <v>1296</v>
      </c>
      <c r="J17" s="18" t="s">
        <v>572</v>
      </c>
      <c r="K17" s="18" t="s">
        <v>797</v>
      </c>
      <c r="L17" s="5" t="s">
        <v>139</v>
      </c>
      <c r="M17" s="18" t="s">
        <v>498</v>
      </c>
      <c r="N17" s="20" t="s">
        <v>1232</v>
      </c>
      <c r="O17" s="20" t="s">
        <v>141</v>
      </c>
      <c r="P17" s="18" t="s">
        <v>664</v>
      </c>
      <c r="Q17" s="156">
        <v>2821.86</v>
      </c>
      <c r="R17" s="173">
        <v>3.306</v>
      </c>
      <c r="S17" s="174">
        <v>1369.54</v>
      </c>
      <c r="T17" s="156">
        <v>127.765</v>
      </c>
      <c r="U17" s="175">
        <v>0</v>
      </c>
      <c r="V17" s="175">
        <v>0.11957682083863699</v>
      </c>
      <c r="W17" s="175">
        <v>2.6501682516336402E-3</v>
      </c>
    </row>
    <row r="18" spans="1:23">
      <c r="A18" s="18">
        <v>12904</v>
      </c>
      <c r="B18" s="18">
        <v>12905</v>
      </c>
      <c r="C18" s="18" t="s">
        <v>1297</v>
      </c>
      <c r="D18" s="18" t="s">
        <v>1285</v>
      </c>
      <c r="E18" s="18" t="s">
        <v>651</v>
      </c>
      <c r="F18" s="18" t="s">
        <v>1298</v>
      </c>
      <c r="G18" s="18" t="s">
        <v>1299</v>
      </c>
      <c r="H18" s="18" t="s">
        <v>137</v>
      </c>
      <c r="I18" s="18" t="s">
        <v>703</v>
      </c>
      <c r="J18" s="18" t="s">
        <v>572</v>
      </c>
      <c r="K18" s="18" t="s">
        <v>1192</v>
      </c>
      <c r="L18" s="5" t="s">
        <v>139</v>
      </c>
      <c r="M18" s="18" t="s">
        <v>498</v>
      </c>
      <c r="N18" s="20" t="s">
        <v>1300</v>
      </c>
      <c r="O18" s="20" t="s">
        <v>141</v>
      </c>
      <c r="P18" s="18" t="s">
        <v>664</v>
      </c>
      <c r="Q18" s="156">
        <v>2127.69</v>
      </c>
      <c r="R18" s="173">
        <v>3.306</v>
      </c>
      <c r="S18" s="174">
        <v>1433.42</v>
      </c>
      <c r="T18" s="156">
        <v>100.82899999999999</v>
      </c>
      <c r="U18" s="175">
        <v>9.2999999999999997E-5</v>
      </c>
      <c r="V18" s="175">
        <v>9.4366670068923103E-2</v>
      </c>
      <c r="W18" s="175">
        <v>2.09143838475624E-3</v>
      </c>
    </row>
    <row r="19" spans="1:23">
      <c r="A19" s="18">
        <v>12904</v>
      </c>
      <c r="B19" s="18">
        <v>12905</v>
      </c>
      <c r="C19" s="18" t="s">
        <v>938</v>
      </c>
      <c r="D19" s="18" t="s">
        <v>939</v>
      </c>
      <c r="E19" s="18" t="s">
        <v>651</v>
      </c>
      <c r="F19" s="18" t="s">
        <v>1301</v>
      </c>
      <c r="G19" s="18" t="s">
        <v>1302</v>
      </c>
      <c r="H19" s="18" t="s">
        <v>137</v>
      </c>
      <c r="I19" s="18" t="s">
        <v>1296</v>
      </c>
      <c r="J19" s="18" t="s">
        <v>572</v>
      </c>
      <c r="K19" s="18" t="s">
        <v>942</v>
      </c>
      <c r="L19" s="5" t="s">
        <v>139</v>
      </c>
      <c r="M19" s="18" t="s">
        <v>498</v>
      </c>
      <c r="N19" s="20" t="s">
        <v>1232</v>
      </c>
      <c r="O19" s="20" t="s">
        <v>141</v>
      </c>
      <c r="P19" s="18" t="s">
        <v>664</v>
      </c>
      <c r="Q19" s="156">
        <v>2233.1799999999998</v>
      </c>
      <c r="R19" s="173">
        <v>3.306</v>
      </c>
      <c r="S19" s="174">
        <v>1198.68</v>
      </c>
      <c r="T19" s="156">
        <v>88.497</v>
      </c>
      <c r="U19" s="175">
        <v>0</v>
      </c>
      <c r="V19" s="175">
        <v>8.2825450554910598E-2</v>
      </c>
      <c r="W19" s="175">
        <v>1.8356515748489499E-3</v>
      </c>
    </row>
    <row r="20" spans="1:23">
      <c r="A20" s="5">
        <v>12904</v>
      </c>
      <c r="B20" s="5">
        <v>12905</v>
      </c>
      <c r="C20" s="5" t="s">
        <v>1306</v>
      </c>
      <c r="D20" s="5" t="s">
        <v>1307</v>
      </c>
      <c r="E20" s="18" t="s">
        <v>651</v>
      </c>
      <c r="F20" s="5" t="s">
        <v>1308</v>
      </c>
      <c r="G20" s="5" t="s">
        <v>1309</v>
      </c>
      <c r="H20" s="18" t="s">
        <v>137</v>
      </c>
      <c r="I20" s="18" t="s">
        <v>1296</v>
      </c>
      <c r="J20" s="18" t="s">
        <v>572</v>
      </c>
      <c r="K20" s="18" t="s">
        <v>1148</v>
      </c>
      <c r="L20" s="5" t="s">
        <v>139</v>
      </c>
      <c r="M20" s="18" t="s">
        <v>1310</v>
      </c>
      <c r="N20" s="20" t="s">
        <v>1232</v>
      </c>
      <c r="O20" s="20" t="s">
        <v>141</v>
      </c>
      <c r="P20" s="5" t="s">
        <v>664</v>
      </c>
      <c r="Q20" s="154">
        <v>4761.21</v>
      </c>
      <c r="R20" s="166">
        <v>3.306</v>
      </c>
      <c r="S20" s="168">
        <v>1320.42</v>
      </c>
      <c r="T20" s="154">
        <v>207.84200000000001</v>
      </c>
      <c r="U20" s="165">
        <v>1.93E-4</v>
      </c>
      <c r="V20" s="165">
        <v>0.19452089049510701</v>
      </c>
      <c r="W20" s="165">
        <v>4.3111456271721204E-3</v>
      </c>
    </row>
    <row r="21" spans="1:23">
      <c r="A21" s="5">
        <v>12904</v>
      </c>
      <c r="B21" s="5">
        <v>12905</v>
      </c>
      <c r="C21" s="5" t="s">
        <v>1311</v>
      </c>
      <c r="D21" s="5" t="s">
        <v>1312</v>
      </c>
      <c r="E21" s="5" t="s">
        <v>651</v>
      </c>
      <c r="F21" s="5" t="s">
        <v>1313</v>
      </c>
      <c r="G21" s="5" t="s">
        <v>1314</v>
      </c>
      <c r="H21" s="5" t="s">
        <v>137</v>
      </c>
      <c r="I21" s="5" t="s">
        <v>1296</v>
      </c>
      <c r="J21" s="5" t="s">
        <v>572</v>
      </c>
      <c r="K21" s="5" t="s">
        <v>1315</v>
      </c>
      <c r="L21" s="5" t="s">
        <v>139</v>
      </c>
      <c r="M21" s="3" t="s">
        <v>498</v>
      </c>
      <c r="N21" s="5" t="s">
        <v>1232</v>
      </c>
      <c r="O21" s="5" t="s">
        <v>141</v>
      </c>
      <c r="P21" s="5" t="s">
        <v>664</v>
      </c>
      <c r="Q21" s="154">
        <v>209.05</v>
      </c>
      <c r="R21" s="166">
        <v>3.306</v>
      </c>
      <c r="S21" s="168">
        <v>26675</v>
      </c>
      <c r="T21" s="154">
        <v>184.35599999999999</v>
      </c>
      <c r="U21" s="165">
        <v>1.12E-4</v>
      </c>
      <c r="V21" s="165">
        <v>0.172540645364235</v>
      </c>
      <c r="W21" s="165">
        <v>3.8239998124529901E-3</v>
      </c>
    </row>
    <row r="22" spans="1:23">
      <c r="A22" s="5">
        <v>12904</v>
      </c>
      <c r="B22" s="5">
        <v>13680</v>
      </c>
      <c r="C22" s="5" t="s">
        <v>1288</v>
      </c>
      <c r="D22" s="5" t="s">
        <v>1289</v>
      </c>
      <c r="E22" s="5" t="s">
        <v>651</v>
      </c>
      <c r="F22" s="5" t="s">
        <v>1290</v>
      </c>
      <c r="G22" s="5" t="s">
        <v>1291</v>
      </c>
      <c r="H22" s="5" t="s">
        <v>137</v>
      </c>
      <c r="I22" s="5" t="s">
        <v>703</v>
      </c>
      <c r="J22" s="5" t="s">
        <v>572</v>
      </c>
      <c r="K22" s="5" t="s">
        <v>566</v>
      </c>
      <c r="L22" s="5" t="s">
        <v>139</v>
      </c>
      <c r="M22" s="3" t="s">
        <v>1139</v>
      </c>
      <c r="N22" s="5" t="s">
        <v>1232</v>
      </c>
      <c r="O22" s="5" t="s">
        <v>141</v>
      </c>
      <c r="P22" s="5" t="s">
        <v>1141</v>
      </c>
      <c r="Q22" s="154">
        <v>9755.65</v>
      </c>
      <c r="R22" s="166">
        <v>4.4409000000000001</v>
      </c>
      <c r="S22" s="168">
        <v>1310.29</v>
      </c>
      <c r="T22" s="154">
        <v>567.66800000000001</v>
      </c>
      <c r="U22" s="165">
        <v>5.7000000000000003E-5</v>
      </c>
      <c r="V22" s="165">
        <v>0.54139977926592098</v>
      </c>
      <c r="W22" s="165">
        <v>1.05976017234537E-2</v>
      </c>
    </row>
    <row r="23" spans="1:23">
      <c r="A23" s="5">
        <v>12904</v>
      </c>
      <c r="B23" s="5">
        <v>13680</v>
      </c>
      <c r="C23" s="5" t="s">
        <v>1292</v>
      </c>
      <c r="D23" s="5" t="s">
        <v>1293</v>
      </c>
      <c r="E23" s="5" t="s">
        <v>651</v>
      </c>
      <c r="F23" s="5" t="s">
        <v>1294</v>
      </c>
      <c r="G23" s="5" t="s">
        <v>1295</v>
      </c>
      <c r="H23" s="5" t="s">
        <v>137</v>
      </c>
      <c r="I23" s="5" t="s">
        <v>1296</v>
      </c>
      <c r="J23" s="5" t="s">
        <v>572</v>
      </c>
      <c r="K23" s="5" t="s">
        <v>224</v>
      </c>
      <c r="L23" s="5" t="s">
        <v>139</v>
      </c>
      <c r="M23" s="3" t="s">
        <v>498</v>
      </c>
      <c r="N23" s="5" t="s">
        <v>1232</v>
      </c>
      <c r="O23" s="5" t="s">
        <v>141</v>
      </c>
      <c r="P23" s="5" t="s">
        <v>664</v>
      </c>
      <c r="Q23" s="154">
        <v>13.16</v>
      </c>
      <c r="R23" s="166">
        <v>3.306</v>
      </c>
      <c r="S23" s="168">
        <v>144422.416</v>
      </c>
      <c r="T23" s="154">
        <v>62.834000000000003</v>
      </c>
      <c r="U23" s="165">
        <v>1.9000000000000001E-5</v>
      </c>
      <c r="V23" s="165">
        <v>5.9926206638919899E-2</v>
      </c>
      <c r="W23" s="165">
        <v>1.1730224042901299E-3</v>
      </c>
    </row>
    <row r="24" spans="1:23">
      <c r="A24" s="5">
        <v>12904</v>
      </c>
      <c r="B24" s="5">
        <v>13680</v>
      </c>
      <c r="C24" s="5" t="s">
        <v>1297</v>
      </c>
      <c r="D24" s="5" t="s">
        <v>1285</v>
      </c>
      <c r="E24" s="5" t="s">
        <v>651</v>
      </c>
      <c r="F24" s="5" t="s">
        <v>1298</v>
      </c>
      <c r="G24" s="5" t="s">
        <v>1299</v>
      </c>
      <c r="H24" s="5" t="s">
        <v>137</v>
      </c>
      <c r="I24" s="5" t="s">
        <v>703</v>
      </c>
      <c r="J24" s="5" t="s">
        <v>572</v>
      </c>
      <c r="K24" s="5" t="s">
        <v>1192</v>
      </c>
      <c r="L24" s="5" t="s">
        <v>139</v>
      </c>
      <c r="M24" s="3" t="s">
        <v>498</v>
      </c>
      <c r="N24" s="5" t="s">
        <v>1300</v>
      </c>
      <c r="O24" s="5" t="s">
        <v>141</v>
      </c>
      <c r="P24" s="5" t="s">
        <v>664</v>
      </c>
      <c r="Q24" s="154">
        <v>2875.47</v>
      </c>
      <c r="R24" s="166">
        <v>3.306</v>
      </c>
      <c r="S24" s="168">
        <v>1433.42</v>
      </c>
      <c r="T24" s="154">
        <v>136.26499999999999</v>
      </c>
      <c r="U24" s="165">
        <v>1.25E-4</v>
      </c>
      <c r="V24" s="165">
        <v>0.129959667929365</v>
      </c>
      <c r="W24" s="165">
        <v>2.5438887372564601E-3</v>
      </c>
    </row>
    <row r="25" spans="1:23">
      <c r="A25" s="5">
        <v>12904</v>
      </c>
      <c r="B25" s="5">
        <v>13680</v>
      </c>
      <c r="C25" s="5" t="s">
        <v>938</v>
      </c>
      <c r="D25" s="5" t="s">
        <v>939</v>
      </c>
      <c r="E25" s="5" t="s">
        <v>651</v>
      </c>
      <c r="F25" s="5" t="s">
        <v>1301</v>
      </c>
      <c r="G25" s="5" t="s">
        <v>1302</v>
      </c>
      <c r="H25" s="5" t="s">
        <v>137</v>
      </c>
      <c r="I25" s="5" t="s">
        <v>1296</v>
      </c>
      <c r="J25" s="5" t="s">
        <v>572</v>
      </c>
      <c r="K25" s="5" t="s">
        <v>942</v>
      </c>
      <c r="L25" s="5" t="s">
        <v>139</v>
      </c>
      <c r="M25" s="3" t="s">
        <v>498</v>
      </c>
      <c r="N25" s="5" t="s">
        <v>1232</v>
      </c>
      <c r="O25" s="5" t="s">
        <v>141</v>
      </c>
      <c r="P25" s="5" t="s">
        <v>664</v>
      </c>
      <c r="Q25" s="154">
        <v>1941.9</v>
      </c>
      <c r="R25" s="166">
        <v>3.306</v>
      </c>
      <c r="S25" s="168">
        <v>1198.68</v>
      </c>
      <c r="T25" s="154">
        <v>76.953999999999994</v>
      </c>
      <c r="U25" s="165">
        <v>0</v>
      </c>
      <c r="V25" s="165">
        <v>7.3393299628651001E-2</v>
      </c>
      <c r="W25" s="165">
        <v>1.43663331316674E-3</v>
      </c>
    </row>
    <row r="26" spans="1:23">
      <c r="A26" s="5">
        <v>12904</v>
      </c>
      <c r="B26" s="5">
        <v>13680</v>
      </c>
      <c r="C26" s="5" t="s">
        <v>1311</v>
      </c>
      <c r="D26" s="5" t="s">
        <v>1312</v>
      </c>
      <c r="E26" s="5" t="s">
        <v>651</v>
      </c>
      <c r="F26" s="5" t="s">
        <v>1313</v>
      </c>
      <c r="G26" s="5" t="s">
        <v>1314</v>
      </c>
      <c r="H26" s="5" t="s">
        <v>137</v>
      </c>
      <c r="I26" s="5" t="s">
        <v>1296</v>
      </c>
      <c r="J26" s="5" t="s">
        <v>572</v>
      </c>
      <c r="K26" s="5" t="s">
        <v>1315</v>
      </c>
      <c r="L26" s="5" t="s">
        <v>139</v>
      </c>
      <c r="M26" s="3" t="s">
        <v>498</v>
      </c>
      <c r="N26" s="5" t="s">
        <v>1232</v>
      </c>
      <c r="O26" s="5" t="s">
        <v>141</v>
      </c>
      <c r="P26" s="5" t="s">
        <v>664</v>
      </c>
      <c r="Q26" s="154">
        <v>232.23</v>
      </c>
      <c r="R26" s="166">
        <v>3.306</v>
      </c>
      <c r="S26" s="168">
        <v>26675</v>
      </c>
      <c r="T26" s="154">
        <v>204.798</v>
      </c>
      <c r="U26" s="165">
        <v>1.2400000000000001E-4</v>
      </c>
      <c r="V26" s="165">
        <v>0.19532104653714299</v>
      </c>
      <c r="W26" s="165">
        <v>3.82330163158804E-3</v>
      </c>
    </row>
    <row r="27" spans="1:23">
      <c r="A27" s="5">
        <v>424</v>
      </c>
      <c r="B27" s="5">
        <v>7228</v>
      </c>
      <c r="C27" s="5" t="s">
        <v>1284</v>
      </c>
      <c r="D27" s="5" t="s">
        <v>1285</v>
      </c>
      <c r="E27" s="5" t="s">
        <v>651</v>
      </c>
      <c r="F27" s="5" t="s">
        <v>1286</v>
      </c>
      <c r="G27" s="5" t="s">
        <v>1287</v>
      </c>
      <c r="H27" s="5" t="s">
        <v>137</v>
      </c>
      <c r="I27" s="5" t="s">
        <v>703</v>
      </c>
      <c r="J27" s="5" t="s">
        <v>572</v>
      </c>
      <c r="K27" s="5" t="s">
        <v>566</v>
      </c>
      <c r="L27" s="5" t="s">
        <v>139</v>
      </c>
      <c r="M27" s="3" t="s">
        <v>498</v>
      </c>
      <c r="N27" s="5" t="s">
        <v>1177</v>
      </c>
      <c r="O27" s="5" t="s">
        <v>141</v>
      </c>
      <c r="P27" s="5" t="s">
        <v>1141</v>
      </c>
      <c r="Q27" s="154">
        <v>275886.2</v>
      </c>
      <c r="R27" s="166">
        <v>4.4409000000000001</v>
      </c>
      <c r="S27" s="168">
        <v>811.34</v>
      </c>
      <c r="T27" s="154">
        <v>9940.4</v>
      </c>
      <c r="U27" s="165">
        <v>0</v>
      </c>
      <c r="V27" s="165">
        <v>0.124767154115403</v>
      </c>
      <c r="W27" s="165">
        <v>3.8898618242608099E-3</v>
      </c>
    </row>
    <row r="28" spans="1:23">
      <c r="A28" s="5">
        <v>424</v>
      </c>
      <c r="B28" s="5">
        <v>7228</v>
      </c>
      <c r="C28" s="5" t="s">
        <v>1288</v>
      </c>
      <c r="D28" s="5" t="s">
        <v>1289</v>
      </c>
      <c r="E28" s="5" t="s">
        <v>651</v>
      </c>
      <c r="F28" s="5" t="s">
        <v>1290</v>
      </c>
      <c r="G28" s="5" t="s">
        <v>1291</v>
      </c>
      <c r="H28" s="5" t="s">
        <v>137</v>
      </c>
      <c r="I28" s="5" t="s">
        <v>703</v>
      </c>
      <c r="J28" s="5" t="s">
        <v>572</v>
      </c>
      <c r="K28" s="5" t="s">
        <v>566</v>
      </c>
      <c r="L28" s="5" t="s">
        <v>139</v>
      </c>
      <c r="M28" s="3" t="s">
        <v>1139</v>
      </c>
      <c r="N28" s="5" t="s">
        <v>1232</v>
      </c>
      <c r="O28" s="5" t="s">
        <v>141</v>
      </c>
      <c r="P28" s="5" t="s">
        <v>1141</v>
      </c>
      <c r="Q28" s="154">
        <v>168699.43</v>
      </c>
      <c r="R28" s="166">
        <v>4.4409000000000001</v>
      </c>
      <c r="S28" s="168">
        <v>1310.29</v>
      </c>
      <c r="T28" s="154">
        <v>9816.3950000000004</v>
      </c>
      <c r="U28" s="165">
        <v>9.8700000000000003E-4</v>
      </c>
      <c r="V28" s="165">
        <v>0.12321070591736</v>
      </c>
      <c r="W28" s="165">
        <v>3.8413364854412201E-3</v>
      </c>
    </row>
    <row r="29" spans="1:23">
      <c r="A29" s="5">
        <v>424</v>
      </c>
      <c r="B29" s="5">
        <v>7228</v>
      </c>
      <c r="C29" s="5" t="s">
        <v>1292</v>
      </c>
      <c r="D29" s="5" t="s">
        <v>1293</v>
      </c>
      <c r="E29" s="5" t="s">
        <v>651</v>
      </c>
      <c r="F29" s="5" t="s">
        <v>1294</v>
      </c>
      <c r="G29" s="5" t="s">
        <v>1295</v>
      </c>
      <c r="H29" s="5" t="s">
        <v>137</v>
      </c>
      <c r="I29" s="5" t="s">
        <v>1296</v>
      </c>
      <c r="J29" s="5" t="s">
        <v>572</v>
      </c>
      <c r="K29" s="5" t="s">
        <v>224</v>
      </c>
      <c r="L29" s="5" t="s">
        <v>139</v>
      </c>
      <c r="M29" s="3" t="s">
        <v>498</v>
      </c>
      <c r="N29" s="5" t="s">
        <v>1232</v>
      </c>
      <c r="O29" s="5" t="s">
        <v>141</v>
      </c>
      <c r="P29" s="5" t="s">
        <v>664</v>
      </c>
      <c r="Q29" s="154">
        <v>2322.77</v>
      </c>
      <c r="R29" s="166">
        <v>3.306</v>
      </c>
      <c r="S29" s="168">
        <v>144422.416</v>
      </c>
      <c r="T29" s="154">
        <v>11090.308999999999</v>
      </c>
      <c r="U29" s="165">
        <v>3.287E-3</v>
      </c>
      <c r="V29" s="165">
        <v>0.139200268687418</v>
      </c>
      <c r="W29" s="165">
        <v>4.3398426046746697E-3</v>
      </c>
    </row>
    <row r="30" spans="1:23">
      <c r="A30" s="5">
        <v>424</v>
      </c>
      <c r="B30" s="5">
        <v>7228</v>
      </c>
      <c r="C30" s="5" t="s">
        <v>1297</v>
      </c>
      <c r="D30" s="5" t="s">
        <v>1285</v>
      </c>
      <c r="E30" s="5" t="s">
        <v>651</v>
      </c>
      <c r="F30" s="5" t="s">
        <v>1298</v>
      </c>
      <c r="G30" s="5" t="s">
        <v>1299</v>
      </c>
      <c r="H30" s="5" t="s">
        <v>137</v>
      </c>
      <c r="I30" s="5" t="s">
        <v>703</v>
      </c>
      <c r="J30" s="5" t="s">
        <v>572</v>
      </c>
      <c r="K30" s="5" t="s">
        <v>1192</v>
      </c>
      <c r="L30" s="5" t="s">
        <v>139</v>
      </c>
      <c r="M30" s="3" t="s">
        <v>498</v>
      </c>
      <c r="N30" s="5" t="s">
        <v>1300</v>
      </c>
      <c r="O30" s="5" t="s">
        <v>141</v>
      </c>
      <c r="P30" s="5" t="s">
        <v>664</v>
      </c>
      <c r="Q30" s="154">
        <v>262821.98</v>
      </c>
      <c r="R30" s="166">
        <v>3.306</v>
      </c>
      <c r="S30" s="168">
        <v>1433.42</v>
      </c>
      <c r="T30" s="154">
        <v>12454.834999999999</v>
      </c>
      <c r="U30" s="165">
        <v>1.1450999999999999E-2</v>
      </c>
      <c r="V30" s="165">
        <v>0.15632714698188799</v>
      </c>
      <c r="W30" s="165">
        <v>4.8738067759243903E-3</v>
      </c>
    </row>
    <row r="31" spans="1:23">
      <c r="A31" s="5">
        <v>424</v>
      </c>
      <c r="B31" s="5">
        <v>7228</v>
      </c>
      <c r="C31" s="5" t="s">
        <v>938</v>
      </c>
      <c r="D31" s="5" t="s">
        <v>939</v>
      </c>
      <c r="E31" s="5" t="s">
        <v>651</v>
      </c>
      <c r="F31" s="5" t="s">
        <v>1301</v>
      </c>
      <c r="G31" s="5" t="s">
        <v>1302</v>
      </c>
      <c r="H31" s="5" t="s">
        <v>137</v>
      </c>
      <c r="I31" s="5" t="s">
        <v>1296</v>
      </c>
      <c r="J31" s="5" t="s">
        <v>572</v>
      </c>
      <c r="K31" s="5" t="s">
        <v>942</v>
      </c>
      <c r="L31" s="5" t="s">
        <v>139</v>
      </c>
      <c r="M31" s="3" t="s">
        <v>498</v>
      </c>
      <c r="N31" s="5" t="s">
        <v>1232</v>
      </c>
      <c r="O31" s="5" t="s">
        <v>141</v>
      </c>
      <c r="P31" s="5" t="s">
        <v>664</v>
      </c>
      <c r="Q31" s="154">
        <v>174770.86</v>
      </c>
      <c r="R31" s="166">
        <v>3.306</v>
      </c>
      <c r="S31" s="168">
        <v>1198.68</v>
      </c>
      <c r="T31" s="154">
        <v>6925.8829999999998</v>
      </c>
      <c r="U31" s="165">
        <v>0</v>
      </c>
      <c r="V31" s="165">
        <v>8.6930372760879004E-2</v>
      </c>
      <c r="W31" s="165">
        <v>2.7102256260372599E-3</v>
      </c>
    </row>
    <row r="32" spans="1:23">
      <c r="A32" s="5">
        <v>424</v>
      </c>
      <c r="B32" s="5">
        <v>7228</v>
      </c>
      <c r="C32" s="5" t="s">
        <v>1303</v>
      </c>
      <c r="D32" s="5" t="s">
        <v>1304</v>
      </c>
      <c r="E32" s="5" t="s">
        <v>651</v>
      </c>
      <c r="F32" s="5" t="s">
        <v>1303</v>
      </c>
      <c r="G32" s="5" t="s">
        <v>1305</v>
      </c>
      <c r="H32" s="5" t="s">
        <v>137</v>
      </c>
      <c r="I32" s="5" t="s">
        <v>703</v>
      </c>
      <c r="J32" s="5" t="s">
        <v>572</v>
      </c>
      <c r="K32" s="5" t="s">
        <v>224</v>
      </c>
      <c r="L32" s="5" t="s">
        <v>139</v>
      </c>
      <c r="M32" s="3" t="s">
        <v>914</v>
      </c>
      <c r="N32" s="5" t="s">
        <v>1232</v>
      </c>
      <c r="O32" s="5" t="s">
        <v>141</v>
      </c>
      <c r="P32" s="5" t="s">
        <v>664</v>
      </c>
      <c r="Q32" s="154">
        <v>10000</v>
      </c>
      <c r="R32" s="166">
        <v>3.306</v>
      </c>
      <c r="S32" s="168">
        <v>12479</v>
      </c>
      <c r="T32" s="154">
        <v>4125.5569999999998</v>
      </c>
      <c r="U32" s="165">
        <v>0</v>
      </c>
      <c r="V32" s="165">
        <v>5.1782026681264803E-2</v>
      </c>
      <c r="W32" s="165">
        <v>1.6144066938001899E-3</v>
      </c>
    </row>
    <row r="33" spans="1:23">
      <c r="A33" s="5">
        <v>424</v>
      </c>
      <c r="B33" s="5">
        <v>7228</v>
      </c>
      <c r="C33" s="5" t="s">
        <v>1306</v>
      </c>
      <c r="D33" s="5" t="s">
        <v>1307</v>
      </c>
      <c r="E33" s="5" t="s">
        <v>651</v>
      </c>
      <c r="F33" s="5" t="s">
        <v>1308</v>
      </c>
      <c r="G33" s="5" t="s">
        <v>1309</v>
      </c>
      <c r="H33" s="5" t="s">
        <v>137</v>
      </c>
      <c r="I33" s="5" t="s">
        <v>1296</v>
      </c>
      <c r="J33" s="5" t="s">
        <v>572</v>
      </c>
      <c r="K33" s="5" t="s">
        <v>1148</v>
      </c>
      <c r="L33" s="5" t="s">
        <v>139</v>
      </c>
      <c r="M33" s="3" t="s">
        <v>1310</v>
      </c>
      <c r="N33" s="5" t="s">
        <v>1232</v>
      </c>
      <c r="O33" s="5" t="s">
        <v>141</v>
      </c>
      <c r="P33" s="5" t="s">
        <v>664</v>
      </c>
      <c r="Q33" s="154">
        <v>338581.67</v>
      </c>
      <c r="R33" s="166">
        <v>3.306</v>
      </c>
      <c r="S33" s="168">
        <v>1320.42</v>
      </c>
      <c r="T33" s="154">
        <v>14780.134</v>
      </c>
      <c r="U33" s="165">
        <v>1.3710999999999999E-2</v>
      </c>
      <c r="V33" s="165">
        <v>0.18551319111282299</v>
      </c>
      <c r="W33" s="165">
        <v>5.7837391990131501E-3</v>
      </c>
    </row>
    <row r="34" spans="1:23">
      <c r="A34" s="5">
        <v>424</v>
      </c>
      <c r="B34" s="5">
        <v>7228</v>
      </c>
      <c r="C34" s="5" t="s">
        <v>1311</v>
      </c>
      <c r="D34" s="5" t="s">
        <v>1312</v>
      </c>
      <c r="E34" s="5" t="s">
        <v>651</v>
      </c>
      <c r="F34" s="5" t="s">
        <v>1313</v>
      </c>
      <c r="G34" s="5" t="s">
        <v>1314</v>
      </c>
      <c r="H34" s="5" t="s">
        <v>137</v>
      </c>
      <c r="I34" s="5" t="s">
        <v>1296</v>
      </c>
      <c r="J34" s="5" t="s">
        <v>572</v>
      </c>
      <c r="K34" s="5" t="s">
        <v>1315</v>
      </c>
      <c r="L34" s="5" t="s">
        <v>139</v>
      </c>
      <c r="M34" s="3" t="s">
        <v>498</v>
      </c>
      <c r="N34" s="5" t="s">
        <v>1232</v>
      </c>
      <c r="O34" s="5" t="s">
        <v>141</v>
      </c>
      <c r="P34" s="5" t="s">
        <v>664</v>
      </c>
      <c r="Q34" s="154">
        <v>11949.64</v>
      </c>
      <c r="R34" s="166">
        <v>3.306</v>
      </c>
      <c r="S34" s="168">
        <v>26675</v>
      </c>
      <c r="T34" s="154">
        <v>10538.094999999999</v>
      </c>
      <c r="U34" s="165">
        <v>6.3899999999999998E-3</v>
      </c>
      <c r="V34" s="165">
        <v>0.13226913374296401</v>
      </c>
      <c r="W34" s="165">
        <v>4.1237508182555196E-3</v>
      </c>
    </row>
    <row r="35" spans="1:23">
      <c r="A35" s="5">
        <v>424</v>
      </c>
      <c r="B35" s="5">
        <v>7229</v>
      </c>
      <c r="C35" s="5" t="s">
        <v>1288</v>
      </c>
      <c r="D35" s="5" t="s">
        <v>1289</v>
      </c>
      <c r="E35" s="5" t="s">
        <v>651</v>
      </c>
      <c r="F35" s="5" t="s">
        <v>1290</v>
      </c>
      <c r="G35" s="5" t="s">
        <v>1291</v>
      </c>
      <c r="H35" s="5" t="s">
        <v>137</v>
      </c>
      <c r="I35" s="5" t="s">
        <v>703</v>
      </c>
      <c r="J35" s="5" t="s">
        <v>572</v>
      </c>
      <c r="K35" s="5" t="s">
        <v>566</v>
      </c>
      <c r="L35" s="5" t="s">
        <v>139</v>
      </c>
      <c r="M35" s="3" t="s">
        <v>1139</v>
      </c>
      <c r="N35" s="5" t="s">
        <v>1232</v>
      </c>
      <c r="O35" s="5" t="s">
        <v>141</v>
      </c>
      <c r="P35" s="5" t="s">
        <v>1141</v>
      </c>
      <c r="Q35" s="154">
        <v>5791.25</v>
      </c>
      <c r="R35" s="166">
        <v>4.4409000000000001</v>
      </c>
      <c r="S35" s="168">
        <v>1310.29</v>
      </c>
      <c r="T35" s="154">
        <v>336.98500000000001</v>
      </c>
      <c r="U35" s="165">
        <v>3.4E-5</v>
      </c>
      <c r="V35" s="165">
        <v>0.126341847635181</v>
      </c>
      <c r="W35" s="165">
        <v>2.22092825804156E-3</v>
      </c>
    </row>
    <row r="36" spans="1:23">
      <c r="A36" s="5">
        <v>424</v>
      </c>
      <c r="B36" s="5">
        <v>7229</v>
      </c>
      <c r="C36" s="5" t="s">
        <v>1292</v>
      </c>
      <c r="D36" s="5" t="s">
        <v>1293</v>
      </c>
      <c r="E36" s="5" t="s">
        <v>651</v>
      </c>
      <c r="F36" s="5" t="s">
        <v>1294</v>
      </c>
      <c r="G36" s="5" t="s">
        <v>1295</v>
      </c>
      <c r="H36" s="5" t="s">
        <v>137</v>
      </c>
      <c r="I36" s="5" t="s">
        <v>1296</v>
      </c>
      <c r="J36" s="5" t="s">
        <v>572</v>
      </c>
      <c r="K36" s="5" t="s">
        <v>224</v>
      </c>
      <c r="L36" s="5" t="s">
        <v>139</v>
      </c>
      <c r="M36" s="3" t="s">
        <v>498</v>
      </c>
      <c r="N36" s="5" t="s">
        <v>1232</v>
      </c>
      <c r="O36" s="5" t="s">
        <v>141</v>
      </c>
      <c r="P36" s="5" t="s">
        <v>664</v>
      </c>
      <c r="Q36" s="154">
        <v>73.55</v>
      </c>
      <c r="R36" s="166">
        <v>3.306</v>
      </c>
      <c r="S36" s="168">
        <v>144422.416</v>
      </c>
      <c r="T36" s="154">
        <v>351.17200000000003</v>
      </c>
      <c r="U36" s="165">
        <v>1.0399999999999999E-4</v>
      </c>
      <c r="V36" s="165">
        <v>0.131660840237252</v>
      </c>
      <c r="W36" s="165">
        <v>2.3144293520604201E-3</v>
      </c>
    </row>
    <row r="37" spans="1:23">
      <c r="A37" s="5">
        <v>424</v>
      </c>
      <c r="B37" s="5">
        <v>7229</v>
      </c>
      <c r="C37" s="5" t="s">
        <v>1297</v>
      </c>
      <c r="D37" s="5" t="s">
        <v>1285</v>
      </c>
      <c r="E37" s="5" t="s">
        <v>651</v>
      </c>
      <c r="F37" s="5" t="s">
        <v>1298</v>
      </c>
      <c r="G37" s="5" t="s">
        <v>1299</v>
      </c>
      <c r="H37" s="5" t="s">
        <v>137</v>
      </c>
      <c r="I37" s="5" t="s">
        <v>703</v>
      </c>
      <c r="J37" s="5" t="s">
        <v>572</v>
      </c>
      <c r="K37" s="5" t="s">
        <v>1192</v>
      </c>
      <c r="L37" s="5" t="s">
        <v>139</v>
      </c>
      <c r="M37" s="3" t="s">
        <v>498</v>
      </c>
      <c r="N37" s="5" t="s">
        <v>1300</v>
      </c>
      <c r="O37" s="5" t="s">
        <v>141</v>
      </c>
      <c r="P37" s="5" t="s">
        <v>664</v>
      </c>
      <c r="Q37" s="154">
        <v>5592.53</v>
      </c>
      <c r="R37" s="166">
        <v>3.306</v>
      </c>
      <c r="S37" s="168">
        <v>1433.42</v>
      </c>
      <c r="T37" s="154">
        <v>265.024</v>
      </c>
      <c r="U37" s="165">
        <v>2.4399999999999999E-4</v>
      </c>
      <c r="V37" s="165">
        <v>9.9362182345890906E-2</v>
      </c>
      <c r="W37" s="165">
        <v>1.7466602134067399E-3</v>
      </c>
    </row>
    <row r="38" spans="1:23">
      <c r="A38" s="5">
        <v>424</v>
      </c>
      <c r="B38" s="5">
        <v>7229</v>
      </c>
      <c r="C38" s="5" t="s">
        <v>938</v>
      </c>
      <c r="D38" s="5" t="s">
        <v>939</v>
      </c>
      <c r="E38" s="5" t="s">
        <v>651</v>
      </c>
      <c r="F38" s="5" t="s">
        <v>1301</v>
      </c>
      <c r="G38" s="5" t="s">
        <v>1302</v>
      </c>
      <c r="H38" s="5" t="s">
        <v>137</v>
      </c>
      <c r="I38" s="5" t="s">
        <v>1296</v>
      </c>
      <c r="J38" s="5" t="s">
        <v>572</v>
      </c>
      <c r="K38" s="5" t="s">
        <v>942</v>
      </c>
      <c r="L38" s="5" t="s">
        <v>139</v>
      </c>
      <c r="M38" s="3" t="s">
        <v>498</v>
      </c>
      <c r="N38" s="5" t="s">
        <v>1232</v>
      </c>
      <c r="O38" s="5" t="s">
        <v>141</v>
      </c>
      <c r="P38" s="5" t="s">
        <v>664</v>
      </c>
      <c r="Q38" s="154">
        <v>11165.92</v>
      </c>
      <c r="R38" s="166">
        <v>3.306</v>
      </c>
      <c r="S38" s="168">
        <v>1198.68</v>
      </c>
      <c r="T38" s="154">
        <v>442.48700000000002</v>
      </c>
      <c r="U38" s="165">
        <v>0</v>
      </c>
      <c r="V38" s="165">
        <v>0.165896456806541</v>
      </c>
      <c r="W38" s="165">
        <v>2.91624774947506E-3</v>
      </c>
    </row>
    <row r="39" spans="1:23">
      <c r="A39" s="5">
        <v>424</v>
      </c>
      <c r="B39" s="5">
        <v>7229</v>
      </c>
      <c r="C39" s="5" t="s">
        <v>1306</v>
      </c>
      <c r="D39" s="5" t="s">
        <v>1307</v>
      </c>
      <c r="E39" s="5" t="s">
        <v>651</v>
      </c>
      <c r="F39" s="5" t="s">
        <v>1308</v>
      </c>
      <c r="G39" s="5" t="s">
        <v>1309</v>
      </c>
      <c r="H39" s="5" t="s">
        <v>137</v>
      </c>
      <c r="I39" s="5" t="s">
        <v>1296</v>
      </c>
      <c r="J39" s="5" t="s">
        <v>572</v>
      </c>
      <c r="K39" s="5" t="s">
        <v>1148</v>
      </c>
      <c r="L39" s="5" t="s">
        <v>139</v>
      </c>
      <c r="M39" s="3" t="s">
        <v>1310</v>
      </c>
      <c r="N39" s="5" t="s">
        <v>1232</v>
      </c>
      <c r="O39" s="5" t="s">
        <v>141</v>
      </c>
      <c r="P39" s="5" t="s">
        <v>664</v>
      </c>
      <c r="Q39" s="154">
        <v>16000.21</v>
      </c>
      <c r="R39" s="166">
        <v>3.306</v>
      </c>
      <c r="S39" s="168">
        <v>1320.42</v>
      </c>
      <c r="T39" s="154">
        <v>698.45899999999995</v>
      </c>
      <c r="U39" s="165">
        <v>6.4800000000000003E-4</v>
      </c>
      <c r="V39" s="165">
        <v>0.26186479499360898</v>
      </c>
      <c r="W39" s="165">
        <v>4.6032485187878398E-3</v>
      </c>
    </row>
    <row r="40" spans="1:23">
      <c r="A40" s="5">
        <v>424</v>
      </c>
      <c r="B40" s="5">
        <v>7229</v>
      </c>
      <c r="C40" s="5" t="s">
        <v>1311</v>
      </c>
      <c r="D40" s="5" t="s">
        <v>1312</v>
      </c>
      <c r="E40" s="5" t="s">
        <v>651</v>
      </c>
      <c r="F40" s="5" t="s">
        <v>1313</v>
      </c>
      <c r="G40" s="5" t="s">
        <v>1314</v>
      </c>
      <c r="H40" s="5" t="s">
        <v>137</v>
      </c>
      <c r="I40" s="5" t="s">
        <v>1296</v>
      </c>
      <c r="J40" s="5" t="s">
        <v>572</v>
      </c>
      <c r="K40" s="5" t="s">
        <v>1315</v>
      </c>
      <c r="L40" s="5" t="s">
        <v>139</v>
      </c>
      <c r="M40" s="3" t="s">
        <v>498</v>
      </c>
      <c r="N40" s="5" t="s">
        <v>1232</v>
      </c>
      <c r="O40" s="5" t="s">
        <v>141</v>
      </c>
      <c r="P40" s="5" t="s">
        <v>664</v>
      </c>
      <c r="Q40" s="154">
        <v>649.89</v>
      </c>
      <c r="R40" s="166">
        <v>3.306</v>
      </c>
      <c r="S40" s="168">
        <v>26675</v>
      </c>
      <c r="T40" s="154">
        <v>573.12199999999996</v>
      </c>
      <c r="U40" s="165">
        <v>3.48E-4</v>
      </c>
      <c r="V40" s="165">
        <v>0.21487387798152599</v>
      </c>
      <c r="W40" s="165">
        <v>3.7772082366734402E-3</v>
      </c>
    </row>
    <row r="41" spans="1:23">
      <c r="A41" s="5">
        <v>969</v>
      </c>
      <c r="B41" s="5">
        <v>969</v>
      </c>
      <c r="C41" s="5" t="s">
        <v>1288</v>
      </c>
      <c r="D41" s="5" t="s">
        <v>1289</v>
      </c>
      <c r="E41" s="5" t="s">
        <v>651</v>
      </c>
      <c r="F41" s="5" t="s">
        <v>1290</v>
      </c>
      <c r="G41" s="5" t="s">
        <v>1291</v>
      </c>
      <c r="H41" s="5" t="s">
        <v>137</v>
      </c>
      <c r="I41" s="5" t="s">
        <v>703</v>
      </c>
      <c r="J41" s="5" t="s">
        <v>572</v>
      </c>
      <c r="K41" s="5" t="s">
        <v>566</v>
      </c>
      <c r="L41" s="5" t="s">
        <v>139</v>
      </c>
      <c r="M41" s="3" t="s">
        <v>1139</v>
      </c>
      <c r="N41" s="5" t="s">
        <v>1232</v>
      </c>
      <c r="O41" s="5" t="s">
        <v>141</v>
      </c>
      <c r="P41" s="5" t="s">
        <v>1141</v>
      </c>
      <c r="Q41" s="154">
        <v>5406.62</v>
      </c>
      <c r="R41" s="166">
        <v>4.4409000000000001</v>
      </c>
      <c r="S41" s="168">
        <v>1310.29</v>
      </c>
      <c r="T41" s="154">
        <v>314.60399999999998</v>
      </c>
      <c r="U41" s="165">
        <v>3.1999999999999999E-5</v>
      </c>
      <c r="V41" s="165">
        <v>0.14513693932112701</v>
      </c>
      <c r="W41" s="165">
        <v>4.1445157863876604E-3</v>
      </c>
    </row>
    <row r="42" spans="1:23">
      <c r="A42" s="5">
        <v>969</v>
      </c>
      <c r="B42" s="5">
        <v>969</v>
      </c>
      <c r="C42" s="5" t="s">
        <v>1292</v>
      </c>
      <c r="D42" s="5" t="s">
        <v>1293</v>
      </c>
      <c r="E42" s="5" t="s">
        <v>651</v>
      </c>
      <c r="F42" s="5" t="s">
        <v>1294</v>
      </c>
      <c r="G42" s="5" t="s">
        <v>1295</v>
      </c>
      <c r="H42" s="5" t="s">
        <v>137</v>
      </c>
      <c r="I42" s="5" t="s">
        <v>1296</v>
      </c>
      <c r="J42" s="5" t="s">
        <v>572</v>
      </c>
      <c r="K42" s="5" t="s">
        <v>224</v>
      </c>
      <c r="L42" s="5" t="s">
        <v>139</v>
      </c>
      <c r="M42" s="3" t="s">
        <v>498</v>
      </c>
      <c r="N42" s="5" t="s">
        <v>1232</v>
      </c>
      <c r="O42" s="5" t="s">
        <v>141</v>
      </c>
      <c r="P42" s="5" t="s">
        <v>664</v>
      </c>
      <c r="Q42" s="154">
        <v>75.099999999999994</v>
      </c>
      <c r="R42" s="166">
        <v>3.306</v>
      </c>
      <c r="S42" s="168">
        <v>144422.416</v>
      </c>
      <c r="T42" s="154">
        <v>358.57299999999998</v>
      </c>
      <c r="U42" s="165">
        <v>1.06E-4</v>
      </c>
      <c r="V42" s="165">
        <v>0.165421168964727</v>
      </c>
      <c r="W42" s="165">
        <v>4.7237502002166901E-3</v>
      </c>
    </row>
    <row r="43" spans="1:23">
      <c r="A43" s="5">
        <v>969</v>
      </c>
      <c r="B43" s="5">
        <v>969</v>
      </c>
      <c r="C43" s="5" t="s">
        <v>1297</v>
      </c>
      <c r="D43" s="5" t="s">
        <v>1285</v>
      </c>
      <c r="E43" s="5" t="s">
        <v>651</v>
      </c>
      <c r="F43" s="5" t="s">
        <v>1298</v>
      </c>
      <c r="G43" s="5" t="s">
        <v>1299</v>
      </c>
      <c r="H43" s="5" t="s">
        <v>137</v>
      </c>
      <c r="I43" s="5" t="s">
        <v>703</v>
      </c>
      <c r="J43" s="5" t="s">
        <v>572</v>
      </c>
      <c r="K43" s="5" t="s">
        <v>1192</v>
      </c>
      <c r="L43" s="5" t="s">
        <v>139</v>
      </c>
      <c r="M43" s="3" t="s">
        <v>498</v>
      </c>
      <c r="N43" s="5" t="s">
        <v>1300</v>
      </c>
      <c r="O43" s="5" t="s">
        <v>141</v>
      </c>
      <c r="P43" s="5" t="s">
        <v>664</v>
      </c>
      <c r="Q43" s="154">
        <v>10462.65</v>
      </c>
      <c r="R43" s="166">
        <v>3.306</v>
      </c>
      <c r="S43" s="168">
        <v>1433.42</v>
      </c>
      <c r="T43" s="154">
        <v>495.81299999999999</v>
      </c>
      <c r="U43" s="165">
        <v>4.5600000000000003E-4</v>
      </c>
      <c r="V43" s="165">
        <v>0.22873451346853499</v>
      </c>
      <c r="W43" s="165">
        <v>6.5317196738215203E-3</v>
      </c>
    </row>
    <row r="44" spans="1:23">
      <c r="A44" s="5">
        <v>969</v>
      </c>
      <c r="B44" s="5">
        <v>969</v>
      </c>
      <c r="C44" s="5" t="s">
        <v>938</v>
      </c>
      <c r="D44" s="5" t="s">
        <v>939</v>
      </c>
      <c r="E44" s="5" t="s">
        <v>651</v>
      </c>
      <c r="F44" s="5" t="s">
        <v>1301</v>
      </c>
      <c r="G44" s="5" t="s">
        <v>1302</v>
      </c>
      <c r="H44" s="5" t="s">
        <v>137</v>
      </c>
      <c r="I44" s="5" t="s">
        <v>1296</v>
      </c>
      <c r="J44" s="5" t="s">
        <v>572</v>
      </c>
      <c r="K44" s="5" t="s">
        <v>942</v>
      </c>
      <c r="L44" s="5" t="s">
        <v>139</v>
      </c>
      <c r="M44" s="3" t="s">
        <v>498</v>
      </c>
      <c r="N44" s="5" t="s">
        <v>1232</v>
      </c>
      <c r="O44" s="5" t="s">
        <v>141</v>
      </c>
      <c r="P44" s="5" t="s">
        <v>664</v>
      </c>
      <c r="Q44" s="154">
        <v>5825.7</v>
      </c>
      <c r="R44" s="166">
        <v>3.306</v>
      </c>
      <c r="S44" s="168">
        <v>1198.68</v>
      </c>
      <c r="T44" s="154">
        <v>230.863</v>
      </c>
      <c r="U44" s="165">
        <v>0</v>
      </c>
      <c r="V44" s="165">
        <v>0.106504490276909</v>
      </c>
      <c r="W44" s="165">
        <v>3.0413314717707201E-3</v>
      </c>
    </row>
    <row r="45" spans="1:23">
      <c r="A45" s="5">
        <v>969</v>
      </c>
      <c r="B45" s="5">
        <v>969</v>
      </c>
      <c r="C45" s="5" t="s">
        <v>1306</v>
      </c>
      <c r="D45" s="5" t="s">
        <v>1307</v>
      </c>
      <c r="E45" s="5" t="s">
        <v>651</v>
      </c>
      <c r="F45" s="5" t="s">
        <v>1308</v>
      </c>
      <c r="G45" s="5" t="s">
        <v>1309</v>
      </c>
      <c r="H45" s="5" t="s">
        <v>137</v>
      </c>
      <c r="I45" s="5" t="s">
        <v>1296</v>
      </c>
      <c r="J45" s="5" t="s">
        <v>572</v>
      </c>
      <c r="K45" s="5" t="s">
        <v>1148</v>
      </c>
      <c r="L45" s="5" t="s">
        <v>139</v>
      </c>
      <c r="M45" s="3" t="s">
        <v>1310</v>
      </c>
      <c r="N45" s="5" t="s">
        <v>1232</v>
      </c>
      <c r="O45" s="5" t="s">
        <v>141</v>
      </c>
      <c r="P45" s="5" t="s">
        <v>664</v>
      </c>
      <c r="Q45" s="154">
        <v>10000.65</v>
      </c>
      <c r="R45" s="166">
        <v>3.306</v>
      </c>
      <c r="S45" s="168">
        <v>1320.42</v>
      </c>
      <c r="T45" s="154">
        <v>436.55900000000003</v>
      </c>
      <c r="U45" s="165">
        <v>4.0499999999999998E-4</v>
      </c>
      <c r="V45" s="165">
        <v>0.20139879354395099</v>
      </c>
      <c r="W45" s="165">
        <v>5.7511236154394203E-3</v>
      </c>
    </row>
    <row r="46" spans="1:23">
      <c r="A46" s="5">
        <v>969</v>
      </c>
      <c r="B46" s="5">
        <v>969</v>
      </c>
      <c r="C46" s="5" t="s">
        <v>1311</v>
      </c>
      <c r="D46" s="5" t="s">
        <v>1312</v>
      </c>
      <c r="E46" s="5" t="s">
        <v>651</v>
      </c>
      <c r="F46" s="5" t="s">
        <v>1313</v>
      </c>
      <c r="G46" s="5" t="s">
        <v>1314</v>
      </c>
      <c r="H46" s="5" t="s">
        <v>137</v>
      </c>
      <c r="I46" s="5" t="s">
        <v>1296</v>
      </c>
      <c r="J46" s="5" t="s">
        <v>572</v>
      </c>
      <c r="K46" s="5" t="s">
        <v>1315</v>
      </c>
      <c r="L46" s="5" t="s">
        <v>139</v>
      </c>
      <c r="M46" s="3" t="s">
        <v>498</v>
      </c>
      <c r="N46" s="5" t="s">
        <v>1232</v>
      </c>
      <c r="O46" s="5" t="s">
        <v>141</v>
      </c>
      <c r="P46" s="5" t="s">
        <v>664</v>
      </c>
      <c r="Q46" s="154">
        <v>375.59</v>
      </c>
      <c r="R46" s="166">
        <v>3.306</v>
      </c>
      <c r="S46" s="168">
        <v>26675</v>
      </c>
      <c r="T46" s="154">
        <v>331.22399999999999</v>
      </c>
      <c r="U46" s="165">
        <v>2.0100000000000001E-4</v>
      </c>
      <c r="V46" s="165">
        <v>0.15280409442474999</v>
      </c>
      <c r="W46" s="165">
        <v>4.36345829345915E-3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6</v>
      </c>
      <c r="J1" s="19" t="s">
        <v>7</v>
      </c>
      <c r="K1" s="19" t="s">
        <v>131</v>
      </c>
      <c r="L1" s="19" t="s">
        <v>8</v>
      </c>
      <c r="M1" s="19" t="s">
        <v>1318</v>
      </c>
      <c r="N1" s="19" t="s">
        <v>124</v>
      </c>
      <c r="O1" s="176" t="s">
        <v>1319</v>
      </c>
      <c r="P1" s="19" t="s">
        <v>125</v>
      </c>
      <c r="Q1" s="19" t="s">
        <v>11</v>
      </c>
      <c r="R1" s="167" t="s">
        <v>1320</v>
      </c>
      <c r="S1" s="19" t="s">
        <v>1321</v>
      </c>
      <c r="T1" s="19" t="s">
        <v>17</v>
      </c>
      <c r="U1" s="161" t="s">
        <v>18</v>
      </c>
      <c r="V1" s="167" t="s">
        <v>19</v>
      </c>
      <c r="W1" s="19" t="s">
        <v>20</v>
      </c>
      <c r="X1" s="163" t="s">
        <v>24</v>
      </c>
      <c r="Y1" s="163" t="s">
        <v>25</v>
      </c>
    </row>
    <row r="2" spans="1:25">
      <c r="A2" s="27">
        <v>1182</v>
      </c>
      <c r="B2" s="20">
        <v>1182</v>
      </c>
      <c r="C2" s="20" t="s">
        <v>267</v>
      </c>
      <c r="D2" s="20" t="s">
        <v>268</v>
      </c>
      <c r="E2" s="18" t="s">
        <v>134</v>
      </c>
      <c r="F2" s="20" t="s">
        <v>1322</v>
      </c>
      <c r="G2" s="20" t="s">
        <v>1323</v>
      </c>
      <c r="H2" s="18" t="s">
        <v>137</v>
      </c>
      <c r="I2" s="18" t="s">
        <v>30</v>
      </c>
      <c r="J2" s="18" t="s">
        <v>30</v>
      </c>
      <c r="K2" s="20" t="s">
        <v>139</v>
      </c>
      <c r="L2" s="18" t="s">
        <v>31</v>
      </c>
      <c r="M2" s="21" t="s">
        <v>763</v>
      </c>
      <c r="N2" s="20" t="s">
        <v>186</v>
      </c>
      <c r="O2" s="177" t="s">
        <v>1324</v>
      </c>
      <c r="P2" s="20" t="s">
        <v>141</v>
      </c>
      <c r="Q2" s="18" t="s">
        <v>34</v>
      </c>
      <c r="R2" s="174">
        <v>58000</v>
      </c>
      <c r="S2" s="156">
        <v>1</v>
      </c>
      <c r="T2" s="155">
        <v>1003</v>
      </c>
      <c r="U2" s="170">
        <v>1</v>
      </c>
      <c r="V2" s="171">
        <v>12600</v>
      </c>
      <c r="W2" s="155">
        <v>126.378</v>
      </c>
      <c r="X2" s="169">
        <v>0.95454790587546401</v>
      </c>
      <c r="Y2" s="169">
        <v>2.7371677102044402E-4</v>
      </c>
    </row>
    <row r="3" spans="1:25">
      <c r="A3" s="20">
        <v>1182</v>
      </c>
      <c r="B3" s="20">
        <v>1182</v>
      </c>
      <c r="C3" s="20" t="s">
        <v>467</v>
      </c>
      <c r="D3" s="20" t="s">
        <v>468</v>
      </c>
      <c r="E3" s="18" t="s">
        <v>366</v>
      </c>
      <c r="F3" s="20" t="s">
        <v>1325</v>
      </c>
      <c r="G3" s="20" t="s">
        <v>1326</v>
      </c>
      <c r="H3" s="18" t="s">
        <v>137</v>
      </c>
      <c r="I3" s="18" t="s">
        <v>30</v>
      </c>
      <c r="J3" s="18" t="s">
        <v>30</v>
      </c>
      <c r="K3" s="20" t="s">
        <v>139</v>
      </c>
      <c r="L3" s="18" t="s">
        <v>31</v>
      </c>
      <c r="M3" s="20" t="s">
        <v>841</v>
      </c>
      <c r="N3" s="20" t="s">
        <v>369</v>
      </c>
      <c r="O3" s="177" t="s">
        <v>1327</v>
      </c>
      <c r="P3" s="20" t="s">
        <v>141</v>
      </c>
      <c r="Q3" s="18" t="s">
        <v>34</v>
      </c>
      <c r="R3" s="174">
        <v>12000</v>
      </c>
      <c r="S3" s="156">
        <v>1</v>
      </c>
      <c r="T3" s="155">
        <v>374</v>
      </c>
      <c r="U3" s="170">
        <v>1</v>
      </c>
      <c r="V3" s="171">
        <v>1609</v>
      </c>
      <c r="W3" s="155">
        <v>6.0179999999999998</v>
      </c>
      <c r="X3" s="169">
        <v>4.5452094124535498E-2</v>
      </c>
      <c r="Y3" s="169">
        <v>1.3033395561718701E-5</v>
      </c>
    </row>
    <row r="4" spans="1:25">
      <c r="A4" s="20">
        <v>1182</v>
      </c>
      <c r="B4" s="20">
        <v>14769</v>
      </c>
      <c r="C4" s="20" t="s">
        <v>267</v>
      </c>
      <c r="D4" s="20" t="s">
        <v>268</v>
      </c>
      <c r="E4" s="18" t="s">
        <v>134</v>
      </c>
      <c r="F4" s="20" t="s">
        <v>1322</v>
      </c>
      <c r="G4" s="20" t="s">
        <v>1323</v>
      </c>
      <c r="H4" s="18" t="s">
        <v>137</v>
      </c>
      <c r="I4" s="18" t="s">
        <v>30</v>
      </c>
      <c r="J4" s="18" t="s">
        <v>30</v>
      </c>
      <c r="K4" s="20" t="s">
        <v>139</v>
      </c>
      <c r="L4" s="18" t="s">
        <v>31</v>
      </c>
      <c r="M4" s="20" t="s">
        <v>763</v>
      </c>
      <c r="N4" s="20" t="s">
        <v>186</v>
      </c>
      <c r="O4" s="177" t="s">
        <v>1324</v>
      </c>
      <c r="P4" s="20" t="s">
        <v>141</v>
      </c>
      <c r="Q4" s="18" t="s">
        <v>34</v>
      </c>
      <c r="R4" s="174">
        <v>58000</v>
      </c>
      <c r="S4" s="156">
        <v>1</v>
      </c>
      <c r="T4" s="155">
        <v>51</v>
      </c>
      <c r="U4" s="170">
        <v>1</v>
      </c>
      <c r="V4" s="171">
        <v>12600</v>
      </c>
      <c r="W4" s="155">
        <v>6.4260000000000002</v>
      </c>
      <c r="X4" s="169">
        <v>0.92154663806133896</v>
      </c>
      <c r="Y4" s="169">
        <v>2.2298677766540101E-4</v>
      </c>
    </row>
    <row r="5" spans="1:25">
      <c r="A5" s="20">
        <v>1182</v>
      </c>
      <c r="B5" s="20">
        <v>14769</v>
      </c>
      <c r="C5" s="20" t="s">
        <v>467</v>
      </c>
      <c r="D5" s="20" t="s">
        <v>468</v>
      </c>
      <c r="E5" s="18" t="s">
        <v>366</v>
      </c>
      <c r="F5" s="20" t="s">
        <v>1325</v>
      </c>
      <c r="G5" s="20" t="s">
        <v>1326</v>
      </c>
      <c r="H5" s="18" t="s">
        <v>137</v>
      </c>
      <c r="I5" s="18" t="s">
        <v>30</v>
      </c>
      <c r="J5" s="18" t="s">
        <v>30</v>
      </c>
      <c r="K5" s="20" t="s">
        <v>139</v>
      </c>
      <c r="L5" s="18" t="s">
        <v>31</v>
      </c>
      <c r="M5" s="20" t="s">
        <v>841</v>
      </c>
      <c r="N5" s="20" t="s">
        <v>369</v>
      </c>
      <c r="O5" s="177" t="s">
        <v>1327</v>
      </c>
      <c r="P5" s="20" t="s">
        <v>141</v>
      </c>
      <c r="Q5" s="18" t="s">
        <v>34</v>
      </c>
      <c r="R5" s="174">
        <v>12000</v>
      </c>
      <c r="S5" s="156">
        <v>1</v>
      </c>
      <c r="T5" s="155">
        <v>34</v>
      </c>
      <c r="U5" s="170">
        <v>1</v>
      </c>
      <c r="V5" s="171">
        <v>1609</v>
      </c>
      <c r="W5" s="155">
        <v>0.54700000000000004</v>
      </c>
      <c r="X5" s="169">
        <v>7.8453361938661106E-2</v>
      </c>
      <c r="Y5" s="169">
        <v>1.8983371707070401E-5</v>
      </c>
    </row>
    <row r="6" spans="1:25">
      <c r="A6" s="20">
        <v>12904</v>
      </c>
      <c r="B6" s="20">
        <v>12905</v>
      </c>
      <c r="C6" s="20" t="s">
        <v>267</v>
      </c>
      <c r="D6" s="20" t="s">
        <v>268</v>
      </c>
      <c r="E6" s="18" t="s">
        <v>134</v>
      </c>
      <c r="F6" s="20" t="s">
        <v>1322</v>
      </c>
      <c r="G6" s="20" t="s">
        <v>1323</v>
      </c>
      <c r="H6" s="18" t="s">
        <v>137</v>
      </c>
      <c r="I6" s="18" t="s">
        <v>30</v>
      </c>
      <c r="J6" s="18" t="s">
        <v>30</v>
      </c>
      <c r="K6" s="20" t="s">
        <v>139</v>
      </c>
      <c r="L6" s="18" t="s">
        <v>31</v>
      </c>
      <c r="M6" s="20" t="s">
        <v>763</v>
      </c>
      <c r="N6" s="20" t="s">
        <v>186</v>
      </c>
      <c r="O6" s="177" t="s">
        <v>1324</v>
      </c>
      <c r="P6" s="20" t="s">
        <v>141</v>
      </c>
      <c r="Q6" s="18" t="s">
        <v>34</v>
      </c>
      <c r="R6" s="174">
        <v>58000</v>
      </c>
      <c r="S6" s="156">
        <v>1</v>
      </c>
      <c r="T6" s="155">
        <v>85</v>
      </c>
      <c r="U6" s="170">
        <v>1</v>
      </c>
      <c r="V6" s="171">
        <v>12600</v>
      </c>
      <c r="W6" s="155">
        <v>10.71</v>
      </c>
      <c r="X6" s="169">
        <v>0.95140294179830298</v>
      </c>
      <c r="Y6" s="169">
        <v>2.22151824259566E-4</v>
      </c>
    </row>
    <row r="7" spans="1:25">
      <c r="A7" s="20">
        <v>12904</v>
      </c>
      <c r="B7" s="20">
        <v>12905</v>
      </c>
      <c r="C7" s="20" t="s">
        <v>467</v>
      </c>
      <c r="D7" s="20" t="s">
        <v>468</v>
      </c>
      <c r="E7" s="18" t="s">
        <v>366</v>
      </c>
      <c r="F7" s="20" t="s">
        <v>1325</v>
      </c>
      <c r="G7" s="20" t="s">
        <v>1326</v>
      </c>
      <c r="H7" s="18" t="s">
        <v>137</v>
      </c>
      <c r="I7" s="18" t="s">
        <v>30</v>
      </c>
      <c r="J7" s="18" t="s">
        <v>30</v>
      </c>
      <c r="K7" s="20" t="s">
        <v>139</v>
      </c>
      <c r="L7" s="18" t="s">
        <v>31</v>
      </c>
      <c r="M7" s="20" t="s">
        <v>841</v>
      </c>
      <c r="N7" s="20" t="s">
        <v>369</v>
      </c>
      <c r="O7" s="177" t="s">
        <v>1327</v>
      </c>
      <c r="P7" s="20" t="s">
        <v>141</v>
      </c>
      <c r="Q7" s="18" t="s">
        <v>34</v>
      </c>
      <c r="R7" s="174">
        <v>12000</v>
      </c>
      <c r="S7" s="156">
        <v>1</v>
      </c>
      <c r="T7" s="155">
        <v>34</v>
      </c>
      <c r="U7" s="170">
        <v>1</v>
      </c>
      <c r="V7" s="171">
        <v>1609</v>
      </c>
      <c r="W7" s="155">
        <v>0.54700000000000004</v>
      </c>
      <c r="X7" s="169">
        <v>4.85970582016974E-2</v>
      </c>
      <c r="Y7" s="169">
        <v>1.1347374134401299E-5</v>
      </c>
    </row>
    <row r="8" spans="1:25">
      <c r="A8" s="20">
        <v>12904</v>
      </c>
      <c r="B8" s="20">
        <v>13680</v>
      </c>
      <c r="C8" s="20" t="s">
        <v>267</v>
      </c>
      <c r="D8" s="20" t="s">
        <v>268</v>
      </c>
      <c r="E8" s="18" t="s">
        <v>134</v>
      </c>
      <c r="F8" s="20" t="s">
        <v>1322</v>
      </c>
      <c r="G8" s="20" t="s">
        <v>1323</v>
      </c>
      <c r="H8" s="18" t="s">
        <v>137</v>
      </c>
      <c r="I8" s="18" t="s">
        <v>30</v>
      </c>
      <c r="J8" s="18" t="s">
        <v>30</v>
      </c>
      <c r="K8" s="20" t="s">
        <v>139</v>
      </c>
      <c r="L8" s="18" t="s">
        <v>31</v>
      </c>
      <c r="M8" s="20" t="s">
        <v>763</v>
      </c>
      <c r="N8" s="20" t="s">
        <v>186</v>
      </c>
      <c r="O8" s="177" t="s">
        <v>1324</v>
      </c>
      <c r="P8" s="20" t="s">
        <v>141</v>
      </c>
      <c r="Q8" s="18" t="s">
        <v>34</v>
      </c>
      <c r="R8" s="174">
        <v>58000</v>
      </c>
      <c r="S8" s="156">
        <v>1</v>
      </c>
      <c r="T8" s="155">
        <v>85</v>
      </c>
      <c r="U8" s="170">
        <v>1</v>
      </c>
      <c r="V8" s="171">
        <v>12600</v>
      </c>
      <c r="W8" s="155">
        <v>10.71</v>
      </c>
      <c r="X8" s="169">
        <v>0.86712362705425705</v>
      </c>
      <c r="Y8" s="169">
        <v>1.9994126406613501E-4</v>
      </c>
    </row>
    <row r="9" spans="1:25">
      <c r="A9" s="20">
        <v>12904</v>
      </c>
      <c r="B9" s="20">
        <v>13680</v>
      </c>
      <c r="C9" s="20" t="s">
        <v>467</v>
      </c>
      <c r="D9" s="20" t="s">
        <v>468</v>
      </c>
      <c r="E9" s="18" t="s">
        <v>366</v>
      </c>
      <c r="F9" s="20" t="s">
        <v>1325</v>
      </c>
      <c r="G9" s="20" t="s">
        <v>1326</v>
      </c>
      <c r="H9" s="18" t="s">
        <v>137</v>
      </c>
      <c r="I9" s="18" t="s">
        <v>30</v>
      </c>
      <c r="J9" s="18" t="s">
        <v>30</v>
      </c>
      <c r="K9" s="20" t="s">
        <v>139</v>
      </c>
      <c r="L9" s="18" t="s">
        <v>31</v>
      </c>
      <c r="M9" s="20" t="s">
        <v>841</v>
      </c>
      <c r="N9" s="20" t="s">
        <v>369</v>
      </c>
      <c r="O9" s="177" t="s">
        <v>1327</v>
      </c>
      <c r="P9" s="20" t="s">
        <v>141</v>
      </c>
      <c r="Q9" s="18" t="s">
        <v>34</v>
      </c>
      <c r="R9" s="174">
        <v>12000</v>
      </c>
      <c r="S9" s="156">
        <v>1</v>
      </c>
      <c r="T9" s="155">
        <v>102</v>
      </c>
      <c r="U9" s="170">
        <v>1</v>
      </c>
      <c r="V9" s="171">
        <v>1609</v>
      </c>
      <c r="W9" s="155">
        <v>1.641</v>
      </c>
      <c r="X9" s="169">
        <v>0.132876372945743</v>
      </c>
      <c r="Y9" s="169">
        <v>3.0638618464991602E-5</v>
      </c>
    </row>
    <row r="10" spans="1:25">
      <c r="A10" s="20">
        <v>424</v>
      </c>
      <c r="B10" s="20">
        <v>7228</v>
      </c>
      <c r="C10" s="20" t="s">
        <v>267</v>
      </c>
      <c r="D10" s="20" t="s">
        <v>268</v>
      </c>
      <c r="E10" s="18" t="s">
        <v>134</v>
      </c>
      <c r="F10" s="20" t="s">
        <v>1322</v>
      </c>
      <c r="G10" s="20" t="s">
        <v>1323</v>
      </c>
      <c r="H10" s="18" t="s">
        <v>137</v>
      </c>
      <c r="I10" s="18" t="s">
        <v>30</v>
      </c>
      <c r="J10" s="18" t="s">
        <v>30</v>
      </c>
      <c r="K10" s="20" t="s">
        <v>139</v>
      </c>
      <c r="L10" s="18" t="s">
        <v>31</v>
      </c>
      <c r="M10" s="20" t="s">
        <v>763</v>
      </c>
      <c r="N10" s="20" t="s">
        <v>186</v>
      </c>
      <c r="O10" s="177" t="s">
        <v>1324</v>
      </c>
      <c r="P10" s="20" t="s">
        <v>141</v>
      </c>
      <c r="Q10" s="18" t="s">
        <v>34</v>
      </c>
      <c r="R10" s="174">
        <v>58000</v>
      </c>
      <c r="S10" s="156">
        <v>1</v>
      </c>
      <c r="T10" s="155">
        <v>5763</v>
      </c>
      <c r="U10" s="170">
        <v>1</v>
      </c>
      <c r="V10" s="171">
        <v>12600</v>
      </c>
      <c r="W10" s="155">
        <v>726.13800000000003</v>
      </c>
      <c r="X10" s="169">
        <v>0.95537469279225995</v>
      </c>
      <c r="Y10" s="169">
        <v>2.8415119077550201E-4</v>
      </c>
    </row>
    <row r="11" spans="1:25">
      <c r="A11" s="27">
        <v>424</v>
      </c>
      <c r="B11" s="20">
        <v>7228</v>
      </c>
      <c r="C11" s="20" t="s">
        <v>467</v>
      </c>
      <c r="D11" s="20" t="s">
        <v>468</v>
      </c>
      <c r="E11" s="18" t="s">
        <v>366</v>
      </c>
      <c r="F11" s="20" t="s">
        <v>1325</v>
      </c>
      <c r="G11" s="20" t="s">
        <v>1326</v>
      </c>
      <c r="H11" s="18" t="s">
        <v>137</v>
      </c>
      <c r="I11" s="18" t="s">
        <v>30</v>
      </c>
      <c r="J11" s="18" t="s">
        <v>30</v>
      </c>
      <c r="K11" s="20" t="s">
        <v>139</v>
      </c>
      <c r="L11" s="18" t="s">
        <v>31</v>
      </c>
      <c r="M11" s="20" t="s">
        <v>841</v>
      </c>
      <c r="N11" s="20" t="s">
        <v>369</v>
      </c>
      <c r="O11" s="177" t="s">
        <v>1327</v>
      </c>
      <c r="P11" s="20" t="s">
        <v>141</v>
      </c>
      <c r="Q11" s="18" t="s">
        <v>34</v>
      </c>
      <c r="R11" s="174">
        <v>12000</v>
      </c>
      <c r="S11" s="156">
        <v>1</v>
      </c>
      <c r="T11" s="155">
        <v>2108</v>
      </c>
      <c r="U11" s="170">
        <v>1</v>
      </c>
      <c r="V11" s="171">
        <v>1609</v>
      </c>
      <c r="W11" s="155">
        <v>33.917999999999999</v>
      </c>
      <c r="X11" s="169">
        <v>4.4625307207740002E-2</v>
      </c>
      <c r="Y11" s="169">
        <v>1.32726293437199E-5</v>
      </c>
    </row>
    <row r="12" spans="1:25">
      <c r="A12" s="20">
        <v>424</v>
      </c>
      <c r="B12" s="20">
        <v>7229</v>
      </c>
      <c r="C12" s="20" t="s">
        <v>267</v>
      </c>
      <c r="D12" s="20" t="s">
        <v>268</v>
      </c>
      <c r="E12" s="18" t="s">
        <v>134</v>
      </c>
      <c r="F12" s="20" t="s">
        <v>1322</v>
      </c>
      <c r="G12" s="20" t="s">
        <v>1323</v>
      </c>
      <c r="H12" s="18" t="s">
        <v>137</v>
      </c>
      <c r="I12" s="18" t="s">
        <v>30</v>
      </c>
      <c r="J12" s="18" t="s">
        <v>30</v>
      </c>
      <c r="K12" s="20" t="s">
        <v>139</v>
      </c>
      <c r="L12" s="18" t="s">
        <v>31</v>
      </c>
      <c r="M12" s="20" t="s">
        <v>763</v>
      </c>
      <c r="N12" s="20" t="s">
        <v>186</v>
      </c>
      <c r="O12" s="177" t="s">
        <v>1324</v>
      </c>
      <c r="P12" s="20" t="s">
        <v>141</v>
      </c>
      <c r="Q12" s="18" t="s">
        <v>34</v>
      </c>
      <c r="R12" s="174">
        <v>58000</v>
      </c>
      <c r="S12" s="156">
        <v>1</v>
      </c>
      <c r="T12" s="155">
        <v>340</v>
      </c>
      <c r="U12" s="170">
        <v>1</v>
      </c>
      <c r="V12" s="171">
        <v>12600</v>
      </c>
      <c r="W12" s="155">
        <v>42.84</v>
      </c>
      <c r="X12" s="169">
        <v>0.97509634880589402</v>
      </c>
      <c r="Y12" s="169">
        <v>2.8234055133759598E-4</v>
      </c>
    </row>
    <row r="13" spans="1:25">
      <c r="A13" s="20">
        <v>424</v>
      </c>
      <c r="B13" s="20">
        <v>7229</v>
      </c>
      <c r="C13" s="20" t="s">
        <v>467</v>
      </c>
      <c r="D13" s="20" t="s">
        <v>468</v>
      </c>
      <c r="E13" s="18" t="s">
        <v>366</v>
      </c>
      <c r="F13" s="20" t="s">
        <v>1325</v>
      </c>
      <c r="G13" s="20" t="s">
        <v>1326</v>
      </c>
      <c r="H13" s="18" t="s">
        <v>137</v>
      </c>
      <c r="I13" s="18" t="s">
        <v>30</v>
      </c>
      <c r="J13" s="18" t="s">
        <v>30</v>
      </c>
      <c r="K13" s="20" t="s">
        <v>139</v>
      </c>
      <c r="L13" s="18" t="s">
        <v>31</v>
      </c>
      <c r="M13" s="20" t="s">
        <v>841</v>
      </c>
      <c r="N13" s="20" t="s">
        <v>369</v>
      </c>
      <c r="O13" s="177" t="s">
        <v>1327</v>
      </c>
      <c r="P13" s="20" t="s">
        <v>141</v>
      </c>
      <c r="Q13" s="18" t="s">
        <v>34</v>
      </c>
      <c r="R13" s="174">
        <v>12000</v>
      </c>
      <c r="S13" s="156">
        <v>1</v>
      </c>
      <c r="T13" s="155">
        <v>68</v>
      </c>
      <c r="U13" s="170">
        <v>1</v>
      </c>
      <c r="V13" s="171">
        <v>1609</v>
      </c>
      <c r="W13" s="155">
        <v>1.0940000000000001</v>
      </c>
      <c r="X13" s="169">
        <v>2.4903651194106102E-2</v>
      </c>
      <c r="Y13" s="169">
        <v>7.2108880492411503E-6</v>
      </c>
    </row>
    <row r="14" spans="1:25">
      <c r="A14" s="20">
        <v>969</v>
      </c>
      <c r="B14" s="20">
        <v>969</v>
      </c>
      <c r="C14" s="20" t="s">
        <v>267</v>
      </c>
      <c r="D14" s="20" t="s">
        <v>268</v>
      </c>
      <c r="E14" s="18" t="s">
        <v>134</v>
      </c>
      <c r="F14" s="20" t="s">
        <v>1322</v>
      </c>
      <c r="G14" s="20" t="s">
        <v>1323</v>
      </c>
      <c r="H14" s="18" t="s">
        <v>137</v>
      </c>
      <c r="I14" s="18" t="s">
        <v>30</v>
      </c>
      <c r="J14" s="18" t="s">
        <v>30</v>
      </c>
      <c r="K14" s="20" t="s">
        <v>139</v>
      </c>
      <c r="L14" s="18" t="s">
        <v>31</v>
      </c>
      <c r="M14" s="20" t="s">
        <v>763</v>
      </c>
      <c r="N14" s="20" t="s">
        <v>186</v>
      </c>
      <c r="O14" s="177" t="s">
        <v>1324</v>
      </c>
      <c r="P14" s="20" t="s">
        <v>141</v>
      </c>
      <c r="Q14" s="18" t="s">
        <v>34</v>
      </c>
      <c r="R14" s="174">
        <v>58000</v>
      </c>
      <c r="S14" s="156">
        <v>1</v>
      </c>
      <c r="T14" s="155">
        <v>170</v>
      </c>
      <c r="U14" s="170">
        <v>1</v>
      </c>
      <c r="V14" s="171">
        <v>12600</v>
      </c>
      <c r="W14" s="155">
        <v>21.42</v>
      </c>
      <c r="X14" s="169">
        <v>0.95140294179830298</v>
      </c>
      <c r="Y14" s="169">
        <v>2.8218179885655101E-4</v>
      </c>
    </row>
    <row r="15" spans="1:25">
      <c r="A15" s="20">
        <v>969</v>
      </c>
      <c r="B15" s="20">
        <v>969</v>
      </c>
      <c r="C15" s="20" t="s">
        <v>467</v>
      </c>
      <c r="D15" s="20" t="s">
        <v>468</v>
      </c>
      <c r="E15" s="18" t="s">
        <v>366</v>
      </c>
      <c r="F15" s="20" t="s">
        <v>1325</v>
      </c>
      <c r="G15" s="20" t="s">
        <v>1326</v>
      </c>
      <c r="H15" s="18" t="s">
        <v>137</v>
      </c>
      <c r="I15" s="18" t="s">
        <v>30</v>
      </c>
      <c r="J15" s="18" t="s">
        <v>30</v>
      </c>
      <c r="K15" s="20" t="s">
        <v>139</v>
      </c>
      <c r="L15" s="18" t="s">
        <v>31</v>
      </c>
      <c r="M15" s="20" t="s">
        <v>841</v>
      </c>
      <c r="N15" s="20" t="s">
        <v>369</v>
      </c>
      <c r="O15" s="177" t="s">
        <v>1327</v>
      </c>
      <c r="P15" s="20" t="s">
        <v>141</v>
      </c>
      <c r="Q15" s="18" t="s">
        <v>34</v>
      </c>
      <c r="R15" s="174">
        <v>12000</v>
      </c>
      <c r="S15" s="156">
        <v>1</v>
      </c>
      <c r="T15" s="155">
        <v>68</v>
      </c>
      <c r="U15" s="170">
        <v>1</v>
      </c>
      <c r="V15" s="171">
        <v>1609</v>
      </c>
      <c r="W15" s="155">
        <v>1.0940000000000001</v>
      </c>
      <c r="X15" s="169">
        <v>4.85970582016974E-2</v>
      </c>
      <c r="Y15" s="169">
        <v>1.44136671225457E-5</v>
      </c>
    </row>
    <row r="16" spans="1:25">
      <c r="A16" s="20"/>
      <c r="B16" s="20"/>
      <c r="C16" s="20"/>
      <c r="D16" s="20"/>
      <c r="E16" s="18"/>
      <c r="F16" s="20"/>
      <c r="G16" s="20"/>
      <c r="H16" s="18"/>
      <c r="I16" s="18"/>
      <c r="J16" s="18"/>
      <c r="K16" s="20"/>
      <c r="L16" s="18"/>
      <c r="M16" s="20"/>
      <c r="N16" s="20"/>
      <c r="O16" s="20"/>
      <c r="P16" s="20"/>
      <c r="Q16" s="18"/>
      <c r="R16" s="18"/>
      <c r="S16" s="18"/>
      <c r="T16" s="20"/>
      <c r="U16" s="20"/>
      <c r="V16" s="20"/>
      <c r="W16" s="20"/>
      <c r="X16" s="20"/>
      <c r="Y16" s="20"/>
    </row>
    <row r="17" spans="1:25">
      <c r="A17" s="20"/>
      <c r="B17" s="20"/>
      <c r="C17" s="20"/>
      <c r="D17" s="20"/>
      <c r="E17" s="18"/>
      <c r="F17" s="20"/>
      <c r="G17" s="20"/>
      <c r="H17" s="18"/>
      <c r="I17" s="18"/>
      <c r="J17" s="18"/>
      <c r="K17" s="20"/>
      <c r="L17" s="18"/>
      <c r="M17" s="20"/>
      <c r="N17" s="20"/>
      <c r="O17" s="20"/>
      <c r="P17" s="20"/>
      <c r="Q17" s="18"/>
      <c r="R17" s="18"/>
      <c r="S17" s="18"/>
      <c r="T17" s="20"/>
      <c r="U17" s="20"/>
      <c r="V17" s="20"/>
      <c r="W17" s="20"/>
      <c r="X17" s="20"/>
      <c r="Y17" s="20"/>
    </row>
    <row r="18" spans="1:25">
      <c r="A18" s="20"/>
      <c r="B18" s="20"/>
      <c r="C18" s="20"/>
      <c r="D18" s="20"/>
      <c r="E18" s="18"/>
      <c r="F18" s="20"/>
      <c r="G18" s="20"/>
      <c r="H18" s="18"/>
      <c r="I18" s="18"/>
      <c r="J18" s="18"/>
      <c r="K18" s="20"/>
      <c r="L18" s="18"/>
      <c r="M18" s="20"/>
      <c r="N18" s="20"/>
      <c r="O18" s="20"/>
      <c r="P18" s="20"/>
      <c r="Q18" s="18"/>
      <c r="R18" s="18"/>
      <c r="S18" s="18"/>
      <c r="T18" s="20"/>
      <c r="U18" s="20"/>
      <c r="V18" s="20"/>
      <c r="W18" s="20"/>
      <c r="X18" s="20"/>
      <c r="Y18" s="20"/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2"/>
      <c r="L21" s="42"/>
    </row>
    <row r="22" spans="1:25">
      <c r="L22" s="5"/>
    </row>
    <row r="23" spans="1:25">
      <c r="H23" s="39"/>
    </row>
    <row r="24" spans="1:25">
      <c r="H24" s="39"/>
    </row>
    <row r="25" spans="1:25">
      <c r="H25" s="39"/>
    </row>
    <row r="26" spans="1:25">
      <c r="H26" s="39"/>
    </row>
    <row r="27" spans="1:25">
      <c r="H27" s="39"/>
    </row>
    <row r="28" spans="1:25">
      <c r="H28" s="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124</v>
      </c>
      <c r="N1" s="19" t="s">
        <v>1328</v>
      </c>
      <c r="O1" s="19" t="s">
        <v>1319</v>
      </c>
      <c r="P1" s="19" t="s">
        <v>125</v>
      </c>
      <c r="Q1" s="19" t="s">
        <v>11</v>
      </c>
      <c r="R1" s="19" t="s">
        <v>1320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 s="39" customFormat="1">
      <c r="E21" s="38"/>
      <c r="H21" s="42"/>
      <c r="L21" s="42"/>
    </row>
    <row r="22" spans="1:24">
      <c r="L22" s="5"/>
    </row>
    <row r="23" spans="1:24">
      <c r="H23" s="39"/>
    </row>
    <row r="24" spans="1:24">
      <c r="H24" s="39"/>
    </row>
    <row r="25" spans="1:24">
      <c r="H25" s="39"/>
    </row>
    <row r="26" spans="1:24">
      <c r="H26" s="39"/>
    </row>
    <row r="27" spans="1:24">
      <c r="H27" s="39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6</v>
      </c>
      <c r="J1" s="19" t="s">
        <v>7</v>
      </c>
      <c r="K1" s="19" t="s">
        <v>8</v>
      </c>
      <c r="L1" s="19" t="s">
        <v>1328</v>
      </c>
      <c r="M1" s="19" t="s">
        <v>125</v>
      </c>
      <c r="N1" s="19" t="s">
        <v>11</v>
      </c>
      <c r="O1" s="19" t="s">
        <v>17</v>
      </c>
      <c r="P1" s="161" t="s">
        <v>18</v>
      </c>
      <c r="Q1" s="167" t="s">
        <v>19</v>
      </c>
      <c r="R1" s="19" t="s">
        <v>20</v>
      </c>
      <c r="S1" s="163" t="s">
        <v>24</v>
      </c>
      <c r="T1" s="163" t="s">
        <v>25</v>
      </c>
    </row>
    <row r="2" spans="1:20">
      <c r="A2" s="20">
        <v>1182</v>
      </c>
      <c r="B2" s="20">
        <v>1182</v>
      </c>
      <c r="C2" s="3" t="s">
        <v>1329</v>
      </c>
      <c r="D2" s="3" t="s">
        <v>1330</v>
      </c>
      <c r="E2" s="18" t="s">
        <v>33</v>
      </c>
      <c r="F2" s="20" t="s">
        <v>1331</v>
      </c>
      <c r="G2" s="20" t="s">
        <v>1332</v>
      </c>
      <c r="H2" s="18" t="s">
        <v>498</v>
      </c>
      <c r="I2" s="18" t="s">
        <v>572</v>
      </c>
      <c r="J2" s="18" t="s">
        <v>224</v>
      </c>
      <c r="K2" s="18" t="s">
        <v>1333</v>
      </c>
      <c r="L2" s="21" t="s">
        <v>1334</v>
      </c>
      <c r="M2" s="20" t="s">
        <v>141</v>
      </c>
      <c r="N2" s="18" t="s">
        <v>664</v>
      </c>
      <c r="O2" s="155">
        <v>1</v>
      </c>
      <c r="P2" s="170">
        <v>3.306</v>
      </c>
      <c r="Q2" s="171">
        <v>24901.75</v>
      </c>
      <c r="R2" s="155">
        <v>36.223999999999997</v>
      </c>
      <c r="S2" s="169">
        <v>6.1063214387221898E-2</v>
      </c>
      <c r="T2" s="169">
        <v>7.8455689013868997E-5</v>
      </c>
    </row>
    <row r="3" spans="1:20">
      <c r="A3" s="20">
        <v>1182</v>
      </c>
      <c r="B3" s="20">
        <v>1182</v>
      </c>
      <c r="C3" s="3" t="s">
        <v>1329</v>
      </c>
      <c r="D3" s="3" t="s">
        <v>1330</v>
      </c>
      <c r="E3" s="18" t="s">
        <v>33</v>
      </c>
      <c r="F3" s="20" t="s">
        <v>1335</v>
      </c>
      <c r="G3" s="20" t="s">
        <v>1336</v>
      </c>
      <c r="H3" s="18" t="s">
        <v>498</v>
      </c>
      <c r="I3" s="18" t="s">
        <v>572</v>
      </c>
      <c r="J3" s="18" t="s">
        <v>224</v>
      </c>
      <c r="K3" s="18" t="s">
        <v>1333</v>
      </c>
      <c r="L3" s="21" t="s">
        <v>1334</v>
      </c>
      <c r="M3" s="20" t="s">
        <v>141</v>
      </c>
      <c r="N3" s="18" t="s">
        <v>664</v>
      </c>
      <c r="O3" s="155">
        <v>36</v>
      </c>
      <c r="P3" s="170">
        <v>3.306</v>
      </c>
      <c r="Q3" s="171">
        <v>6738.75</v>
      </c>
      <c r="R3" s="155">
        <v>556.995</v>
      </c>
      <c r="S3" s="169">
        <v>0.93893678561277805</v>
      </c>
      <c r="T3" s="169">
        <v>1.2063716788406299E-3</v>
      </c>
    </row>
    <row r="4" spans="1:20">
      <c r="A4" s="20">
        <v>1182</v>
      </c>
      <c r="B4" s="20">
        <v>14769</v>
      </c>
      <c r="C4" s="3" t="s">
        <v>1329</v>
      </c>
      <c r="D4" s="3" t="s">
        <v>1330</v>
      </c>
      <c r="E4" s="18" t="s">
        <v>33</v>
      </c>
      <c r="F4" s="20" t="s">
        <v>1331</v>
      </c>
      <c r="G4" s="20" t="s">
        <v>1332</v>
      </c>
      <c r="H4" s="18" t="s">
        <v>498</v>
      </c>
      <c r="I4" s="18" t="s">
        <v>572</v>
      </c>
      <c r="J4" s="18" t="s">
        <v>224</v>
      </c>
      <c r="K4" s="18" t="s">
        <v>1333</v>
      </c>
      <c r="L4" s="21" t="s">
        <v>1334</v>
      </c>
      <c r="M4" s="20" t="s">
        <v>141</v>
      </c>
      <c r="N4" s="18" t="s">
        <v>664</v>
      </c>
      <c r="O4" s="155">
        <v>1</v>
      </c>
      <c r="P4" s="170">
        <v>3.306</v>
      </c>
      <c r="Q4" s="171">
        <v>24901.75</v>
      </c>
      <c r="R4" s="155">
        <v>36.223999999999997</v>
      </c>
      <c r="S4" s="169">
        <v>1</v>
      </c>
      <c r="T4" s="169">
        <v>1.2569931220417999E-3</v>
      </c>
    </row>
    <row r="5" spans="1:20">
      <c r="A5" s="20">
        <v>12904</v>
      </c>
      <c r="B5" s="20">
        <v>13680</v>
      </c>
      <c r="C5" s="3" t="s">
        <v>1329</v>
      </c>
      <c r="D5" s="3" t="s">
        <v>1330</v>
      </c>
      <c r="E5" s="18" t="s">
        <v>33</v>
      </c>
      <c r="F5" s="20" t="s">
        <v>1331</v>
      </c>
      <c r="G5" s="20" t="s">
        <v>1332</v>
      </c>
      <c r="H5" s="18" t="s">
        <v>498</v>
      </c>
      <c r="I5" s="18" t="s">
        <v>572</v>
      </c>
      <c r="J5" s="18" t="s">
        <v>224</v>
      </c>
      <c r="K5" s="18" t="s">
        <v>1333</v>
      </c>
      <c r="L5" s="21" t="s">
        <v>1334</v>
      </c>
      <c r="M5" s="20" t="s">
        <v>141</v>
      </c>
      <c r="N5" s="18" t="s">
        <v>664</v>
      </c>
      <c r="O5" s="155">
        <v>2</v>
      </c>
      <c r="P5" s="170">
        <v>3.306</v>
      </c>
      <c r="Q5" s="171">
        <v>24901.75</v>
      </c>
      <c r="R5" s="155">
        <v>72.447999999999993</v>
      </c>
      <c r="S5" s="169">
        <v>0.82402045574189597</v>
      </c>
      <c r="T5" s="169">
        <v>1.35250060855499E-3</v>
      </c>
    </row>
    <row r="6" spans="1:20">
      <c r="A6" s="20">
        <v>12904</v>
      </c>
      <c r="B6" s="20">
        <v>13680</v>
      </c>
      <c r="C6" s="3" t="s">
        <v>1329</v>
      </c>
      <c r="D6" s="3" t="s">
        <v>1330</v>
      </c>
      <c r="E6" s="18" t="s">
        <v>33</v>
      </c>
      <c r="F6" s="20" t="s">
        <v>1335</v>
      </c>
      <c r="G6" s="20" t="s">
        <v>1336</v>
      </c>
      <c r="H6" s="18" t="s">
        <v>498</v>
      </c>
      <c r="I6" s="18" t="s">
        <v>572</v>
      </c>
      <c r="J6" s="18" t="s">
        <v>224</v>
      </c>
      <c r="K6" s="18" t="s">
        <v>1333</v>
      </c>
      <c r="L6" s="21" t="s">
        <v>1334</v>
      </c>
      <c r="M6" s="20" t="s">
        <v>141</v>
      </c>
      <c r="N6" s="18" t="s">
        <v>664</v>
      </c>
      <c r="O6" s="155">
        <v>1</v>
      </c>
      <c r="P6" s="170">
        <v>3.306</v>
      </c>
      <c r="Q6" s="171">
        <v>6738.75</v>
      </c>
      <c r="R6" s="155">
        <v>15.472</v>
      </c>
      <c r="S6" s="169">
        <v>0.175979544258104</v>
      </c>
      <c r="T6" s="169">
        <v>2.8884287889191301E-4</v>
      </c>
    </row>
    <row r="7" spans="1:20">
      <c r="A7" s="20">
        <v>424</v>
      </c>
      <c r="B7" s="20">
        <v>7228</v>
      </c>
      <c r="C7" s="3" t="s">
        <v>1329</v>
      </c>
      <c r="D7" s="3" t="s">
        <v>1330</v>
      </c>
      <c r="E7" s="18" t="s">
        <v>33</v>
      </c>
      <c r="F7" s="20" t="s">
        <v>1331</v>
      </c>
      <c r="G7" s="20" t="s">
        <v>1332</v>
      </c>
      <c r="H7" s="18" t="s">
        <v>498</v>
      </c>
      <c r="I7" s="18" t="s">
        <v>572</v>
      </c>
      <c r="J7" s="18" t="s">
        <v>224</v>
      </c>
      <c r="K7" s="18" t="s">
        <v>1333</v>
      </c>
      <c r="L7" s="21" t="s">
        <v>1334</v>
      </c>
      <c r="M7" s="20" t="s">
        <v>141</v>
      </c>
      <c r="N7" s="18" t="s">
        <v>664</v>
      </c>
      <c r="O7" s="155">
        <v>9</v>
      </c>
      <c r="P7" s="170">
        <v>3.306</v>
      </c>
      <c r="Q7" s="171">
        <v>24901.75</v>
      </c>
      <c r="R7" s="155">
        <v>326.01499999999999</v>
      </c>
      <c r="S7" s="169">
        <v>7.5776122602820198E-2</v>
      </c>
      <c r="T7" s="169">
        <v>1.2757551670463901E-4</v>
      </c>
    </row>
    <row r="8" spans="1:20">
      <c r="A8" s="20">
        <v>424</v>
      </c>
      <c r="B8" s="20">
        <v>7228</v>
      </c>
      <c r="C8" s="3" t="s">
        <v>1329</v>
      </c>
      <c r="D8" s="3" t="s">
        <v>1330</v>
      </c>
      <c r="E8" s="18" t="s">
        <v>33</v>
      </c>
      <c r="F8" s="20" t="s">
        <v>1335</v>
      </c>
      <c r="G8" s="20" t="s">
        <v>1336</v>
      </c>
      <c r="H8" s="18" t="s">
        <v>498</v>
      </c>
      <c r="I8" s="18" t="s">
        <v>572</v>
      </c>
      <c r="J8" s="18" t="s">
        <v>224</v>
      </c>
      <c r="K8" s="18" t="s">
        <v>1333</v>
      </c>
      <c r="L8" s="21" t="s">
        <v>1334</v>
      </c>
      <c r="M8" s="20" t="s">
        <v>141</v>
      </c>
      <c r="N8" s="18" t="s">
        <v>664</v>
      </c>
      <c r="O8" s="155">
        <v>257</v>
      </c>
      <c r="P8" s="170">
        <v>3.306</v>
      </c>
      <c r="Q8" s="171">
        <v>6738.75</v>
      </c>
      <c r="R8" s="155">
        <v>3976.3249999999998</v>
      </c>
      <c r="S8" s="169">
        <v>0.92422387739718004</v>
      </c>
      <c r="T8" s="169">
        <v>1.5560091313688001E-3</v>
      </c>
    </row>
    <row r="9" spans="1:20">
      <c r="A9" s="20">
        <v>969</v>
      </c>
      <c r="B9" s="20">
        <v>969</v>
      </c>
      <c r="C9" s="3" t="s">
        <v>1329</v>
      </c>
      <c r="D9" s="3" t="s">
        <v>1330</v>
      </c>
      <c r="E9" s="18" t="s">
        <v>33</v>
      </c>
      <c r="F9" s="20" t="s">
        <v>1335</v>
      </c>
      <c r="G9" s="20" t="s">
        <v>1336</v>
      </c>
      <c r="H9" s="18" t="s">
        <v>498</v>
      </c>
      <c r="I9" s="18" t="s">
        <v>572</v>
      </c>
      <c r="J9" s="18" t="s">
        <v>224</v>
      </c>
      <c r="K9" s="18" t="s">
        <v>1333</v>
      </c>
      <c r="L9" s="21" t="s">
        <v>1334</v>
      </c>
      <c r="M9" s="20" t="s">
        <v>141</v>
      </c>
      <c r="N9" s="18" t="s">
        <v>664</v>
      </c>
      <c r="O9" s="155">
        <v>1</v>
      </c>
      <c r="P9" s="170">
        <v>3.306</v>
      </c>
      <c r="Q9" s="171">
        <v>6738.75</v>
      </c>
      <c r="R9" s="155">
        <v>15.472</v>
      </c>
      <c r="S9" s="169">
        <v>1</v>
      </c>
      <c r="T9" s="169">
        <v>2.0382536724801499E-4</v>
      </c>
    </row>
    <row r="10" spans="1:20">
      <c r="A10" s="20"/>
      <c r="B10" s="20"/>
      <c r="E10" s="18"/>
      <c r="F10" s="20"/>
      <c r="G10" s="20"/>
      <c r="H10" s="18"/>
      <c r="I10" s="18"/>
      <c r="J10" s="18"/>
      <c r="K10" s="18"/>
      <c r="L10" s="21"/>
      <c r="M10" s="20"/>
      <c r="N10" s="18"/>
      <c r="O10" s="20"/>
      <c r="P10" s="20"/>
      <c r="Q10" s="20"/>
      <c r="R10" s="20"/>
      <c r="S10" s="20"/>
      <c r="T10" s="20"/>
    </row>
    <row r="11" spans="1:20">
      <c r="A11" s="20"/>
      <c r="B11" s="20"/>
      <c r="E11" s="18"/>
      <c r="F11" s="20"/>
      <c r="G11" s="20"/>
      <c r="H11" s="18"/>
      <c r="I11" s="18"/>
      <c r="J11" s="18"/>
      <c r="K11" s="18"/>
      <c r="L11" s="21"/>
      <c r="M11" s="20"/>
      <c r="N11" s="18"/>
      <c r="O11" s="20"/>
      <c r="P11" s="20"/>
      <c r="Q11" s="20"/>
      <c r="R11" s="20"/>
      <c r="S11" s="20"/>
      <c r="T11" s="20"/>
    </row>
    <row r="12" spans="1:20">
      <c r="A12" s="20"/>
      <c r="B12" s="20"/>
      <c r="E12" s="18"/>
      <c r="F12" s="20"/>
      <c r="G12" s="20"/>
      <c r="H12" s="18"/>
      <c r="I12" s="18"/>
      <c r="J12" s="18"/>
      <c r="K12" s="18"/>
      <c r="L12" s="21"/>
      <c r="M12" s="20"/>
      <c r="N12" s="18"/>
      <c r="O12" s="20"/>
      <c r="P12" s="20"/>
      <c r="Q12" s="20"/>
      <c r="R12" s="20"/>
      <c r="S12" s="20"/>
      <c r="T12" s="20"/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1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1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1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1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1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1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1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1"/>
      <c r="M20" s="20"/>
    </row>
    <row r="21" spans="1:20" s="39" customFormat="1">
      <c r="E21" s="38"/>
      <c r="H21" s="42"/>
      <c r="K21" s="42"/>
    </row>
    <row r="22" spans="1:20">
      <c r="K22" s="5"/>
    </row>
    <row r="23" spans="1:20">
      <c r="H23" s="39"/>
    </row>
    <row r="24" spans="1:20">
      <c r="H24" s="39"/>
    </row>
    <row r="25" spans="1:20">
      <c r="H25" s="39"/>
    </row>
    <row r="26" spans="1:20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131</v>
      </c>
      <c r="M1" s="19" t="s">
        <v>8</v>
      </c>
      <c r="N1" s="19" t="s">
        <v>1328</v>
      </c>
      <c r="O1" s="19" t="s">
        <v>125</v>
      </c>
      <c r="P1" s="19" t="s">
        <v>12</v>
      </c>
      <c r="Q1" s="163" t="s">
        <v>14</v>
      </c>
      <c r="R1" s="163" t="s">
        <v>15</v>
      </c>
      <c r="S1" s="19" t="s">
        <v>9</v>
      </c>
      <c r="T1" s="19" t="s">
        <v>10</v>
      </c>
      <c r="U1" s="19" t="s">
        <v>126</v>
      </c>
      <c r="V1" s="19" t="s">
        <v>11</v>
      </c>
      <c r="W1" s="19" t="s">
        <v>17</v>
      </c>
      <c r="X1" s="161" t="s">
        <v>18</v>
      </c>
      <c r="Y1" s="167" t="s">
        <v>19</v>
      </c>
      <c r="Z1" s="19" t="s">
        <v>20</v>
      </c>
      <c r="AA1" s="163" t="s">
        <v>24</v>
      </c>
      <c r="AB1" s="163" t="s">
        <v>25</v>
      </c>
    </row>
    <row r="2" spans="1:28">
      <c r="A2" s="20">
        <v>1182</v>
      </c>
      <c r="B2" s="20">
        <v>1182</v>
      </c>
      <c r="C2" s="20" t="s">
        <v>1337</v>
      </c>
      <c r="D2" s="20" t="s">
        <v>1338</v>
      </c>
      <c r="E2" s="18" t="s">
        <v>134</v>
      </c>
      <c r="F2" s="20" t="s">
        <v>1339</v>
      </c>
      <c r="G2" s="20" t="s">
        <v>1340</v>
      </c>
      <c r="H2" s="18" t="s">
        <v>137</v>
      </c>
      <c r="I2" s="20" t="s">
        <v>1341</v>
      </c>
      <c r="J2" s="18" t="s">
        <v>30</v>
      </c>
      <c r="K2" s="18" t="s">
        <v>30</v>
      </c>
      <c r="L2" s="20" t="s">
        <v>139</v>
      </c>
      <c r="M2" s="18" t="s">
        <v>31</v>
      </c>
      <c r="N2" s="21" t="s">
        <v>1342</v>
      </c>
      <c r="O2" s="20" t="s">
        <v>141</v>
      </c>
      <c r="P2" s="155">
        <v>9.0370000000000008</v>
      </c>
      <c r="Q2" s="169">
        <v>7.2999999999999995E-2</v>
      </c>
      <c r="R2" s="169">
        <v>5.6759999999999998E-2</v>
      </c>
      <c r="S2" s="20" t="s">
        <v>286</v>
      </c>
      <c r="T2" s="20" t="s">
        <v>143</v>
      </c>
      <c r="U2" s="20" t="s">
        <v>144</v>
      </c>
      <c r="V2" s="18" t="s">
        <v>34</v>
      </c>
      <c r="W2" s="155">
        <v>540295.04</v>
      </c>
      <c r="X2" s="170">
        <v>1</v>
      </c>
      <c r="Y2" s="171">
        <v>116.95</v>
      </c>
      <c r="Z2" s="155">
        <v>631.875</v>
      </c>
      <c r="AA2" s="169">
        <v>1</v>
      </c>
      <c r="AB2" s="169">
        <v>1.3685514739694099E-3</v>
      </c>
    </row>
    <row r="3" spans="1:28">
      <c r="A3" s="20">
        <v>1182</v>
      </c>
      <c r="B3" s="20">
        <v>14769</v>
      </c>
      <c r="C3" s="20" t="s">
        <v>1337</v>
      </c>
      <c r="D3" s="20" t="s">
        <v>1338</v>
      </c>
      <c r="E3" s="18" t="s">
        <v>134</v>
      </c>
      <c r="F3" s="20" t="s">
        <v>1339</v>
      </c>
      <c r="G3" s="20" t="s">
        <v>1340</v>
      </c>
      <c r="H3" s="18" t="s">
        <v>137</v>
      </c>
      <c r="I3" s="20" t="s">
        <v>1341</v>
      </c>
      <c r="J3" s="18" t="s">
        <v>30</v>
      </c>
      <c r="K3" s="18" t="s">
        <v>30</v>
      </c>
      <c r="L3" s="20" t="s">
        <v>139</v>
      </c>
      <c r="M3" s="18" t="s">
        <v>31</v>
      </c>
      <c r="N3" s="21" t="s">
        <v>1342</v>
      </c>
      <c r="O3" s="20" t="s">
        <v>141</v>
      </c>
      <c r="P3" s="155">
        <v>9.0370000000000008</v>
      </c>
      <c r="Q3" s="169">
        <v>7.2999999999999995E-2</v>
      </c>
      <c r="R3" s="169">
        <v>5.6759999999999998E-2</v>
      </c>
      <c r="S3" s="20" t="s">
        <v>286</v>
      </c>
      <c r="T3" s="20" t="s">
        <v>143</v>
      </c>
      <c r="U3" s="20" t="s">
        <v>144</v>
      </c>
      <c r="V3" s="18" t="s">
        <v>34</v>
      </c>
      <c r="W3" s="155">
        <v>8145.13</v>
      </c>
      <c r="X3" s="170">
        <v>1</v>
      </c>
      <c r="Y3" s="171">
        <v>116.95</v>
      </c>
      <c r="Z3" s="155">
        <v>9.5259999999999998</v>
      </c>
      <c r="AA3" s="169">
        <v>1</v>
      </c>
      <c r="AB3" s="169">
        <v>3.3054960067254802E-4</v>
      </c>
    </row>
    <row r="4" spans="1:28">
      <c r="A4" s="20">
        <v>12904</v>
      </c>
      <c r="B4" s="20">
        <v>12905</v>
      </c>
      <c r="C4" s="20" t="s">
        <v>1337</v>
      </c>
      <c r="D4" s="20" t="s">
        <v>1338</v>
      </c>
      <c r="E4" s="18" t="s">
        <v>134</v>
      </c>
      <c r="F4" s="20" t="s">
        <v>1339</v>
      </c>
      <c r="G4" s="20" t="s">
        <v>1340</v>
      </c>
      <c r="H4" s="18" t="s">
        <v>137</v>
      </c>
      <c r="I4" s="20" t="s">
        <v>1341</v>
      </c>
      <c r="J4" s="18" t="s">
        <v>30</v>
      </c>
      <c r="K4" s="18" t="s">
        <v>30</v>
      </c>
      <c r="L4" s="20" t="s">
        <v>139</v>
      </c>
      <c r="M4" s="18" t="s">
        <v>31</v>
      </c>
      <c r="N4" s="21" t="s">
        <v>1342</v>
      </c>
      <c r="O4" s="20" t="s">
        <v>141</v>
      </c>
      <c r="P4" s="155">
        <v>9.0370000000000008</v>
      </c>
      <c r="Q4" s="169">
        <v>7.2999999999999995E-2</v>
      </c>
      <c r="R4" s="169">
        <v>5.6759999999999998E-2</v>
      </c>
      <c r="S4" s="20" t="s">
        <v>286</v>
      </c>
      <c r="T4" s="20" t="s">
        <v>143</v>
      </c>
      <c r="U4" s="20" t="s">
        <v>144</v>
      </c>
      <c r="V4" s="18" t="s">
        <v>34</v>
      </c>
      <c r="W4" s="155">
        <v>64482.45</v>
      </c>
      <c r="X4" s="170">
        <v>1</v>
      </c>
      <c r="Y4" s="171">
        <v>116.95</v>
      </c>
      <c r="Z4" s="155">
        <v>75.412000000000006</v>
      </c>
      <c r="AA4" s="169">
        <v>1</v>
      </c>
      <c r="AB4" s="169">
        <v>1.56423561310127E-3</v>
      </c>
    </row>
    <row r="5" spans="1:28">
      <c r="A5" s="20">
        <v>12904</v>
      </c>
      <c r="B5" s="20">
        <v>13680</v>
      </c>
      <c r="C5" s="20" t="s">
        <v>1337</v>
      </c>
      <c r="D5" s="20" t="s">
        <v>1338</v>
      </c>
      <c r="E5" s="18" t="s">
        <v>134</v>
      </c>
      <c r="F5" s="20" t="s">
        <v>1339</v>
      </c>
      <c r="G5" s="20" t="s">
        <v>1340</v>
      </c>
      <c r="H5" s="18" t="s">
        <v>137</v>
      </c>
      <c r="I5" s="20" t="s">
        <v>1341</v>
      </c>
      <c r="J5" s="18" t="s">
        <v>30</v>
      </c>
      <c r="K5" s="18" t="s">
        <v>30</v>
      </c>
      <c r="L5" s="20" t="s">
        <v>139</v>
      </c>
      <c r="M5" s="18" t="s">
        <v>31</v>
      </c>
      <c r="N5" s="21" t="s">
        <v>1342</v>
      </c>
      <c r="O5" s="20" t="s">
        <v>141</v>
      </c>
      <c r="P5" s="155">
        <v>9.0370000000000008</v>
      </c>
      <c r="Q5" s="169">
        <v>7.2999999999999995E-2</v>
      </c>
      <c r="R5" s="169">
        <v>5.6759999999999998E-2</v>
      </c>
      <c r="S5" s="20" t="s">
        <v>286</v>
      </c>
      <c r="T5" s="20" t="s">
        <v>143</v>
      </c>
      <c r="U5" s="20" t="s">
        <v>144</v>
      </c>
      <c r="V5" s="18" t="s">
        <v>34</v>
      </c>
      <c r="W5" s="155">
        <v>21041.65</v>
      </c>
      <c r="X5" s="170">
        <v>1</v>
      </c>
      <c r="Y5" s="171">
        <v>116.95</v>
      </c>
      <c r="Z5" s="155">
        <v>24.608000000000001</v>
      </c>
      <c r="AA5" s="169">
        <v>1</v>
      </c>
      <c r="AB5" s="169">
        <v>4.5940210539906602E-4</v>
      </c>
    </row>
    <row r="6" spans="1:28">
      <c r="A6" s="20">
        <v>424</v>
      </c>
      <c r="B6" s="20">
        <v>7228</v>
      </c>
      <c r="C6" s="20" t="s">
        <v>1337</v>
      </c>
      <c r="D6" s="20" t="s">
        <v>1338</v>
      </c>
      <c r="E6" s="18" t="s">
        <v>134</v>
      </c>
      <c r="F6" s="20" t="s">
        <v>1339</v>
      </c>
      <c r="G6" s="20" t="s">
        <v>1340</v>
      </c>
      <c r="H6" s="18" t="s">
        <v>137</v>
      </c>
      <c r="I6" s="20" t="s">
        <v>1341</v>
      </c>
      <c r="J6" s="18" t="s">
        <v>30</v>
      </c>
      <c r="K6" s="18" t="s">
        <v>30</v>
      </c>
      <c r="L6" s="20" t="s">
        <v>139</v>
      </c>
      <c r="M6" s="18" t="s">
        <v>31</v>
      </c>
      <c r="N6" s="21" t="s">
        <v>1342</v>
      </c>
      <c r="O6" s="20" t="s">
        <v>141</v>
      </c>
      <c r="P6" s="155">
        <v>9.0370000000000008</v>
      </c>
      <c r="Q6" s="169">
        <v>7.2999999999999995E-2</v>
      </c>
      <c r="R6" s="169">
        <v>5.6759999999999998E-2</v>
      </c>
      <c r="S6" s="20" t="s">
        <v>286</v>
      </c>
      <c r="T6" s="20" t="s">
        <v>143</v>
      </c>
      <c r="U6" s="20" t="s">
        <v>144</v>
      </c>
      <c r="V6" s="18" t="s">
        <v>34</v>
      </c>
      <c r="W6" s="155">
        <v>3141313.33</v>
      </c>
      <c r="X6" s="170">
        <v>1</v>
      </c>
      <c r="Y6" s="171">
        <v>116.95</v>
      </c>
      <c r="Z6" s="155">
        <v>3673.7660000000001</v>
      </c>
      <c r="AA6" s="169">
        <v>1</v>
      </c>
      <c r="AB6" s="169">
        <v>1.43761236338125E-3</v>
      </c>
    </row>
    <row r="7" spans="1:28">
      <c r="A7" s="20">
        <v>424</v>
      </c>
      <c r="B7" s="20">
        <v>7229</v>
      </c>
      <c r="C7" s="20" t="s">
        <v>1337</v>
      </c>
      <c r="D7" s="20" t="s">
        <v>1338</v>
      </c>
      <c r="E7" s="18" t="s">
        <v>134</v>
      </c>
      <c r="F7" s="20" t="s">
        <v>1339</v>
      </c>
      <c r="G7" s="20" t="s">
        <v>1340</v>
      </c>
      <c r="H7" s="18" t="s">
        <v>137</v>
      </c>
      <c r="I7" s="20" t="s">
        <v>1341</v>
      </c>
      <c r="J7" s="18" t="s">
        <v>30</v>
      </c>
      <c r="K7" s="18" t="s">
        <v>30</v>
      </c>
      <c r="L7" s="20" t="s">
        <v>139</v>
      </c>
      <c r="M7" s="18" t="s">
        <v>31</v>
      </c>
      <c r="N7" s="21" t="s">
        <v>1342</v>
      </c>
      <c r="O7" s="20" t="s">
        <v>141</v>
      </c>
      <c r="P7" s="155">
        <v>9.0370000000000008</v>
      </c>
      <c r="Q7" s="169">
        <v>7.2999999999999995E-2</v>
      </c>
      <c r="R7" s="169">
        <v>5.6759999999999998E-2</v>
      </c>
      <c r="S7" s="20" t="s">
        <v>286</v>
      </c>
      <c r="T7" s="20" t="s">
        <v>143</v>
      </c>
      <c r="U7" s="20" t="s">
        <v>144</v>
      </c>
      <c r="V7" s="18" t="s">
        <v>34</v>
      </c>
      <c r="W7" s="155">
        <v>193447.35</v>
      </c>
      <c r="X7" s="170">
        <v>1</v>
      </c>
      <c r="Y7" s="171">
        <v>116.95</v>
      </c>
      <c r="Z7" s="155">
        <v>226.23699999999999</v>
      </c>
      <c r="AA7" s="169">
        <v>1</v>
      </c>
      <c r="AB7" s="169">
        <v>1.4910314609060599E-3</v>
      </c>
    </row>
    <row r="8" spans="1:28">
      <c r="A8" s="20">
        <v>969</v>
      </c>
      <c r="B8" s="20">
        <v>969</v>
      </c>
      <c r="C8" s="20" t="s">
        <v>1337</v>
      </c>
      <c r="D8" s="20" t="s">
        <v>1338</v>
      </c>
      <c r="E8" s="18" t="s">
        <v>134</v>
      </c>
      <c r="F8" s="20" t="s">
        <v>1339</v>
      </c>
      <c r="G8" s="20" t="s">
        <v>1340</v>
      </c>
      <c r="H8" s="18" t="s">
        <v>137</v>
      </c>
      <c r="I8" s="20" t="s">
        <v>1341</v>
      </c>
      <c r="J8" s="18" t="s">
        <v>30</v>
      </c>
      <c r="K8" s="18" t="s">
        <v>30</v>
      </c>
      <c r="L8" s="20" t="s">
        <v>139</v>
      </c>
      <c r="M8" s="18" t="s">
        <v>31</v>
      </c>
      <c r="N8" s="21" t="s">
        <v>1342</v>
      </c>
      <c r="O8" s="20" t="s">
        <v>141</v>
      </c>
      <c r="P8" s="155">
        <v>9.0370000000000008</v>
      </c>
      <c r="Q8" s="169">
        <v>7.2999999999999995E-2</v>
      </c>
      <c r="R8" s="169">
        <v>5.6759999999999998E-2</v>
      </c>
      <c r="S8" s="20" t="s">
        <v>286</v>
      </c>
      <c r="T8" s="20" t="s">
        <v>143</v>
      </c>
      <c r="U8" s="20" t="s">
        <v>144</v>
      </c>
      <c r="V8" s="18" t="s">
        <v>34</v>
      </c>
      <c r="W8" s="155">
        <v>95705.52</v>
      </c>
      <c r="X8" s="170">
        <v>1</v>
      </c>
      <c r="Y8" s="171">
        <v>116.95</v>
      </c>
      <c r="Z8" s="155">
        <v>111.928</v>
      </c>
      <c r="AA8" s="169">
        <v>1</v>
      </c>
      <c r="AB8" s="169">
        <v>1.4745066807283799E-3</v>
      </c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1"/>
      <c r="O9" s="20"/>
      <c r="P9" s="20"/>
      <c r="Q9" s="20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1"/>
      <c r="O10" s="20"/>
      <c r="P10" s="20"/>
      <c r="Q10" s="20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1"/>
      <c r="O11" s="20"/>
      <c r="P11" s="20"/>
      <c r="Q11" s="20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1"/>
      <c r="O12" s="20"/>
      <c r="P12" s="20"/>
      <c r="Q12" s="20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1"/>
      <c r="O13" s="20"/>
      <c r="P13" s="20"/>
      <c r="Q13" s="20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1"/>
      <c r="O14" s="20"/>
      <c r="P14" s="20"/>
      <c r="Q14" s="20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1"/>
      <c r="O15" s="20"/>
      <c r="P15" s="20"/>
      <c r="Q15" s="20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1"/>
      <c r="O16" s="20"/>
      <c r="P16" s="20"/>
      <c r="Q16" s="20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1"/>
      <c r="O17" s="20"/>
      <c r="P17" s="20"/>
      <c r="Q17" s="20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1"/>
      <c r="O18" s="20"/>
      <c r="P18" s="20"/>
      <c r="Q18" s="20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1"/>
      <c r="O19" s="20"/>
      <c r="P19" s="20"/>
      <c r="Q19" s="20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1"/>
      <c r="O20" s="20"/>
      <c r="T20" s="20"/>
      <c r="U20" s="20"/>
    </row>
    <row r="21" spans="1:28" s="39" customFormat="1">
      <c r="E21" s="38"/>
      <c r="H21" s="42"/>
      <c r="M21" s="42"/>
      <c r="N21" s="21"/>
    </row>
    <row r="22" spans="1:28">
      <c r="M22" s="5"/>
    </row>
    <row r="23" spans="1:28">
      <c r="H23" s="39"/>
    </row>
    <row r="24" spans="1:28">
      <c r="H24" s="39"/>
    </row>
    <row r="25" spans="1:28">
      <c r="H25" s="39"/>
    </row>
    <row r="26" spans="1:28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123</v>
      </c>
      <c r="G1" s="19" t="s">
        <v>5</v>
      </c>
      <c r="H1" s="19" t="s">
        <v>6</v>
      </c>
      <c r="I1" s="19" t="s">
        <v>7</v>
      </c>
      <c r="J1" s="19" t="s">
        <v>1343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5">
      <c r="A2" s="20"/>
      <c r="B2" s="20"/>
      <c r="C2" s="20"/>
      <c r="D2" s="20"/>
      <c r="E2" s="20"/>
      <c r="F2" s="20"/>
      <c r="G2" s="20"/>
      <c r="H2" s="28"/>
      <c r="I2" s="18"/>
      <c r="J2" s="20"/>
      <c r="K2" s="37"/>
      <c r="L2" s="21"/>
      <c r="M2" s="28"/>
      <c r="N2" s="20"/>
      <c r="O2" s="20"/>
      <c r="P2" s="20"/>
      <c r="Q2" s="20"/>
      <c r="R2" s="20"/>
      <c r="S2" s="21"/>
      <c r="T2" s="20"/>
      <c r="U2" s="20"/>
      <c r="V2" s="20"/>
      <c r="W2" s="18"/>
      <c r="X2" s="20"/>
      <c r="Y2" s="20"/>
    </row>
    <row r="3" spans="1:25">
      <c r="A3" s="20"/>
      <c r="B3" s="20"/>
      <c r="C3" s="20"/>
      <c r="D3" s="20"/>
      <c r="E3" s="20"/>
      <c r="F3" s="20"/>
      <c r="G3" s="20"/>
      <c r="H3" s="28"/>
      <c r="I3" s="18"/>
      <c r="J3" s="20"/>
      <c r="K3" s="20"/>
      <c r="L3" s="21"/>
      <c r="M3" s="18"/>
      <c r="N3" s="20"/>
      <c r="O3" s="20"/>
      <c r="P3" s="20"/>
      <c r="Q3" s="20"/>
      <c r="R3" s="20"/>
      <c r="S3" s="20"/>
      <c r="T3" s="20"/>
      <c r="U3" s="20"/>
      <c r="V3" s="20"/>
      <c r="W3" s="18"/>
      <c r="X3" s="20"/>
      <c r="Y3" s="20"/>
    </row>
    <row r="4" spans="1:25">
      <c r="A4" s="20"/>
      <c r="B4" s="20"/>
      <c r="C4" s="20"/>
      <c r="D4" s="20"/>
      <c r="E4" s="20"/>
      <c r="F4" s="20"/>
      <c r="G4" s="20"/>
      <c r="H4" s="28"/>
      <c r="I4" s="18"/>
      <c r="J4" s="20"/>
      <c r="K4" s="20"/>
      <c r="L4" s="21"/>
      <c r="M4" s="18"/>
      <c r="N4" s="20"/>
      <c r="O4" s="20"/>
      <c r="P4" s="20"/>
      <c r="Q4" s="20"/>
      <c r="R4" s="20"/>
      <c r="S4" s="20"/>
      <c r="T4" s="20"/>
      <c r="U4" s="20"/>
      <c r="V4" s="20"/>
      <c r="W4" s="18"/>
      <c r="X4" s="20"/>
      <c r="Y4" s="20"/>
    </row>
    <row r="5" spans="1:25">
      <c r="A5" s="20"/>
      <c r="B5" s="20"/>
      <c r="C5" s="20"/>
      <c r="D5" s="20"/>
      <c r="E5" s="20"/>
      <c r="F5" s="20"/>
      <c r="G5" s="20"/>
      <c r="H5" s="28"/>
      <c r="I5" s="18"/>
      <c r="J5" s="20"/>
      <c r="K5" s="18"/>
      <c r="L5" s="21"/>
      <c r="N5" s="20"/>
      <c r="O5" s="20"/>
      <c r="P5" s="18"/>
      <c r="Q5" s="18"/>
      <c r="R5" s="20"/>
      <c r="T5" s="20"/>
      <c r="U5" s="20"/>
      <c r="V5" s="20"/>
      <c r="W5" s="20"/>
      <c r="X5" s="20"/>
      <c r="Y5" s="20"/>
    </row>
    <row r="6" spans="1:25">
      <c r="A6" s="20"/>
      <c r="B6" s="20"/>
      <c r="C6" s="20"/>
      <c r="D6" s="20"/>
      <c r="E6" s="20"/>
      <c r="F6" s="20"/>
      <c r="G6" s="20"/>
      <c r="H6" s="28"/>
      <c r="I6" s="18"/>
      <c r="J6" s="20"/>
      <c r="K6" s="20"/>
      <c r="L6" s="21"/>
      <c r="M6" s="18"/>
      <c r="N6" s="20"/>
      <c r="O6" s="20"/>
      <c r="P6" s="20"/>
      <c r="Q6" s="20"/>
      <c r="R6" s="20"/>
      <c r="S6" s="20"/>
      <c r="T6" s="20"/>
      <c r="U6" s="20"/>
      <c r="V6" s="20"/>
      <c r="W6" s="18"/>
      <c r="X6" s="20"/>
      <c r="Y6" s="20"/>
    </row>
    <row r="7" spans="1:25">
      <c r="A7" s="20"/>
      <c r="B7" s="20"/>
      <c r="C7" s="20"/>
      <c r="D7" s="20"/>
      <c r="E7" s="20"/>
      <c r="F7" s="20"/>
      <c r="G7" s="20"/>
      <c r="H7" s="28"/>
      <c r="I7" s="18"/>
      <c r="J7" s="20"/>
      <c r="K7" s="20"/>
      <c r="L7" s="21"/>
      <c r="M7" s="18"/>
      <c r="N7" s="20"/>
      <c r="O7" s="20"/>
      <c r="P7" s="20"/>
      <c r="Q7" s="20"/>
      <c r="R7" s="20"/>
      <c r="S7" s="20"/>
      <c r="T7" s="20"/>
      <c r="U7" s="20"/>
      <c r="V7" s="20"/>
      <c r="W7" s="18"/>
      <c r="X7" s="20"/>
      <c r="Y7" s="20"/>
    </row>
    <row r="8" spans="1:25">
      <c r="A8" s="20"/>
      <c r="B8" s="20"/>
      <c r="C8" s="20"/>
      <c r="D8" s="20"/>
      <c r="E8" s="20"/>
      <c r="F8" s="20"/>
      <c r="G8" s="20"/>
      <c r="H8" s="28"/>
      <c r="I8" s="18"/>
      <c r="J8" s="20"/>
      <c r="K8" s="20"/>
      <c r="L8" s="21"/>
      <c r="M8" s="18"/>
      <c r="N8" s="20"/>
      <c r="O8" s="20"/>
      <c r="P8" s="20"/>
      <c r="Q8" s="20"/>
      <c r="R8" s="20"/>
      <c r="S8" s="20"/>
      <c r="T8" s="20"/>
      <c r="U8" s="20"/>
      <c r="V8" s="20"/>
      <c r="W8" s="18"/>
      <c r="X8" s="20"/>
      <c r="Y8" s="20"/>
    </row>
    <row r="9" spans="1:25">
      <c r="A9" s="20"/>
      <c r="B9" s="20"/>
      <c r="C9" s="20"/>
      <c r="D9" s="20"/>
      <c r="E9" s="20"/>
      <c r="F9" s="20"/>
      <c r="G9" s="20"/>
      <c r="H9" s="28"/>
      <c r="I9" s="18"/>
      <c r="J9" s="20"/>
      <c r="K9" s="20"/>
      <c r="L9" s="21"/>
      <c r="M9" s="18"/>
      <c r="N9" s="20"/>
      <c r="O9" s="20"/>
      <c r="P9" s="20"/>
      <c r="Q9" s="20"/>
      <c r="R9" s="20"/>
      <c r="S9" s="20"/>
      <c r="T9" s="20"/>
      <c r="U9" s="20"/>
      <c r="V9" s="20"/>
      <c r="W9" s="18"/>
      <c r="X9" s="20"/>
      <c r="Y9" s="20"/>
    </row>
    <row r="10" spans="1:25">
      <c r="A10" s="20"/>
      <c r="B10" s="20"/>
      <c r="C10" s="20"/>
      <c r="D10" s="20"/>
      <c r="E10" s="20"/>
      <c r="F10" s="20"/>
      <c r="G10" s="20"/>
      <c r="H10" s="28"/>
      <c r="I10" s="18"/>
      <c r="J10" s="20"/>
      <c r="K10" s="20"/>
      <c r="L10" s="21"/>
      <c r="M10" s="18"/>
      <c r="N10" s="20"/>
      <c r="O10" s="20"/>
      <c r="P10" s="20"/>
      <c r="Q10" s="20"/>
      <c r="R10" s="20"/>
      <c r="S10" s="20"/>
      <c r="T10" s="20"/>
      <c r="U10" s="20"/>
      <c r="V10" s="20"/>
      <c r="W10" s="18"/>
      <c r="X10" s="20"/>
      <c r="Y10" s="20"/>
    </row>
    <row r="11" spans="1:25">
      <c r="A11" s="20"/>
      <c r="B11" s="20"/>
      <c r="C11" s="20"/>
      <c r="D11" s="20"/>
      <c r="E11" s="20"/>
      <c r="F11" s="20"/>
      <c r="G11" s="20"/>
      <c r="H11" s="28"/>
      <c r="I11" s="18"/>
      <c r="J11" s="20"/>
      <c r="K11" s="20"/>
      <c r="L11" s="21"/>
      <c r="M11" s="18"/>
      <c r="N11" s="20"/>
      <c r="O11" s="20"/>
      <c r="P11" s="20"/>
      <c r="Q11" s="20"/>
      <c r="R11" s="20"/>
      <c r="S11" s="20"/>
      <c r="T11" s="20"/>
      <c r="U11" s="20"/>
      <c r="V11" s="20"/>
      <c r="W11" s="18"/>
      <c r="X11" s="20"/>
      <c r="Y11" s="20"/>
    </row>
    <row r="12" spans="1:25">
      <c r="A12" s="20"/>
      <c r="B12" s="20"/>
      <c r="C12" s="20"/>
      <c r="D12" s="20"/>
      <c r="E12" s="20"/>
      <c r="F12" s="20"/>
      <c r="G12" s="20"/>
      <c r="H12" s="28"/>
      <c r="I12" s="18"/>
      <c r="J12" s="20"/>
      <c r="K12" s="20"/>
      <c r="L12" s="21"/>
      <c r="M12" s="18"/>
      <c r="N12" s="20"/>
      <c r="O12" s="20"/>
      <c r="P12" s="20"/>
      <c r="Q12" s="20"/>
      <c r="R12" s="20"/>
      <c r="S12" s="20"/>
      <c r="T12" s="20"/>
      <c r="U12" s="20"/>
      <c r="V12" s="20"/>
      <c r="W12" s="18"/>
      <c r="X12" s="20"/>
      <c r="Y12" s="20"/>
    </row>
    <row r="13" spans="1:25">
      <c r="A13" s="20"/>
      <c r="B13" s="20"/>
      <c r="C13" s="20"/>
      <c r="D13" s="20"/>
      <c r="E13" s="20"/>
      <c r="F13" s="20"/>
      <c r="G13" s="20"/>
      <c r="H13" s="28"/>
      <c r="I13" s="18"/>
      <c r="J13" s="20"/>
      <c r="K13" s="20"/>
      <c r="L13" s="21"/>
      <c r="M13" s="18"/>
      <c r="N13" s="20"/>
      <c r="O13" s="20"/>
      <c r="P13" s="20"/>
      <c r="Q13" s="20"/>
      <c r="R13" s="20"/>
      <c r="S13" s="20"/>
      <c r="T13" s="20"/>
      <c r="U13" s="20"/>
      <c r="V13" s="20"/>
      <c r="W13" s="18"/>
      <c r="X13" s="20"/>
      <c r="Y13" s="20"/>
    </row>
    <row r="14" spans="1:25">
      <c r="A14" s="20"/>
      <c r="B14" s="20"/>
      <c r="C14" s="20"/>
      <c r="D14" s="20"/>
      <c r="E14" s="20"/>
      <c r="F14" s="20"/>
      <c r="G14" s="20"/>
      <c r="H14" s="28"/>
      <c r="I14" s="18"/>
      <c r="J14" s="20"/>
      <c r="K14" s="20"/>
      <c r="L14" s="21"/>
      <c r="M14" s="18"/>
      <c r="N14" s="20"/>
      <c r="O14" s="20"/>
      <c r="P14" s="20"/>
      <c r="Q14" s="20"/>
      <c r="R14" s="20"/>
      <c r="S14" s="20"/>
      <c r="T14" s="20"/>
      <c r="U14" s="20"/>
      <c r="V14" s="20"/>
      <c r="W14" s="18"/>
      <c r="X14" s="20"/>
      <c r="Y14" s="20"/>
    </row>
    <row r="15" spans="1:25">
      <c r="A15" s="20"/>
      <c r="B15" s="20"/>
      <c r="C15" s="20"/>
      <c r="D15" s="20"/>
      <c r="E15" s="20"/>
      <c r="F15" s="20"/>
      <c r="G15" s="20"/>
      <c r="H15" s="28"/>
      <c r="I15" s="18"/>
      <c r="J15" s="20"/>
      <c r="K15" s="20"/>
      <c r="L15" s="21"/>
      <c r="M15" s="18"/>
      <c r="N15" s="20"/>
      <c r="O15" s="20"/>
      <c r="P15" s="20"/>
      <c r="Q15" s="20"/>
      <c r="R15" s="20"/>
      <c r="S15" s="20"/>
      <c r="T15" s="20"/>
      <c r="U15" s="20"/>
      <c r="V15" s="20"/>
      <c r="W15" s="18"/>
      <c r="X15" s="20"/>
      <c r="Y15" s="20"/>
    </row>
    <row r="16" spans="1:25">
      <c r="A16" s="20"/>
      <c r="B16" s="20"/>
      <c r="C16" s="20"/>
      <c r="D16" s="20"/>
      <c r="E16" s="20"/>
      <c r="F16" s="20"/>
      <c r="G16" s="20"/>
      <c r="H16" s="28"/>
      <c r="I16" s="18"/>
      <c r="J16" s="20"/>
      <c r="K16" s="20"/>
      <c r="L16" s="21"/>
      <c r="M16" s="18"/>
      <c r="N16" s="20"/>
      <c r="O16" s="20"/>
      <c r="P16" s="20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28"/>
      <c r="I17" s="18"/>
      <c r="J17" s="20"/>
      <c r="K17" s="20"/>
      <c r="L17" s="21"/>
      <c r="M17" s="18"/>
      <c r="N17" s="20"/>
      <c r="O17" s="20"/>
      <c r="P17" s="20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28"/>
      <c r="I18" s="18"/>
      <c r="J18" s="20"/>
      <c r="K18" s="20"/>
      <c r="L18" s="21"/>
      <c r="M18" s="18"/>
      <c r="N18" s="20"/>
      <c r="O18" s="20"/>
      <c r="P18" s="20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28"/>
      <c r="I19" s="18"/>
      <c r="J19" s="20"/>
      <c r="K19" s="20"/>
      <c r="L19" s="21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28"/>
      <c r="I20" s="18"/>
      <c r="L20" s="21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1343</v>
      </c>
      <c r="G1" s="19" t="s">
        <v>12</v>
      </c>
      <c r="H1" s="19" t="s">
        <v>1344</v>
      </c>
      <c r="I1" s="19" t="s">
        <v>13</v>
      </c>
      <c r="J1" s="19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</row>
    <row r="2" spans="1:1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8"/>
      <c r="Q2" s="20"/>
      <c r="R2" s="20"/>
    </row>
    <row r="3" spans="1:1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8"/>
      <c r="Q3" s="20"/>
      <c r="R3" s="20"/>
    </row>
    <row r="4" spans="1:1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8"/>
      <c r="Q4" s="20"/>
      <c r="R4" s="20"/>
    </row>
    <row r="5" spans="1:1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18"/>
      <c r="Q6" s="20"/>
      <c r="R6" s="20"/>
    </row>
    <row r="7" spans="1:1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8"/>
      <c r="Q7" s="20"/>
      <c r="R7" s="20"/>
    </row>
    <row r="8" spans="1:1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8"/>
      <c r="Q8" s="20"/>
      <c r="R8" s="20"/>
    </row>
    <row r="9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8"/>
      <c r="Q9" s="20"/>
      <c r="R9" s="20"/>
    </row>
    <row r="10" spans="1:1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18"/>
      <c r="Q10" s="20"/>
      <c r="R10" s="20"/>
    </row>
    <row r="11" spans="1:1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8"/>
      <c r="Q11" s="20"/>
      <c r="R11" s="20"/>
    </row>
    <row r="12" spans="1:1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18"/>
      <c r="Q12" s="20"/>
      <c r="R12" s="20"/>
    </row>
    <row r="13" spans="1:1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8"/>
      <c r="Q13" s="20"/>
      <c r="R13" s="20"/>
    </row>
    <row r="14" spans="1:1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8"/>
      <c r="Q14" s="20"/>
      <c r="R14" s="20"/>
    </row>
    <row r="15" spans="1:1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8"/>
      <c r="Q15" s="20"/>
      <c r="R15" s="20"/>
    </row>
    <row r="16" spans="1:1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 s="39" customFormat="1">
      <c r="C21" s="38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19" t="s">
        <v>1345</v>
      </c>
      <c r="B1" s="19" t="s">
        <v>1</v>
      </c>
      <c r="C1" s="19" t="s">
        <v>5</v>
      </c>
      <c r="D1" s="19" t="s">
        <v>1346</v>
      </c>
      <c r="E1" s="19" t="s">
        <v>1347</v>
      </c>
      <c r="F1" s="19" t="s">
        <v>1348</v>
      </c>
      <c r="G1" s="19" t="s">
        <v>25</v>
      </c>
    </row>
    <row r="2" spans="1:7">
      <c r="A2" s="20"/>
      <c r="B2" s="20"/>
      <c r="C2" s="21"/>
      <c r="D2" s="137"/>
      <c r="E2" s="38"/>
      <c r="F2" s="38"/>
      <c r="G2" s="27"/>
    </row>
    <row r="3" spans="1:7">
      <c r="A3" s="20"/>
      <c r="B3" s="20"/>
      <c r="C3" s="21"/>
      <c r="G3" s="20"/>
    </row>
    <row r="4" spans="1:7">
      <c r="A4" s="20"/>
      <c r="B4" s="20"/>
      <c r="C4" s="21"/>
      <c r="G4" s="20"/>
    </row>
    <row r="5" spans="1:7">
      <c r="A5" s="20"/>
      <c r="B5" s="20"/>
      <c r="C5" s="21"/>
      <c r="G5" s="20"/>
    </row>
    <row r="6" spans="1:7">
      <c r="A6" s="20"/>
      <c r="B6" s="20"/>
      <c r="C6" s="21"/>
      <c r="G6" s="20"/>
    </row>
    <row r="7" spans="1:7">
      <c r="A7" s="20"/>
      <c r="B7" s="20"/>
      <c r="C7" s="21"/>
      <c r="G7" s="20"/>
    </row>
    <row r="8" spans="1:7">
      <c r="A8" s="20"/>
      <c r="B8" s="20"/>
      <c r="C8" s="21"/>
      <c r="G8" s="20"/>
    </row>
    <row r="9" spans="1:7">
      <c r="A9" s="20"/>
      <c r="B9" s="20"/>
      <c r="C9" s="21"/>
      <c r="G9" s="20"/>
    </row>
    <row r="10" spans="1:7">
      <c r="A10" s="20"/>
      <c r="B10" s="20"/>
      <c r="C10" s="21"/>
      <c r="G10" s="20"/>
    </row>
    <row r="11" spans="1:7">
      <c r="A11" s="20"/>
      <c r="B11" s="20"/>
      <c r="C11" s="21"/>
      <c r="G11" s="20"/>
    </row>
    <row r="12" spans="1:7">
      <c r="A12" s="20"/>
      <c r="B12" s="20"/>
      <c r="C12" s="21"/>
      <c r="G12" s="20"/>
    </row>
    <row r="13" spans="1:7">
      <c r="A13" s="20"/>
      <c r="B13" s="20"/>
      <c r="C13" s="21"/>
      <c r="G13" s="20"/>
    </row>
    <row r="14" spans="1:7">
      <c r="A14" s="20"/>
      <c r="B14" s="20"/>
      <c r="C14" s="21"/>
      <c r="G14" s="20"/>
    </row>
    <row r="15" spans="1:7">
      <c r="A15" s="20"/>
      <c r="B15" s="20"/>
      <c r="C15" s="21"/>
      <c r="G15" s="20"/>
    </row>
    <row r="16" spans="1:7">
      <c r="A16" s="20"/>
      <c r="B16" s="20"/>
      <c r="C16" s="21"/>
      <c r="G16" s="20"/>
    </row>
    <row r="17" spans="1:7">
      <c r="A17" s="20"/>
      <c r="B17" s="20"/>
      <c r="C17" s="21"/>
      <c r="G17" s="20"/>
    </row>
    <row r="18" spans="1:7">
      <c r="A18" s="20"/>
      <c r="B18" s="20"/>
      <c r="C18" s="21"/>
      <c r="G18" s="20"/>
    </row>
    <row r="19" spans="1:7">
      <c r="A19" s="20"/>
      <c r="B19" s="20"/>
      <c r="C19" s="21"/>
      <c r="G19" s="20"/>
    </row>
    <row r="20" spans="1:7">
      <c r="C20" s="21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124</v>
      </c>
      <c r="M1" s="19" t="s">
        <v>125</v>
      </c>
      <c r="N1" s="19" t="s">
        <v>1343</v>
      </c>
      <c r="O1" s="19" t="s">
        <v>9</v>
      </c>
      <c r="P1" s="19" t="s">
        <v>10</v>
      </c>
      <c r="Q1" s="19" t="s">
        <v>126</v>
      </c>
      <c r="R1" s="19" t="s">
        <v>11</v>
      </c>
      <c r="S1" s="19" t="s">
        <v>12</v>
      </c>
      <c r="T1" s="19" t="s">
        <v>1344</v>
      </c>
      <c r="U1" s="19" t="s">
        <v>127</v>
      </c>
      <c r="V1" s="19" t="s">
        <v>13</v>
      </c>
      <c r="W1" s="19" t="s">
        <v>14</v>
      </c>
      <c r="X1" s="19" t="s">
        <v>15</v>
      </c>
      <c r="Y1" s="19" t="s">
        <v>128</v>
      </c>
      <c r="Z1" s="19" t="s">
        <v>129</v>
      </c>
      <c r="AA1" s="19" t="s">
        <v>1349</v>
      </c>
      <c r="AB1" s="19" t="s">
        <v>1350</v>
      </c>
      <c r="AC1" s="19" t="s">
        <v>1351</v>
      </c>
      <c r="AD1" s="19" t="s">
        <v>1352</v>
      </c>
      <c r="AE1" s="19" t="s">
        <v>1353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130</v>
      </c>
      <c r="AL1" s="19" t="s">
        <v>22</v>
      </c>
      <c r="AM1" s="19" t="s">
        <v>24</v>
      </c>
      <c r="AN1" s="19" t="s">
        <v>25</v>
      </c>
    </row>
    <row r="2" spans="1:40">
      <c r="A2" s="27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1"/>
      <c r="AA2" s="20"/>
      <c r="AB2" s="20"/>
      <c r="AC2" s="21"/>
      <c r="AD2" s="21"/>
      <c r="AE2" s="20"/>
      <c r="AF2" s="20"/>
      <c r="AG2" s="20"/>
      <c r="AH2" s="20"/>
      <c r="AI2" s="20"/>
      <c r="AK2" s="37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C3" s="38"/>
      <c r="AF3" s="20"/>
      <c r="AG3" s="21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1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1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1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1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1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1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1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1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1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1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1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1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1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1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1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1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Y21" s="42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8"/>
  <sheetViews>
    <sheetView rightToLeft="1" topLeftCell="J1" zoomScale="70" zoomScaleNormal="70" workbookViewId="0">
      <selection activeCell="Z9" sqref="Z9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131</v>
      </c>
      <c r="M1" s="19" t="s">
        <v>124</v>
      </c>
      <c r="N1" s="19" t="s">
        <v>125</v>
      </c>
      <c r="O1" s="176" t="s">
        <v>1343</v>
      </c>
      <c r="P1" s="19" t="s">
        <v>9</v>
      </c>
      <c r="Q1" s="19" t="s">
        <v>10</v>
      </c>
      <c r="R1" s="19" t="s">
        <v>126</v>
      </c>
      <c r="S1" s="19" t="s">
        <v>11</v>
      </c>
      <c r="T1" s="19" t="s">
        <v>12</v>
      </c>
      <c r="U1" s="19" t="s">
        <v>13</v>
      </c>
      <c r="V1" s="163" t="s">
        <v>15</v>
      </c>
      <c r="W1" s="163" t="s">
        <v>14</v>
      </c>
      <c r="X1" s="19" t="s">
        <v>128</v>
      </c>
      <c r="Y1" s="19" t="s">
        <v>129</v>
      </c>
      <c r="Z1" s="19" t="s">
        <v>1349</v>
      </c>
      <c r="AA1" s="19" t="s">
        <v>1350</v>
      </c>
      <c r="AB1" s="176" t="s">
        <v>1352</v>
      </c>
      <c r="AC1" s="176" t="s">
        <v>1353</v>
      </c>
      <c r="AD1" s="19" t="s">
        <v>17</v>
      </c>
      <c r="AE1" s="161" t="s">
        <v>18</v>
      </c>
      <c r="AF1" s="167" t="s">
        <v>19</v>
      </c>
      <c r="AG1" s="19" t="s">
        <v>20</v>
      </c>
      <c r="AH1" s="19" t="s">
        <v>21</v>
      </c>
      <c r="AI1" s="19" t="s">
        <v>130</v>
      </c>
      <c r="AJ1" s="19" t="s">
        <v>22</v>
      </c>
      <c r="AK1" s="163" t="s">
        <v>24</v>
      </c>
      <c r="AL1" s="163" t="s">
        <v>25</v>
      </c>
    </row>
    <row r="2" spans="1:38">
      <c r="A2" s="3">
        <v>1182</v>
      </c>
      <c r="B2" s="20">
        <v>1182</v>
      </c>
      <c r="C2" s="20" t="s">
        <v>1354</v>
      </c>
      <c r="D2" s="20" t="s">
        <v>1355</v>
      </c>
      <c r="E2" s="18" t="s">
        <v>134</v>
      </c>
      <c r="F2" s="20" t="s">
        <v>1356</v>
      </c>
      <c r="G2" s="20" t="s">
        <v>1357</v>
      </c>
      <c r="H2" s="20" t="s">
        <v>137</v>
      </c>
      <c r="I2" s="20" t="s">
        <v>138</v>
      </c>
      <c r="J2" s="18" t="s">
        <v>30</v>
      </c>
      <c r="K2" s="18" t="s">
        <v>30</v>
      </c>
      <c r="L2" s="20" t="s">
        <v>498</v>
      </c>
      <c r="M2" s="20" t="s">
        <v>162</v>
      </c>
      <c r="N2" s="20" t="s">
        <v>141</v>
      </c>
      <c r="O2" s="20"/>
      <c r="P2" s="20" t="s">
        <v>481</v>
      </c>
      <c r="Q2" s="20" t="s">
        <v>481</v>
      </c>
      <c r="R2" s="20" t="s">
        <v>481</v>
      </c>
      <c r="S2" s="18" t="s">
        <v>34</v>
      </c>
      <c r="T2" s="155">
        <v>0.01</v>
      </c>
      <c r="U2" s="20" t="s">
        <v>1358</v>
      </c>
      <c r="V2" s="169">
        <v>0</v>
      </c>
      <c r="W2" s="164">
        <v>5.1499999999999997E-2</v>
      </c>
      <c r="X2" s="18" t="s">
        <v>146</v>
      </c>
      <c r="Y2" s="28" t="s">
        <v>318</v>
      </c>
      <c r="Z2" s="20" t="s">
        <v>1359</v>
      </c>
      <c r="AA2" s="20" t="s">
        <v>1360</v>
      </c>
      <c r="AB2" s="178" t="s">
        <v>1361</v>
      </c>
      <c r="AC2" s="177" t="s">
        <v>1361</v>
      </c>
      <c r="AD2" s="155">
        <v>13377</v>
      </c>
      <c r="AE2" s="170">
        <v>1</v>
      </c>
      <c r="AF2" s="171">
        <v>0</v>
      </c>
      <c r="AG2" s="155">
        <v>0</v>
      </c>
      <c r="AH2" s="20"/>
      <c r="AI2" s="37"/>
      <c r="AJ2" s="21" t="s">
        <v>36</v>
      </c>
      <c r="AK2" s="164">
        <v>1.46975773272962E-8</v>
      </c>
      <c r="AL2" s="164">
        <v>2.8972679152546196E-11</v>
      </c>
    </row>
    <row r="3" spans="1:38">
      <c r="A3" s="20">
        <v>1182</v>
      </c>
      <c r="B3" s="20">
        <v>1182</v>
      </c>
      <c r="C3" s="20" t="s">
        <v>1362</v>
      </c>
      <c r="D3" s="20" t="s">
        <v>1363</v>
      </c>
      <c r="E3" s="18" t="s">
        <v>134</v>
      </c>
      <c r="F3" s="20" t="s">
        <v>1364</v>
      </c>
      <c r="G3" s="20" t="s">
        <v>1365</v>
      </c>
      <c r="H3" s="20" t="s">
        <v>137</v>
      </c>
      <c r="I3" s="20" t="s">
        <v>1366</v>
      </c>
      <c r="J3" s="18" t="s">
        <v>30</v>
      </c>
      <c r="K3" s="18" t="s">
        <v>30</v>
      </c>
      <c r="L3" s="20" t="s">
        <v>498</v>
      </c>
      <c r="M3" s="20" t="s">
        <v>162</v>
      </c>
      <c r="N3" s="20" t="s">
        <v>141</v>
      </c>
      <c r="O3" s="20" t="s">
        <v>1367</v>
      </c>
      <c r="P3" s="20" t="s">
        <v>481</v>
      </c>
      <c r="Q3" s="20" t="s">
        <v>481</v>
      </c>
      <c r="R3" s="20" t="s">
        <v>481</v>
      </c>
      <c r="S3" s="18" t="s">
        <v>34</v>
      </c>
      <c r="T3" s="155">
        <v>0.01</v>
      </c>
      <c r="U3" s="20" t="s">
        <v>1368</v>
      </c>
      <c r="V3" s="169">
        <v>0</v>
      </c>
      <c r="W3" s="164">
        <v>5.7000000000000002E-2</v>
      </c>
      <c r="X3" s="18" t="s">
        <v>1369</v>
      </c>
      <c r="Y3" s="18" t="s">
        <v>318</v>
      </c>
      <c r="Z3" s="20" t="s">
        <v>1359</v>
      </c>
      <c r="AA3" s="20" t="s">
        <v>1360</v>
      </c>
      <c r="AB3" s="178" t="s">
        <v>1361</v>
      </c>
      <c r="AC3" s="177" t="s">
        <v>1361</v>
      </c>
      <c r="AD3" s="155">
        <v>1380.01</v>
      </c>
      <c r="AE3" s="170">
        <v>1</v>
      </c>
      <c r="AF3" s="171">
        <v>0.01</v>
      </c>
      <c r="AG3" s="155">
        <v>0</v>
      </c>
      <c r="AH3" s="20"/>
      <c r="AI3" s="20"/>
      <c r="AJ3" s="21" t="s">
        <v>36</v>
      </c>
      <c r="AK3" s="164">
        <v>1.5162445755731499E-7</v>
      </c>
      <c r="AL3" s="164">
        <v>2.9889053567545299E-10</v>
      </c>
    </row>
    <row r="4" spans="1:38">
      <c r="A4" s="20">
        <v>1182</v>
      </c>
      <c r="B4" s="20">
        <v>1182</v>
      </c>
      <c r="C4" s="20" t="s">
        <v>1370</v>
      </c>
      <c r="D4" s="20" t="s">
        <v>1371</v>
      </c>
      <c r="E4" s="18" t="s">
        <v>134</v>
      </c>
      <c r="F4" s="20" t="s">
        <v>1372</v>
      </c>
      <c r="G4" s="20" t="s">
        <v>1373</v>
      </c>
      <c r="H4" s="20" t="s">
        <v>137</v>
      </c>
      <c r="I4" s="20" t="s">
        <v>1366</v>
      </c>
      <c r="J4" s="18" t="s">
        <v>30</v>
      </c>
      <c r="K4" s="18" t="s">
        <v>30</v>
      </c>
      <c r="L4" s="20" t="s">
        <v>498</v>
      </c>
      <c r="M4" s="20" t="s">
        <v>162</v>
      </c>
      <c r="N4" s="20" t="s">
        <v>141</v>
      </c>
      <c r="O4" s="3" t="s">
        <v>1367</v>
      </c>
      <c r="P4" s="20" t="s">
        <v>1374</v>
      </c>
      <c r="Q4" s="20" t="s">
        <v>164</v>
      </c>
      <c r="R4" s="20" t="s">
        <v>144</v>
      </c>
      <c r="S4" s="20" t="s">
        <v>34</v>
      </c>
      <c r="T4" s="155">
        <v>2.92</v>
      </c>
      <c r="U4" s="20" t="s">
        <v>1375</v>
      </c>
      <c r="V4" s="169">
        <v>1E-4</v>
      </c>
      <c r="W4" s="164">
        <v>6.5000000000000002E-2</v>
      </c>
      <c r="X4" s="18" t="s">
        <v>1369</v>
      </c>
      <c r="Y4" s="18" t="s">
        <v>318</v>
      </c>
      <c r="Z4" s="20" t="s">
        <v>1359</v>
      </c>
      <c r="AA4" s="20" t="s">
        <v>1360</v>
      </c>
      <c r="AB4" s="178" t="s">
        <v>1361</v>
      </c>
      <c r="AC4" s="178" t="s">
        <v>1361</v>
      </c>
      <c r="AD4" s="153">
        <v>39.99</v>
      </c>
      <c r="AE4" s="170">
        <v>1</v>
      </c>
      <c r="AF4" s="171">
        <v>73</v>
      </c>
      <c r="AG4" s="155">
        <v>2.9000000000000001E-2</v>
      </c>
      <c r="AH4" s="20"/>
      <c r="AI4" s="20"/>
      <c r="AJ4" s="21" t="s">
        <v>36</v>
      </c>
      <c r="AK4" s="164">
        <v>3.2074603098046003E-5</v>
      </c>
      <c r="AL4" s="164">
        <v>6.32272356056317E-8</v>
      </c>
    </row>
    <row r="5" spans="1:38">
      <c r="A5" s="20">
        <v>1182</v>
      </c>
      <c r="B5" s="20">
        <v>1182</v>
      </c>
      <c r="C5" s="20" t="s">
        <v>1354</v>
      </c>
      <c r="D5" s="20" t="s">
        <v>1355</v>
      </c>
      <c r="E5" s="18" t="s">
        <v>134</v>
      </c>
      <c r="F5" s="20" t="s">
        <v>1376</v>
      </c>
      <c r="G5" s="20" t="s">
        <v>1377</v>
      </c>
      <c r="H5" s="20" t="s">
        <v>137</v>
      </c>
      <c r="I5" s="20" t="s">
        <v>138</v>
      </c>
      <c r="J5" s="18" t="s">
        <v>30</v>
      </c>
      <c r="K5" s="18" t="s">
        <v>30</v>
      </c>
      <c r="L5" s="20" t="s">
        <v>498</v>
      </c>
      <c r="M5" s="20" t="s">
        <v>162</v>
      </c>
      <c r="N5" s="20" t="s">
        <v>141</v>
      </c>
      <c r="O5" s="20" t="s">
        <v>1378</v>
      </c>
      <c r="P5" s="20" t="s">
        <v>481</v>
      </c>
      <c r="Q5" s="20" t="s">
        <v>481</v>
      </c>
      <c r="R5" s="20" t="s">
        <v>481</v>
      </c>
      <c r="S5" s="18" t="s">
        <v>34</v>
      </c>
      <c r="T5" s="155">
        <v>0.01</v>
      </c>
      <c r="U5" s="20" t="s">
        <v>1379</v>
      </c>
      <c r="V5" s="169">
        <v>0</v>
      </c>
      <c r="W5" s="164">
        <v>4.9000000000000002E-2</v>
      </c>
      <c r="X5" s="18" t="s">
        <v>146</v>
      </c>
      <c r="Y5" s="18" t="s">
        <v>318</v>
      </c>
      <c r="Z5" s="20" t="s">
        <v>1359</v>
      </c>
      <c r="AA5" s="20" t="s">
        <v>1360</v>
      </c>
      <c r="AB5" s="178" t="s">
        <v>1361</v>
      </c>
      <c r="AC5" s="177" t="s">
        <v>1361</v>
      </c>
      <c r="AD5" s="155">
        <v>3992.61</v>
      </c>
      <c r="AE5" s="170">
        <v>1</v>
      </c>
      <c r="AF5" s="171">
        <v>6.4</v>
      </c>
      <c r="AG5" s="153">
        <v>0.25600000000000001</v>
      </c>
      <c r="AJ5" s="21" t="s">
        <v>36</v>
      </c>
      <c r="AK5" s="164">
        <v>2.8075266723593599E-4</v>
      </c>
      <c r="AL5" s="164">
        <v>5.5343522050682802E-7</v>
      </c>
    </row>
    <row r="6" spans="1:38">
      <c r="A6" s="20">
        <v>1182</v>
      </c>
      <c r="B6" s="20">
        <v>1182</v>
      </c>
      <c r="C6" s="20" t="s">
        <v>1380</v>
      </c>
      <c r="D6" s="20" t="s">
        <v>1381</v>
      </c>
      <c r="E6" s="18" t="s">
        <v>134</v>
      </c>
      <c r="F6" s="20" t="s">
        <v>1382</v>
      </c>
      <c r="G6" s="20" t="s">
        <v>1383</v>
      </c>
      <c r="H6" s="20" t="s">
        <v>137</v>
      </c>
      <c r="I6" s="20" t="s">
        <v>1366</v>
      </c>
      <c r="J6" s="18" t="s">
        <v>30</v>
      </c>
      <c r="K6" s="18" t="s">
        <v>30</v>
      </c>
      <c r="L6" s="20" t="s">
        <v>498</v>
      </c>
      <c r="M6" s="20" t="s">
        <v>162</v>
      </c>
      <c r="N6" s="20" t="s">
        <v>141</v>
      </c>
      <c r="O6" s="20" t="s">
        <v>1384</v>
      </c>
      <c r="P6" s="20" t="s">
        <v>481</v>
      </c>
      <c r="Q6" s="20" t="s">
        <v>481</v>
      </c>
      <c r="R6" s="20" t="s">
        <v>481</v>
      </c>
      <c r="S6" s="18" t="s">
        <v>34</v>
      </c>
      <c r="T6" s="155">
        <v>0.01</v>
      </c>
      <c r="U6" s="20" t="s">
        <v>1385</v>
      </c>
      <c r="V6" s="169">
        <v>1E-4</v>
      </c>
      <c r="W6" s="164">
        <v>0</v>
      </c>
      <c r="X6" s="18" t="s">
        <v>1369</v>
      </c>
      <c r="Y6" s="18" t="s">
        <v>318</v>
      </c>
      <c r="Z6" s="20" t="s">
        <v>1359</v>
      </c>
      <c r="AA6" s="20" t="s">
        <v>1360</v>
      </c>
      <c r="AB6" s="178" t="s">
        <v>1361</v>
      </c>
      <c r="AC6" s="177" t="s">
        <v>1361</v>
      </c>
      <c r="AD6" s="155">
        <v>1000</v>
      </c>
      <c r="AE6" s="170">
        <v>1</v>
      </c>
      <c r="AF6" s="171">
        <v>1</v>
      </c>
      <c r="AG6" s="153">
        <v>0.01</v>
      </c>
      <c r="AJ6" s="21" t="s">
        <v>36</v>
      </c>
      <c r="AK6" s="164">
        <v>1.09871999157481E-5</v>
      </c>
      <c r="AL6" s="164">
        <v>2.1658577523021801E-8</v>
      </c>
    </row>
    <row r="7" spans="1:38">
      <c r="A7" s="20">
        <v>1182</v>
      </c>
      <c r="B7" s="20">
        <v>1182</v>
      </c>
      <c r="C7" s="20" t="s">
        <v>1386</v>
      </c>
      <c r="D7" s="20" t="s">
        <v>1387</v>
      </c>
      <c r="E7" s="18" t="s">
        <v>134</v>
      </c>
      <c r="F7" s="20" t="s">
        <v>1388</v>
      </c>
      <c r="G7" s="20" t="s">
        <v>1389</v>
      </c>
      <c r="H7" s="20" t="s">
        <v>137</v>
      </c>
      <c r="I7" s="20" t="s">
        <v>156</v>
      </c>
      <c r="J7" s="18" t="s">
        <v>30</v>
      </c>
      <c r="K7" s="18" t="s">
        <v>30</v>
      </c>
      <c r="L7" s="20" t="s">
        <v>498</v>
      </c>
      <c r="M7" s="20" t="s">
        <v>465</v>
      </c>
      <c r="N7" s="20" t="s">
        <v>141</v>
      </c>
      <c r="O7" s="20" t="s">
        <v>1390</v>
      </c>
      <c r="P7" s="20" t="s">
        <v>163</v>
      </c>
      <c r="Q7" s="20" t="s">
        <v>164</v>
      </c>
      <c r="R7" s="20" t="s">
        <v>144</v>
      </c>
      <c r="S7" s="18" t="s">
        <v>34</v>
      </c>
      <c r="T7" s="155">
        <v>5.21</v>
      </c>
      <c r="U7" s="20" t="s">
        <v>1391</v>
      </c>
      <c r="V7" s="169">
        <v>4.2299999999999997E-2</v>
      </c>
      <c r="W7" s="164">
        <v>3.9800000000000002E-2</v>
      </c>
      <c r="X7" s="18" t="s">
        <v>146</v>
      </c>
      <c r="Y7" s="18" t="s">
        <v>141</v>
      </c>
      <c r="Z7" s="20" t="s">
        <v>1392</v>
      </c>
      <c r="AA7" s="20" t="s">
        <v>1393</v>
      </c>
      <c r="AB7" s="178" t="s">
        <v>1394</v>
      </c>
      <c r="AC7" s="177" t="s">
        <v>1394</v>
      </c>
      <c r="AD7" s="155">
        <v>450000</v>
      </c>
      <c r="AE7" s="170">
        <v>1</v>
      </c>
      <c r="AF7" s="171">
        <v>100.96</v>
      </c>
      <c r="AG7" s="155">
        <v>454.32</v>
      </c>
      <c r="AH7" s="20"/>
      <c r="AI7" s="20"/>
      <c r="AJ7" s="21" t="s">
        <v>36</v>
      </c>
      <c r="AK7" s="164">
        <v>0.49917046657226799</v>
      </c>
      <c r="AL7" s="164">
        <v>9.8399249402592406E-4</v>
      </c>
    </row>
    <row r="8" spans="1:38">
      <c r="A8" s="20">
        <v>1182</v>
      </c>
      <c r="B8" s="20">
        <v>1182</v>
      </c>
      <c r="C8" s="20" t="s">
        <v>1395</v>
      </c>
      <c r="D8" s="20" t="s">
        <v>1396</v>
      </c>
      <c r="E8" s="18" t="s">
        <v>134</v>
      </c>
      <c r="F8" s="20" t="s">
        <v>1397</v>
      </c>
      <c r="G8" s="20" t="s">
        <v>1398</v>
      </c>
      <c r="H8" s="20" t="s">
        <v>137</v>
      </c>
      <c r="I8" s="20" t="s">
        <v>156</v>
      </c>
      <c r="J8" s="18" t="s">
        <v>30</v>
      </c>
      <c r="K8" s="18" t="s">
        <v>30</v>
      </c>
      <c r="L8" s="20" t="s">
        <v>498</v>
      </c>
      <c r="M8" s="20" t="s">
        <v>378</v>
      </c>
      <c r="N8" s="20" t="s">
        <v>141</v>
      </c>
      <c r="O8" s="20" t="s">
        <v>1399</v>
      </c>
      <c r="P8" s="20" t="s">
        <v>481</v>
      </c>
      <c r="Q8" s="20" t="s">
        <v>481</v>
      </c>
      <c r="R8" s="20" t="s">
        <v>481</v>
      </c>
      <c r="S8" s="18" t="s">
        <v>34</v>
      </c>
      <c r="T8" s="155">
        <v>1.1439999999999999</v>
      </c>
      <c r="U8" s="20" t="s">
        <v>1400</v>
      </c>
      <c r="V8" s="169">
        <v>9.0810000000000002E-2</v>
      </c>
      <c r="W8" s="164">
        <v>0</v>
      </c>
      <c r="X8" s="18" t="s">
        <v>146</v>
      </c>
      <c r="Y8" s="18" t="s">
        <v>141</v>
      </c>
      <c r="Z8" s="20" t="s">
        <v>1392</v>
      </c>
      <c r="AA8" s="20" t="s">
        <v>1393</v>
      </c>
      <c r="AB8" s="178" t="s">
        <v>1394</v>
      </c>
      <c r="AC8" s="177" t="s">
        <v>1401</v>
      </c>
      <c r="AD8" s="155">
        <v>450000</v>
      </c>
      <c r="AE8" s="170">
        <v>1</v>
      </c>
      <c r="AF8" s="171">
        <v>101.23</v>
      </c>
      <c r="AG8" s="155">
        <v>455.53500000000003</v>
      </c>
      <c r="AH8" s="20"/>
      <c r="AI8" s="20"/>
      <c r="AJ8" s="21" t="s">
        <v>36</v>
      </c>
      <c r="AK8" s="164">
        <v>0.50050541136203097</v>
      </c>
      <c r="AL8" s="164">
        <v>9.86624011194972E-4</v>
      </c>
    </row>
    <row r="9" spans="1:38">
      <c r="A9" s="20">
        <v>1182</v>
      </c>
      <c r="B9" s="20">
        <v>1182</v>
      </c>
      <c r="C9" s="20" t="s">
        <v>1402</v>
      </c>
      <c r="D9" s="20" t="s">
        <v>1403</v>
      </c>
      <c r="E9" s="18" t="s">
        <v>134</v>
      </c>
      <c r="F9" s="20" t="s">
        <v>1404</v>
      </c>
      <c r="G9" s="20" t="s">
        <v>1405</v>
      </c>
      <c r="H9" s="20" t="s">
        <v>137</v>
      </c>
      <c r="I9" s="20" t="s">
        <v>138</v>
      </c>
      <c r="J9" s="18" t="s">
        <v>30</v>
      </c>
      <c r="K9" s="18" t="s">
        <v>30</v>
      </c>
      <c r="L9" s="20" t="s">
        <v>498</v>
      </c>
      <c r="M9" s="20" t="s">
        <v>199</v>
      </c>
      <c r="N9" s="20" t="s">
        <v>141</v>
      </c>
      <c r="O9" s="20" t="s">
        <v>1406</v>
      </c>
      <c r="P9" s="20" t="s">
        <v>481</v>
      </c>
      <c r="Q9" s="20" t="s">
        <v>481</v>
      </c>
      <c r="R9" s="20" t="s">
        <v>481</v>
      </c>
      <c r="S9" s="18" t="s">
        <v>34</v>
      </c>
      <c r="T9" s="155">
        <v>0.01</v>
      </c>
      <c r="U9" s="20" t="s">
        <v>1407</v>
      </c>
      <c r="V9" s="169">
        <v>0</v>
      </c>
      <c r="W9" s="164">
        <v>0</v>
      </c>
      <c r="X9" s="18" t="s">
        <v>146</v>
      </c>
      <c r="Y9" s="18" t="s">
        <v>318</v>
      </c>
      <c r="Z9" s="20" t="s">
        <v>1359</v>
      </c>
      <c r="AA9" s="20" t="s">
        <v>1360</v>
      </c>
      <c r="AB9" s="178" t="s">
        <v>1361</v>
      </c>
      <c r="AC9" s="177" t="s">
        <v>1361</v>
      </c>
      <c r="AD9" s="155">
        <v>1285.8</v>
      </c>
      <c r="AE9" s="170">
        <v>1</v>
      </c>
      <c r="AF9" s="171">
        <v>0.01</v>
      </c>
      <c r="AG9" s="155">
        <v>0</v>
      </c>
      <c r="AH9" s="20"/>
      <c r="AI9" s="20"/>
      <c r="AJ9" s="21" t="s">
        <v>36</v>
      </c>
      <c r="AK9" s="164">
        <v>1.4127341651668901E-7</v>
      </c>
      <c r="AL9" s="164">
        <v>2.7848598979101402E-10</v>
      </c>
    </row>
    <row r="10" spans="1:38">
      <c r="A10" s="20">
        <v>12904</v>
      </c>
      <c r="B10" s="20">
        <v>12905</v>
      </c>
      <c r="C10" s="20" t="s">
        <v>1386</v>
      </c>
      <c r="D10" s="20" t="s">
        <v>1387</v>
      </c>
      <c r="E10" s="18" t="s">
        <v>134</v>
      </c>
      <c r="F10" s="20" t="s">
        <v>1388</v>
      </c>
      <c r="G10" s="20" t="s">
        <v>1389</v>
      </c>
      <c r="H10" s="20" t="s">
        <v>137</v>
      </c>
      <c r="I10" s="20" t="s">
        <v>156</v>
      </c>
      <c r="J10" s="18" t="s">
        <v>30</v>
      </c>
      <c r="K10" s="18" t="s">
        <v>30</v>
      </c>
      <c r="L10" s="20" t="s">
        <v>498</v>
      </c>
      <c r="M10" s="20" t="s">
        <v>465</v>
      </c>
      <c r="N10" s="20" t="s">
        <v>141</v>
      </c>
      <c r="O10" s="20" t="s">
        <v>1390</v>
      </c>
      <c r="P10" s="20" t="s">
        <v>163</v>
      </c>
      <c r="Q10" s="20" t="s">
        <v>164</v>
      </c>
      <c r="R10" s="20" t="s">
        <v>144</v>
      </c>
      <c r="S10" s="18" t="s">
        <v>34</v>
      </c>
      <c r="T10" s="155">
        <v>5.21</v>
      </c>
      <c r="U10" s="20" t="s">
        <v>1391</v>
      </c>
      <c r="V10" s="169">
        <v>4.2299999999999997E-2</v>
      </c>
      <c r="W10" s="164">
        <v>3.9800000000000002E-2</v>
      </c>
      <c r="X10" s="18" t="s">
        <v>146</v>
      </c>
      <c r="Y10" s="18" t="s">
        <v>141</v>
      </c>
      <c r="Z10" s="20" t="s">
        <v>1392</v>
      </c>
      <c r="AA10" s="20" t="s">
        <v>1393</v>
      </c>
      <c r="AB10" s="178" t="s">
        <v>1394</v>
      </c>
      <c r="AC10" s="177" t="s">
        <v>1394</v>
      </c>
      <c r="AD10" s="155">
        <v>50000</v>
      </c>
      <c r="AE10" s="170">
        <v>1</v>
      </c>
      <c r="AF10" s="171">
        <v>100.96</v>
      </c>
      <c r="AG10" s="155">
        <v>50.48</v>
      </c>
      <c r="AH10" s="20"/>
      <c r="AI10" s="20"/>
      <c r="AJ10" s="21" t="s">
        <v>36</v>
      </c>
      <c r="AK10" s="164">
        <v>0.66607290120402396</v>
      </c>
      <c r="AL10" s="164">
        <v>1.0470797468368699E-3</v>
      </c>
    </row>
    <row r="11" spans="1:38">
      <c r="A11" s="20">
        <v>12904</v>
      </c>
      <c r="B11" s="20">
        <v>12905</v>
      </c>
      <c r="C11" s="20" t="s">
        <v>1395</v>
      </c>
      <c r="D11" s="20" t="s">
        <v>1396</v>
      </c>
      <c r="E11" s="18" t="s">
        <v>134</v>
      </c>
      <c r="F11" s="20" t="s">
        <v>1397</v>
      </c>
      <c r="G11" s="20" t="s">
        <v>1398</v>
      </c>
      <c r="H11" s="20" t="s">
        <v>137</v>
      </c>
      <c r="I11" s="20" t="s">
        <v>156</v>
      </c>
      <c r="J11" s="18" t="s">
        <v>30</v>
      </c>
      <c r="K11" s="18" t="s">
        <v>30</v>
      </c>
      <c r="L11" s="20" t="s">
        <v>498</v>
      </c>
      <c r="M11" s="20" t="s">
        <v>378</v>
      </c>
      <c r="N11" s="20" t="s">
        <v>141</v>
      </c>
      <c r="O11" s="20" t="s">
        <v>1399</v>
      </c>
      <c r="P11" s="20" t="s">
        <v>481</v>
      </c>
      <c r="Q11" s="20" t="s">
        <v>481</v>
      </c>
      <c r="R11" s="20" t="s">
        <v>481</v>
      </c>
      <c r="S11" s="18" t="s">
        <v>34</v>
      </c>
      <c r="T11" s="155">
        <v>1.1439999999999999</v>
      </c>
      <c r="U11" s="20" t="s">
        <v>1400</v>
      </c>
      <c r="V11" s="169">
        <v>9.0810000000000002E-2</v>
      </c>
      <c r="W11" s="164">
        <v>0</v>
      </c>
      <c r="X11" s="18" t="s">
        <v>146</v>
      </c>
      <c r="Y11" s="18" t="s">
        <v>141</v>
      </c>
      <c r="Z11" s="20" t="s">
        <v>1392</v>
      </c>
      <c r="AA11" s="20" t="s">
        <v>1393</v>
      </c>
      <c r="AB11" s="178" t="s">
        <v>1394</v>
      </c>
      <c r="AC11" s="177" t="s">
        <v>1401</v>
      </c>
      <c r="AD11" s="155">
        <v>25000</v>
      </c>
      <c r="AE11" s="170">
        <v>1</v>
      </c>
      <c r="AF11" s="171">
        <v>101.23</v>
      </c>
      <c r="AG11" s="155">
        <v>25.308</v>
      </c>
      <c r="AH11" s="20"/>
      <c r="AI11" s="20"/>
      <c r="AJ11" s="21" t="s">
        <v>36</v>
      </c>
      <c r="AK11" s="164">
        <v>0.33392709879597599</v>
      </c>
      <c r="AL11" s="164">
        <v>5.24939989957888E-4</v>
      </c>
    </row>
    <row r="12" spans="1:38">
      <c r="A12" s="20">
        <v>424</v>
      </c>
      <c r="B12" s="20">
        <v>7228</v>
      </c>
      <c r="C12" s="20" t="s">
        <v>1354</v>
      </c>
      <c r="D12" s="20" t="s">
        <v>1355</v>
      </c>
      <c r="E12" s="18" t="s">
        <v>134</v>
      </c>
      <c r="F12" s="20" t="s">
        <v>1356</v>
      </c>
      <c r="G12" s="20" t="s">
        <v>1357</v>
      </c>
      <c r="H12" s="20" t="s">
        <v>137</v>
      </c>
      <c r="I12" s="20" t="s">
        <v>138</v>
      </c>
      <c r="J12" s="18" t="s">
        <v>30</v>
      </c>
      <c r="K12" s="18" t="s">
        <v>30</v>
      </c>
      <c r="L12" s="20" t="s">
        <v>498</v>
      </c>
      <c r="M12" s="20" t="s">
        <v>162</v>
      </c>
      <c r="N12" s="20" t="s">
        <v>141</v>
      </c>
      <c r="O12" s="20" t="s">
        <v>1378</v>
      </c>
      <c r="P12" s="20" t="s">
        <v>481</v>
      </c>
      <c r="Q12" s="20" t="s">
        <v>481</v>
      </c>
      <c r="R12" s="20" t="s">
        <v>481</v>
      </c>
      <c r="S12" s="18" t="s">
        <v>34</v>
      </c>
      <c r="T12" s="155">
        <v>0.01</v>
      </c>
      <c r="U12" s="20" t="s">
        <v>1358</v>
      </c>
      <c r="V12" s="169">
        <v>0</v>
      </c>
      <c r="W12" s="164">
        <v>5.1499999999999997E-2</v>
      </c>
      <c r="X12" s="18" t="s">
        <v>146</v>
      </c>
      <c r="Y12" s="18" t="s">
        <v>318</v>
      </c>
      <c r="Z12" s="20" t="s">
        <v>1359</v>
      </c>
      <c r="AA12" s="20" t="s">
        <v>1360</v>
      </c>
      <c r="AB12" s="178" t="s">
        <v>1361</v>
      </c>
      <c r="AC12" s="177" t="s">
        <v>1361</v>
      </c>
      <c r="AD12" s="155">
        <v>70023.45</v>
      </c>
      <c r="AE12" s="170">
        <v>1</v>
      </c>
      <c r="AF12" s="171">
        <v>0</v>
      </c>
      <c r="AG12" s="155">
        <v>0</v>
      </c>
      <c r="AH12" s="20"/>
      <c r="AI12" s="20"/>
      <c r="AJ12" s="21" t="s">
        <v>36</v>
      </c>
      <c r="AK12" s="164">
        <v>1.2953807617612E-8</v>
      </c>
      <c r="AL12" s="164">
        <v>2.7401467351534897E-11</v>
      </c>
    </row>
    <row r="13" spans="1:38">
      <c r="A13" s="20">
        <v>424</v>
      </c>
      <c r="B13" s="20">
        <v>7228</v>
      </c>
      <c r="C13" s="20" t="s">
        <v>1408</v>
      </c>
      <c r="D13" s="20" t="s">
        <v>1409</v>
      </c>
      <c r="E13" s="18" t="s">
        <v>134</v>
      </c>
      <c r="F13" s="20" t="s">
        <v>1410</v>
      </c>
      <c r="G13" s="20" t="s">
        <v>1411</v>
      </c>
      <c r="H13" s="20" t="s">
        <v>137</v>
      </c>
      <c r="I13" s="20" t="s">
        <v>1366</v>
      </c>
      <c r="J13" s="18" t="s">
        <v>30</v>
      </c>
      <c r="K13" s="18" t="s">
        <v>30</v>
      </c>
      <c r="L13" s="20" t="s">
        <v>498</v>
      </c>
      <c r="M13" s="20" t="s">
        <v>199</v>
      </c>
      <c r="N13" s="20" t="s">
        <v>141</v>
      </c>
      <c r="O13" s="20" t="s">
        <v>1412</v>
      </c>
      <c r="P13" s="20" t="s">
        <v>481</v>
      </c>
      <c r="Q13" s="20" t="s">
        <v>481</v>
      </c>
      <c r="R13" s="20" t="s">
        <v>481</v>
      </c>
      <c r="S13" s="18" t="s">
        <v>34</v>
      </c>
      <c r="T13" s="155">
        <v>0.01</v>
      </c>
      <c r="U13" s="20" t="s">
        <v>1413</v>
      </c>
      <c r="V13" s="169">
        <v>6.7999999999999996E-3</v>
      </c>
      <c r="W13" s="164">
        <v>7.9000000000000001E-2</v>
      </c>
      <c r="X13" s="18" t="s">
        <v>1369</v>
      </c>
      <c r="Y13" s="18" t="s">
        <v>318</v>
      </c>
      <c r="Z13" s="20" t="s">
        <v>1359</v>
      </c>
      <c r="AA13" s="20" t="s">
        <v>1360</v>
      </c>
      <c r="AB13" s="178" t="s">
        <v>1361</v>
      </c>
      <c r="AC13" s="177" t="s">
        <v>1361</v>
      </c>
      <c r="AD13" s="155">
        <v>10168.469999999999</v>
      </c>
      <c r="AE13" s="170">
        <v>1</v>
      </c>
      <c r="AF13" s="171">
        <v>18</v>
      </c>
      <c r="AG13" s="155">
        <v>1.83</v>
      </c>
      <c r="AH13" s="20"/>
      <c r="AI13" s="20"/>
      <c r="AJ13" s="21" t="s">
        <v>36</v>
      </c>
      <c r="AK13" s="164">
        <v>3.3859618093913697E-4</v>
      </c>
      <c r="AL13" s="164">
        <v>7.1623977067127104E-7</v>
      </c>
    </row>
    <row r="14" spans="1:38">
      <c r="A14" s="20">
        <v>424</v>
      </c>
      <c r="B14" s="20">
        <v>7228</v>
      </c>
      <c r="C14" s="20" t="s">
        <v>1370</v>
      </c>
      <c r="D14" s="20" t="s">
        <v>1371</v>
      </c>
      <c r="E14" s="18" t="s">
        <v>134</v>
      </c>
      <c r="F14" s="20" t="s">
        <v>1372</v>
      </c>
      <c r="G14" s="20" t="s">
        <v>1373</v>
      </c>
      <c r="H14" s="20" t="s">
        <v>137</v>
      </c>
      <c r="I14" s="20" t="s">
        <v>1366</v>
      </c>
      <c r="J14" s="18" t="s">
        <v>30</v>
      </c>
      <c r="K14" s="18" t="s">
        <v>30</v>
      </c>
      <c r="L14" s="20" t="s">
        <v>498</v>
      </c>
      <c r="M14" s="20" t="s">
        <v>162</v>
      </c>
      <c r="N14" s="20" t="s">
        <v>141</v>
      </c>
      <c r="O14" s="20" t="s">
        <v>1367</v>
      </c>
      <c r="P14" s="20" t="s">
        <v>1374</v>
      </c>
      <c r="Q14" s="20" t="s">
        <v>164</v>
      </c>
      <c r="R14" s="20" t="s">
        <v>144</v>
      </c>
      <c r="S14" s="18" t="s">
        <v>34</v>
      </c>
      <c r="T14" s="155">
        <v>2.92</v>
      </c>
      <c r="U14" s="20" t="s">
        <v>1375</v>
      </c>
      <c r="V14" s="169">
        <v>1E-4</v>
      </c>
      <c r="W14" s="164">
        <v>6.5000000000000002E-2</v>
      </c>
      <c r="X14" s="18" t="s">
        <v>1369</v>
      </c>
      <c r="Y14" s="18" t="s">
        <v>318</v>
      </c>
      <c r="Z14" s="20" t="s">
        <v>1359</v>
      </c>
      <c r="AA14" s="20" t="s">
        <v>1360</v>
      </c>
      <c r="AB14" s="178" t="s">
        <v>1361</v>
      </c>
      <c r="AC14" s="177" t="s">
        <v>1361</v>
      </c>
      <c r="AD14" s="155">
        <v>363.29</v>
      </c>
      <c r="AE14" s="170">
        <v>1</v>
      </c>
      <c r="AF14" s="171">
        <v>73</v>
      </c>
      <c r="AG14" s="155">
        <v>0.26500000000000001</v>
      </c>
      <c r="AH14" s="20"/>
      <c r="AI14" s="20"/>
      <c r="AJ14" s="21" t="s">
        <v>36</v>
      </c>
      <c r="AK14" s="164">
        <v>4.9060304821651198E-5</v>
      </c>
      <c r="AL14" s="164">
        <v>1.0377831603729299E-7</v>
      </c>
    </row>
    <row r="15" spans="1:38">
      <c r="A15" s="20">
        <v>424</v>
      </c>
      <c r="B15" s="20">
        <v>7228</v>
      </c>
      <c r="C15" s="20" t="s">
        <v>1414</v>
      </c>
      <c r="D15" s="20" t="s">
        <v>1415</v>
      </c>
      <c r="E15" s="18" t="s">
        <v>134</v>
      </c>
      <c r="F15" s="20" t="s">
        <v>1416</v>
      </c>
      <c r="G15" s="20" t="s">
        <v>1417</v>
      </c>
      <c r="H15" s="20" t="s">
        <v>137</v>
      </c>
      <c r="I15" s="20" t="s">
        <v>1366</v>
      </c>
      <c r="J15" s="18" t="s">
        <v>30</v>
      </c>
      <c r="K15" s="18" t="s">
        <v>30</v>
      </c>
      <c r="L15" s="20" t="s">
        <v>498</v>
      </c>
      <c r="M15" s="20" t="s">
        <v>199</v>
      </c>
      <c r="N15" s="20" t="s">
        <v>141</v>
      </c>
      <c r="O15" s="20" t="s">
        <v>1418</v>
      </c>
      <c r="P15" s="20" t="s">
        <v>481</v>
      </c>
      <c r="Q15" s="20" t="s">
        <v>481</v>
      </c>
      <c r="R15" s="20" t="s">
        <v>481</v>
      </c>
      <c r="S15" s="18" t="s">
        <v>34</v>
      </c>
      <c r="T15" s="155">
        <v>0.01</v>
      </c>
      <c r="U15" s="20" t="s">
        <v>1419</v>
      </c>
      <c r="V15" s="169">
        <v>8.9999999999999993E-3</v>
      </c>
      <c r="W15" s="164">
        <v>4.4999999999999998E-2</v>
      </c>
      <c r="X15" s="18" t="s">
        <v>146</v>
      </c>
      <c r="Y15" s="18" t="s">
        <v>318</v>
      </c>
      <c r="Z15" s="20" t="s">
        <v>1359</v>
      </c>
      <c r="AA15" s="20" t="s">
        <v>1360</v>
      </c>
      <c r="AB15" s="178" t="s">
        <v>1361</v>
      </c>
      <c r="AC15" s="177" t="s">
        <v>1361</v>
      </c>
      <c r="AD15" s="155">
        <v>1792.17</v>
      </c>
      <c r="AE15" s="170">
        <v>1</v>
      </c>
      <c r="AF15" s="171">
        <v>0.82</v>
      </c>
      <c r="AG15" s="155">
        <v>1.4999999999999999E-2</v>
      </c>
      <c r="AH15" s="20"/>
      <c r="AI15" s="20"/>
      <c r="AJ15" s="21" t="s">
        <v>36</v>
      </c>
      <c r="AK15" s="164">
        <v>2.71861052638875E-6</v>
      </c>
      <c r="AL15" s="164">
        <v>5.7507352107884209E-9</v>
      </c>
    </row>
    <row r="16" spans="1:38">
      <c r="A16" s="20">
        <v>424</v>
      </c>
      <c r="B16" s="20">
        <v>7228</v>
      </c>
      <c r="C16" s="20" t="s">
        <v>1420</v>
      </c>
      <c r="D16" s="20" t="s">
        <v>1421</v>
      </c>
      <c r="E16" s="18" t="s">
        <v>134</v>
      </c>
      <c r="F16" s="20" t="s">
        <v>1422</v>
      </c>
      <c r="G16" s="20" t="s">
        <v>1423</v>
      </c>
      <c r="H16" s="20" t="s">
        <v>137</v>
      </c>
      <c r="I16" s="20" t="s">
        <v>138</v>
      </c>
      <c r="J16" s="18" t="s">
        <v>30</v>
      </c>
      <c r="K16" s="18" t="s">
        <v>30</v>
      </c>
      <c r="L16" s="20" t="s">
        <v>498</v>
      </c>
      <c r="M16" s="20" t="s">
        <v>378</v>
      </c>
      <c r="N16" s="20" t="s">
        <v>141</v>
      </c>
      <c r="O16" s="20" t="s">
        <v>1367</v>
      </c>
      <c r="P16" s="20" t="s">
        <v>514</v>
      </c>
      <c r="Q16" s="20" t="s">
        <v>143</v>
      </c>
      <c r="R16" s="20" t="s">
        <v>144</v>
      </c>
      <c r="S16" s="18" t="s">
        <v>34</v>
      </c>
      <c r="T16" s="155">
        <v>0.06</v>
      </c>
      <c r="U16" s="20" t="s">
        <v>1424</v>
      </c>
      <c r="V16" s="169">
        <v>2.8000000000000001E-2</v>
      </c>
      <c r="W16" s="164">
        <v>7.7499999999999999E-2</v>
      </c>
      <c r="X16" s="18" t="s">
        <v>146</v>
      </c>
      <c r="Y16" s="18" t="s">
        <v>141</v>
      </c>
      <c r="Z16" s="20" t="s">
        <v>1392</v>
      </c>
      <c r="AA16" s="20" t="s">
        <v>1393</v>
      </c>
      <c r="AB16" s="178" t="s">
        <v>1394</v>
      </c>
      <c r="AC16" s="177" t="s">
        <v>1401</v>
      </c>
      <c r="AD16" s="155">
        <v>41312.32</v>
      </c>
      <c r="AE16" s="170">
        <v>1</v>
      </c>
      <c r="AF16" s="171">
        <v>148.13999999999999</v>
      </c>
      <c r="AG16" s="155">
        <v>61.2</v>
      </c>
      <c r="AH16" s="20"/>
      <c r="AI16" s="20"/>
      <c r="AJ16" s="21" t="s">
        <v>36</v>
      </c>
      <c r="AK16" s="164">
        <v>1.1321549337389301E-2</v>
      </c>
      <c r="AL16" s="164">
        <v>2.39487163693462E-5</v>
      </c>
    </row>
    <row r="17" spans="1:38">
      <c r="A17" s="20">
        <v>424</v>
      </c>
      <c r="B17" s="20">
        <v>7228</v>
      </c>
      <c r="C17" s="20" t="s">
        <v>1380</v>
      </c>
      <c r="D17" s="20" t="s">
        <v>1381</v>
      </c>
      <c r="E17" s="18" t="s">
        <v>134</v>
      </c>
      <c r="F17" s="20" t="s">
        <v>1382</v>
      </c>
      <c r="G17" s="20" t="s">
        <v>1383</v>
      </c>
      <c r="H17" s="20" t="s">
        <v>137</v>
      </c>
      <c r="I17" s="20" t="s">
        <v>1366</v>
      </c>
      <c r="J17" s="18" t="s">
        <v>30</v>
      </c>
      <c r="K17" s="18" t="s">
        <v>30</v>
      </c>
      <c r="L17" s="20" t="s">
        <v>498</v>
      </c>
      <c r="M17" s="20" t="s">
        <v>162</v>
      </c>
      <c r="N17" s="20" t="s">
        <v>141</v>
      </c>
      <c r="O17" s="20" t="s">
        <v>1384</v>
      </c>
      <c r="P17" s="20" t="s">
        <v>481</v>
      </c>
      <c r="Q17" s="20" t="s">
        <v>481</v>
      </c>
      <c r="R17" s="20" t="s">
        <v>481</v>
      </c>
      <c r="S17" s="18" t="s">
        <v>34</v>
      </c>
      <c r="T17" s="155">
        <v>0.01</v>
      </c>
      <c r="U17" s="20" t="s">
        <v>1385</v>
      </c>
      <c r="V17" s="169">
        <v>1E-4</v>
      </c>
      <c r="W17" s="164">
        <v>0</v>
      </c>
      <c r="X17" s="18" t="s">
        <v>1369</v>
      </c>
      <c r="Y17" s="18" t="s">
        <v>318</v>
      </c>
      <c r="Z17" s="20" t="s">
        <v>1359</v>
      </c>
      <c r="AA17" s="20" t="s">
        <v>1360</v>
      </c>
      <c r="AB17" s="178" t="s">
        <v>1361</v>
      </c>
      <c r="AC17" s="177" t="s">
        <v>1361</v>
      </c>
      <c r="AD17" s="155">
        <v>22175.01</v>
      </c>
      <c r="AE17" s="170">
        <v>1</v>
      </c>
      <c r="AF17" s="171">
        <v>1</v>
      </c>
      <c r="AG17" s="155">
        <v>0.222</v>
      </c>
      <c r="AH17" s="20"/>
      <c r="AI17" s="20"/>
      <c r="AJ17" s="21" t="s">
        <v>36</v>
      </c>
      <c r="AK17" s="164">
        <v>4.10220880945772E-5</v>
      </c>
      <c r="AL17" s="164">
        <v>8.6774903626565094E-8</v>
      </c>
    </row>
    <row r="18" spans="1:38">
      <c r="A18" s="20">
        <v>424</v>
      </c>
      <c r="B18" s="20">
        <v>7228</v>
      </c>
      <c r="C18" s="20" t="s">
        <v>1425</v>
      </c>
      <c r="D18" s="20" t="s">
        <v>1426</v>
      </c>
      <c r="E18" s="18" t="s">
        <v>134</v>
      </c>
      <c r="F18" s="20" t="s">
        <v>1427</v>
      </c>
      <c r="G18" s="20" t="s">
        <v>1428</v>
      </c>
      <c r="H18" s="20" t="s">
        <v>137</v>
      </c>
      <c r="I18" s="20" t="s">
        <v>138</v>
      </c>
      <c r="J18" s="18" t="s">
        <v>30</v>
      </c>
      <c r="K18" s="18" t="s">
        <v>30</v>
      </c>
      <c r="L18" s="20" t="s">
        <v>498</v>
      </c>
      <c r="M18" s="20" t="s">
        <v>162</v>
      </c>
      <c r="N18" s="20" t="s">
        <v>141</v>
      </c>
      <c r="O18" s="20" t="s">
        <v>1384</v>
      </c>
      <c r="P18" s="20" t="s">
        <v>481</v>
      </c>
      <c r="Q18" s="20" t="s">
        <v>481</v>
      </c>
      <c r="R18" s="20" t="s">
        <v>481</v>
      </c>
      <c r="S18" s="18" t="s">
        <v>34</v>
      </c>
      <c r="T18" s="155">
        <v>0.01</v>
      </c>
      <c r="U18" s="20" t="s">
        <v>1429</v>
      </c>
      <c r="V18" s="169">
        <v>1E-4</v>
      </c>
      <c r="W18" s="164">
        <v>5.7500000000000002E-2</v>
      </c>
      <c r="X18" s="18" t="s">
        <v>1369</v>
      </c>
      <c r="Y18" s="18" t="s">
        <v>318</v>
      </c>
      <c r="Z18" s="20" t="s">
        <v>1359</v>
      </c>
      <c r="AA18" s="20" t="s">
        <v>1360</v>
      </c>
      <c r="AB18" s="178" t="s">
        <v>1361</v>
      </c>
      <c r="AC18" s="177" t="s">
        <v>1361</v>
      </c>
      <c r="AD18" s="155">
        <v>683.67</v>
      </c>
      <c r="AE18" s="170">
        <v>1</v>
      </c>
      <c r="AF18" s="171">
        <v>43.1</v>
      </c>
      <c r="AG18" s="155">
        <v>0.29499999999999998</v>
      </c>
      <c r="AH18" s="20"/>
      <c r="AI18" s="20"/>
      <c r="AJ18" s="21" t="s">
        <v>36</v>
      </c>
      <c r="AK18" s="164">
        <v>5.4510194525477301E-5</v>
      </c>
      <c r="AL18" s="164">
        <v>1.15306584728409E-7</v>
      </c>
    </row>
    <row r="19" spans="1:38">
      <c r="A19" s="20">
        <v>424</v>
      </c>
      <c r="B19" s="20">
        <v>7228</v>
      </c>
      <c r="C19" s="20" t="s">
        <v>1425</v>
      </c>
      <c r="D19" s="20" t="s">
        <v>1426</v>
      </c>
      <c r="E19" s="18" t="s">
        <v>134</v>
      </c>
      <c r="F19" s="20" t="s">
        <v>1430</v>
      </c>
      <c r="G19" s="20" t="s">
        <v>1431</v>
      </c>
      <c r="H19" s="20" t="s">
        <v>137</v>
      </c>
      <c r="I19" s="20" t="s">
        <v>1366</v>
      </c>
      <c r="J19" s="18" t="s">
        <v>30</v>
      </c>
      <c r="K19" s="18" t="s">
        <v>30</v>
      </c>
      <c r="L19" s="20" t="s">
        <v>498</v>
      </c>
      <c r="M19" s="20" t="s">
        <v>162</v>
      </c>
      <c r="N19" s="20" t="s">
        <v>141</v>
      </c>
      <c r="O19" s="20" t="s">
        <v>1384</v>
      </c>
      <c r="P19" s="20" t="s">
        <v>481</v>
      </c>
      <c r="Q19" s="20" t="s">
        <v>481</v>
      </c>
      <c r="R19" s="20" t="s">
        <v>481</v>
      </c>
      <c r="S19" s="18" t="s">
        <v>34</v>
      </c>
      <c r="T19" s="155">
        <v>0.01</v>
      </c>
      <c r="U19" s="20" t="s">
        <v>1432</v>
      </c>
      <c r="V19" s="169">
        <v>1E-4</v>
      </c>
      <c r="W19" s="164">
        <v>7.4999999999999997E-2</v>
      </c>
      <c r="X19" s="18" t="s">
        <v>1369</v>
      </c>
      <c r="Y19" s="18" t="s">
        <v>318</v>
      </c>
      <c r="Z19" s="20" t="s">
        <v>1359</v>
      </c>
      <c r="AA19" s="20" t="s">
        <v>1360</v>
      </c>
      <c r="AB19" s="178" t="s">
        <v>1361</v>
      </c>
      <c r="AC19" s="177" t="s">
        <v>1361</v>
      </c>
      <c r="AD19" s="155">
        <v>6593.35</v>
      </c>
      <c r="AE19" s="170">
        <v>1</v>
      </c>
      <c r="AF19" s="171">
        <v>31.9</v>
      </c>
      <c r="AG19" s="155">
        <v>2.1030000000000002</v>
      </c>
      <c r="AH19" s="20"/>
      <c r="AI19" s="20"/>
      <c r="AJ19" s="21" t="s">
        <v>36</v>
      </c>
      <c r="AK19" s="164">
        <v>3.8909061176406798E-4</v>
      </c>
      <c r="AL19" s="164">
        <v>8.23051724231746E-7</v>
      </c>
    </row>
    <row r="20" spans="1:38">
      <c r="A20" s="3">
        <v>424</v>
      </c>
      <c r="B20" s="3">
        <v>7228</v>
      </c>
      <c r="C20" s="3" t="s">
        <v>1425</v>
      </c>
      <c r="D20" s="3" t="s">
        <v>1426</v>
      </c>
      <c r="E20" s="18" t="s">
        <v>134</v>
      </c>
      <c r="F20" s="3" t="s">
        <v>1433</v>
      </c>
      <c r="G20" s="3" t="s">
        <v>1434</v>
      </c>
      <c r="H20" s="20" t="s">
        <v>137</v>
      </c>
      <c r="I20" s="20" t="s">
        <v>138</v>
      </c>
      <c r="J20" s="18" t="s">
        <v>30</v>
      </c>
      <c r="K20" s="18" t="s">
        <v>30</v>
      </c>
      <c r="L20" s="20" t="s">
        <v>498</v>
      </c>
      <c r="M20" s="20" t="s">
        <v>162</v>
      </c>
      <c r="N20" s="20" t="s">
        <v>141</v>
      </c>
      <c r="O20" s="3" t="s">
        <v>1384</v>
      </c>
      <c r="P20" s="3" t="s">
        <v>481</v>
      </c>
      <c r="Q20" s="20" t="s">
        <v>481</v>
      </c>
      <c r="R20" s="20" t="s">
        <v>481</v>
      </c>
      <c r="S20" s="3" t="s">
        <v>34</v>
      </c>
      <c r="T20" s="153">
        <v>0.01</v>
      </c>
      <c r="U20" s="3" t="s">
        <v>1435</v>
      </c>
      <c r="V20" s="164">
        <v>1E-4</v>
      </c>
      <c r="W20" s="164">
        <v>7.4999999999999997E-2</v>
      </c>
      <c r="X20" s="18" t="s">
        <v>1369</v>
      </c>
      <c r="Y20" s="18" t="s">
        <v>318</v>
      </c>
      <c r="Z20" s="3" t="s">
        <v>1359</v>
      </c>
      <c r="AA20" s="20" t="s">
        <v>1360</v>
      </c>
      <c r="AB20" s="178" t="s">
        <v>1361</v>
      </c>
      <c r="AC20" s="178" t="s">
        <v>1361</v>
      </c>
      <c r="AD20" s="153">
        <v>6692.34</v>
      </c>
      <c r="AE20" s="162">
        <v>1</v>
      </c>
      <c r="AF20" s="172">
        <v>33.6</v>
      </c>
      <c r="AG20" s="153">
        <v>2.2490000000000001</v>
      </c>
      <c r="AJ20" s="21" t="s">
        <v>36</v>
      </c>
      <c r="AK20" s="164">
        <v>4.1597881448106599E-4</v>
      </c>
      <c r="AL20" s="164">
        <v>8.7992891668669099E-7</v>
      </c>
    </row>
    <row r="21" spans="1:38">
      <c r="A21" s="3">
        <v>424</v>
      </c>
      <c r="B21" s="3">
        <v>7228</v>
      </c>
      <c r="C21" s="3" t="s">
        <v>1436</v>
      </c>
      <c r="D21" s="3" t="s">
        <v>1437</v>
      </c>
      <c r="E21" s="5" t="s">
        <v>134</v>
      </c>
      <c r="F21" s="3" t="s">
        <v>1438</v>
      </c>
      <c r="G21" s="3" t="s">
        <v>1439</v>
      </c>
      <c r="H21" s="3" t="s">
        <v>33</v>
      </c>
      <c r="I21" s="3" t="s">
        <v>138</v>
      </c>
      <c r="J21" s="3" t="s">
        <v>30</v>
      </c>
      <c r="K21" s="3" t="s">
        <v>30</v>
      </c>
      <c r="L21" s="39" t="s">
        <v>498</v>
      </c>
      <c r="M21" s="3" t="s">
        <v>162</v>
      </c>
      <c r="N21" s="3" t="s">
        <v>141</v>
      </c>
      <c r="O21" s="3" t="s">
        <v>1440</v>
      </c>
      <c r="P21" s="3" t="s">
        <v>481</v>
      </c>
      <c r="Q21" s="3" t="s">
        <v>481</v>
      </c>
      <c r="R21" s="3" t="s">
        <v>481</v>
      </c>
      <c r="S21" s="3" t="s">
        <v>34</v>
      </c>
      <c r="T21" s="153">
        <v>0.01</v>
      </c>
      <c r="U21" s="3" t="s">
        <v>1441</v>
      </c>
      <c r="V21" s="164">
        <v>0</v>
      </c>
      <c r="W21" s="164">
        <v>0.06</v>
      </c>
      <c r="X21" s="42" t="s">
        <v>146</v>
      </c>
      <c r="Y21" s="5" t="s">
        <v>318</v>
      </c>
      <c r="Z21" s="3" t="s">
        <v>1359</v>
      </c>
      <c r="AA21" s="3" t="s">
        <v>1360</v>
      </c>
      <c r="AB21" s="178" t="s">
        <v>1361</v>
      </c>
      <c r="AC21" s="178" t="s">
        <v>1361</v>
      </c>
      <c r="AD21" s="153">
        <v>2301.19</v>
      </c>
      <c r="AE21" s="162">
        <v>1</v>
      </c>
      <c r="AF21" s="172">
        <v>0</v>
      </c>
      <c r="AG21" s="153">
        <v>0</v>
      </c>
      <c r="AJ21" s="3" t="s">
        <v>36</v>
      </c>
      <c r="AK21" s="164">
        <v>4.2570271175688299E-10</v>
      </c>
      <c r="AL21" s="164">
        <v>9.0049808535110196E-13</v>
      </c>
    </row>
    <row r="22" spans="1:38">
      <c r="A22" s="3">
        <v>424</v>
      </c>
      <c r="B22" s="3">
        <v>7228</v>
      </c>
      <c r="C22" s="3" t="s">
        <v>1436</v>
      </c>
      <c r="D22" s="3" t="s">
        <v>1437</v>
      </c>
      <c r="E22" s="5" t="s">
        <v>134</v>
      </c>
      <c r="F22" s="3" t="s">
        <v>1442</v>
      </c>
      <c r="G22" s="3" t="s">
        <v>1443</v>
      </c>
      <c r="H22" s="3" t="s">
        <v>137</v>
      </c>
      <c r="I22" s="3" t="s">
        <v>138</v>
      </c>
      <c r="J22" s="3" t="s">
        <v>30</v>
      </c>
      <c r="K22" s="3" t="s">
        <v>30</v>
      </c>
      <c r="L22" s="3" t="s">
        <v>498</v>
      </c>
      <c r="M22" s="3" t="s">
        <v>162</v>
      </c>
      <c r="N22" s="3" t="s">
        <v>141</v>
      </c>
      <c r="O22" s="3" t="s">
        <v>1444</v>
      </c>
      <c r="P22" s="3" t="s">
        <v>481</v>
      </c>
      <c r="Q22" s="3" t="s">
        <v>481</v>
      </c>
      <c r="R22" s="3" t="s">
        <v>481</v>
      </c>
      <c r="S22" s="3" t="s">
        <v>34</v>
      </c>
      <c r="T22" s="153">
        <v>0.01</v>
      </c>
      <c r="U22" s="3" t="s">
        <v>1441</v>
      </c>
      <c r="V22" s="164">
        <v>0</v>
      </c>
      <c r="W22" s="164">
        <v>0.06</v>
      </c>
      <c r="X22" s="5" t="s">
        <v>146</v>
      </c>
      <c r="Y22" s="5" t="s">
        <v>318</v>
      </c>
      <c r="Z22" s="3" t="s">
        <v>1359</v>
      </c>
      <c r="AA22" s="3" t="s">
        <v>1360</v>
      </c>
      <c r="AB22" s="178" t="s">
        <v>1361</v>
      </c>
      <c r="AC22" s="178" t="s">
        <v>1361</v>
      </c>
      <c r="AD22" s="153">
        <v>13807.08</v>
      </c>
      <c r="AE22" s="162">
        <v>1</v>
      </c>
      <c r="AF22" s="172">
        <v>0</v>
      </c>
      <c r="AG22" s="153">
        <v>0</v>
      </c>
      <c r="AJ22" s="3" t="s">
        <v>36</v>
      </c>
      <c r="AK22" s="164">
        <v>2.5542051709959803E-9</v>
      </c>
      <c r="AL22" s="164">
        <v>5.4029650330000994E-12</v>
      </c>
    </row>
    <row r="23" spans="1:38">
      <c r="A23" s="3">
        <v>424</v>
      </c>
      <c r="B23" s="3">
        <v>7228</v>
      </c>
      <c r="C23" s="3" t="s">
        <v>1386</v>
      </c>
      <c r="D23" s="3" t="s">
        <v>1387</v>
      </c>
      <c r="E23" s="5" t="s">
        <v>134</v>
      </c>
      <c r="F23" s="3" t="s">
        <v>1388</v>
      </c>
      <c r="G23" s="3" t="s">
        <v>1389</v>
      </c>
      <c r="H23" s="3" t="s">
        <v>137</v>
      </c>
      <c r="I23" s="3" t="s">
        <v>156</v>
      </c>
      <c r="J23" s="3" t="s">
        <v>30</v>
      </c>
      <c r="K23" s="3" t="s">
        <v>30</v>
      </c>
      <c r="L23" s="3" t="s">
        <v>498</v>
      </c>
      <c r="M23" s="3" t="s">
        <v>465</v>
      </c>
      <c r="N23" s="3" t="s">
        <v>141</v>
      </c>
      <c r="O23" s="3" t="s">
        <v>1390</v>
      </c>
      <c r="P23" s="3" t="s">
        <v>163</v>
      </c>
      <c r="Q23" s="3" t="s">
        <v>164</v>
      </c>
      <c r="R23" s="3" t="s">
        <v>144</v>
      </c>
      <c r="S23" s="3" t="s">
        <v>34</v>
      </c>
      <c r="T23" s="153">
        <v>5.21</v>
      </c>
      <c r="U23" s="3" t="s">
        <v>1391</v>
      </c>
      <c r="V23" s="164">
        <v>4.2299999999999997E-2</v>
      </c>
      <c r="W23" s="164">
        <v>3.9800000000000002E-2</v>
      </c>
      <c r="X23" s="5" t="s">
        <v>146</v>
      </c>
      <c r="Y23" s="5" t="s">
        <v>141</v>
      </c>
      <c r="Z23" s="3" t="s">
        <v>1392</v>
      </c>
      <c r="AA23" s="3" t="s">
        <v>1393</v>
      </c>
      <c r="AB23" s="178" t="s">
        <v>1394</v>
      </c>
      <c r="AC23" s="178" t="s">
        <v>1394</v>
      </c>
      <c r="AD23" s="153">
        <v>1250000</v>
      </c>
      <c r="AE23" s="162">
        <v>1</v>
      </c>
      <c r="AF23" s="172">
        <v>100.96</v>
      </c>
      <c r="AG23" s="153">
        <v>1262</v>
      </c>
      <c r="AJ23" s="3" t="s">
        <v>36</v>
      </c>
      <c r="AK23" s="164">
        <v>0.23346043665980901</v>
      </c>
      <c r="AL23" s="164">
        <v>4.9384387369712603E-4</v>
      </c>
    </row>
    <row r="24" spans="1:38">
      <c r="A24" s="3">
        <v>424</v>
      </c>
      <c r="B24" s="3">
        <v>7228</v>
      </c>
      <c r="C24" s="3" t="s">
        <v>1445</v>
      </c>
      <c r="D24" s="3" t="s">
        <v>1446</v>
      </c>
      <c r="E24" s="5" t="s">
        <v>134</v>
      </c>
      <c r="F24" s="3" t="s">
        <v>1447</v>
      </c>
      <c r="G24" s="3" t="s">
        <v>1448</v>
      </c>
      <c r="H24" s="3" t="s">
        <v>137</v>
      </c>
      <c r="I24" s="3" t="s">
        <v>565</v>
      </c>
      <c r="J24" s="3" t="s">
        <v>30</v>
      </c>
      <c r="K24" s="3" t="s">
        <v>30</v>
      </c>
      <c r="L24" s="3" t="s">
        <v>1449</v>
      </c>
      <c r="M24" s="3" t="s">
        <v>1450</v>
      </c>
      <c r="N24" s="3" t="s">
        <v>141</v>
      </c>
      <c r="O24" s="3" t="s">
        <v>1367</v>
      </c>
      <c r="P24" s="3" t="s">
        <v>514</v>
      </c>
      <c r="Q24" s="3" t="s">
        <v>143</v>
      </c>
      <c r="R24" s="3" t="s">
        <v>144</v>
      </c>
      <c r="S24" s="3" t="s">
        <v>664</v>
      </c>
      <c r="T24" s="153">
        <v>0.99</v>
      </c>
      <c r="U24" s="3" t="s">
        <v>1451</v>
      </c>
      <c r="V24" s="164">
        <v>4.58E-2</v>
      </c>
      <c r="W24" s="164">
        <v>7.9699999999999993E-2</v>
      </c>
      <c r="X24" s="5" t="s">
        <v>146</v>
      </c>
      <c r="Y24" s="5" t="s">
        <v>141</v>
      </c>
      <c r="Z24" s="3" t="s">
        <v>1392</v>
      </c>
      <c r="AA24" s="3" t="s">
        <v>1393</v>
      </c>
      <c r="AB24" s="178" t="s">
        <v>1394</v>
      </c>
      <c r="AC24" s="178" t="s">
        <v>1401</v>
      </c>
      <c r="AD24" s="153">
        <v>43875.78</v>
      </c>
      <c r="AE24" s="162">
        <v>3.306</v>
      </c>
      <c r="AF24" s="172">
        <v>105.33</v>
      </c>
      <c r="AG24" s="153">
        <v>152.785</v>
      </c>
      <c r="AJ24" s="3" t="s">
        <v>36</v>
      </c>
      <c r="AK24" s="164">
        <v>2.82640063626108E-2</v>
      </c>
      <c r="AL24" s="164">
        <v>5.9787459442865102E-5</v>
      </c>
    </row>
    <row r="25" spans="1:38">
      <c r="A25" s="3">
        <v>424</v>
      </c>
      <c r="B25" s="3">
        <v>7228</v>
      </c>
      <c r="C25" s="3" t="s">
        <v>1452</v>
      </c>
      <c r="D25" s="3" t="s">
        <v>1453</v>
      </c>
      <c r="E25" s="5" t="s">
        <v>134</v>
      </c>
      <c r="F25" s="3" t="s">
        <v>1454</v>
      </c>
      <c r="G25" s="3" t="s">
        <v>1455</v>
      </c>
      <c r="H25" s="3" t="s">
        <v>137</v>
      </c>
      <c r="I25" s="3" t="s">
        <v>138</v>
      </c>
      <c r="J25" s="3" t="s">
        <v>30</v>
      </c>
      <c r="K25" s="3" t="s">
        <v>30</v>
      </c>
      <c r="L25" s="3" t="s">
        <v>498</v>
      </c>
      <c r="M25" s="3" t="s">
        <v>186</v>
      </c>
      <c r="N25" s="3" t="s">
        <v>141</v>
      </c>
      <c r="O25" s="3" t="s">
        <v>1384</v>
      </c>
      <c r="P25" s="3" t="s">
        <v>481</v>
      </c>
      <c r="Q25" s="3" t="s">
        <v>481</v>
      </c>
      <c r="R25" s="3" t="s">
        <v>481</v>
      </c>
      <c r="S25" s="3" t="s">
        <v>34</v>
      </c>
      <c r="T25" s="153">
        <v>0</v>
      </c>
      <c r="U25" s="3" t="s">
        <v>1456</v>
      </c>
      <c r="V25" s="164">
        <v>1E-4</v>
      </c>
      <c r="W25" s="164">
        <v>7.0000000000000007E-2</v>
      </c>
      <c r="X25" s="5" t="s">
        <v>1369</v>
      </c>
      <c r="Y25" s="5" t="s">
        <v>318</v>
      </c>
      <c r="Z25" s="3" t="s">
        <v>1359</v>
      </c>
      <c r="AA25" s="3" t="s">
        <v>1360</v>
      </c>
      <c r="AB25" s="178" t="s">
        <v>1361</v>
      </c>
      <c r="AC25" s="178" t="s">
        <v>1361</v>
      </c>
      <c r="AD25" s="153">
        <v>120350</v>
      </c>
      <c r="AE25" s="162">
        <v>1</v>
      </c>
      <c r="AF25" s="172">
        <v>0</v>
      </c>
      <c r="AG25" s="153">
        <v>0</v>
      </c>
      <c r="AJ25" s="3" t="s">
        <v>36</v>
      </c>
      <c r="AK25" s="164">
        <v>2.2263837996836801E-10</v>
      </c>
      <c r="AL25" s="164">
        <v>4.7095174484508103E-13</v>
      </c>
    </row>
    <row r="26" spans="1:38">
      <c r="A26" s="3">
        <v>424</v>
      </c>
      <c r="B26" s="3">
        <v>7228</v>
      </c>
      <c r="C26" s="3" t="s">
        <v>1395</v>
      </c>
      <c r="D26" s="3" t="s">
        <v>1396</v>
      </c>
      <c r="E26" s="5" t="s">
        <v>134</v>
      </c>
      <c r="F26" s="3" t="s">
        <v>1397</v>
      </c>
      <c r="G26" s="3" t="s">
        <v>1398</v>
      </c>
      <c r="H26" s="3" t="s">
        <v>137</v>
      </c>
      <c r="I26" s="3" t="s">
        <v>156</v>
      </c>
      <c r="J26" s="3" t="s">
        <v>30</v>
      </c>
      <c r="K26" s="3" t="s">
        <v>30</v>
      </c>
      <c r="L26" s="5" t="s">
        <v>498</v>
      </c>
      <c r="M26" s="3" t="s">
        <v>378</v>
      </c>
      <c r="N26" s="3" t="s">
        <v>141</v>
      </c>
      <c r="O26" s="3" t="s">
        <v>1399</v>
      </c>
      <c r="P26" s="3" t="s">
        <v>481</v>
      </c>
      <c r="Q26" s="3" t="s">
        <v>481</v>
      </c>
      <c r="R26" s="3" t="s">
        <v>481</v>
      </c>
      <c r="S26" s="3" t="s">
        <v>34</v>
      </c>
      <c r="T26" s="153">
        <v>1.1439999999999999</v>
      </c>
      <c r="U26" s="3" t="s">
        <v>1400</v>
      </c>
      <c r="V26" s="164">
        <v>9.0810000000000002E-2</v>
      </c>
      <c r="W26" s="164">
        <v>0</v>
      </c>
      <c r="X26" s="5" t="s">
        <v>146</v>
      </c>
      <c r="Y26" s="5" t="s">
        <v>141</v>
      </c>
      <c r="Z26" s="3" t="s">
        <v>1392</v>
      </c>
      <c r="AA26" s="3" t="s">
        <v>1393</v>
      </c>
      <c r="AB26" s="178" t="s">
        <v>1394</v>
      </c>
      <c r="AC26" s="178" t="s">
        <v>1401</v>
      </c>
      <c r="AD26" s="153">
        <v>3875000</v>
      </c>
      <c r="AE26" s="162">
        <v>1</v>
      </c>
      <c r="AF26" s="172">
        <v>101.23</v>
      </c>
      <c r="AG26" s="153">
        <v>3922.6619999999998</v>
      </c>
      <c r="AJ26" s="3" t="s">
        <v>36</v>
      </c>
      <c r="AK26" s="164">
        <v>0.725662836861378</v>
      </c>
      <c r="AL26" s="164">
        <v>1.5350101776596299E-3</v>
      </c>
    </row>
    <row r="27" spans="1:38">
      <c r="A27" s="3">
        <v>424</v>
      </c>
      <c r="B27" s="3">
        <v>7228</v>
      </c>
      <c r="C27" s="3" t="s">
        <v>1402</v>
      </c>
      <c r="D27" s="3" t="s">
        <v>1403</v>
      </c>
      <c r="E27" s="5" t="s">
        <v>134</v>
      </c>
      <c r="F27" s="3" t="s">
        <v>1404</v>
      </c>
      <c r="G27" s="3" t="s">
        <v>1405</v>
      </c>
      <c r="H27" s="3" t="s">
        <v>137</v>
      </c>
      <c r="I27" s="3" t="s">
        <v>138</v>
      </c>
      <c r="J27" s="3" t="s">
        <v>30</v>
      </c>
      <c r="K27" s="3" t="s">
        <v>30</v>
      </c>
      <c r="L27" s="5" t="s">
        <v>498</v>
      </c>
      <c r="M27" s="3" t="s">
        <v>199</v>
      </c>
      <c r="N27" s="3" t="s">
        <v>141</v>
      </c>
      <c r="O27" s="3" t="s">
        <v>1406</v>
      </c>
      <c r="P27" s="3" t="s">
        <v>481</v>
      </c>
      <c r="Q27" s="3" t="s">
        <v>481</v>
      </c>
      <c r="R27" s="3" t="s">
        <v>481</v>
      </c>
      <c r="S27" s="3" t="s">
        <v>34</v>
      </c>
      <c r="T27" s="153">
        <v>0.01</v>
      </c>
      <c r="U27" s="3" t="s">
        <v>1407</v>
      </c>
      <c r="V27" s="164">
        <v>0</v>
      </c>
      <c r="W27" s="164">
        <v>0</v>
      </c>
      <c r="X27" s="5" t="s">
        <v>146</v>
      </c>
      <c r="Y27" s="5" t="s">
        <v>318</v>
      </c>
      <c r="Z27" s="3" t="s">
        <v>1359</v>
      </c>
      <c r="AA27" s="3" t="s">
        <v>1360</v>
      </c>
      <c r="AB27" s="178" t="s">
        <v>1361</v>
      </c>
      <c r="AC27" s="178" t="s">
        <v>1361</v>
      </c>
      <c r="AD27" s="153">
        <v>9612.14</v>
      </c>
      <c r="AE27" s="162">
        <v>1</v>
      </c>
      <c r="AF27" s="172">
        <v>0.01</v>
      </c>
      <c r="AG27" s="153">
        <v>1E-3</v>
      </c>
      <c r="AJ27" s="3" t="s">
        <v>36</v>
      </c>
      <c r="AK27" s="164">
        <v>1.77817305993282E-7</v>
      </c>
      <c r="AL27" s="164">
        <v>3.7614076482718703E-10</v>
      </c>
    </row>
    <row r="28" spans="1:38">
      <c r="A28" s="3">
        <v>424</v>
      </c>
      <c r="B28" s="3">
        <v>7229</v>
      </c>
      <c r="C28" s="3" t="s">
        <v>1457</v>
      </c>
      <c r="D28" s="3" t="s">
        <v>1458</v>
      </c>
      <c r="E28" s="5" t="s">
        <v>492</v>
      </c>
      <c r="F28" s="3" t="s">
        <v>1459</v>
      </c>
      <c r="G28" s="3" t="s">
        <v>1460</v>
      </c>
      <c r="H28" s="3" t="s">
        <v>33</v>
      </c>
      <c r="I28" s="3" t="s">
        <v>138</v>
      </c>
      <c r="J28" s="3" t="s">
        <v>30</v>
      </c>
      <c r="K28" s="3" t="s">
        <v>30</v>
      </c>
      <c r="L28" s="5" t="s">
        <v>498</v>
      </c>
      <c r="M28" s="3" t="s">
        <v>199</v>
      </c>
      <c r="N28" s="3" t="s">
        <v>141</v>
      </c>
      <c r="O28" s="3" t="s">
        <v>1461</v>
      </c>
      <c r="P28" s="3" t="s">
        <v>1374</v>
      </c>
      <c r="Q28" s="3" t="s">
        <v>164</v>
      </c>
      <c r="R28" s="3" t="s">
        <v>144</v>
      </c>
      <c r="S28" s="3" t="s">
        <v>34</v>
      </c>
      <c r="T28" s="153">
        <v>0.01</v>
      </c>
      <c r="U28" s="3" t="s">
        <v>1462</v>
      </c>
      <c r="V28" s="164">
        <v>1E-4</v>
      </c>
      <c r="W28" s="164">
        <v>6.6000000000000003E-2</v>
      </c>
      <c r="X28" s="5" t="s">
        <v>146</v>
      </c>
      <c r="Y28" s="5" t="s">
        <v>318</v>
      </c>
      <c r="Z28" s="3" t="s">
        <v>1359</v>
      </c>
      <c r="AA28" s="3" t="s">
        <v>1360</v>
      </c>
      <c r="AB28" s="178" t="s">
        <v>1361</v>
      </c>
      <c r="AC28" s="178" t="s">
        <v>1361</v>
      </c>
      <c r="AD28" s="153">
        <v>750</v>
      </c>
      <c r="AE28" s="162">
        <v>1</v>
      </c>
      <c r="AF28" s="172">
        <v>3.33</v>
      </c>
      <c r="AG28" s="153">
        <v>2.5000000000000001E-2</v>
      </c>
      <c r="AJ28" s="3" t="s">
        <v>36</v>
      </c>
      <c r="AK28" s="164">
        <v>3.08539035546507E-5</v>
      </c>
      <c r="AL28" s="164">
        <v>1.64599796210468E-7</v>
      </c>
    </row>
    <row r="29" spans="1:38">
      <c r="A29" s="3">
        <v>424</v>
      </c>
      <c r="B29" s="3">
        <v>7229</v>
      </c>
      <c r="C29" s="3" t="s">
        <v>1386</v>
      </c>
      <c r="D29" s="3" t="s">
        <v>1387</v>
      </c>
      <c r="E29" s="5" t="s">
        <v>134</v>
      </c>
      <c r="F29" s="3" t="s">
        <v>1388</v>
      </c>
      <c r="G29" s="3" t="s">
        <v>1389</v>
      </c>
      <c r="H29" s="3" t="s">
        <v>137</v>
      </c>
      <c r="I29" s="3" t="s">
        <v>156</v>
      </c>
      <c r="J29" s="3" t="s">
        <v>30</v>
      </c>
      <c r="K29" s="3" t="s">
        <v>30</v>
      </c>
      <c r="L29" s="5" t="s">
        <v>498</v>
      </c>
      <c r="M29" s="3" t="s">
        <v>465</v>
      </c>
      <c r="N29" s="3" t="s">
        <v>141</v>
      </c>
      <c r="O29" s="3" t="s">
        <v>1390</v>
      </c>
      <c r="P29" s="3" t="s">
        <v>163</v>
      </c>
      <c r="Q29" s="3" t="s">
        <v>164</v>
      </c>
      <c r="R29" s="3" t="s">
        <v>144</v>
      </c>
      <c r="S29" s="3" t="s">
        <v>34</v>
      </c>
      <c r="T29" s="153">
        <v>5.21</v>
      </c>
      <c r="U29" s="3" t="s">
        <v>1391</v>
      </c>
      <c r="V29" s="164">
        <v>4.2299999999999997E-2</v>
      </c>
      <c r="W29" s="164">
        <v>3.9800000000000002E-2</v>
      </c>
      <c r="X29" s="5" t="s">
        <v>146</v>
      </c>
      <c r="Y29" s="5" t="s">
        <v>141</v>
      </c>
      <c r="Z29" s="3" t="s">
        <v>1392</v>
      </c>
      <c r="AA29" s="3" t="s">
        <v>1393</v>
      </c>
      <c r="AB29" s="178" t="s">
        <v>1394</v>
      </c>
      <c r="AC29" s="178" t="s">
        <v>1394</v>
      </c>
      <c r="AD29" s="153">
        <v>150000</v>
      </c>
      <c r="AE29" s="162">
        <v>1</v>
      </c>
      <c r="AF29" s="172">
        <v>100.96</v>
      </c>
      <c r="AG29" s="153">
        <v>151.44</v>
      </c>
      <c r="AJ29" s="3" t="s">
        <v>36</v>
      </c>
      <c r="AK29" s="164">
        <v>0.18708769386651899</v>
      </c>
      <c r="AL29" s="164">
        <v>9.9807780332786104E-4</v>
      </c>
    </row>
    <row r="30" spans="1:38">
      <c r="A30" s="3">
        <v>424</v>
      </c>
      <c r="B30" s="3">
        <v>7229</v>
      </c>
      <c r="C30" s="3" t="s">
        <v>1395</v>
      </c>
      <c r="D30" s="3" t="s">
        <v>1396</v>
      </c>
      <c r="E30" s="5" t="s">
        <v>134</v>
      </c>
      <c r="F30" s="3" t="s">
        <v>1397</v>
      </c>
      <c r="G30" s="3" t="s">
        <v>1398</v>
      </c>
      <c r="H30" s="3" t="s">
        <v>137</v>
      </c>
      <c r="I30" s="3" t="s">
        <v>156</v>
      </c>
      <c r="J30" s="3" t="s">
        <v>30</v>
      </c>
      <c r="K30" s="3" t="s">
        <v>30</v>
      </c>
      <c r="L30" s="5" t="s">
        <v>498</v>
      </c>
      <c r="M30" s="3" t="s">
        <v>378</v>
      </c>
      <c r="N30" s="3" t="s">
        <v>141</v>
      </c>
      <c r="O30" s="3" t="s">
        <v>1399</v>
      </c>
      <c r="P30" s="3" t="s">
        <v>481</v>
      </c>
      <c r="Q30" s="3" t="s">
        <v>481</v>
      </c>
      <c r="R30" s="3" t="s">
        <v>481</v>
      </c>
      <c r="S30" s="3" t="s">
        <v>34</v>
      </c>
      <c r="T30" s="153">
        <v>1.1439999999999999</v>
      </c>
      <c r="U30" s="3" t="s">
        <v>1400</v>
      </c>
      <c r="V30" s="164">
        <v>9.0810000000000002E-2</v>
      </c>
      <c r="W30" s="164">
        <v>0</v>
      </c>
      <c r="X30" s="5" t="s">
        <v>146</v>
      </c>
      <c r="Y30" s="5" t="s">
        <v>141</v>
      </c>
      <c r="Z30" s="3" t="s">
        <v>1392</v>
      </c>
      <c r="AA30" s="3" t="s">
        <v>1393</v>
      </c>
      <c r="AB30" s="178" t="s">
        <v>1394</v>
      </c>
      <c r="AC30" s="178" t="s">
        <v>1401</v>
      </c>
      <c r="AD30" s="153">
        <v>650000</v>
      </c>
      <c r="AE30" s="162">
        <v>1</v>
      </c>
      <c r="AF30" s="172">
        <v>101.23</v>
      </c>
      <c r="AG30" s="153">
        <v>657.995</v>
      </c>
      <c r="AJ30" s="3" t="s">
        <v>36</v>
      </c>
      <c r="AK30" s="164">
        <v>0.81288145222992603</v>
      </c>
      <c r="AL30" s="164">
        <v>4.3365702865868702E-3</v>
      </c>
    </row>
    <row r="31" spans="1:38">
      <c r="A31" s="3">
        <v>969</v>
      </c>
      <c r="B31" s="3">
        <v>969</v>
      </c>
      <c r="C31" s="3" t="s">
        <v>1354</v>
      </c>
      <c r="D31" s="3" t="s">
        <v>1355</v>
      </c>
      <c r="E31" s="5" t="s">
        <v>134</v>
      </c>
      <c r="F31" s="3" t="s">
        <v>1356</v>
      </c>
      <c r="G31" s="3" t="s">
        <v>1357</v>
      </c>
      <c r="H31" s="3" t="s">
        <v>137</v>
      </c>
      <c r="I31" s="3" t="s">
        <v>138</v>
      </c>
      <c r="J31" s="3" t="s">
        <v>30</v>
      </c>
      <c r="K31" s="3" t="s">
        <v>30</v>
      </c>
      <c r="L31" s="5" t="s">
        <v>498</v>
      </c>
      <c r="M31" s="3" t="s">
        <v>162</v>
      </c>
      <c r="N31" s="3" t="s">
        <v>141</v>
      </c>
      <c r="O31" s="3" t="s">
        <v>1378</v>
      </c>
      <c r="P31" s="3" t="s">
        <v>481</v>
      </c>
      <c r="Q31" s="3" t="s">
        <v>481</v>
      </c>
      <c r="R31" s="3" t="s">
        <v>481</v>
      </c>
      <c r="S31" s="3" t="s">
        <v>34</v>
      </c>
      <c r="T31" s="153">
        <v>0.01</v>
      </c>
      <c r="U31" s="3" t="s">
        <v>1358</v>
      </c>
      <c r="V31" s="164">
        <v>0</v>
      </c>
      <c r="W31" s="164">
        <v>5.1499999999999997E-2</v>
      </c>
      <c r="X31" s="5" t="s">
        <v>146</v>
      </c>
      <c r="Y31" s="5" t="s">
        <v>318</v>
      </c>
      <c r="Z31" s="3" t="s">
        <v>1359</v>
      </c>
      <c r="AA31" s="3" t="s">
        <v>1360</v>
      </c>
      <c r="AB31" s="178" t="s">
        <v>1361</v>
      </c>
      <c r="AC31" s="178" t="s">
        <v>1361</v>
      </c>
      <c r="AD31" s="153">
        <v>5145</v>
      </c>
      <c r="AE31" s="162">
        <v>1</v>
      </c>
      <c r="AF31" s="172">
        <v>0</v>
      </c>
      <c r="AG31" s="153">
        <v>0</v>
      </c>
      <c r="AJ31" s="3" t="s">
        <v>36</v>
      </c>
      <c r="AK31" s="164">
        <v>7.2613421810248604E-8</v>
      </c>
      <c r="AL31" s="164">
        <v>6.7778961490053795E-11</v>
      </c>
    </row>
    <row r="32" spans="1:38">
      <c r="A32" s="3">
        <v>969</v>
      </c>
      <c r="B32" s="3">
        <v>969</v>
      </c>
      <c r="C32" s="3" t="s">
        <v>1362</v>
      </c>
      <c r="D32" s="3" t="s">
        <v>1363</v>
      </c>
      <c r="E32" s="5" t="s">
        <v>134</v>
      </c>
      <c r="F32" s="3" t="s">
        <v>1364</v>
      </c>
      <c r="G32" s="3" t="s">
        <v>1365</v>
      </c>
      <c r="H32" s="3" t="s">
        <v>137</v>
      </c>
      <c r="I32" s="3" t="s">
        <v>1366</v>
      </c>
      <c r="J32" s="3" t="s">
        <v>30</v>
      </c>
      <c r="K32" s="3" t="s">
        <v>30</v>
      </c>
      <c r="L32" s="5" t="s">
        <v>498</v>
      </c>
      <c r="M32" s="3" t="s">
        <v>162</v>
      </c>
      <c r="N32" s="3" t="s">
        <v>141</v>
      </c>
      <c r="O32" s="3" t="s">
        <v>1367</v>
      </c>
      <c r="P32" s="3" t="s">
        <v>481</v>
      </c>
      <c r="Q32" s="3" t="s">
        <v>481</v>
      </c>
      <c r="R32" s="3" t="s">
        <v>481</v>
      </c>
      <c r="S32" s="3" t="s">
        <v>34</v>
      </c>
      <c r="T32" s="153">
        <v>0.01</v>
      </c>
      <c r="U32" s="3" t="s">
        <v>1368</v>
      </c>
      <c r="V32" s="164">
        <v>0</v>
      </c>
      <c r="W32" s="164">
        <v>5.7000000000000002E-2</v>
      </c>
      <c r="X32" s="5" t="s">
        <v>1369</v>
      </c>
      <c r="Y32" s="5" t="s">
        <v>318</v>
      </c>
      <c r="Z32" s="3" t="s">
        <v>1359</v>
      </c>
      <c r="AA32" s="3" t="s">
        <v>1360</v>
      </c>
      <c r="AB32" s="178" t="s">
        <v>1361</v>
      </c>
      <c r="AC32" s="178" t="s">
        <v>1361</v>
      </c>
      <c r="AD32" s="153">
        <v>1200.01</v>
      </c>
      <c r="AE32" s="162">
        <v>1</v>
      </c>
      <c r="AF32" s="172">
        <v>0.01</v>
      </c>
      <c r="AG32" s="153">
        <v>0</v>
      </c>
      <c r="AJ32" s="3" t="s">
        <v>36</v>
      </c>
      <c r="AK32" s="164">
        <v>1.69362161917427E-6</v>
      </c>
      <c r="AL32" s="164">
        <v>1.5808635875156401E-9</v>
      </c>
    </row>
    <row r="33" spans="1:38">
      <c r="A33" s="3">
        <v>969</v>
      </c>
      <c r="B33" s="3">
        <v>969</v>
      </c>
      <c r="C33" s="3" t="s">
        <v>1362</v>
      </c>
      <c r="D33" s="3" t="s">
        <v>1363</v>
      </c>
      <c r="E33" s="5" t="s">
        <v>134</v>
      </c>
      <c r="F33" s="3" t="s">
        <v>1463</v>
      </c>
      <c r="G33" s="3" t="s">
        <v>1464</v>
      </c>
      <c r="H33" s="3" t="s">
        <v>137</v>
      </c>
      <c r="I33" s="3" t="s">
        <v>138</v>
      </c>
      <c r="J33" s="3" t="s">
        <v>30</v>
      </c>
      <c r="K33" s="3" t="s">
        <v>30</v>
      </c>
      <c r="L33" s="5" t="s">
        <v>498</v>
      </c>
      <c r="M33" s="3" t="s">
        <v>162</v>
      </c>
      <c r="N33" s="3" t="s">
        <v>141</v>
      </c>
      <c r="O33" s="3" t="s">
        <v>1465</v>
      </c>
      <c r="P33" s="3" t="s">
        <v>481</v>
      </c>
      <c r="Q33" s="3" t="s">
        <v>481</v>
      </c>
      <c r="R33" s="3" t="s">
        <v>481</v>
      </c>
      <c r="S33" s="3" t="s">
        <v>34</v>
      </c>
      <c r="T33" s="153">
        <v>0.01</v>
      </c>
      <c r="U33" s="3" t="s">
        <v>1466</v>
      </c>
      <c r="V33" s="164">
        <v>4.4999999999999997E-3</v>
      </c>
      <c r="W33" s="164">
        <v>5.8999999999999997E-2</v>
      </c>
      <c r="X33" s="5" t="s">
        <v>1369</v>
      </c>
      <c r="Y33" s="5" t="s">
        <v>318</v>
      </c>
      <c r="Z33" s="3" t="s">
        <v>1359</v>
      </c>
      <c r="AA33" s="3" t="s">
        <v>1360</v>
      </c>
      <c r="AB33" s="178" t="s">
        <v>1361</v>
      </c>
      <c r="AC33" s="178" t="s">
        <v>1361</v>
      </c>
      <c r="AD33" s="153">
        <v>1300</v>
      </c>
      <c r="AE33" s="162">
        <v>1</v>
      </c>
      <c r="AF33" s="172">
        <v>0.01</v>
      </c>
      <c r="AG33" s="153">
        <v>0</v>
      </c>
      <c r="AJ33" s="3" t="s">
        <v>36</v>
      </c>
      <c r="AK33" s="164">
        <v>1.83474146459326E-6</v>
      </c>
      <c r="AL33" s="164">
        <v>1.7125879482423702E-9</v>
      </c>
    </row>
    <row r="34" spans="1:38">
      <c r="A34" s="3">
        <v>969</v>
      </c>
      <c r="B34" s="3">
        <v>969</v>
      </c>
      <c r="C34" s="3" t="s">
        <v>1457</v>
      </c>
      <c r="D34" s="3" t="s">
        <v>1458</v>
      </c>
      <c r="E34" s="5" t="s">
        <v>492</v>
      </c>
      <c r="F34" s="3" t="s">
        <v>1459</v>
      </c>
      <c r="G34" s="3" t="s">
        <v>1460</v>
      </c>
      <c r="H34" s="3" t="s">
        <v>33</v>
      </c>
      <c r="I34" s="3" t="s">
        <v>138</v>
      </c>
      <c r="J34" s="3" t="s">
        <v>30</v>
      </c>
      <c r="K34" s="3" t="s">
        <v>30</v>
      </c>
      <c r="L34" s="5" t="s">
        <v>498</v>
      </c>
      <c r="M34" s="3" t="s">
        <v>199</v>
      </c>
      <c r="N34" s="3" t="s">
        <v>141</v>
      </c>
      <c r="O34" s="3" t="s">
        <v>1461</v>
      </c>
      <c r="P34" s="3" t="s">
        <v>1374</v>
      </c>
      <c r="Q34" s="3" t="s">
        <v>164</v>
      </c>
      <c r="R34" s="3" t="s">
        <v>144</v>
      </c>
      <c r="S34" s="3" t="s">
        <v>34</v>
      </c>
      <c r="T34" s="153">
        <v>0.01</v>
      </c>
      <c r="U34" s="3" t="s">
        <v>1462</v>
      </c>
      <c r="V34" s="164">
        <v>1E-4</v>
      </c>
      <c r="W34" s="164">
        <v>6.6000000000000003E-2</v>
      </c>
      <c r="X34" s="5" t="s">
        <v>146</v>
      </c>
      <c r="Y34" s="5" t="s">
        <v>318</v>
      </c>
      <c r="Z34" s="3" t="s">
        <v>1359</v>
      </c>
      <c r="AA34" s="3" t="s">
        <v>1360</v>
      </c>
      <c r="AB34" s="178" t="s">
        <v>1361</v>
      </c>
      <c r="AC34" s="178" t="s">
        <v>1361</v>
      </c>
      <c r="AD34" s="153">
        <v>4500</v>
      </c>
      <c r="AE34" s="162">
        <v>1</v>
      </c>
      <c r="AF34" s="172">
        <v>3.33</v>
      </c>
      <c r="AG34" s="153">
        <v>0.15</v>
      </c>
      <c r="AJ34" s="3" t="s">
        <v>36</v>
      </c>
      <c r="AK34" s="164">
        <v>2.1148923728407701E-3</v>
      </c>
      <c r="AL34" s="164">
        <v>1.9740869541855301E-6</v>
      </c>
    </row>
    <row r="35" spans="1:38">
      <c r="A35" s="3">
        <v>969</v>
      </c>
      <c r="B35" s="3">
        <v>969</v>
      </c>
      <c r="C35" s="3" t="s">
        <v>1354</v>
      </c>
      <c r="D35" s="3" t="s">
        <v>1355</v>
      </c>
      <c r="E35" s="5" t="s">
        <v>134</v>
      </c>
      <c r="F35" s="3" t="s">
        <v>1467</v>
      </c>
      <c r="G35" s="3" t="s">
        <v>1468</v>
      </c>
      <c r="H35" s="3" t="s">
        <v>137</v>
      </c>
      <c r="I35" s="3" t="s">
        <v>138</v>
      </c>
      <c r="J35" s="3" t="s">
        <v>30</v>
      </c>
      <c r="K35" s="3" t="s">
        <v>30</v>
      </c>
      <c r="L35" s="5" t="s">
        <v>498</v>
      </c>
      <c r="M35" s="3" t="s">
        <v>186</v>
      </c>
      <c r="N35" s="3" t="s">
        <v>141</v>
      </c>
      <c r="O35" s="3" t="s">
        <v>1469</v>
      </c>
      <c r="P35" s="3" t="s">
        <v>481</v>
      </c>
      <c r="Q35" s="3" t="s">
        <v>481</v>
      </c>
      <c r="R35" s="3" t="s">
        <v>481</v>
      </c>
      <c r="S35" s="3" t="s">
        <v>34</v>
      </c>
      <c r="T35" s="153">
        <v>2.27</v>
      </c>
      <c r="U35" s="3" t="s">
        <v>1470</v>
      </c>
      <c r="V35" s="164">
        <v>1E-4</v>
      </c>
      <c r="W35" s="164">
        <v>0</v>
      </c>
      <c r="X35" s="5" t="s">
        <v>146</v>
      </c>
      <c r="Y35" s="5" t="s">
        <v>318</v>
      </c>
      <c r="Z35" s="3" t="s">
        <v>1359</v>
      </c>
      <c r="AA35" s="3" t="s">
        <v>1360</v>
      </c>
      <c r="AB35" s="178" t="s">
        <v>1361</v>
      </c>
      <c r="AC35" s="178" t="s">
        <v>1361</v>
      </c>
      <c r="AD35" s="153">
        <v>1401.95</v>
      </c>
      <c r="AE35" s="162">
        <v>1</v>
      </c>
      <c r="AF35" s="172">
        <v>0</v>
      </c>
      <c r="AG35" s="153">
        <v>0</v>
      </c>
      <c r="AJ35" s="3" t="s">
        <v>36</v>
      </c>
      <c r="AK35" s="164">
        <v>1.97862753560501E-10</v>
      </c>
      <c r="AL35" s="164">
        <v>1.84689436464492E-13</v>
      </c>
    </row>
    <row r="36" spans="1:38">
      <c r="A36" s="3">
        <v>969</v>
      </c>
      <c r="B36" s="3">
        <v>969</v>
      </c>
      <c r="C36" s="3" t="s">
        <v>1380</v>
      </c>
      <c r="D36" s="3" t="s">
        <v>1381</v>
      </c>
      <c r="E36" s="5" t="s">
        <v>134</v>
      </c>
      <c r="F36" s="3" t="s">
        <v>1382</v>
      </c>
      <c r="G36" s="3" t="s">
        <v>1383</v>
      </c>
      <c r="H36" s="3" t="s">
        <v>137</v>
      </c>
      <c r="I36" s="3" t="s">
        <v>1366</v>
      </c>
      <c r="J36" s="3" t="s">
        <v>30</v>
      </c>
      <c r="K36" s="3" t="s">
        <v>30</v>
      </c>
      <c r="L36" s="5" t="s">
        <v>498</v>
      </c>
      <c r="M36" s="3" t="s">
        <v>162</v>
      </c>
      <c r="N36" s="3" t="s">
        <v>141</v>
      </c>
      <c r="O36" s="3" t="s">
        <v>1384</v>
      </c>
      <c r="P36" s="3" t="s">
        <v>481</v>
      </c>
      <c r="Q36" s="3" t="s">
        <v>481</v>
      </c>
      <c r="R36" s="3" t="s">
        <v>481</v>
      </c>
      <c r="S36" s="3" t="s">
        <v>34</v>
      </c>
      <c r="T36" s="153">
        <v>0.01</v>
      </c>
      <c r="U36" s="3" t="s">
        <v>1385</v>
      </c>
      <c r="V36" s="164">
        <v>1E-4</v>
      </c>
      <c r="W36" s="164">
        <v>0</v>
      </c>
      <c r="X36" s="5" t="s">
        <v>1369</v>
      </c>
      <c r="Y36" s="5" t="s">
        <v>318</v>
      </c>
      <c r="Z36" s="3" t="s">
        <v>1359</v>
      </c>
      <c r="AA36" s="3" t="s">
        <v>1360</v>
      </c>
      <c r="AB36" s="178" t="s">
        <v>1361</v>
      </c>
      <c r="AC36" s="178" t="s">
        <v>1361</v>
      </c>
      <c r="AD36" s="153">
        <v>3250</v>
      </c>
      <c r="AE36" s="162">
        <v>1</v>
      </c>
      <c r="AF36" s="172">
        <v>1</v>
      </c>
      <c r="AG36" s="153">
        <v>3.3000000000000002E-2</v>
      </c>
      <c r="AJ36" s="3" t="s">
        <v>36</v>
      </c>
      <c r="AK36" s="164">
        <v>4.5868536614831503E-4</v>
      </c>
      <c r="AL36" s="164">
        <v>4.2814698706059299E-7</v>
      </c>
    </row>
    <row r="37" spans="1:38">
      <c r="A37" s="3">
        <v>969</v>
      </c>
      <c r="B37" s="3">
        <v>969</v>
      </c>
      <c r="C37" s="3" t="s">
        <v>1386</v>
      </c>
      <c r="D37" s="3" t="s">
        <v>1387</v>
      </c>
      <c r="E37" s="5" t="s">
        <v>134</v>
      </c>
      <c r="F37" s="3" t="s">
        <v>1388</v>
      </c>
      <c r="G37" s="3" t="s">
        <v>1389</v>
      </c>
      <c r="H37" s="3" t="s">
        <v>137</v>
      </c>
      <c r="I37" s="3" t="s">
        <v>156</v>
      </c>
      <c r="J37" s="3" t="s">
        <v>30</v>
      </c>
      <c r="K37" s="3" t="s">
        <v>30</v>
      </c>
      <c r="L37" s="5" t="s">
        <v>498</v>
      </c>
      <c r="M37" s="3" t="s">
        <v>465</v>
      </c>
      <c r="N37" s="3" t="s">
        <v>141</v>
      </c>
      <c r="O37" s="3" t="s">
        <v>1390</v>
      </c>
      <c r="P37" s="3" t="s">
        <v>163</v>
      </c>
      <c r="Q37" s="3" t="s">
        <v>164</v>
      </c>
      <c r="R37" s="3" t="s">
        <v>144</v>
      </c>
      <c r="S37" s="3" t="s">
        <v>34</v>
      </c>
      <c r="T37" s="153">
        <v>5.21</v>
      </c>
      <c r="U37" s="3" t="s">
        <v>1391</v>
      </c>
      <c r="V37" s="164">
        <v>4.2299999999999997E-2</v>
      </c>
      <c r="W37" s="164">
        <v>3.9800000000000002E-2</v>
      </c>
      <c r="X37" s="5" t="s">
        <v>146</v>
      </c>
      <c r="Y37" s="5" t="s">
        <v>141</v>
      </c>
      <c r="Z37" s="3" t="s">
        <v>1392</v>
      </c>
      <c r="AA37" s="3" t="s">
        <v>1393</v>
      </c>
      <c r="AB37" s="178" t="s">
        <v>1394</v>
      </c>
      <c r="AC37" s="178" t="s">
        <v>1394</v>
      </c>
      <c r="AD37" s="153">
        <v>70000</v>
      </c>
      <c r="AE37" s="162">
        <v>1</v>
      </c>
      <c r="AF37" s="172">
        <v>100.96</v>
      </c>
      <c r="AG37" s="153">
        <v>70.671999999999997</v>
      </c>
      <c r="AJ37" s="3" t="s">
        <v>36</v>
      </c>
      <c r="AK37" s="164">
        <v>0.99742191373642097</v>
      </c>
      <c r="AL37" s="164">
        <v>9.3101550367834501E-4</v>
      </c>
    </row>
    <row r="38" spans="1:38">
      <c r="A38" s="3">
        <v>969</v>
      </c>
      <c r="B38" s="3">
        <v>969</v>
      </c>
      <c r="C38" s="3" t="s">
        <v>1402</v>
      </c>
      <c r="D38" s="3" t="s">
        <v>1403</v>
      </c>
      <c r="E38" s="5" t="s">
        <v>134</v>
      </c>
      <c r="F38" s="3" t="s">
        <v>1404</v>
      </c>
      <c r="G38" s="3" t="s">
        <v>1405</v>
      </c>
      <c r="H38" s="3" t="s">
        <v>137</v>
      </c>
      <c r="I38" s="3" t="s">
        <v>138</v>
      </c>
      <c r="J38" s="3" t="s">
        <v>30</v>
      </c>
      <c r="K38" s="3" t="s">
        <v>30</v>
      </c>
      <c r="L38" s="5" t="s">
        <v>498</v>
      </c>
      <c r="M38" s="3" t="s">
        <v>199</v>
      </c>
      <c r="N38" s="3" t="s">
        <v>141</v>
      </c>
      <c r="O38" s="3" t="s">
        <v>1406</v>
      </c>
      <c r="P38" s="3" t="s">
        <v>481</v>
      </c>
      <c r="Q38" s="3" t="s">
        <v>481</v>
      </c>
      <c r="R38" s="3" t="s">
        <v>481</v>
      </c>
      <c r="S38" s="3" t="s">
        <v>34</v>
      </c>
      <c r="T38" s="153">
        <v>0.01</v>
      </c>
      <c r="U38" s="3" t="s">
        <v>1407</v>
      </c>
      <c r="V38" s="164">
        <v>0</v>
      </c>
      <c r="W38" s="164">
        <v>0</v>
      </c>
      <c r="X38" s="5" t="s">
        <v>146</v>
      </c>
      <c r="Y38" s="5" t="s">
        <v>318</v>
      </c>
      <c r="Z38" s="3" t="s">
        <v>1359</v>
      </c>
      <c r="AA38" s="3" t="s">
        <v>1360</v>
      </c>
      <c r="AB38" s="178" t="s">
        <v>1361</v>
      </c>
      <c r="AC38" s="178" t="s">
        <v>1361</v>
      </c>
      <c r="AD38" s="153">
        <v>642.9</v>
      </c>
      <c r="AE38" s="162">
        <v>1</v>
      </c>
      <c r="AF38" s="172">
        <v>0.01</v>
      </c>
      <c r="AG38" s="153">
        <v>0</v>
      </c>
      <c r="AJ38" s="3" t="s">
        <v>36</v>
      </c>
      <c r="AK38" s="164">
        <v>9.0735022122077399E-7</v>
      </c>
      <c r="AL38" s="164">
        <v>8.4694060917309205E-10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9"/>
  <sheetViews>
    <sheetView rightToLeft="1" topLeftCell="A13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131</v>
      </c>
      <c r="M1" s="19" t="s">
        <v>124</v>
      </c>
      <c r="N1" s="19" t="s">
        <v>125</v>
      </c>
      <c r="O1" s="176" t="s">
        <v>1343</v>
      </c>
      <c r="P1" s="19" t="s">
        <v>11</v>
      </c>
      <c r="Q1" s="19" t="s">
        <v>1349</v>
      </c>
      <c r="R1" s="19" t="s">
        <v>1350</v>
      </c>
      <c r="S1" s="176" t="s">
        <v>1352</v>
      </c>
      <c r="T1" s="176" t="s">
        <v>1353</v>
      </c>
      <c r="U1" s="19" t="s">
        <v>17</v>
      </c>
      <c r="V1" s="161" t="s">
        <v>18</v>
      </c>
      <c r="W1" s="167" t="s">
        <v>19</v>
      </c>
      <c r="X1" s="19" t="s">
        <v>20</v>
      </c>
      <c r="Y1" s="163" t="s">
        <v>24</v>
      </c>
      <c r="Z1" s="163" t="s">
        <v>25</v>
      </c>
    </row>
    <row r="2" spans="1:26">
      <c r="A2" s="20">
        <v>1182</v>
      </c>
      <c r="B2" s="20">
        <v>1182</v>
      </c>
      <c r="C2" s="20" t="s">
        <v>1471</v>
      </c>
      <c r="D2" s="20" t="s">
        <v>1472</v>
      </c>
      <c r="E2" s="18" t="s">
        <v>33</v>
      </c>
      <c r="F2" s="20" t="s">
        <v>1471</v>
      </c>
      <c r="G2" s="20" t="s">
        <v>1473</v>
      </c>
      <c r="H2" s="18" t="s">
        <v>33</v>
      </c>
      <c r="I2" s="20" t="s">
        <v>1474</v>
      </c>
      <c r="J2" s="18" t="s">
        <v>30</v>
      </c>
      <c r="K2" s="18" t="s">
        <v>30</v>
      </c>
      <c r="L2" s="20" t="s">
        <v>498</v>
      </c>
      <c r="M2" s="20" t="s">
        <v>963</v>
      </c>
      <c r="N2" s="20" t="s">
        <v>141</v>
      </c>
      <c r="O2" s="177" t="s">
        <v>1475</v>
      </c>
      <c r="P2" s="18" t="s">
        <v>664</v>
      </c>
      <c r="Q2" s="20" t="s">
        <v>498</v>
      </c>
      <c r="R2" s="20" t="s">
        <v>1393</v>
      </c>
      <c r="S2" s="177" t="s">
        <v>1394</v>
      </c>
      <c r="T2" s="177" t="s">
        <v>1394</v>
      </c>
      <c r="U2" s="155">
        <v>5306</v>
      </c>
      <c r="V2" s="170">
        <v>3.306</v>
      </c>
      <c r="W2" s="171">
        <v>4924</v>
      </c>
      <c r="X2" s="155">
        <v>863.75</v>
      </c>
      <c r="Y2" s="169">
        <v>0.10017390889024901</v>
      </c>
      <c r="Z2" s="169">
        <v>1.8707599728109601E-3</v>
      </c>
    </row>
    <row r="3" spans="1:26">
      <c r="A3" s="20">
        <v>1182</v>
      </c>
      <c r="B3" s="20">
        <v>1182</v>
      </c>
      <c r="C3" s="20" t="s">
        <v>1476</v>
      </c>
      <c r="D3" s="20" t="s">
        <v>1477</v>
      </c>
      <c r="E3" s="18" t="s">
        <v>134</v>
      </c>
      <c r="F3" s="20" t="s">
        <v>1478</v>
      </c>
      <c r="G3" s="20" t="s">
        <v>1479</v>
      </c>
      <c r="H3" s="18" t="s">
        <v>33</v>
      </c>
      <c r="I3" s="20" t="s">
        <v>1474</v>
      </c>
      <c r="J3" s="18" t="s">
        <v>30</v>
      </c>
      <c r="K3" s="18" t="s">
        <v>797</v>
      </c>
      <c r="L3" s="20" t="s">
        <v>498</v>
      </c>
      <c r="M3" s="20" t="s">
        <v>1480</v>
      </c>
      <c r="N3" s="20" t="s">
        <v>141</v>
      </c>
      <c r="O3" s="177" t="s">
        <v>1481</v>
      </c>
      <c r="P3" s="18" t="s">
        <v>664</v>
      </c>
      <c r="Q3" s="20" t="s">
        <v>1482</v>
      </c>
      <c r="R3" s="20" t="s">
        <v>1393</v>
      </c>
      <c r="S3" s="177" t="s">
        <v>1394</v>
      </c>
      <c r="T3" s="177" t="s">
        <v>1394</v>
      </c>
      <c r="U3" s="155">
        <v>34.93</v>
      </c>
      <c r="V3" s="170">
        <v>3.306</v>
      </c>
      <c r="W3" s="171">
        <v>94355.3</v>
      </c>
      <c r="X3" s="155">
        <v>108.96</v>
      </c>
      <c r="Y3" s="169">
        <v>1.2636715740282699E-2</v>
      </c>
      <c r="Z3" s="169">
        <v>2.3599220851620799E-4</v>
      </c>
    </row>
    <row r="4" spans="1:26">
      <c r="A4" s="20">
        <v>1182</v>
      </c>
      <c r="B4" s="20">
        <v>1182</v>
      </c>
      <c r="C4" s="20" t="s">
        <v>1483</v>
      </c>
      <c r="D4" s="20" t="s">
        <v>1477</v>
      </c>
      <c r="E4" s="18" t="s">
        <v>134</v>
      </c>
      <c r="F4" s="20" t="s">
        <v>1483</v>
      </c>
      <c r="G4" s="20" t="s">
        <v>1484</v>
      </c>
      <c r="H4" s="18" t="s">
        <v>33</v>
      </c>
      <c r="I4" s="20" t="s">
        <v>1474</v>
      </c>
      <c r="J4" s="18" t="s">
        <v>30</v>
      </c>
      <c r="K4" s="18" t="s">
        <v>797</v>
      </c>
      <c r="L4" s="20" t="s">
        <v>498</v>
      </c>
      <c r="M4" s="20" t="s">
        <v>927</v>
      </c>
      <c r="N4" s="20" t="s">
        <v>141</v>
      </c>
      <c r="O4" s="178" t="s">
        <v>1485</v>
      </c>
      <c r="P4" s="18" t="s">
        <v>664</v>
      </c>
      <c r="Q4" s="20" t="s">
        <v>1482</v>
      </c>
      <c r="R4" s="20" t="s">
        <v>1393</v>
      </c>
      <c r="S4" s="177" t="s">
        <v>1394</v>
      </c>
      <c r="T4" s="177" t="s">
        <v>1394</v>
      </c>
      <c r="U4" s="155">
        <v>366.36</v>
      </c>
      <c r="V4" s="170">
        <v>3.306</v>
      </c>
      <c r="W4" s="171">
        <v>94355.3</v>
      </c>
      <c r="X4" s="155">
        <v>1142.818</v>
      </c>
      <c r="Y4" s="169">
        <v>0.13253899738362401</v>
      </c>
      <c r="Z4" s="169">
        <v>2.4751819499570001E-3</v>
      </c>
    </row>
    <row r="5" spans="1:26">
      <c r="A5" s="20">
        <v>1182</v>
      </c>
      <c r="B5" s="20">
        <v>1182</v>
      </c>
      <c r="C5" s="20" t="s">
        <v>1486</v>
      </c>
      <c r="D5" s="20" t="s">
        <v>1487</v>
      </c>
      <c r="E5" s="18" t="s">
        <v>33</v>
      </c>
      <c r="F5" s="20" t="s">
        <v>1486</v>
      </c>
      <c r="G5" s="20" t="s">
        <v>1488</v>
      </c>
      <c r="H5" s="18" t="s">
        <v>33</v>
      </c>
      <c r="I5" s="20" t="s">
        <v>1474</v>
      </c>
      <c r="J5" s="18" t="s">
        <v>30</v>
      </c>
      <c r="K5" s="18" t="s">
        <v>30</v>
      </c>
      <c r="L5" s="20" t="s">
        <v>498</v>
      </c>
      <c r="M5" s="20" t="s">
        <v>1059</v>
      </c>
      <c r="N5" s="20" t="s">
        <v>141</v>
      </c>
      <c r="O5" s="177" t="s">
        <v>1489</v>
      </c>
      <c r="P5" s="18" t="s">
        <v>664</v>
      </c>
      <c r="Q5" s="20" t="s">
        <v>498</v>
      </c>
      <c r="R5" s="20" t="s">
        <v>1393</v>
      </c>
      <c r="S5" s="177" t="s">
        <v>1394</v>
      </c>
      <c r="T5" s="177" t="s">
        <v>1394</v>
      </c>
      <c r="U5" s="155">
        <v>26572</v>
      </c>
      <c r="V5" s="170">
        <v>3.306</v>
      </c>
      <c r="W5" s="171">
        <v>0</v>
      </c>
      <c r="X5" s="155">
        <v>0</v>
      </c>
      <c r="Y5" s="169">
        <v>1.01881088092404E-8</v>
      </c>
      <c r="Z5" s="169">
        <v>1.90264175273937E-10</v>
      </c>
    </row>
    <row r="6" spans="1:26">
      <c r="A6" s="20">
        <v>1182</v>
      </c>
      <c r="B6" s="20">
        <v>1182</v>
      </c>
      <c r="C6" s="20" t="s">
        <v>1490</v>
      </c>
      <c r="D6" s="20" t="s">
        <v>1491</v>
      </c>
      <c r="E6" s="18" t="s">
        <v>134</v>
      </c>
      <c r="F6" s="20" t="s">
        <v>1492</v>
      </c>
      <c r="G6" s="20" t="s">
        <v>1493</v>
      </c>
      <c r="H6" s="18" t="s">
        <v>33</v>
      </c>
      <c r="I6" s="20" t="s">
        <v>1474</v>
      </c>
      <c r="J6" s="18" t="s">
        <v>30</v>
      </c>
      <c r="K6" s="18" t="s">
        <v>30</v>
      </c>
      <c r="L6" s="20" t="s">
        <v>498</v>
      </c>
      <c r="M6" s="20" t="s">
        <v>1494</v>
      </c>
      <c r="N6" s="20" t="s">
        <v>141</v>
      </c>
      <c r="O6" s="177" t="s">
        <v>1495</v>
      </c>
      <c r="P6" s="18" t="s">
        <v>664</v>
      </c>
      <c r="Q6" s="20" t="s">
        <v>1482</v>
      </c>
      <c r="R6" s="20" t="s">
        <v>1393</v>
      </c>
      <c r="S6" s="177" t="s">
        <v>1394</v>
      </c>
      <c r="T6" s="177" t="s">
        <v>1394</v>
      </c>
      <c r="U6" s="155">
        <v>84143</v>
      </c>
      <c r="V6" s="170">
        <v>3.306</v>
      </c>
      <c r="W6" s="171">
        <v>0</v>
      </c>
      <c r="X6" s="155">
        <v>0</v>
      </c>
      <c r="Y6" s="169">
        <v>3.2261705537254102E-8</v>
      </c>
      <c r="Z6" s="169">
        <v>6.0249128782458604E-10</v>
      </c>
    </row>
    <row r="7" spans="1:26">
      <c r="A7" s="20">
        <v>1182</v>
      </c>
      <c r="B7" s="20">
        <v>1182</v>
      </c>
      <c r="C7" s="20" t="s">
        <v>1490</v>
      </c>
      <c r="D7" s="20" t="s">
        <v>1491</v>
      </c>
      <c r="E7" s="18" t="s">
        <v>134</v>
      </c>
      <c r="F7" s="20" t="s">
        <v>1490</v>
      </c>
      <c r="G7" s="20" t="s">
        <v>1496</v>
      </c>
      <c r="H7" s="18" t="s">
        <v>33</v>
      </c>
      <c r="I7" s="20" t="s">
        <v>1474</v>
      </c>
      <c r="J7" s="18" t="s">
        <v>30</v>
      </c>
      <c r="K7" s="18" t="s">
        <v>224</v>
      </c>
      <c r="L7" s="20" t="s">
        <v>498</v>
      </c>
      <c r="M7" s="20" t="s">
        <v>963</v>
      </c>
      <c r="N7" s="20" t="s">
        <v>141</v>
      </c>
      <c r="O7" s="177" t="s">
        <v>1497</v>
      </c>
      <c r="P7" s="18" t="s">
        <v>664</v>
      </c>
      <c r="Q7" s="20" t="s">
        <v>1482</v>
      </c>
      <c r="R7" s="20" t="s">
        <v>1393</v>
      </c>
      <c r="S7" s="177" t="s">
        <v>1394</v>
      </c>
      <c r="T7" s="177" t="s">
        <v>1394</v>
      </c>
      <c r="U7" s="155">
        <v>50000</v>
      </c>
      <c r="V7" s="170">
        <v>3.306</v>
      </c>
      <c r="W7" s="171">
        <v>0</v>
      </c>
      <c r="X7" s="155">
        <v>0</v>
      </c>
      <c r="Y7" s="169">
        <v>1.9170760216092901E-8</v>
      </c>
      <c r="Z7" s="169">
        <v>3.5801628645555003E-10</v>
      </c>
    </row>
    <row r="8" spans="1:26">
      <c r="A8" s="20">
        <v>1182</v>
      </c>
      <c r="B8" s="20">
        <v>1182</v>
      </c>
      <c r="C8" s="20" t="s">
        <v>1498</v>
      </c>
      <c r="D8" s="20" t="s">
        <v>1499</v>
      </c>
      <c r="E8" s="18" t="s">
        <v>134</v>
      </c>
      <c r="F8" s="20" t="s">
        <v>1500</v>
      </c>
      <c r="G8" s="20" t="s">
        <v>1501</v>
      </c>
      <c r="H8" s="18" t="s">
        <v>33</v>
      </c>
      <c r="I8" s="20" t="s">
        <v>1474</v>
      </c>
      <c r="J8" s="18" t="s">
        <v>30</v>
      </c>
      <c r="K8" s="18" t="s">
        <v>224</v>
      </c>
      <c r="L8" s="20" t="s">
        <v>498</v>
      </c>
      <c r="M8" s="20" t="s">
        <v>285</v>
      </c>
      <c r="N8" s="20" t="s">
        <v>141</v>
      </c>
      <c r="O8" s="177" t="s">
        <v>1502</v>
      </c>
      <c r="P8" s="18" t="s">
        <v>664</v>
      </c>
      <c r="Q8" s="20" t="s">
        <v>498</v>
      </c>
      <c r="R8" s="20" t="s">
        <v>1393</v>
      </c>
      <c r="S8" s="177" t="s">
        <v>1394</v>
      </c>
      <c r="T8" s="177" t="s">
        <v>1394</v>
      </c>
      <c r="U8" s="155">
        <v>244820</v>
      </c>
      <c r="V8" s="170">
        <v>3.306</v>
      </c>
      <c r="W8" s="171">
        <v>276.279</v>
      </c>
      <c r="X8" s="155">
        <v>2236.1350000000002</v>
      </c>
      <c r="Y8" s="169">
        <v>0.25933695913615201</v>
      </c>
      <c r="Z8" s="169">
        <v>4.8431493589210801E-3</v>
      </c>
    </row>
    <row r="9" spans="1:26">
      <c r="A9" s="20">
        <v>1182</v>
      </c>
      <c r="B9" s="20">
        <v>1182</v>
      </c>
      <c r="C9" s="20" t="s">
        <v>1500</v>
      </c>
      <c r="D9" s="20" t="s">
        <v>1503</v>
      </c>
      <c r="E9" s="18" t="s">
        <v>33</v>
      </c>
      <c r="F9" s="20" t="s">
        <v>1504</v>
      </c>
      <c r="G9" s="20" t="s">
        <v>1505</v>
      </c>
      <c r="H9" s="18" t="s">
        <v>33</v>
      </c>
      <c r="I9" s="20" t="s">
        <v>1474</v>
      </c>
      <c r="J9" s="18" t="s">
        <v>30</v>
      </c>
      <c r="K9" s="18" t="s">
        <v>224</v>
      </c>
      <c r="L9" s="20" t="s">
        <v>498</v>
      </c>
      <c r="M9" s="20" t="s">
        <v>285</v>
      </c>
      <c r="N9" s="20" t="s">
        <v>141</v>
      </c>
      <c r="O9" s="177" t="s">
        <v>1506</v>
      </c>
      <c r="P9" s="18" t="s">
        <v>664</v>
      </c>
      <c r="Q9" s="20" t="s">
        <v>498</v>
      </c>
      <c r="R9" s="20" t="s">
        <v>1393</v>
      </c>
      <c r="S9" s="177" t="s">
        <v>1394</v>
      </c>
      <c r="T9" s="177" t="s">
        <v>1394</v>
      </c>
      <c r="U9" s="155">
        <v>597000</v>
      </c>
      <c r="V9" s="170">
        <v>3.306</v>
      </c>
      <c r="W9" s="171">
        <v>100</v>
      </c>
      <c r="X9" s="155">
        <v>1973.682</v>
      </c>
      <c r="Y9" s="169">
        <v>0.22889887698014899</v>
      </c>
      <c r="Z9" s="169">
        <v>4.2747144602792598E-3</v>
      </c>
    </row>
    <row r="10" spans="1:26">
      <c r="A10" s="20">
        <v>1182</v>
      </c>
      <c r="B10" s="20">
        <v>1182</v>
      </c>
      <c r="C10" s="20" t="s">
        <v>1500</v>
      </c>
      <c r="D10" s="20" t="s">
        <v>1503</v>
      </c>
      <c r="E10" s="18" t="s">
        <v>33</v>
      </c>
      <c r="F10" s="20" t="s">
        <v>1507</v>
      </c>
      <c r="G10" s="20" t="s">
        <v>1508</v>
      </c>
      <c r="H10" s="18" t="s">
        <v>33</v>
      </c>
      <c r="I10" s="20" t="s">
        <v>1474</v>
      </c>
      <c r="J10" s="18" t="s">
        <v>30</v>
      </c>
      <c r="K10" s="18" t="s">
        <v>224</v>
      </c>
      <c r="L10" s="20" t="s">
        <v>498</v>
      </c>
      <c r="M10" s="20" t="s">
        <v>285</v>
      </c>
      <c r="N10" s="20" t="s">
        <v>141</v>
      </c>
      <c r="O10" s="177" t="s">
        <v>1509</v>
      </c>
      <c r="P10" s="18" t="s">
        <v>34</v>
      </c>
      <c r="Q10" s="20" t="s">
        <v>498</v>
      </c>
      <c r="R10" s="20" t="s">
        <v>1393</v>
      </c>
      <c r="S10" s="177" t="s">
        <v>1394</v>
      </c>
      <c r="T10" s="177" t="s">
        <v>1394</v>
      </c>
      <c r="U10" s="155">
        <v>1050000</v>
      </c>
      <c r="V10" s="170">
        <v>1</v>
      </c>
      <c r="W10" s="171">
        <v>100</v>
      </c>
      <c r="X10" s="155">
        <v>1050</v>
      </c>
      <c r="Y10" s="169">
        <v>0.121774338940699</v>
      </c>
      <c r="Z10" s="169">
        <v>2.2741506399172801E-3</v>
      </c>
    </row>
    <row r="11" spans="1:26">
      <c r="A11" s="20">
        <v>1182</v>
      </c>
      <c r="B11" s="20">
        <v>1182</v>
      </c>
      <c r="C11" s="20" t="s">
        <v>1510</v>
      </c>
      <c r="D11" s="20" t="s">
        <v>1511</v>
      </c>
      <c r="E11" s="18" t="s">
        <v>651</v>
      </c>
      <c r="F11" s="20" t="s">
        <v>1512</v>
      </c>
      <c r="G11" s="20" t="s">
        <v>1513</v>
      </c>
      <c r="H11" s="18" t="s">
        <v>33</v>
      </c>
      <c r="I11" s="20" t="s">
        <v>1474</v>
      </c>
      <c r="J11" s="18" t="s">
        <v>572</v>
      </c>
      <c r="K11" s="18" t="s">
        <v>224</v>
      </c>
      <c r="L11" s="20" t="s">
        <v>498</v>
      </c>
      <c r="M11" s="20" t="s">
        <v>1514</v>
      </c>
      <c r="N11" s="20" t="s">
        <v>141</v>
      </c>
      <c r="O11" s="177" t="s">
        <v>1515</v>
      </c>
      <c r="P11" s="18" t="s">
        <v>664</v>
      </c>
      <c r="Q11" s="20" t="s">
        <v>1482</v>
      </c>
      <c r="R11" s="20" t="s">
        <v>1393</v>
      </c>
      <c r="S11" s="177" t="s">
        <v>1394</v>
      </c>
      <c r="T11" s="177" t="s">
        <v>1394</v>
      </c>
      <c r="U11" s="155">
        <v>9829</v>
      </c>
      <c r="V11" s="170">
        <v>3.306</v>
      </c>
      <c r="W11" s="171">
        <v>995.12</v>
      </c>
      <c r="X11" s="155">
        <v>323.36099999999999</v>
      </c>
      <c r="Y11" s="169">
        <v>3.7501973336283301E-2</v>
      </c>
      <c r="Z11" s="169">
        <v>7.0035392844465798E-4</v>
      </c>
    </row>
    <row r="12" spans="1:26">
      <c r="A12" s="20">
        <v>1182</v>
      </c>
      <c r="B12" s="20">
        <v>1182</v>
      </c>
      <c r="C12" s="20" t="s">
        <v>1516</v>
      </c>
      <c r="D12" s="20" t="s">
        <v>1517</v>
      </c>
      <c r="E12" s="18" t="s">
        <v>134</v>
      </c>
      <c r="F12" s="20" t="s">
        <v>1516</v>
      </c>
      <c r="G12" s="20" t="s">
        <v>1518</v>
      </c>
      <c r="H12" s="18" t="s">
        <v>33</v>
      </c>
      <c r="I12" s="20" t="s">
        <v>1474</v>
      </c>
      <c r="J12" s="18" t="s">
        <v>30</v>
      </c>
      <c r="K12" s="18" t="s">
        <v>797</v>
      </c>
      <c r="L12" s="20" t="s">
        <v>498</v>
      </c>
      <c r="M12" s="20" t="s">
        <v>1514</v>
      </c>
      <c r="N12" s="20" t="s">
        <v>141</v>
      </c>
      <c r="O12" s="177" t="s">
        <v>1519</v>
      </c>
      <c r="P12" s="18" t="s">
        <v>664</v>
      </c>
      <c r="Q12" s="20" t="s">
        <v>1482</v>
      </c>
      <c r="R12" s="20" t="s">
        <v>1393</v>
      </c>
      <c r="S12" s="177" t="s">
        <v>1394</v>
      </c>
      <c r="T12" s="177" t="s">
        <v>1394</v>
      </c>
      <c r="U12" s="155">
        <v>70788</v>
      </c>
      <c r="V12" s="170">
        <v>3.306</v>
      </c>
      <c r="W12" s="171">
        <v>0</v>
      </c>
      <c r="X12" s="155">
        <v>0</v>
      </c>
      <c r="Y12" s="169">
        <v>2.71411954835357E-8</v>
      </c>
      <c r="Z12" s="169">
        <v>5.0686513771230896E-10</v>
      </c>
    </row>
    <row r="13" spans="1:26">
      <c r="A13" s="20">
        <v>1182</v>
      </c>
      <c r="B13" s="20">
        <v>1182</v>
      </c>
      <c r="C13" s="20" t="s">
        <v>1520</v>
      </c>
      <c r="D13" s="20" t="s">
        <v>1521</v>
      </c>
      <c r="E13" s="18" t="s">
        <v>134</v>
      </c>
      <c r="F13" s="20" t="s">
        <v>1522</v>
      </c>
      <c r="G13" s="20" t="s">
        <v>1521</v>
      </c>
      <c r="H13" s="18" t="s">
        <v>33</v>
      </c>
      <c r="I13" s="20" t="s">
        <v>1474</v>
      </c>
      <c r="J13" s="18" t="s">
        <v>30</v>
      </c>
      <c r="K13" s="18" t="s">
        <v>224</v>
      </c>
      <c r="L13" s="20" t="s">
        <v>498</v>
      </c>
      <c r="M13" s="20" t="s">
        <v>1514</v>
      </c>
      <c r="N13" s="20" t="s">
        <v>141</v>
      </c>
      <c r="O13" s="177" t="s">
        <v>1523</v>
      </c>
      <c r="P13" s="18" t="s">
        <v>664</v>
      </c>
      <c r="Q13" s="20" t="s">
        <v>1482</v>
      </c>
      <c r="R13" s="20" t="s">
        <v>1393</v>
      </c>
      <c r="S13" s="177" t="s">
        <v>1394</v>
      </c>
      <c r="T13" s="177" t="s">
        <v>1394</v>
      </c>
      <c r="U13" s="155">
        <v>562517</v>
      </c>
      <c r="V13" s="170">
        <v>3.306</v>
      </c>
      <c r="W13" s="171">
        <v>0.32500000000000001</v>
      </c>
      <c r="X13" s="155">
        <v>6.0439999999999996</v>
      </c>
      <c r="Y13" s="169">
        <v>7.00952104090935E-4</v>
      </c>
      <c r="Z13" s="169">
        <v>1.30903660815276E-5</v>
      </c>
    </row>
    <row r="14" spans="1:26">
      <c r="A14" s="20">
        <v>1182</v>
      </c>
      <c r="B14" s="20">
        <v>1182</v>
      </c>
      <c r="C14" s="20" t="s">
        <v>1524</v>
      </c>
      <c r="D14" s="20" t="s">
        <v>1525</v>
      </c>
      <c r="E14" s="18" t="s">
        <v>134</v>
      </c>
      <c r="F14" s="20" t="s">
        <v>1524</v>
      </c>
      <c r="G14" s="20" t="s">
        <v>1526</v>
      </c>
      <c r="H14" s="18" t="s">
        <v>33</v>
      </c>
      <c r="I14" s="20" t="s">
        <v>1474</v>
      </c>
      <c r="J14" s="18" t="s">
        <v>30</v>
      </c>
      <c r="K14" s="18" t="s">
        <v>224</v>
      </c>
      <c r="L14" s="20" t="s">
        <v>498</v>
      </c>
      <c r="M14" s="20" t="s">
        <v>927</v>
      </c>
      <c r="N14" s="20" t="s">
        <v>141</v>
      </c>
      <c r="O14" s="177" t="s">
        <v>1527</v>
      </c>
      <c r="P14" s="18" t="s">
        <v>664</v>
      </c>
      <c r="Q14" s="20" t="s">
        <v>1482</v>
      </c>
      <c r="R14" s="20" t="s">
        <v>1393</v>
      </c>
      <c r="S14" s="177" t="s">
        <v>1394</v>
      </c>
      <c r="T14" s="177" t="s">
        <v>1394</v>
      </c>
      <c r="U14" s="155">
        <v>3605</v>
      </c>
      <c r="V14" s="170">
        <v>3.306</v>
      </c>
      <c r="W14" s="171">
        <v>1387.07</v>
      </c>
      <c r="X14" s="155">
        <v>165.31299999999999</v>
      </c>
      <c r="Y14" s="169">
        <v>1.91722453748868E-2</v>
      </c>
      <c r="Z14" s="169">
        <v>3.5804402197726101E-4</v>
      </c>
    </row>
    <row r="15" spans="1:26">
      <c r="A15" s="20">
        <v>1182</v>
      </c>
      <c r="B15" s="20">
        <v>1182</v>
      </c>
      <c r="C15" s="20" t="s">
        <v>1476</v>
      </c>
      <c r="D15" s="20" t="s">
        <v>1528</v>
      </c>
      <c r="E15" s="18" t="s">
        <v>134</v>
      </c>
      <c r="F15" s="20" t="s">
        <v>1529</v>
      </c>
      <c r="G15" s="20" t="s">
        <v>1530</v>
      </c>
      <c r="H15" s="18" t="s">
        <v>33</v>
      </c>
      <c r="I15" s="20" t="s">
        <v>1474</v>
      </c>
      <c r="J15" s="18" t="s">
        <v>30</v>
      </c>
      <c r="K15" s="18" t="s">
        <v>224</v>
      </c>
      <c r="L15" s="20" t="s">
        <v>498</v>
      </c>
      <c r="M15" s="20" t="s">
        <v>1514</v>
      </c>
      <c r="N15" s="20" t="s">
        <v>141</v>
      </c>
      <c r="O15" s="177" t="s">
        <v>1531</v>
      </c>
      <c r="P15" s="18" t="s">
        <v>664</v>
      </c>
      <c r="Q15" s="20" t="s">
        <v>1482</v>
      </c>
      <c r="R15" s="20" t="s">
        <v>1393</v>
      </c>
      <c r="S15" s="177" t="s">
        <v>1394</v>
      </c>
      <c r="T15" s="177" t="s">
        <v>1394</v>
      </c>
      <c r="U15" s="155">
        <v>8020</v>
      </c>
      <c r="V15" s="170">
        <v>3.306</v>
      </c>
      <c r="W15" s="171">
        <v>0</v>
      </c>
      <c r="X15" s="155">
        <v>0</v>
      </c>
      <c r="Y15" s="169">
        <v>3.0749899386613001E-9</v>
      </c>
      <c r="Z15" s="169">
        <v>5.7425812347470194E-11</v>
      </c>
    </row>
    <row r="16" spans="1:26">
      <c r="A16" s="20">
        <v>1182</v>
      </c>
      <c r="B16" s="20">
        <v>1182</v>
      </c>
      <c r="C16" s="20" t="s">
        <v>1532</v>
      </c>
      <c r="D16" s="20" t="s">
        <v>1533</v>
      </c>
      <c r="E16" s="18" t="s">
        <v>134</v>
      </c>
      <c r="F16" s="20" t="s">
        <v>1532</v>
      </c>
      <c r="G16" s="20" t="s">
        <v>1534</v>
      </c>
      <c r="H16" s="18" t="s">
        <v>33</v>
      </c>
      <c r="I16" s="20" t="s">
        <v>1474</v>
      </c>
      <c r="J16" s="18" t="s">
        <v>30</v>
      </c>
      <c r="K16" s="18" t="s">
        <v>224</v>
      </c>
      <c r="L16" s="20" t="s">
        <v>498</v>
      </c>
      <c r="M16" s="20" t="s">
        <v>963</v>
      </c>
      <c r="N16" s="20" t="s">
        <v>141</v>
      </c>
      <c r="O16" s="177" t="s">
        <v>1531</v>
      </c>
      <c r="P16" s="18" t="s">
        <v>664</v>
      </c>
      <c r="Q16" s="20" t="s">
        <v>1482</v>
      </c>
      <c r="R16" s="20" t="s">
        <v>1393</v>
      </c>
      <c r="S16" s="177" t="s">
        <v>1394</v>
      </c>
      <c r="T16" s="177" t="s">
        <v>1394</v>
      </c>
      <c r="U16" s="155">
        <v>13988</v>
      </c>
      <c r="V16" s="170">
        <v>3.306</v>
      </c>
      <c r="W16" s="171">
        <v>830.053</v>
      </c>
      <c r="X16" s="155">
        <v>383.85199999999998</v>
      </c>
      <c r="Y16" s="169">
        <v>4.4517490363720998E-2</v>
      </c>
      <c r="Z16" s="169">
        <v>8.3136956504004404E-4</v>
      </c>
    </row>
    <row r="17" spans="1:26">
      <c r="A17" s="20">
        <v>1182</v>
      </c>
      <c r="B17" s="20">
        <v>1182</v>
      </c>
      <c r="C17" s="20" t="s">
        <v>635</v>
      </c>
      <c r="D17" s="20" t="s">
        <v>636</v>
      </c>
      <c r="E17" s="18" t="s">
        <v>134</v>
      </c>
      <c r="F17" s="20" t="s">
        <v>1535</v>
      </c>
      <c r="G17" s="20" t="s">
        <v>1536</v>
      </c>
      <c r="H17" s="18" t="s">
        <v>33</v>
      </c>
      <c r="I17" s="20" t="s">
        <v>1474</v>
      </c>
      <c r="J17" s="18" t="s">
        <v>30</v>
      </c>
      <c r="K17" s="18" t="s">
        <v>30</v>
      </c>
      <c r="L17" s="20" t="s">
        <v>498</v>
      </c>
      <c r="M17" s="20" t="s">
        <v>378</v>
      </c>
      <c r="N17" s="20" t="s">
        <v>141</v>
      </c>
      <c r="O17" s="177" t="s">
        <v>1537</v>
      </c>
      <c r="P17" s="18" t="s">
        <v>34</v>
      </c>
      <c r="Q17" s="20" t="s">
        <v>1482</v>
      </c>
      <c r="R17" s="20" t="s">
        <v>1393</v>
      </c>
      <c r="S17" s="177" t="s">
        <v>1394</v>
      </c>
      <c r="T17" s="177" t="s">
        <v>1394</v>
      </c>
      <c r="U17" s="155">
        <v>127</v>
      </c>
      <c r="V17" s="170">
        <v>1</v>
      </c>
      <c r="W17" s="171">
        <v>161345.59099999999</v>
      </c>
      <c r="X17" s="155">
        <v>204.90899999999999</v>
      </c>
      <c r="Y17" s="169">
        <v>2.3764424661439802E-2</v>
      </c>
      <c r="Z17" s="169">
        <v>4.4380353054018599E-4</v>
      </c>
    </row>
    <row r="18" spans="1:26">
      <c r="A18" s="20">
        <v>1182</v>
      </c>
      <c r="B18" s="20">
        <v>1182</v>
      </c>
      <c r="C18" s="20" t="s">
        <v>1538</v>
      </c>
      <c r="D18" s="20" t="s">
        <v>1539</v>
      </c>
      <c r="E18" s="18" t="s">
        <v>134</v>
      </c>
      <c r="F18" s="20" t="s">
        <v>1538</v>
      </c>
      <c r="G18" s="20" t="s">
        <v>1540</v>
      </c>
      <c r="H18" s="18" t="s">
        <v>33</v>
      </c>
      <c r="I18" s="20" t="s">
        <v>1474</v>
      </c>
      <c r="J18" s="18" t="s">
        <v>30</v>
      </c>
      <c r="K18" s="18" t="s">
        <v>30</v>
      </c>
      <c r="L18" s="20" t="s">
        <v>498</v>
      </c>
      <c r="M18" s="20" t="s">
        <v>1051</v>
      </c>
      <c r="N18" s="20" t="s">
        <v>141</v>
      </c>
      <c r="O18" s="177" t="s">
        <v>1541</v>
      </c>
      <c r="P18" s="18" t="s">
        <v>664</v>
      </c>
      <c r="Q18" s="20" t="s">
        <v>498</v>
      </c>
      <c r="R18" s="20" t="s">
        <v>1393</v>
      </c>
      <c r="S18" s="177" t="s">
        <v>1394</v>
      </c>
      <c r="T18" s="177" t="s">
        <v>1394</v>
      </c>
      <c r="U18" s="155">
        <v>41131.24</v>
      </c>
      <c r="V18" s="170">
        <v>3.306</v>
      </c>
      <c r="W18" s="171">
        <v>0</v>
      </c>
      <c r="X18" s="155">
        <v>0</v>
      </c>
      <c r="Y18" s="169">
        <v>1.5770342788611399E-8</v>
      </c>
      <c r="Z18" s="169">
        <v>2.9451307604223899E-10</v>
      </c>
    </row>
    <row r="19" spans="1:26">
      <c r="A19" s="5">
        <v>1182</v>
      </c>
      <c r="B19" s="20">
        <v>1182</v>
      </c>
      <c r="C19" s="20" t="s">
        <v>1542</v>
      </c>
      <c r="D19" s="20" t="s">
        <v>1543</v>
      </c>
      <c r="E19" s="18" t="s">
        <v>33</v>
      </c>
      <c r="F19" s="20" t="s">
        <v>1544</v>
      </c>
      <c r="G19" s="20" t="s">
        <v>1545</v>
      </c>
      <c r="H19" s="18" t="s">
        <v>137</v>
      </c>
      <c r="I19" s="20" t="s">
        <v>1474</v>
      </c>
      <c r="J19" s="18" t="s">
        <v>572</v>
      </c>
      <c r="K19" s="18" t="s">
        <v>797</v>
      </c>
      <c r="L19" s="20" t="s">
        <v>498</v>
      </c>
      <c r="M19" s="20" t="s">
        <v>905</v>
      </c>
      <c r="N19" s="20" t="s">
        <v>141</v>
      </c>
      <c r="O19" s="20"/>
      <c r="P19" s="18" t="s">
        <v>664</v>
      </c>
      <c r="Q19" s="20" t="s">
        <v>1359</v>
      </c>
      <c r="R19" s="20" t="s">
        <v>1360</v>
      </c>
      <c r="S19" s="177" t="s">
        <v>1546</v>
      </c>
      <c r="T19" s="177" t="s">
        <v>1361</v>
      </c>
      <c r="U19" s="155">
        <v>14.84</v>
      </c>
      <c r="V19" s="170">
        <v>3.306</v>
      </c>
      <c r="W19" s="171">
        <v>0</v>
      </c>
      <c r="X19" s="155">
        <v>0</v>
      </c>
      <c r="Y19" s="169">
        <v>5.6898816321363696E-12</v>
      </c>
      <c r="Z19" s="169">
        <v>1.06259233820007E-13</v>
      </c>
    </row>
    <row r="20" spans="1:26">
      <c r="A20" s="3">
        <v>1182</v>
      </c>
      <c r="B20" s="3">
        <v>1182</v>
      </c>
      <c r="C20" s="3" t="s">
        <v>1547</v>
      </c>
      <c r="D20" s="3" t="s">
        <v>1548</v>
      </c>
      <c r="E20" s="18" t="s">
        <v>33</v>
      </c>
      <c r="F20" s="3" t="s">
        <v>1547</v>
      </c>
      <c r="G20" s="3" t="s">
        <v>1549</v>
      </c>
      <c r="H20" s="5" t="s">
        <v>137</v>
      </c>
      <c r="I20" s="20" t="s">
        <v>1474</v>
      </c>
      <c r="J20" s="18" t="s">
        <v>572</v>
      </c>
      <c r="K20" s="18" t="s">
        <v>224</v>
      </c>
      <c r="L20" s="20" t="s">
        <v>498</v>
      </c>
      <c r="M20" s="20" t="s">
        <v>979</v>
      </c>
      <c r="N20" s="20" t="s">
        <v>141</v>
      </c>
      <c r="P20" s="3" t="s">
        <v>664</v>
      </c>
      <c r="Q20" s="3" t="s">
        <v>1359</v>
      </c>
      <c r="R20" s="20" t="s">
        <v>1360</v>
      </c>
      <c r="S20" s="178" t="s">
        <v>1546</v>
      </c>
      <c r="T20" s="178" t="s">
        <v>1361</v>
      </c>
      <c r="U20" s="153">
        <v>43.79</v>
      </c>
      <c r="V20" s="162">
        <v>3.306</v>
      </c>
      <c r="W20" s="172">
        <v>0</v>
      </c>
      <c r="X20" s="153">
        <v>0</v>
      </c>
      <c r="Y20" s="164">
        <v>1.6789751797254099E-11</v>
      </c>
      <c r="Z20" s="164">
        <v>3.1355066367776998E-13</v>
      </c>
    </row>
    <row r="21" spans="1:26">
      <c r="A21" s="3">
        <v>1182</v>
      </c>
      <c r="B21" s="3">
        <v>1182</v>
      </c>
      <c r="C21" s="3" t="s">
        <v>1550</v>
      </c>
      <c r="D21" s="3" t="s">
        <v>1551</v>
      </c>
      <c r="E21" s="5" t="s">
        <v>33</v>
      </c>
      <c r="F21" s="3" t="s">
        <v>1552</v>
      </c>
      <c r="G21" s="3" t="s">
        <v>1553</v>
      </c>
      <c r="H21" s="3" t="s">
        <v>33</v>
      </c>
      <c r="I21" s="3" t="s">
        <v>1474</v>
      </c>
      <c r="J21" s="3" t="s">
        <v>572</v>
      </c>
      <c r="K21" s="3" t="s">
        <v>224</v>
      </c>
      <c r="L21" s="5" t="s">
        <v>498</v>
      </c>
      <c r="M21" s="3" t="s">
        <v>927</v>
      </c>
      <c r="N21" s="3" t="s">
        <v>141</v>
      </c>
      <c r="O21" s="3" t="s">
        <v>1554</v>
      </c>
      <c r="P21" s="3" t="s">
        <v>664</v>
      </c>
      <c r="Q21" s="3" t="s">
        <v>1482</v>
      </c>
      <c r="R21" s="3" t="s">
        <v>1393</v>
      </c>
      <c r="S21" s="178" t="s">
        <v>1394</v>
      </c>
      <c r="T21" s="178" t="s">
        <v>1394</v>
      </c>
      <c r="U21" s="153">
        <v>12316</v>
      </c>
      <c r="V21" s="162">
        <v>3.306</v>
      </c>
      <c r="W21" s="172">
        <v>402</v>
      </c>
      <c r="X21" s="153">
        <v>163.68100000000001</v>
      </c>
      <c r="Y21" s="164">
        <v>1.89830094588406E-2</v>
      </c>
      <c r="Z21" s="164">
        <v>3.5451001815251898E-4</v>
      </c>
    </row>
    <row r="22" spans="1:26">
      <c r="A22" s="3">
        <v>1182</v>
      </c>
      <c r="B22" s="3">
        <v>14769</v>
      </c>
      <c r="C22" s="3" t="s">
        <v>1500</v>
      </c>
      <c r="D22" s="3" t="s">
        <v>1503</v>
      </c>
      <c r="E22" s="5" t="s">
        <v>33</v>
      </c>
      <c r="F22" s="3" t="s">
        <v>1507</v>
      </c>
      <c r="G22" s="3" t="s">
        <v>1508</v>
      </c>
      <c r="H22" s="3" t="s">
        <v>33</v>
      </c>
      <c r="I22" s="3" t="s">
        <v>1474</v>
      </c>
      <c r="J22" s="3" t="s">
        <v>30</v>
      </c>
      <c r="K22" s="3" t="s">
        <v>224</v>
      </c>
      <c r="L22" s="5" t="s">
        <v>498</v>
      </c>
      <c r="M22" s="3" t="s">
        <v>285</v>
      </c>
      <c r="N22" s="3" t="s">
        <v>141</v>
      </c>
      <c r="O22" s="3" t="s">
        <v>1509</v>
      </c>
      <c r="P22" s="3" t="s">
        <v>34</v>
      </c>
      <c r="Q22" s="3" t="s">
        <v>498</v>
      </c>
      <c r="R22" s="3" t="s">
        <v>1393</v>
      </c>
      <c r="S22" s="178" t="s">
        <v>1394</v>
      </c>
      <c r="T22" s="178" t="s">
        <v>1394</v>
      </c>
      <c r="U22" s="153">
        <v>400000</v>
      </c>
      <c r="V22" s="162">
        <v>1</v>
      </c>
      <c r="W22" s="172">
        <v>100</v>
      </c>
      <c r="X22" s="153">
        <v>400</v>
      </c>
      <c r="Y22" s="164">
        <v>1</v>
      </c>
      <c r="Z22" s="164">
        <v>1.38802849464925E-2</v>
      </c>
    </row>
    <row r="23" spans="1:26">
      <c r="A23" s="3">
        <v>12904</v>
      </c>
      <c r="B23" s="3">
        <v>12905</v>
      </c>
      <c r="C23" s="3" t="s">
        <v>1476</v>
      </c>
      <c r="D23" s="3" t="s">
        <v>1477</v>
      </c>
      <c r="E23" s="5" t="s">
        <v>134</v>
      </c>
      <c r="F23" s="3" t="s">
        <v>1478</v>
      </c>
      <c r="G23" s="3" t="s">
        <v>1479</v>
      </c>
      <c r="H23" s="3" t="s">
        <v>33</v>
      </c>
      <c r="I23" s="3" t="s">
        <v>1474</v>
      </c>
      <c r="J23" s="3" t="s">
        <v>30</v>
      </c>
      <c r="K23" s="3" t="s">
        <v>797</v>
      </c>
      <c r="L23" s="5" t="s">
        <v>498</v>
      </c>
      <c r="M23" s="3" t="s">
        <v>1480</v>
      </c>
      <c r="N23" s="3" t="s">
        <v>141</v>
      </c>
      <c r="O23" s="3" t="s">
        <v>1481</v>
      </c>
      <c r="P23" s="3" t="s">
        <v>664</v>
      </c>
      <c r="Q23" s="3" t="s">
        <v>1482</v>
      </c>
      <c r="R23" s="3" t="s">
        <v>1393</v>
      </c>
      <c r="S23" s="178" t="s">
        <v>1394</v>
      </c>
      <c r="T23" s="178" t="s">
        <v>1394</v>
      </c>
      <c r="U23" s="153">
        <v>1.75</v>
      </c>
      <c r="V23" s="162">
        <v>3.306</v>
      </c>
      <c r="W23" s="172">
        <v>94355.3</v>
      </c>
      <c r="X23" s="153">
        <v>5.4589999999999996</v>
      </c>
      <c r="Y23" s="164">
        <v>5.5085571447473997E-3</v>
      </c>
      <c r="Z23" s="164">
        <v>1.13231591323341E-4</v>
      </c>
    </row>
    <row r="24" spans="1:26">
      <c r="A24" s="3">
        <v>12904</v>
      </c>
      <c r="B24" s="3">
        <v>12905</v>
      </c>
      <c r="C24" s="3" t="s">
        <v>1483</v>
      </c>
      <c r="D24" s="3" t="s">
        <v>1477</v>
      </c>
      <c r="E24" s="5" t="s">
        <v>134</v>
      </c>
      <c r="F24" s="3" t="s">
        <v>1483</v>
      </c>
      <c r="G24" s="3" t="s">
        <v>1484</v>
      </c>
      <c r="H24" s="3" t="s">
        <v>33</v>
      </c>
      <c r="I24" s="3" t="s">
        <v>1474</v>
      </c>
      <c r="J24" s="3" t="s">
        <v>30</v>
      </c>
      <c r="K24" s="3" t="s">
        <v>797</v>
      </c>
      <c r="L24" s="5" t="s">
        <v>498</v>
      </c>
      <c r="M24" s="3" t="s">
        <v>927</v>
      </c>
      <c r="N24" s="3" t="s">
        <v>141</v>
      </c>
      <c r="O24" s="3" t="s">
        <v>1485</v>
      </c>
      <c r="P24" s="3" t="s">
        <v>664</v>
      </c>
      <c r="Q24" s="3" t="s">
        <v>1482</v>
      </c>
      <c r="R24" s="3" t="s">
        <v>1393</v>
      </c>
      <c r="S24" s="178" t="s">
        <v>1394</v>
      </c>
      <c r="T24" s="178" t="s">
        <v>1394</v>
      </c>
      <c r="U24" s="153">
        <v>18.32</v>
      </c>
      <c r="V24" s="162">
        <v>3.306</v>
      </c>
      <c r="W24" s="172">
        <v>94355.3</v>
      </c>
      <c r="X24" s="153">
        <v>57.146999999999998</v>
      </c>
      <c r="Y24" s="164">
        <v>5.7666723938155702E-2</v>
      </c>
      <c r="Z24" s="164">
        <v>1.1853730017392101E-3</v>
      </c>
    </row>
    <row r="25" spans="1:26">
      <c r="A25" s="3">
        <v>12904</v>
      </c>
      <c r="B25" s="3">
        <v>12905</v>
      </c>
      <c r="C25" s="3" t="s">
        <v>1500</v>
      </c>
      <c r="D25" s="3" t="s">
        <v>1503</v>
      </c>
      <c r="E25" s="5" t="s">
        <v>33</v>
      </c>
      <c r="F25" s="3" t="s">
        <v>1504</v>
      </c>
      <c r="G25" s="3" t="s">
        <v>1505</v>
      </c>
      <c r="H25" s="3" t="s">
        <v>33</v>
      </c>
      <c r="I25" s="3" t="s">
        <v>1474</v>
      </c>
      <c r="J25" s="3" t="s">
        <v>30</v>
      </c>
      <c r="K25" s="3" t="s">
        <v>224</v>
      </c>
      <c r="L25" s="5" t="s">
        <v>498</v>
      </c>
      <c r="M25" s="3" t="s">
        <v>285</v>
      </c>
      <c r="N25" s="3" t="s">
        <v>141</v>
      </c>
      <c r="O25" s="3" t="s">
        <v>1506</v>
      </c>
      <c r="P25" s="3" t="s">
        <v>664</v>
      </c>
      <c r="Q25" s="3" t="s">
        <v>498</v>
      </c>
      <c r="R25" s="3" t="s">
        <v>1393</v>
      </c>
      <c r="S25" s="178" t="s">
        <v>1394</v>
      </c>
      <c r="T25" s="178" t="s">
        <v>1394</v>
      </c>
      <c r="U25" s="153">
        <v>127000</v>
      </c>
      <c r="V25" s="162">
        <v>3.306</v>
      </c>
      <c r="W25" s="172">
        <v>100</v>
      </c>
      <c r="X25" s="153">
        <v>419.86200000000002</v>
      </c>
      <c r="Y25" s="164">
        <v>0.42367928601961802</v>
      </c>
      <c r="Z25" s="164">
        <v>8.7089737849925398E-3</v>
      </c>
    </row>
    <row r="26" spans="1:26">
      <c r="A26" s="3">
        <v>12904</v>
      </c>
      <c r="B26" s="3">
        <v>12905</v>
      </c>
      <c r="C26" s="3" t="s">
        <v>1500</v>
      </c>
      <c r="D26" s="3" t="s">
        <v>1503</v>
      </c>
      <c r="E26" s="5" t="s">
        <v>33</v>
      </c>
      <c r="F26" s="3" t="s">
        <v>1507</v>
      </c>
      <c r="G26" s="3" t="s">
        <v>1508</v>
      </c>
      <c r="H26" s="3" t="s">
        <v>33</v>
      </c>
      <c r="I26" s="3" t="s">
        <v>1474</v>
      </c>
      <c r="J26" s="3" t="s">
        <v>30</v>
      </c>
      <c r="K26" s="3" t="s">
        <v>224</v>
      </c>
      <c r="L26" s="5" t="s">
        <v>498</v>
      </c>
      <c r="M26" s="3" t="s">
        <v>285</v>
      </c>
      <c r="N26" s="3" t="s">
        <v>141</v>
      </c>
      <c r="O26" s="3" t="s">
        <v>1509</v>
      </c>
      <c r="P26" s="3" t="s">
        <v>34</v>
      </c>
      <c r="Q26" s="3" t="s">
        <v>498</v>
      </c>
      <c r="R26" s="3" t="s">
        <v>1393</v>
      </c>
      <c r="S26" s="178" t="s">
        <v>1394</v>
      </c>
      <c r="T26" s="178" t="s">
        <v>1394</v>
      </c>
      <c r="U26" s="153">
        <v>200000</v>
      </c>
      <c r="V26" s="162">
        <v>1</v>
      </c>
      <c r="W26" s="172">
        <v>100</v>
      </c>
      <c r="X26" s="153">
        <v>200</v>
      </c>
      <c r="Y26" s="164">
        <v>0.20181835270618401</v>
      </c>
      <c r="Z26" s="164">
        <v>4.1484934502253297E-3</v>
      </c>
    </row>
    <row r="27" spans="1:26">
      <c r="A27" s="3">
        <v>12904</v>
      </c>
      <c r="B27" s="3">
        <v>12905</v>
      </c>
      <c r="C27" s="3" t="s">
        <v>1510</v>
      </c>
      <c r="D27" s="3" t="s">
        <v>1511</v>
      </c>
      <c r="E27" s="5" t="s">
        <v>651</v>
      </c>
      <c r="F27" s="3" t="s">
        <v>1555</v>
      </c>
      <c r="G27" s="3" t="s">
        <v>1556</v>
      </c>
      <c r="H27" s="3" t="s">
        <v>33</v>
      </c>
      <c r="I27" s="3" t="s">
        <v>1474</v>
      </c>
      <c r="J27" s="3" t="s">
        <v>30</v>
      </c>
      <c r="K27" s="3" t="s">
        <v>224</v>
      </c>
      <c r="L27" s="5" t="s">
        <v>498</v>
      </c>
      <c r="M27" s="3" t="s">
        <v>1494</v>
      </c>
      <c r="N27" s="3" t="s">
        <v>141</v>
      </c>
      <c r="O27" s="3" t="s">
        <v>1557</v>
      </c>
      <c r="P27" s="3" t="s">
        <v>664</v>
      </c>
      <c r="Q27" s="3" t="s">
        <v>1482</v>
      </c>
      <c r="R27" s="3" t="s">
        <v>1393</v>
      </c>
      <c r="S27" s="178" t="s">
        <v>1394</v>
      </c>
      <c r="T27" s="178" t="s">
        <v>1394</v>
      </c>
      <c r="U27" s="153">
        <v>9656</v>
      </c>
      <c r="V27" s="162">
        <v>3.306</v>
      </c>
      <c r="W27" s="172">
        <v>966.46500000000003</v>
      </c>
      <c r="X27" s="153">
        <v>308.52199999999999</v>
      </c>
      <c r="Y27" s="164">
        <v>0.31132708019129501</v>
      </c>
      <c r="Z27" s="164">
        <v>6.3995089432309698E-3</v>
      </c>
    </row>
    <row r="28" spans="1:26">
      <c r="A28" s="3">
        <v>12904</v>
      </c>
      <c r="B28" s="3">
        <v>13680</v>
      </c>
      <c r="C28" s="3" t="s">
        <v>1476</v>
      </c>
      <c r="D28" s="3" t="s">
        <v>1477</v>
      </c>
      <c r="E28" s="5" t="s">
        <v>134</v>
      </c>
      <c r="F28" s="3" t="s">
        <v>1478</v>
      </c>
      <c r="G28" s="3" t="s">
        <v>1479</v>
      </c>
      <c r="H28" s="3" t="s">
        <v>33</v>
      </c>
      <c r="I28" s="3" t="s">
        <v>1474</v>
      </c>
      <c r="J28" s="3" t="s">
        <v>30</v>
      </c>
      <c r="K28" s="3" t="s">
        <v>797</v>
      </c>
      <c r="L28" s="5" t="s">
        <v>498</v>
      </c>
      <c r="M28" s="3" t="s">
        <v>1480</v>
      </c>
      <c r="N28" s="3" t="s">
        <v>141</v>
      </c>
      <c r="O28" s="3" t="s">
        <v>1481</v>
      </c>
      <c r="P28" s="3" t="s">
        <v>664</v>
      </c>
      <c r="Q28" s="3" t="s">
        <v>1482</v>
      </c>
      <c r="R28" s="3" t="s">
        <v>1393</v>
      </c>
      <c r="S28" s="178" t="s">
        <v>1394</v>
      </c>
      <c r="T28" s="178" t="s">
        <v>1394</v>
      </c>
      <c r="U28" s="153">
        <v>1.1599999999999999</v>
      </c>
      <c r="V28" s="162">
        <v>3.306</v>
      </c>
      <c r="W28" s="172">
        <v>94355.3</v>
      </c>
      <c r="X28" s="153">
        <v>3.6179999999999999</v>
      </c>
      <c r="Y28" s="164">
        <v>3.60712461727173E-3</v>
      </c>
      <c r="Z28" s="164">
        <v>6.7552293865862301E-5</v>
      </c>
    </row>
    <row r="29" spans="1:26">
      <c r="A29" s="3">
        <v>12904</v>
      </c>
      <c r="B29" s="3">
        <v>13680</v>
      </c>
      <c r="C29" s="3" t="s">
        <v>1483</v>
      </c>
      <c r="D29" s="3" t="s">
        <v>1477</v>
      </c>
      <c r="E29" s="5" t="s">
        <v>134</v>
      </c>
      <c r="F29" s="3" t="s">
        <v>1483</v>
      </c>
      <c r="G29" s="3" t="s">
        <v>1484</v>
      </c>
      <c r="H29" s="3" t="s">
        <v>33</v>
      </c>
      <c r="I29" s="3" t="s">
        <v>1474</v>
      </c>
      <c r="J29" s="3" t="s">
        <v>30</v>
      </c>
      <c r="K29" s="3" t="s">
        <v>797</v>
      </c>
      <c r="L29" s="5" t="s">
        <v>498</v>
      </c>
      <c r="M29" s="3" t="s">
        <v>927</v>
      </c>
      <c r="N29" s="3" t="s">
        <v>141</v>
      </c>
      <c r="O29" s="3" t="s">
        <v>1485</v>
      </c>
      <c r="P29" s="3" t="s">
        <v>664</v>
      </c>
      <c r="Q29" s="3" t="s">
        <v>1482</v>
      </c>
      <c r="R29" s="3" t="s">
        <v>1393</v>
      </c>
      <c r="S29" s="178" t="s">
        <v>1394</v>
      </c>
      <c r="T29" s="178" t="s">
        <v>1394</v>
      </c>
      <c r="U29" s="153">
        <v>12.21</v>
      </c>
      <c r="V29" s="162">
        <v>3.306</v>
      </c>
      <c r="W29" s="172">
        <v>94355.3</v>
      </c>
      <c r="X29" s="153">
        <v>38.088000000000001</v>
      </c>
      <c r="Y29" s="164">
        <v>3.7968096186972299E-2</v>
      </c>
      <c r="Z29" s="164">
        <v>7.1104612767429205E-4</v>
      </c>
    </row>
    <row r="30" spans="1:26">
      <c r="A30" s="3">
        <v>12904</v>
      </c>
      <c r="B30" s="3">
        <v>13680</v>
      </c>
      <c r="C30" s="3" t="s">
        <v>1500</v>
      </c>
      <c r="D30" s="3" t="s">
        <v>1503</v>
      </c>
      <c r="E30" s="5" t="s">
        <v>33</v>
      </c>
      <c r="F30" s="3" t="s">
        <v>1504</v>
      </c>
      <c r="G30" s="3" t="s">
        <v>1505</v>
      </c>
      <c r="H30" s="3" t="s">
        <v>33</v>
      </c>
      <c r="I30" s="3" t="s">
        <v>1474</v>
      </c>
      <c r="J30" s="3" t="s">
        <v>30</v>
      </c>
      <c r="K30" s="3" t="s">
        <v>224</v>
      </c>
      <c r="L30" s="5" t="s">
        <v>498</v>
      </c>
      <c r="M30" s="3" t="s">
        <v>285</v>
      </c>
      <c r="N30" s="3" t="s">
        <v>141</v>
      </c>
      <c r="O30" s="3" t="s">
        <v>1506</v>
      </c>
      <c r="P30" s="3" t="s">
        <v>664</v>
      </c>
      <c r="Q30" s="3" t="s">
        <v>498</v>
      </c>
      <c r="R30" s="3" t="s">
        <v>1393</v>
      </c>
      <c r="S30" s="178" t="s">
        <v>1394</v>
      </c>
      <c r="T30" s="178" t="s">
        <v>1394</v>
      </c>
      <c r="U30" s="153">
        <v>137000</v>
      </c>
      <c r="V30" s="162">
        <v>3.306</v>
      </c>
      <c r="W30" s="172">
        <v>100</v>
      </c>
      <c r="X30" s="153">
        <v>452.92200000000003</v>
      </c>
      <c r="Y30" s="164">
        <v>0.45149965678720799</v>
      </c>
      <c r="Z30" s="164">
        <v>8.4554432496136492E-3</v>
      </c>
    </row>
    <row r="31" spans="1:26">
      <c r="A31" s="3">
        <v>12904</v>
      </c>
      <c r="B31" s="3">
        <v>13680</v>
      </c>
      <c r="C31" s="3" t="s">
        <v>1500</v>
      </c>
      <c r="D31" s="3" t="s">
        <v>1503</v>
      </c>
      <c r="E31" s="5" t="s">
        <v>33</v>
      </c>
      <c r="F31" s="3" t="s">
        <v>1507</v>
      </c>
      <c r="G31" s="3" t="s">
        <v>1508</v>
      </c>
      <c r="H31" s="3" t="s">
        <v>33</v>
      </c>
      <c r="I31" s="3" t="s">
        <v>1474</v>
      </c>
      <c r="J31" s="3" t="s">
        <v>30</v>
      </c>
      <c r="K31" s="3" t="s">
        <v>224</v>
      </c>
      <c r="L31" s="5" t="s">
        <v>498</v>
      </c>
      <c r="M31" s="3" t="s">
        <v>285</v>
      </c>
      <c r="N31" s="3" t="s">
        <v>141</v>
      </c>
      <c r="O31" s="3" t="s">
        <v>1509</v>
      </c>
      <c r="P31" s="3" t="s">
        <v>34</v>
      </c>
      <c r="Q31" s="3" t="s">
        <v>498</v>
      </c>
      <c r="R31" s="3" t="s">
        <v>1393</v>
      </c>
      <c r="S31" s="178" t="s">
        <v>1394</v>
      </c>
      <c r="T31" s="178" t="s">
        <v>1394</v>
      </c>
      <c r="U31" s="153">
        <v>200000</v>
      </c>
      <c r="V31" s="162">
        <v>1</v>
      </c>
      <c r="W31" s="172">
        <v>100</v>
      </c>
      <c r="X31" s="153">
        <v>200</v>
      </c>
      <c r="Y31" s="164">
        <v>0.199371925756403</v>
      </c>
      <c r="Z31" s="164">
        <v>3.7337304214030901E-3</v>
      </c>
    </row>
    <row r="32" spans="1:26">
      <c r="A32" s="3">
        <v>12904</v>
      </c>
      <c r="B32" s="3">
        <v>13680</v>
      </c>
      <c r="C32" s="3" t="s">
        <v>1510</v>
      </c>
      <c r="D32" s="3" t="s">
        <v>1511</v>
      </c>
      <c r="E32" s="5" t="s">
        <v>651</v>
      </c>
      <c r="F32" s="3" t="s">
        <v>1555</v>
      </c>
      <c r="G32" s="3" t="s">
        <v>1556</v>
      </c>
      <c r="H32" s="3" t="s">
        <v>33</v>
      </c>
      <c r="I32" s="3" t="s">
        <v>1474</v>
      </c>
      <c r="J32" s="3" t="s">
        <v>30</v>
      </c>
      <c r="K32" s="3" t="s">
        <v>224</v>
      </c>
      <c r="L32" s="5" t="s">
        <v>498</v>
      </c>
      <c r="M32" s="3" t="s">
        <v>1494</v>
      </c>
      <c r="N32" s="3" t="s">
        <v>141</v>
      </c>
      <c r="O32" s="3" t="s">
        <v>1557</v>
      </c>
      <c r="P32" s="3" t="s">
        <v>664</v>
      </c>
      <c r="Q32" s="3" t="s">
        <v>1482</v>
      </c>
      <c r="R32" s="3" t="s">
        <v>1393</v>
      </c>
      <c r="S32" s="178" t="s">
        <v>1394</v>
      </c>
      <c r="T32" s="178" t="s">
        <v>1394</v>
      </c>
      <c r="U32" s="153">
        <v>9656</v>
      </c>
      <c r="V32" s="162">
        <v>3.306</v>
      </c>
      <c r="W32" s="172">
        <v>966.46500000000003</v>
      </c>
      <c r="X32" s="153">
        <v>308.52199999999999</v>
      </c>
      <c r="Y32" s="164">
        <v>0.30755319665214398</v>
      </c>
      <c r="Z32" s="164">
        <v>5.75969120117202E-3</v>
      </c>
    </row>
    <row r="33" spans="1:26">
      <c r="A33" s="3">
        <v>424</v>
      </c>
      <c r="B33" s="3">
        <v>7228</v>
      </c>
      <c r="C33" s="3" t="s">
        <v>1471</v>
      </c>
      <c r="D33" s="3" t="s">
        <v>1472</v>
      </c>
      <c r="E33" s="5" t="s">
        <v>33</v>
      </c>
      <c r="F33" s="3" t="s">
        <v>1471</v>
      </c>
      <c r="G33" s="3" t="s">
        <v>1473</v>
      </c>
      <c r="H33" s="3" t="s">
        <v>33</v>
      </c>
      <c r="I33" s="3" t="s">
        <v>1474</v>
      </c>
      <c r="J33" s="3" t="s">
        <v>30</v>
      </c>
      <c r="K33" s="3" t="s">
        <v>30</v>
      </c>
      <c r="L33" s="5" t="s">
        <v>498</v>
      </c>
      <c r="M33" s="3" t="s">
        <v>963</v>
      </c>
      <c r="N33" s="3" t="s">
        <v>141</v>
      </c>
      <c r="O33" s="3" t="s">
        <v>1475</v>
      </c>
      <c r="P33" s="3" t="s">
        <v>664</v>
      </c>
      <c r="Q33" s="3" t="s">
        <v>498</v>
      </c>
      <c r="R33" s="3" t="s">
        <v>1393</v>
      </c>
      <c r="S33" s="178" t="s">
        <v>1394</v>
      </c>
      <c r="T33" s="178" t="s">
        <v>1394</v>
      </c>
      <c r="U33" s="153">
        <v>82545</v>
      </c>
      <c r="V33" s="162">
        <v>3.306</v>
      </c>
      <c r="W33" s="172">
        <v>4924</v>
      </c>
      <c r="X33" s="153">
        <v>13437.289000000001</v>
      </c>
      <c r="Y33" s="164">
        <v>0.23370537444287701</v>
      </c>
      <c r="Z33" s="164">
        <v>5.2582590869273598E-3</v>
      </c>
    </row>
    <row r="34" spans="1:26">
      <c r="A34" s="3">
        <v>424</v>
      </c>
      <c r="B34" s="3">
        <v>7228</v>
      </c>
      <c r="C34" s="3" t="s">
        <v>1476</v>
      </c>
      <c r="D34" s="3" t="s">
        <v>1477</v>
      </c>
      <c r="E34" s="5" t="s">
        <v>134</v>
      </c>
      <c r="F34" s="3" t="s">
        <v>1478</v>
      </c>
      <c r="G34" s="3" t="s">
        <v>1479</v>
      </c>
      <c r="H34" s="3" t="s">
        <v>33</v>
      </c>
      <c r="I34" s="3" t="s">
        <v>1474</v>
      </c>
      <c r="J34" s="3" t="s">
        <v>30</v>
      </c>
      <c r="K34" s="3" t="s">
        <v>797</v>
      </c>
      <c r="L34" s="5" t="s">
        <v>498</v>
      </c>
      <c r="M34" s="3" t="s">
        <v>1480</v>
      </c>
      <c r="N34" s="3" t="s">
        <v>141</v>
      </c>
      <c r="O34" s="3" t="s">
        <v>1481</v>
      </c>
      <c r="P34" s="3" t="s">
        <v>664</v>
      </c>
      <c r="Q34" s="3" t="s">
        <v>1482</v>
      </c>
      <c r="R34" s="3" t="s">
        <v>1393</v>
      </c>
      <c r="S34" s="178" t="s">
        <v>1394</v>
      </c>
      <c r="T34" s="178" t="s">
        <v>1394</v>
      </c>
      <c r="U34" s="153">
        <v>232.78</v>
      </c>
      <c r="V34" s="162">
        <v>3.306</v>
      </c>
      <c r="W34" s="172">
        <v>94355.3</v>
      </c>
      <c r="X34" s="153">
        <v>726.13099999999997</v>
      </c>
      <c r="Y34" s="164">
        <v>1.26290838681026E-2</v>
      </c>
      <c r="Z34" s="164">
        <v>2.8414834347444498E-4</v>
      </c>
    </row>
    <row r="35" spans="1:26">
      <c r="A35" s="3">
        <v>424</v>
      </c>
      <c r="B35" s="3">
        <v>7228</v>
      </c>
      <c r="C35" s="3" t="s">
        <v>1483</v>
      </c>
      <c r="D35" s="3" t="s">
        <v>1477</v>
      </c>
      <c r="E35" s="5" t="s">
        <v>134</v>
      </c>
      <c r="F35" s="3" t="s">
        <v>1483</v>
      </c>
      <c r="G35" s="3" t="s">
        <v>1484</v>
      </c>
      <c r="H35" s="3" t="s">
        <v>33</v>
      </c>
      <c r="I35" s="3" t="s">
        <v>1474</v>
      </c>
      <c r="J35" s="3" t="s">
        <v>30</v>
      </c>
      <c r="K35" s="3" t="s">
        <v>797</v>
      </c>
      <c r="L35" s="5" t="s">
        <v>498</v>
      </c>
      <c r="M35" s="3" t="s">
        <v>927</v>
      </c>
      <c r="N35" s="3" t="s">
        <v>141</v>
      </c>
      <c r="O35" s="3" t="s">
        <v>1485</v>
      </c>
      <c r="P35" s="3" t="s">
        <v>664</v>
      </c>
      <c r="Q35" s="3" t="s">
        <v>1482</v>
      </c>
      <c r="R35" s="3" t="s">
        <v>1393</v>
      </c>
      <c r="S35" s="178" t="s">
        <v>1394</v>
      </c>
      <c r="T35" s="178" t="s">
        <v>1394</v>
      </c>
      <c r="U35" s="153">
        <v>2441.4</v>
      </c>
      <c r="V35" s="162">
        <v>3.306</v>
      </c>
      <c r="W35" s="172">
        <v>94355.3</v>
      </c>
      <c r="X35" s="153">
        <v>7615.67</v>
      </c>
      <c r="Y35" s="164">
        <v>0.132454013899758</v>
      </c>
      <c r="Z35" s="164">
        <v>2.9801519278224498E-3</v>
      </c>
    </row>
    <row r="36" spans="1:26">
      <c r="A36" s="3">
        <v>424</v>
      </c>
      <c r="B36" s="3">
        <v>7228</v>
      </c>
      <c r="C36" s="3" t="s">
        <v>1486</v>
      </c>
      <c r="D36" s="3" t="s">
        <v>1487</v>
      </c>
      <c r="E36" s="5" t="s">
        <v>33</v>
      </c>
      <c r="F36" s="3" t="s">
        <v>1486</v>
      </c>
      <c r="G36" s="3" t="s">
        <v>1488</v>
      </c>
      <c r="H36" s="3" t="s">
        <v>33</v>
      </c>
      <c r="I36" s="3" t="s">
        <v>1474</v>
      </c>
      <c r="J36" s="3" t="s">
        <v>30</v>
      </c>
      <c r="K36" s="3" t="s">
        <v>30</v>
      </c>
      <c r="L36" s="5" t="s">
        <v>498</v>
      </c>
      <c r="M36" s="3" t="s">
        <v>1059</v>
      </c>
      <c r="N36" s="3" t="s">
        <v>141</v>
      </c>
      <c r="O36" s="3" t="s">
        <v>1489</v>
      </c>
      <c r="P36" s="3" t="s">
        <v>664</v>
      </c>
      <c r="Q36" s="3" t="s">
        <v>498</v>
      </c>
      <c r="R36" s="3" t="s">
        <v>1393</v>
      </c>
      <c r="S36" s="178" t="s">
        <v>1394</v>
      </c>
      <c r="T36" s="178" t="s">
        <v>1394</v>
      </c>
      <c r="U36" s="153">
        <v>239148</v>
      </c>
      <c r="V36" s="162">
        <v>3.306</v>
      </c>
      <c r="W36" s="172">
        <v>0</v>
      </c>
      <c r="X36" s="153">
        <v>1E-3</v>
      </c>
      <c r="Y36" s="164">
        <v>1.37507579346266E-8</v>
      </c>
      <c r="Z36" s="164">
        <v>3.09385473202123E-10</v>
      </c>
    </row>
    <row r="37" spans="1:26">
      <c r="A37" s="3">
        <v>424</v>
      </c>
      <c r="B37" s="3">
        <v>7228</v>
      </c>
      <c r="C37" s="3" t="s">
        <v>1490</v>
      </c>
      <c r="D37" s="3" t="s">
        <v>1491</v>
      </c>
      <c r="E37" s="5" t="s">
        <v>134</v>
      </c>
      <c r="F37" s="3" t="s">
        <v>1492</v>
      </c>
      <c r="G37" s="3" t="s">
        <v>1493</v>
      </c>
      <c r="H37" s="3" t="s">
        <v>33</v>
      </c>
      <c r="I37" s="3" t="s">
        <v>1474</v>
      </c>
      <c r="J37" s="3" t="s">
        <v>30</v>
      </c>
      <c r="K37" s="3" t="s">
        <v>30</v>
      </c>
      <c r="L37" s="5" t="s">
        <v>498</v>
      </c>
      <c r="M37" s="3" t="s">
        <v>1494</v>
      </c>
      <c r="N37" s="3" t="s">
        <v>141</v>
      </c>
      <c r="O37" s="3" t="s">
        <v>1495</v>
      </c>
      <c r="P37" s="3" t="s">
        <v>664</v>
      </c>
      <c r="Q37" s="3" t="s">
        <v>1482</v>
      </c>
      <c r="R37" s="3" t="s">
        <v>1393</v>
      </c>
      <c r="S37" s="178" t="s">
        <v>1394</v>
      </c>
      <c r="T37" s="178" t="s">
        <v>1394</v>
      </c>
      <c r="U37" s="153">
        <v>437561</v>
      </c>
      <c r="V37" s="162">
        <v>3.306</v>
      </c>
      <c r="W37" s="172">
        <v>0</v>
      </c>
      <c r="X37" s="153">
        <v>1E-3</v>
      </c>
      <c r="Y37" s="164">
        <v>2.51592963045191E-8</v>
      </c>
      <c r="Z37" s="164">
        <v>5.6607212705017009E-10</v>
      </c>
    </row>
    <row r="38" spans="1:26">
      <c r="A38" s="3">
        <v>424</v>
      </c>
      <c r="B38" s="3">
        <v>7228</v>
      </c>
      <c r="C38" s="3" t="s">
        <v>1490</v>
      </c>
      <c r="D38" s="3" t="s">
        <v>1491</v>
      </c>
      <c r="E38" s="5" t="s">
        <v>134</v>
      </c>
      <c r="F38" s="3" t="s">
        <v>1490</v>
      </c>
      <c r="G38" s="3" t="s">
        <v>1496</v>
      </c>
      <c r="H38" s="3" t="s">
        <v>33</v>
      </c>
      <c r="I38" s="3" t="s">
        <v>1474</v>
      </c>
      <c r="J38" s="3" t="s">
        <v>30</v>
      </c>
      <c r="K38" s="3" t="s">
        <v>224</v>
      </c>
      <c r="L38" s="5" t="s">
        <v>498</v>
      </c>
      <c r="M38" s="3" t="s">
        <v>963</v>
      </c>
      <c r="N38" s="3" t="s">
        <v>141</v>
      </c>
      <c r="O38" s="3" t="s">
        <v>1497</v>
      </c>
      <c r="P38" s="3" t="s">
        <v>664</v>
      </c>
      <c r="Q38" s="3" t="s">
        <v>1482</v>
      </c>
      <c r="R38" s="3" t="s">
        <v>1393</v>
      </c>
      <c r="S38" s="178" t="s">
        <v>1394</v>
      </c>
      <c r="T38" s="178" t="s">
        <v>1394</v>
      </c>
      <c r="U38" s="153">
        <v>260000</v>
      </c>
      <c r="V38" s="162">
        <v>3.306</v>
      </c>
      <c r="W38" s="172">
        <v>0</v>
      </c>
      <c r="X38" s="153">
        <v>1E-3</v>
      </c>
      <c r="Y38" s="164">
        <v>1.4949725956323699E-8</v>
      </c>
      <c r="Z38" s="164">
        <v>3.3636167993272799E-10</v>
      </c>
    </row>
    <row r="39" spans="1:26">
      <c r="A39" s="3">
        <v>424</v>
      </c>
      <c r="B39" s="3">
        <v>7228</v>
      </c>
      <c r="C39" s="3" t="s">
        <v>1558</v>
      </c>
      <c r="D39" s="3" t="s">
        <v>1559</v>
      </c>
      <c r="E39" s="5" t="s">
        <v>33</v>
      </c>
      <c r="F39" s="3" t="s">
        <v>1558</v>
      </c>
      <c r="G39" s="3" t="s">
        <v>1560</v>
      </c>
      <c r="H39" s="3" t="s">
        <v>33</v>
      </c>
      <c r="I39" s="3" t="s">
        <v>1474</v>
      </c>
      <c r="J39" s="3" t="s">
        <v>30</v>
      </c>
      <c r="K39" s="3" t="s">
        <v>30</v>
      </c>
      <c r="L39" s="5" t="s">
        <v>498</v>
      </c>
      <c r="M39" s="3" t="s">
        <v>1059</v>
      </c>
      <c r="N39" s="3" t="s">
        <v>141</v>
      </c>
      <c r="P39" s="3" t="s">
        <v>664</v>
      </c>
      <c r="Q39" s="3" t="s">
        <v>498</v>
      </c>
      <c r="R39" s="3" t="s">
        <v>1393</v>
      </c>
      <c r="S39" s="178" t="s">
        <v>1394</v>
      </c>
      <c r="T39" s="178" t="s">
        <v>1394</v>
      </c>
      <c r="U39" s="153">
        <v>2939</v>
      </c>
      <c r="V39" s="162">
        <v>3.306</v>
      </c>
      <c r="W39" s="172">
        <v>12018.781999999999</v>
      </c>
      <c r="X39" s="153">
        <v>1167.7850000000001</v>
      </c>
      <c r="Y39" s="164">
        <v>2.0310467690834898E-2</v>
      </c>
      <c r="Z39" s="164">
        <v>4.5697580361456902E-4</v>
      </c>
    </row>
    <row r="40" spans="1:26">
      <c r="A40" s="3">
        <v>424</v>
      </c>
      <c r="B40" s="3">
        <v>7228</v>
      </c>
      <c r="C40" s="3" t="s">
        <v>1498</v>
      </c>
      <c r="D40" s="3" t="s">
        <v>1499</v>
      </c>
      <c r="E40" s="5" t="s">
        <v>134</v>
      </c>
      <c r="F40" s="3" t="s">
        <v>1500</v>
      </c>
      <c r="G40" s="3" t="s">
        <v>1501</v>
      </c>
      <c r="H40" s="3" t="s">
        <v>33</v>
      </c>
      <c r="I40" s="3" t="s">
        <v>1474</v>
      </c>
      <c r="J40" s="3" t="s">
        <v>30</v>
      </c>
      <c r="K40" s="3" t="s">
        <v>224</v>
      </c>
      <c r="L40" s="5" t="s">
        <v>498</v>
      </c>
      <c r="M40" s="3" t="s">
        <v>285</v>
      </c>
      <c r="N40" s="3" t="s">
        <v>141</v>
      </c>
      <c r="O40" s="3" t="s">
        <v>1502</v>
      </c>
      <c r="P40" s="3" t="s">
        <v>664</v>
      </c>
      <c r="Q40" s="3" t="s">
        <v>498</v>
      </c>
      <c r="R40" s="3" t="s">
        <v>1393</v>
      </c>
      <c r="S40" s="178" t="s">
        <v>1394</v>
      </c>
      <c r="T40" s="178" t="s">
        <v>1394</v>
      </c>
      <c r="U40" s="153">
        <v>2325794</v>
      </c>
      <c r="V40" s="162">
        <v>3.306</v>
      </c>
      <c r="W40" s="172">
        <v>276.279</v>
      </c>
      <c r="X40" s="153">
        <v>21243.314999999999</v>
      </c>
      <c r="Y40" s="164">
        <v>0.369470118005854</v>
      </c>
      <c r="Z40" s="164">
        <v>8.3129008478462201E-3</v>
      </c>
    </row>
    <row r="41" spans="1:26">
      <c r="A41" s="3">
        <v>424</v>
      </c>
      <c r="B41" s="3">
        <v>7228</v>
      </c>
      <c r="C41" s="3" t="s">
        <v>1500</v>
      </c>
      <c r="D41" s="3" t="s">
        <v>1503</v>
      </c>
      <c r="E41" s="5" t="s">
        <v>33</v>
      </c>
      <c r="F41" s="3" t="s">
        <v>1504</v>
      </c>
      <c r="G41" s="3" t="s">
        <v>1505</v>
      </c>
      <c r="H41" s="3" t="s">
        <v>33</v>
      </c>
      <c r="I41" s="3" t="s">
        <v>1474</v>
      </c>
      <c r="J41" s="3" t="s">
        <v>30</v>
      </c>
      <c r="K41" s="3" t="s">
        <v>224</v>
      </c>
      <c r="L41" s="5" t="s">
        <v>498</v>
      </c>
      <c r="M41" s="3" t="s">
        <v>285</v>
      </c>
      <c r="N41" s="3" t="s">
        <v>141</v>
      </c>
      <c r="O41" s="3" t="s">
        <v>1506</v>
      </c>
      <c r="P41" s="3" t="s">
        <v>664</v>
      </c>
      <c r="Q41" s="3" t="s">
        <v>498</v>
      </c>
      <c r="R41" s="3" t="s">
        <v>1393</v>
      </c>
      <c r="S41" s="178" t="s">
        <v>1394</v>
      </c>
      <c r="T41" s="178" t="s">
        <v>1394</v>
      </c>
      <c r="U41" s="153">
        <v>150000</v>
      </c>
      <c r="V41" s="162">
        <v>3.306</v>
      </c>
      <c r="W41" s="172">
        <v>100</v>
      </c>
      <c r="X41" s="153">
        <v>495.9</v>
      </c>
      <c r="Y41" s="164">
        <v>8.6248418978790795E-3</v>
      </c>
      <c r="Z41" s="164">
        <v>1.9405481534580401E-4</v>
      </c>
    </row>
    <row r="42" spans="1:26">
      <c r="A42" s="3">
        <v>424</v>
      </c>
      <c r="B42" s="3">
        <v>7228</v>
      </c>
      <c r="C42" s="3" t="s">
        <v>1500</v>
      </c>
      <c r="D42" s="3" t="s">
        <v>1503</v>
      </c>
      <c r="E42" s="5" t="s">
        <v>33</v>
      </c>
      <c r="F42" s="3" t="s">
        <v>1507</v>
      </c>
      <c r="G42" s="3" t="s">
        <v>1508</v>
      </c>
      <c r="H42" s="3" t="s">
        <v>33</v>
      </c>
      <c r="I42" s="3" t="s">
        <v>1474</v>
      </c>
      <c r="J42" s="3" t="s">
        <v>30</v>
      </c>
      <c r="K42" s="3" t="s">
        <v>224</v>
      </c>
      <c r="L42" s="5" t="s">
        <v>498</v>
      </c>
      <c r="M42" s="3" t="s">
        <v>285</v>
      </c>
      <c r="N42" s="3" t="s">
        <v>141</v>
      </c>
      <c r="O42" s="3" t="s">
        <v>1509</v>
      </c>
      <c r="P42" s="3" t="s">
        <v>34</v>
      </c>
      <c r="Q42" s="3" t="s">
        <v>498</v>
      </c>
      <c r="R42" s="3" t="s">
        <v>1393</v>
      </c>
      <c r="S42" s="178" t="s">
        <v>1394</v>
      </c>
      <c r="T42" s="178" t="s">
        <v>1394</v>
      </c>
      <c r="U42" s="153">
        <v>5450000</v>
      </c>
      <c r="V42" s="162">
        <v>1</v>
      </c>
      <c r="W42" s="172">
        <v>100</v>
      </c>
      <c r="X42" s="153">
        <v>5450</v>
      </c>
      <c r="Y42" s="164">
        <v>9.4788038603430103E-2</v>
      </c>
      <c r="Z42" s="164">
        <v>2.1326855084384598E-3</v>
      </c>
    </row>
    <row r="43" spans="1:26">
      <c r="A43" s="3">
        <v>424</v>
      </c>
      <c r="B43" s="3">
        <v>7228</v>
      </c>
      <c r="C43" s="3" t="s">
        <v>1510</v>
      </c>
      <c r="D43" s="3" t="s">
        <v>1511</v>
      </c>
      <c r="E43" s="5" t="s">
        <v>651</v>
      </c>
      <c r="F43" s="3" t="s">
        <v>1512</v>
      </c>
      <c r="G43" s="3" t="s">
        <v>1513</v>
      </c>
      <c r="H43" s="3" t="s">
        <v>33</v>
      </c>
      <c r="I43" s="3" t="s">
        <v>1474</v>
      </c>
      <c r="J43" s="3" t="s">
        <v>572</v>
      </c>
      <c r="K43" s="3" t="s">
        <v>224</v>
      </c>
      <c r="L43" s="5" t="s">
        <v>498</v>
      </c>
      <c r="M43" s="3" t="s">
        <v>1514</v>
      </c>
      <c r="N43" s="3" t="s">
        <v>141</v>
      </c>
      <c r="O43" s="3" t="s">
        <v>1515</v>
      </c>
      <c r="P43" s="3" t="s">
        <v>664</v>
      </c>
      <c r="Q43" s="3" t="s">
        <v>1482</v>
      </c>
      <c r="R43" s="3" t="s">
        <v>1393</v>
      </c>
      <c r="S43" s="178" t="s">
        <v>1394</v>
      </c>
      <c r="T43" s="178" t="s">
        <v>1394</v>
      </c>
      <c r="U43" s="153">
        <v>47505</v>
      </c>
      <c r="V43" s="162">
        <v>3.306</v>
      </c>
      <c r="W43" s="172">
        <v>995.12</v>
      </c>
      <c r="X43" s="153">
        <v>1562.8510000000001</v>
      </c>
      <c r="Y43" s="164">
        <v>2.7181577704045001E-2</v>
      </c>
      <c r="Z43" s="164">
        <v>6.1157249079118602E-4</v>
      </c>
    </row>
    <row r="44" spans="1:26">
      <c r="A44" s="3">
        <v>424</v>
      </c>
      <c r="B44" s="3">
        <v>7228</v>
      </c>
      <c r="C44" s="3" t="s">
        <v>1516</v>
      </c>
      <c r="D44" s="3" t="s">
        <v>1517</v>
      </c>
      <c r="E44" s="5" t="s">
        <v>134</v>
      </c>
      <c r="F44" s="3" t="s">
        <v>1516</v>
      </c>
      <c r="G44" s="3" t="s">
        <v>1518</v>
      </c>
      <c r="H44" s="3" t="s">
        <v>33</v>
      </c>
      <c r="I44" s="3" t="s">
        <v>1474</v>
      </c>
      <c r="J44" s="3" t="s">
        <v>30</v>
      </c>
      <c r="K44" s="3" t="s">
        <v>797</v>
      </c>
      <c r="L44" s="5" t="s">
        <v>498</v>
      </c>
      <c r="M44" s="3" t="s">
        <v>1514</v>
      </c>
      <c r="N44" s="3" t="s">
        <v>141</v>
      </c>
      <c r="O44" s="3" t="s">
        <v>1519</v>
      </c>
      <c r="P44" s="3" t="s">
        <v>664</v>
      </c>
      <c r="Q44" s="3" t="s">
        <v>1482</v>
      </c>
      <c r="R44" s="3" t="s">
        <v>1393</v>
      </c>
      <c r="S44" s="178" t="s">
        <v>1394</v>
      </c>
      <c r="T44" s="178" t="s">
        <v>1394</v>
      </c>
      <c r="U44" s="153">
        <v>342143</v>
      </c>
      <c r="V44" s="162">
        <v>3.306</v>
      </c>
      <c r="W44" s="172">
        <v>0</v>
      </c>
      <c r="X44" s="153">
        <v>1E-3</v>
      </c>
      <c r="Y44" s="164">
        <v>1.9672861876440299E-8</v>
      </c>
      <c r="Z44" s="164">
        <v>4.42629977912397E-10</v>
      </c>
    </row>
    <row r="45" spans="1:26">
      <c r="A45" s="3">
        <v>424</v>
      </c>
      <c r="B45" s="3">
        <v>7228</v>
      </c>
      <c r="C45" s="3" t="s">
        <v>1520</v>
      </c>
      <c r="D45" s="3" t="s">
        <v>1521</v>
      </c>
      <c r="E45" s="5" t="s">
        <v>134</v>
      </c>
      <c r="F45" s="3" t="s">
        <v>1522</v>
      </c>
      <c r="G45" s="3" t="s">
        <v>1521</v>
      </c>
      <c r="H45" s="3" t="s">
        <v>33</v>
      </c>
      <c r="I45" s="3" t="s">
        <v>1474</v>
      </c>
      <c r="J45" s="3" t="s">
        <v>30</v>
      </c>
      <c r="K45" s="3" t="s">
        <v>224</v>
      </c>
      <c r="L45" s="5" t="s">
        <v>498</v>
      </c>
      <c r="M45" s="3" t="s">
        <v>1514</v>
      </c>
      <c r="N45" s="3" t="s">
        <v>141</v>
      </c>
      <c r="O45" s="3" t="s">
        <v>1523</v>
      </c>
      <c r="P45" s="3" t="s">
        <v>664</v>
      </c>
      <c r="Q45" s="3" t="s">
        <v>1482</v>
      </c>
      <c r="R45" s="3" t="s">
        <v>1393</v>
      </c>
      <c r="S45" s="178" t="s">
        <v>1394</v>
      </c>
      <c r="T45" s="178" t="s">
        <v>1394</v>
      </c>
      <c r="U45" s="153">
        <v>2925086</v>
      </c>
      <c r="V45" s="162">
        <v>3.306</v>
      </c>
      <c r="W45" s="172">
        <v>0.32500000000000001</v>
      </c>
      <c r="X45" s="153">
        <v>31.428999999999998</v>
      </c>
      <c r="Y45" s="164">
        <v>5.4661542623348999E-4</v>
      </c>
      <c r="Z45" s="164">
        <v>1.2298585511346299E-5</v>
      </c>
    </row>
    <row r="46" spans="1:26">
      <c r="A46" s="3">
        <v>424</v>
      </c>
      <c r="B46" s="3">
        <v>7228</v>
      </c>
      <c r="C46" s="3" t="s">
        <v>1524</v>
      </c>
      <c r="D46" s="3" t="s">
        <v>1525</v>
      </c>
      <c r="E46" s="5" t="s">
        <v>134</v>
      </c>
      <c r="F46" s="3" t="s">
        <v>1524</v>
      </c>
      <c r="G46" s="3" t="s">
        <v>1526</v>
      </c>
      <c r="H46" s="3" t="s">
        <v>33</v>
      </c>
      <c r="I46" s="3" t="s">
        <v>1474</v>
      </c>
      <c r="J46" s="3" t="s">
        <v>30</v>
      </c>
      <c r="K46" s="3" t="s">
        <v>224</v>
      </c>
      <c r="L46" s="5" t="s">
        <v>498</v>
      </c>
      <c r="M46" s="3" t="s">
        <v>927</v>
      </c>
      <c r="N46" s="3" t="s">
        <v>141</v>
      </c>
      <c r="O46" s="3" t="s">
        <v>1527</v>
      </c>
      <c r="P46" s="3" t="s">
        <v>664</v>
      </c>
      <c r="Q46" s="3" t="s">
        <v>1482</v>
      </c>
      <c r="R46" s="3" t="s">
        <v>1393</v>
      </c>
      <c r="S46" s="178" t="s">
        <v>1394</v>
      </c>
      <c r="T46" s="178" t="s">
        <v>1394</v>
      </c>
      <c r="U46" s="153">
        <v>21628</v>
      </c>
      <c r="V46" s="162">
        <v>3.306</v>
      </c>
      <c r="W46" s="172">
        <v>1387.07</v>
      </c>
      <c r="X46" s="153">
        <v>991.78499999999997</v>
      </c>
      <c r="Y46" s="164">
        <v>1.72494250275016E-2</v>
      </c>
      <c r="Z46" s="164">
        <v>3.8810380852966899E-4</v>
      </c>
    </row>
    <row r="47" spans="1:26">
      <c r="A47" s="3">
        <v>424</v>
      </c>
      <c r="B47" s="3">
        <v>7228</v>
      </c>
      <c r="C47" s="3" t="s">
        <v>1476</v>
      </c>
      <c r="D47" s="3" t="s">
        <v>1528</v>
      </c>
      <c r="E47" s="5" t="s">
        <v>134</v>
      </c>
      <c r="F47" s="3" t="s">
        <v>1529</v>
      </c>
      <c r="G47" s="3" t="s">
        <v>1530</v>
      </c>
      <c r="H47" s="3" t="s">
        <v>33</v>
      </c>
      <c r="I47" s="3" t="s">
        <v>1474</v>
      </c>
      <c r="J47" s="3" t="s">
        <v>30</v>
      </c>
      <c r="K47" s="3" t="s">
        <v>224</v>
      </c>
      <c r="L47" s="5" t="s">
        <v>498</v>
      </c>
      <c r="M47" s="3" t="s">
        <v>1514</v>
      </c>
      <c r="N47" s="3" t="s">
        <v>141</v>
      </c>
      <c r="O47" s="3" t="s">
        <v>1531</v>
      </c>
      <c r="P47" s="3" t="s">
        <v>664</v>
      </c>
      <c r="Q47" s="3" t="s">
        <v>1482</v>
      </c>
      <c r="R47" s="3" t="s">
        <v>1393</v>
      </c>
      <c r="S47" s="178" t="s">
        <v>1394</v>
      </c>
      <c r="T47" s="178" t="s">
        <v>1394</v>
      </c>
      <c r="U47" s="153">
        <v>41703</v>
      </c>
      <c r="V47" s="162">
        <v>3.306</v>
      </c>
      <c r="W47" s="172">
        <v>0</v>
      </c>
      <c r="X47" s="153">
        <v>0</v>
      </c>
      <c r="Y47" s="164">
        <v>2.39787854444834E-9</v>
      </c>
      <c r="Z47" s="164">
        <v>5.3951119762440493E-11</v>
      </c>
    </row>
    <row r="48" spans="1:26">
      <c r="A48" s="3">
        <v>424</v>
      </c>
      <c r="B48" s="3">
        <v>7228</v>
      </c>
      <c r="C48" s="3" t="s">
        <v>1532</v>
      </c>
      <c r="D48" s="3" t="s">
        <v>1533</v>
      </c>
      <c r="E48" s="5" t="s">
        <v>134</v>
      </c>
      <c r="F48" s="3" t="s">
        <v>1532</v>
      </c>
      <c r="G48" s="3" t="s">
        <v>1534</v>
      </c>
      <c r="H48" s="3" t="s">
        <v>33</v>
      </c>
      <c r="I48" s="3" t="s">
        <v>1474</v>
      </c>
      <c r="J48" s="3" t="s">
        <v>30</v>
      </c>
      <c r="K48" s="3" t="s">
        <v>224</v>
      </c>
      <c r="L48" s="5" t="s">
        <v>498</v>
      </c>
      <c r="M48" s="3" t="s">
        <v>963</v>
      </c>
      <c r="N48" s="3" t="s">
        <v>141</v>
      </c>
      <c r="O48" s="3" t="s">
        <v>1531</v>
      </c>
      <c r="P48" s="3" t="s">
        <v>664</v>
      </c>
      <c r="Q48" s="3" t="s">
        <v>1482</v>
      </c>
      <c r="R48" s="3" t="s">
        <v>1393</v>
      </c>
      <c r="S48" s="178" t="s">
        <v>1394</v>
      </c>
      <c r="T48" s="178" t="s">
        <v>1394</v>
      </c>
      <c r="U48" s="153">
        <v>72735</v>
      </c>
      <c r="V48" s="162">
        <v>3.306</v>
      </c>
      <c r="W48" s="172">
        <v>830.053</v>
      </c>
      <c r="X48" s="153">
        <v>1995.961</v>
      </c>
      <c r="Y48" s="164">
        <v>3.4714350635258601E-2</v>
      </c>
      <c r="Z48" s="164">
        <v>7.8105627698881797E-4</v>
      </c>
    </row>
    <row r="49" spans="1:26">
      <c r="A49" s="3">
        <v>424</v>
      </c>
      <c r="B49" s="3">
        <v>7228</v>
      </c>
      <c r="C49" s="3" t="s">
        <v>1561</v>
      </c>
      <c r="D49" s="3" t="s">
        <v>1562</v>
      </c>
      <c r="E49" s="5" t="s">
        <v>134</v>
      </c>
      <c r="F49" s="3" t="s">
        <v>1563</v>
      </c>
      <c r="G49" s="3" t="s">
        <v>1564</v>
      </c>
      <c r="H49" s="3" t="s">
        <v>33</v>
      </c>
      <c r="I49" s="3" t="s">
        <v>1474</v>
      </c>
      <c r="J49" s="3" t="s">
        <v>30</v>
      </c>
      <c r="K49" s="3" t="s">
        <v>30</v>
      </c>
      <c r="L49" s="5" t="s">
        <v>498</v>
      </c>
      <c r="M49" s="3" t="s">
        <v>1565</v>
      </c>
      <c r="N49" s="3" t="s">
        <v>141</v>
      </c>
      <c r="P49" s="3" t="s">
        <v>664</v>
      </c>
      <c r="Q49" s="3" t="s">
        <v>1359</v>
      </c>
      <c r="R49" s="3" t="s">
        <v>1360</v>
      </c>
      <c r="S49" s="178" t="s">
        <v>1566</v>
      </c>
      <c r="T49" s="178" t="s">
        <v>1361</v>
      </c>
      <c r="U49" s="153">
        <v>198592</v>
      </c>
      <c r="V49" s="162">
        <v>3.306</v>
      </c>
      <c r="W49" s="172">
        <v>0</v>
      </c>
      <c r="X49" s="153">
        <v>1E-3</v>
      </c>
      <c r="Y49" s="164">
        <v>9.8201943858526608E-9</v>
      </c>
      <c r="Z49" s="164">
        <v>2.2094967429781602E-10</v>
      </c>
    </row>
    <row r="50" spans="1:26">
      <c r="A50" s="3">
        <v>424</v>
      </c>
      <c r="B50" s="3">
        <v>7228</v>
      </c>
      <c r="C50" s="3" t="s">
        <v>1567</v>
      </c>
      <c r="D50" s="3" t="s">
        <v>1568</v>
      </c>
      <c r="E50" s="5" t="s">
        <v>134</v>
      </c>
      <c r="F50" s="3" t="s">
        <v>1569</v>
      </c>
      <c r="G50" s="3" t="s">
        <v>1570</v>
      </c>
      <c r="H50" s="3" t="s">
        <v>33</v>
      </c>
      <c r="I50" s="3" t="s">
        <v>1474</v>
      </c>
      <c r="J50" s="3" t="s">
        <v>30</v>
      </c>
      <c r="K50" s="3" t="s">
        <v>30</v>
      </c>
      <c r="L50" s="5" t="s">
        <v>498</v>
      </c>
      <c r="M50" s="3" t="s">
        <v>1571</v>
      </c>
      <c r="N50" s="3" t="s">
        <v>141</v>
      </c>
      <c r="O50" s="3" t="s">
        <v>1572</v>
      </c>
      <c r="P50" s="3" t="s">
        <v>34</v>
      </c>
      <c r="Q50" s="3" t="s">
        <v>498</v>
      </c>
      <c r="R50" s="3" t="s">
        <v>1393</v>
      </c>
      <c r="S50" s="178" t="s">
        <v>1394</v>
      </c>
      <c r="T50" s="178" t="s">
        <v>1394</v>
      </c>
      <c r="U50" s="153">
        <v>200000</v>
      </c>
      <c r="V50" s="162">
        <v>1</v>
      </c>
      <c r="W50" s="172">
        <v>20</v>
      </c>
      <c r="X50" s="153">
        <v>40</v>
      </c>
      <c r="Y50" s="164">
        <v>6.9569202644719397E-4</v>
      </c>
      <c r="Z50" s="164">
        <v>1.56527376766126E-5</v>
      </c>
    </row>
    <row r="51" spans="1:26">
      <c r="A51" s="3">
        <v>424</v>
      </c>
      <c r="B51" s="3">
        <v>7228</v>
      </c>
      <c r="C51" s="3" t="s">
        <v>1567</v>
      </c>
      <c r="D51" s="3" t="s">
        <v>1568</v>
      </c>
      <c r="E51" s="5" t="s">
        <v>134</v>
      </c>
      <c r="F51" s="3" t="s">
        <v>1573</v>
      </c>
      <c r="G51" s="3" t="s">
        <v>1574</v>
      </c>
      <c r="H51" s="3" t="s">
        <v>33</v>
      </c>
      <c r="I51" s="3" t="s">
        <v>1474</v>
      </c>
      <c r="J51" s="3" t="s">
        <v>30</v>
      </c>
      <c r="K51" s="3" t="s">
        <v>30</v>
      </c>
      <c r="L51" s="5" t="s">
        <v>498</v>
      </c>
      <c r="M51" s="3" t="s">
        <v>1571</v>
      </c>
      <c r="N51" s="3" t="s">
        <v>141</v>
      </c>
      <c r="P51" s="3" t="s">
        <v>664</v>
      </c>
      <c r="Q51" s="3" t="s">
        <v>498</v>
      </c>
      <c r="R51" s="3" t="s">
        <v>1393</v>
      </c>
      <c r="S51" s="178" t="s">
        <v>1394</v>
      </c>
      <c r="T51" s="178" t="s">
        <v>1394</v>
      </c>
      <c r="U51" s="153">
        <v>68145</v>
      </c>
      <c r="V51" s="162">
        <v>3.306</v>
      </c>
      <c r="W51" s="172">
        <v>344.85300000000001</v>
      </c>
      <c r="X51" s="153">
        <v>776.91</v>
      </c>
      <c r="Y51" s="164">
        <v>1.35122528072056E-2</v>
      </c>
      <c r="Z51" s="164">
        <v>3.0401922197007399E-4</v>
      </c>
    </row>
    <row r="52" spans="1:26">
      <c r="A52" s="3">
        <v>424</v>
      </c>
      <c r="B52" s="3">
        <v>7228</v>
      </c>
      <c r="C52" s="3" t="s">
        <v>635</v>
      </c>
      <c r="D52" s="3" t="s">
        <v>636</v>
      </c>
      <c r="E52" s="5" t="s">
        <v>134</v>
      </c>
      <c r="F52" s="3" t="s">
        <v>1535</v>
      </c>
      <c r="G52" s="3" t="s">
        <v>1536</v>
      </c>
      <c r="H52" s="3" t="s">
        <v>33</v>
      </c>
      <c r="I52" s="3" t="s">
        <v>1474</v>
      </c>
      <c r="J52" s="3" t="s">
        <v>30</v>
      </c>
      <c r="K52" s="3" t="s">
        <v>30</v>
      </c>
      <c r="L52" s="5" t="s">
        <v>498</v>
      </c>
      <c r="M52" s="3" t="s">
        <v>378</v>
      </c>
      <c r="N52" s="3" t="s">
        <v>141</v>
      </c>
      <c r="O52" s="3" t="s">
        <v>1537</v>
      </c>
      <c r="P52" s="3" t="s">
        <v>34</v>
      </c>
      <c r="Q52" s="3" t="s">
        <v>1482</v>
      </c>
      <c r="R52" s="3" t="s">
        <v>1393</v>
      </c>
      <c r="S52" s="178" t="s">
        <v>1394</v>
      </c>
      <c r="T52" s="178" t="s">
        <v>1394</v>
      </c>
      <c r="U52" s="153">
        <v>688</v>
      </c>
      <c r="V52" s="162">
        <v>1</v>
      </c>
      <c r="W52" s="172">
        <v>161345.59099999999</v>
      </c>
      <c r="X52" s="153">
        <v>1110.058</v>
      </c>
      <c r="Y52" s="164">
        <v>1.9306456667745001E-2</v>
      </c>
      <c r="Z52" s="164">
        <v>4.3438603605734899E-4</v>
      </c>
    </row>
    <row r="53" spans="1:26">
      <c r="A53" s="3">
        <v>424</v>
      </c>
      <c r="B53" s="3">
        <v>7228</v>
      </c>
      <c r="C53" s="3" t="s">
        <v>1538</v>
      </c>
      <c r="D53" s="3" t="s">
        <v>1539</v>
      </c>
      <c r="E53" s="5" t="s">
        <v>134</v>
      </c>
      <c r="F53" s="3" t="s">
        <v>1538</v>
      </c>
      <c r="G53" s="3" t="s">
        <v>1540</v>
      </c>
      <c r="H53" s="3" t="s">
        <v>33</v>
      </c>
      <c r="I53" s="3" t="s">
        <v>1474</v>
      </c>
      <c r="J53" s="3" t="s">
        <v>30</v>
      </c>
      <c r="K53" s="3" t="s">
        <v>30</v>
      </c>
      <c r="L53" s="5" t="s">
        <v>498</v>
      </c>
      <c r="M53" s="3" t="s">
        <v>1051</v>
      </c>
      <c r="N53" s="3" t="s">
        <v>141</v>
      </c>
      <c r="O53" s="3" t="s">
        <v>1541</v>
      </c>
      <c r="P53" s="3" t="s">
        <v>664</v>
      </c>
      <c r="Q53" s="3" t="s">
        <v>498</v>
      </c>
      <c r="R53" s="3" t="s">
        <v>1393</v>
      </c>
      <c r="S53" s="178" t="s">
        <v>1394</v>
      </c>
      <c r="T53" s="178" t="s">
        <v>1394</v>
      </c>
      <c r="U53" s="153">
        <v>256208.76</v>
      </c>
      <c r="V53" s="162">
        <v>3.306</v>
      </c>
      <c r="W53" s="172">
        <v>0</v>
      </c>
      <c r="X53" s="153">
        <v>1E-3</v>
      </c>
      <c r="Y53" s="164">
        <v>1.47317336523443E-8</v>
      </c>
      <c r="Z53" s="164">
        <v>3.3145695741185005E-10</v>
      </c>
    </row>
    <row r="54" spans="1:26">
      <c r="A54" s="3">
        <v>424</v>
      </c>
      <c r="B54" s="3">
        <v>7228</v>
      </c>
      <c r="C54" s="3" t="s">
        <v>1542</v>
      </c>
      <c r="D54" s="3" t="s">
        <v>1543</v>
      </c>
      <c r="E54" s="5" t="s">
        <v>33</v>
      </c>
      <c r="F54" s="3" t="s">
        <v>1544</v>
      </c>
      <c r="G54" s="3" t="s">
        <v>1545</v>
      </c>
      <c r="H54" s="3" t="s">
        <v>137</v>
      </c>
      <c r="I54" s="3" t="s">
        <v>1474</v>
      </c>
      <c r="J54" s="3" t="s">
        <v>572</v>
      </c>
      <c r="K54" s="3" t="s">
        <v>797</v>
      </c>
      <c r="L54" s="5" t="s">
        <v>498</v>
      </c>
      <c r="M54" s="3" t="s">
        <v>905</v>
      </c>
      <c r="N54" s="3" t="s">
        <v>141</v>
      </c>
      <c r="P54" s="3" t="s">
        <v>664</v>
      </c>
      <c r="Q54" s="3" t="s">
        <v>1359</v>
      </c>
      <c r="R54" s="3" t="s">
        <v>1360</v>
      </c>
      <c r="S54" s="178" t="s">
        <v>1546</v>
      </c>
      <c r="T54" s="178" t="s">
        <v>1361</v>
      </c>
      <c r="U54" s="153">
        <v>118.77</v>
      </c>
      <c r="V54" s="162">
        <v>3.306</v>
      </c>
      <c r="W54" s="172">
        <v>0</v>
      </c>
      <c r="X54" s="153">
        <v>0</v>
      </c>
      <c r="Y54" s="164">
        <v>6.8291498147406599E-12</v>
      </c>
      <c r="Z54" s="164">
        <v>1.53652602790808E-13</v>
      </c>
    </row>
    <row r="55" spans="1:26">
      <c r="A55" s="3">
        <v>424</v>
      </c>
      <c r="B55" s="3">
        <v>7228</v>
      </c>
      <c r="C55" s="3" t="s">
        <v>1547</v>
      </c>
      <c r="D55" s="3" t="s">
        <v>1548</v>
      </c>
      <c r="E55" s="5" t="s">
        <v>33</v>
      </c>
      <c r="F55" s="3" t="s">
        <v>1547</v>
      </c>
      <c r="G55" s="3" t="s">
        <v>1549</v>
      </c>
      <c r="H55" s="3" t="s">
        <v>137</v>
      </c>
      <c r="I55" s="3" t="s">
        <v>1474</v>
      </c>
      <c r="J55" s="3" t="s">
        <v>572</v>
      </c>
      <c r="K55" s="3" t="s">
        <v>224</v>
      </c>
      <c r="L55" s="5" t="s">
        <v>498</v>
      </c>
      <c r="M55" s="3" t="s">
        <v>979</v>
      </c>
      <c r="N55" s="3" t="s">
        <v>141</v>
      </c>
      <c r="P55" s="3" t="s">
        <v>664</v>
      </c>
      <c r="Q55" s="3" t="s">
        <v>1359</v>
      </c>
      <c r="R55" s="3" t="s">
        <v>1360</v>
      </c>
      <c r="S55" s="178" t="s">
        <v>1546</v>
      </c>
      <c r="T55" s="178" t="s">
        <v>1361</v>
      </c>
      <c r="U55" s="153">
        <v>403.95</v>
      </c>
      <c r="V55" s="162">
        <v>3.306</v>
      </c>
      <c r="W55" s="172">
        <v>0</v>
      </c>
      <c r="X55" s="153">
        <v>0</v>
      </c>
      <c r="Y55" s="164">
        <v>2.3226699230988397E-11</v>
      </c>
      <c r="Z55" s="164">
        <v>5.2258961772625098E-13</v>
      </c>
    </row>
    <row r="56" spans="1:26">
      <c r="A56" s="3">
        <v>424</v>
      </c>
      <c r="B56" s="3">
        <v>7228</v>
      </c>
      <c r="C56" s="3" t="s">
        <v>1575</v>
      </c>
      <c r="D56" s="3" t="s">
        <v>1576</v>
      </c>
      <c r="E56" s="5" t="s">
        <v>33</v>
      </c>
      <c r="F56" s="3" t="s">
        <v>1575</v>
      </c>
      <c r="G56" s="3" t="s">
        <v>1577</v>
      </c>
      <c r="H56" s="3" t="s">
        <v>137</v>
      </c>
      <c r="I56" s="3" t="s">
        <v>1474</v>
      </c>
      <c r="J56" s="3" t="s">
        <v>572</v>
      </c>
      <c r="K56" s="3" t="s">
        <v>224</v>
      </c>
      <c r="L56" s="5" t="s">
        <v>498</v>
      </c>
      <c r="M56" s="3" t="s">
        <v>655</v>
      </c>
      <c r="N56" s="3" t="s">
        <v>141</v>
      </c>
      <c r="O56" s="3" t="s">
        <v>1578</v>
      </c>
      <c r="P56" s="3" t="s">
        <v>664</v>
      </c>
      <c r="Q56" s="3" t="s">
        <v>498</v>
      </c>
      <c r="R56" s="3" t="s">
        <v>1393</v>
      </c>
      <c r="S56" s="178" t="s">
        <v>1394</v>
      </c>
      <c r="T56" s="178" t="s">
        <v>1394</v>
      </c>
      <c r="U56" s="153">
        <v>475</v>
      </c>
      <c r="V56" s="162">
        <v>3.306</v>
      </c>
      <c r="W56" s="172">
        <v>0</v>
      </c>
      <c r="X56" s="153">
        <v>0</v>
      </c>
      <c r="Y56" s="164">
        <v>2.7311999343283797E-11</v>
      </c>
      <c r="Z56" s="164">
        <v>6.1450691526171404E-13</v>
      </c>
    </row>
    <row r="57" spans="1:26">
      <c r="A57" s="3">
        <v>424</v>
      </c>
      <c r="B57" s="3">
        <v>7228</v>
      </c>
      <c r="C57" s="3" t="s">
        <v>1579</v>
      </c>
      <c r="D57" s="3" t="s">
        <v>1580</v>
      </c>
      <c r="E57" s="5" t="s">
        <v>134</v>
      </c>
      <c r="F57" s="3" t="s">
        <v>1581</v>
      </c>
      <c r="G57" s="3" t="s">
        <v>1582</v>
      </c>
      <c r="H57" s="3" t="s">
        <v>137</v>
      </c>
      <c r="I57" s="3" t="s">
        <v>1474</v>
      </c>
      <c r="J57" s="3" t="s">
        <v>572</v>
      </c>
      <c r="K57" s="3" t="s">
        <v>1148</v>
      </c>
      <c r="L57" s="5" t="s">
        <v>498</v>
      </c>
      <c r="M57" s="3" t="s">
        <v>995</v>
      </c>
      <c r="N57" s="3" t="s">
        <v>141</v>
      </c>
      <c r="O57" s="3" t="s">
        <v>1583</v>
      </c>
      <c r="P57" s="3" t="s">
        <v>576</v>
      </c>
      <c r="Q57" s="3" t="s">
        <v>498</v>
      </c>
      <c r="R57" s="3" t="s">
        <v>1393</v>
      </c>
      <c r="S57" s="178" t="s">
        <v>1394</v>
      </c>
      <c r="T57" s="178" t="s">
        <v>1394</v>
      </c>
      <c r="U57" s="153">
        <v>30775.59</v>
      </c>
      <c r="V57" s="162">
        <v>3.8807</v>
      </c>
      <c r="W57" s="172">
        <v>0</v>
      </c>
      <c r="X57" s="153">
        <v>0</v>
      </c>
      <c r="Y57" s="164">
        <v>2.0771769403241904E-9</v>
      </c>
      <c r="Z57" s="164">
        <v>4.6735487139108596E-11</v>
      </c>
    </row>
    <row r="58" spans="1:26">
      <c r="A58" s="3">
        <v>424</v>
      </c>
      <c r="B58" s="3">
        <v>7228</v>
      </c>
      <c r="C58" s="3" t="s">
        <v>1550</v>
      </c>
      <c r="D58" s="3" t="s">
        <v>1551</v>
      </c>
      <c r="E58" s="5" t="s">
        <v>33</v>
      </c>
      <c r="F58" s="3" t="s">
        <v>1552</v>
      </c>
      <c r="G58" s="3" t="s">
        <v>1553</v>
      </c>
      <c r="H58" s="3" t="s">
        <v>33</v>
      </c>
      <c r="I58" s="3" t="s">
        <v>1474</v>
      </c>
      <c r="J58" s="3" t="s">
        <v>572</v>
      </c>
      <c r="K58" s="3" t="s">
        <v>224</v>
      </c>
      <c r="L58" s="5" t="s">
        <v>498</v>
      </c>
      <c r="M58" s="3" t="s">
        <v>927</v>
      </c>
      <c r="N58" s="3" t="s">
        <v>141</v>
      </c>
      <c r="O58" s="3" t="s">
        <v>1554</v>
      </c>
      <c r="P58" s="3" t="s">
        <v>664</v>
      </c>
      <c r="Q58" s="3" t="s">
        <v>1482</v>
      </c>
      <c r="R58" s="3" t="s">
        <v>1393</v>
      </c>
      <c r="S58" s="178" t="s">
        <v>1394</v>
      </c>
      <c r="T58" s="178" t="s">
        <v>1394</v>
      </c>
      <c r="U58" s="153">
        <v>64043</v>
      </c>
      <c r="V58" s="162">
        <v>3.306</v>
      </c>
      <c r="W58" s="172">
        <v>402</v>
      </c>
      <c r="X58" s="153">
        <v>851.13900000000001</v>
      </c>
      <c r="Y58" s="164">
        <v>1.4803268091045299E-2</v>
      </c>
      <c r="Z58" s="164">
        <v>3.3306644805032799E-4</v>
      </c>
    </row>
    <row r="59" spans="1:26">
      <c r="A59" s="3">
        <v>424</v>
      </c>
      <c r="B59" s="3">
        <v>7228</v>
      </c>
      <c r="C59" s="3" t="s">
        <v>1584</v>
      </c>
      <c r="D59" s="3" t="s">
        <v>1585</v>
      </c>
      <c r="E59" s="5" t="s">
        <v>651</v>
      </c>
      <c r="F59" s="3" t="s">
        <v>1586</v>
      </c>
      <c r="G59" s="3" t="s">
        <v>1587</v>
      </c>
      <c r="H59" s="3" t="s">
        <v>137</v>
      </c>
      <c r="I59" s="3" t="s">
        <v>1474</v>
      </c>
      <c r="J59" s="3" t="s">
        <v>572</v>
      </c>
      <c r="K59" s="3" t="s">
        <v>30</v>
      </c>
      <c r="L59" s="5" t="s">
        <v>498</v>
      </c>
      <c r="M59" s="3" t="s">
        <v>378</v>
      </c>
      <c r="N59" s="3" t="s">
        <v>141</v>
      </c>
      <c r="O59" s="3" t="s">
        <v>1588</v>
      </c>
      <c r="P59" s="3" t="s">
        <v>664</v>
      </c>
      <c r="Q59" s="3" t="s">
        <v>498</v>
      </c>
      <c r="R59" s="3" t="s">
        <v>1393</v>
      </c>
      <c r="S59" s="178" t="s">
        <v>1394</v>
      </c>
      <c r="T59" s="178" t="s">
        <v>1394</v>
      </c>
      <c r="U59" s="153">
        <v>12</v>
      </c>
      <c r="V59" s="162">
        <v>3.306</v>
      </c>
      <c r="W59" s="172">
        <v>1204</v>
      </c>
      <c r="X59" s="153">
        <v>0.47799999999999998</v>
      </c>
      <c r="Y59" s="164">
        <v>8.3074477160371298E-6</v>
      </c>
      <c r="Z59" s="164">
        <v>1.86913598141079E-7</v>
      </c>
    </row>
    <row r="60" spans="1:26">
      <c r="A60" s="3">
        <v>424</v>
      </c>
      <c r="B60" s="3">
        <v>7228</v>
      </c>
      <c r="C60" s="3" t="s">
        <v>1579</v>
      </c>
      <c r="D60" s="3" t="s">
        <v>1580</v>
      </c>
      <c r="E60" s="5" t="s">
        <v>134</v>
      </c>
      <c r="F60" s="3" t="s">
        <v>1589</v>
      </c>
      <c r="G60" s="3" t="s">
        <v>1590</v>
      </c>
      <c r="H60" s="3" t="s">
        <v>33</v>
      </c>
      <c r="I60" s="3" t="s">
        <v>1474</v>
      </c>
      <c r="J60" s="3" t="s">
        <v>572</v>
      </c>
      <c r="K60" s="3" t="s">
        <v>30</v>
      </c>
      <c r="L60" s="5" t="s">
        <v>498</v>
      </c>
      <c r="M60" s="3" t="s">
        <v>162</v>
      </c>
      <c r="N60" s="3" t="s">
        <v>141</v>
      </c>
      <c r="O60" s="3" t="s">
        <v>1583</v>
      </c>
      <c r="P60" s="3" t="s">
        <v>576</v>
      </c>
      <c r="Q60" s="3" t="s">
        <v>498</v>
      </c>
      <c r="R60" s="3" t="s">
        <v>1393</v>
      </c>
      <c r="S60" s="178" t="s">
        <v>1394</v>
      </c>
      <c r="T60" s="178" t="s">
        <v>1394</v>
      </c>
      <c r="U60" s="153">
        <v>44698.99</v>
      </c>
      <c r="V60" s="162">
        <v>3.8807</v>
      </c>
      <c r="W60" s="172">
        <v>0</v>
      </c>
      <c r="X60" s="153">
        <v>0</v>
      </c>
      <c r="Y60" s="164">
        <v>3.0169270933158903E-9</v>
      </c>
      <c r="Z60" s="164">
        <v>6.78794158706996E-11</v>
      </c>
    </row>
    <row r="61" spans="1:26">
      <c r="A61" s="3">
        <v>424</v>
      </c>
      <c r="B61" s="3">
        <v>7228</v>
      </c>
      <c r="C61" s="3" t="s">
        <v>1579</v>
      </c>
      <c r="D61" s="3" t="s">
        <v>1580</v>
      </c>
      <c r="E61" s="5" t="s">
        <v>134</v>
      </c>
      <c r="F61" s="3" t="s">
        <v>1591</v>
      </c>
      <c r="G61" s="3" t="s">
        <v>1592</v>
      </c>
      <c r="H61" s="3" t="s">
        <v>33</v>
      </c>
      <c r="I61" s="3" t="s">
        <v>1474</v>
      </c>
      <c r="J61" s="3" t="s">
        <v>572</v>
      </c>
      <c r="K61" s="3" t="s">
        <v>30</v>
      </c>
      <c r="L61" s="5" t="s">
        <v>498</v>
      </c>
      <c r="M61" s="3" t="s">
        <v>162</v>
      </c>
      <c r="N61" s="3" t="s">
        <v>141</v>
      </c>
      <c r="P61" s="3" t="s">
        <v>576</v>
      </c>
      <c r="Q61" s="3" t="s">
        <v>498</v>
      </c>
      <c r="R61" s="3" t="s">
        <v>1393</v>
      </c>
      <c r="S61" s="178" t="s">
        <v>1394</v>
      </c>
      <c r="T61" s="178" t="s">
        <v>1394</v>
      </c>
      <c r="U61" s="153">
        <v>150000</v>
      </c>
      <c r="V61" s="162">
        <v>3.8807</v>
      </c>
      <c r="W61" s="172">
        <v>0</v>
      </c>
      <c r="X61" s="153">
        <v>1E-3</v>
      </c>
      <c r="Y61" s="164">
        <v>1.0124145176376101E-8</v>
      </c>
      <c r="Z61" s="164">
        <v>2.27788421631114E-10</v>
      </c>
    </row>
    <row r="62" spans="1:26">
      <c r="A62" s="3">
        <v>424</v>
      </c>
      <c r="B62" s="3">
        <v>7229</v>
      </c>
      <c r="C62" s="3" t="s">
        <v>1476</v>
      </c>
      <c r="D62" s="3" t="s">
        <v>1477</v>
      </c>
      <c r="E62" s="5" t="s">
        <v>134</v>
      </c>
      <c r="F62" s="3" t="s">
        <v>1478</v>
      </c>
      <c r="G62" s="3" t="s">
        <v>1479</v>
      </c>
      <c r="H62" s="3" t="s">
        <v>33</v>
      </c>
      <c r="I62" s="3" t="s">
        <v>1474</v>
      </c>
      <c r="J62" s="3" t="s">
        <v>30</v>
      </c>
      <c r="K62" s="3" t="s">
        <v>797</v>
      </c>
      <c r="L62" s="5" t="s">
        <v>498</v>
      </c>
      <c r="M62" s="3" t="s">
        <v>1480</v>
      </c>
      <c r="N62" s="3" t="s">
        <v>141</v>
      </c>
      <c r="O62" s="3" t="s">
        <v>1481</v>
      </c>
      <c r="P62" s="3" t="s">
        <v>664</v>
      </c>
      <c r="Q62" s="3" t="s">
        <v>1482</v>
      </c>
      <c r="R62" s="3" t="s">
        <v>1393</v>
      </c>
      <c r="S62" s="178" t="s">
        <v>1394</v>
      </c>
      <c r="T62" s="178" t="s">
        <v>1394</v>
      </c>
      <c r="U62" s="153">
        <v>20.38</v>
      </c>
      <c r="V62" s="162">
        <v>3.306</v>
      </c>
      <c r="W62" s="172">
        <v>94355.3</v>
      </c>
      <c r="X62" s="153">
        <v>63.573</v>
      </c>
      <c r="Y62" s="164">
        <v>1.9976425728074801E-2</v>
      </c>
      <c r="Z62" s="164">
        <v>4.1898369742898901E-4</v>
      </c>
    </row>
    <row r="63" spans="1:26">
      <c r="A63" s="3">
        <v>424</v>
      </c>
      <c r="B63" s="3">
        <v>7229</v>
      </c>
      <c r="C63" s="3" t="s">
        <v>1483</v>
      </c>
      <c r="D63" s="3" t="s">
        <v>1477</v>
      </c>
      <c r="E63" s="5" t="s">
        <v>134</v>
      </c>
      <c r="F63" s="3" t="s">
        <v>1483</v>
      </c>
      <c r="G63" s="3" t="s">
        <v>1484</v>
      </c>
      <c r="H63" s="3" t="s">
        <v>33</v>
      </c>
      <c r="I63" s="3" t="s">
        <v>1474</v>
      </c>
      <c r="J63" s="3" t="s">
        <v>30</v>
      </c>
      <c r="K63" s="3" t="s">
        <v>797</v>
      </c>
      <c r="L63" s="5" t="s">
        <v>498</v>
      </c>
      <c r="M63" s="3" t="s">
        <v>927</v>
      </c>
      <c r="N63" s="3" t="s">
        <v>141</v>
      </c>
      <c r="O63" s="3" t="s">
        <v>1485</v>
      </c>
      <c r="P63" s="3" t="s">
        <v>664</v>
      </c>
      <c r="Q63" s="3" t="s">
        <v>1482</v>
      </c>
      <c r="R63" s="3" t="s">
        <v>1393</v>
      </c>
      <c r="S63" s="178" t="s">
        <v>1394</v>
      </c>
      <c r="T63" s="178" t="s">
        <v>1394</v>
      </c>
      <c r="U63" s="153">
        <v>213.71</v>
      </c>
      <c r="V63" s="162">
        <v>3.306</v>
      </c>
      <c r="W63" s="172">
        <v>94355.3</v>
      </c>
      <c r="X63" s="153">
        <v>666.64400000000001</v>
      </c>
      <c r="Y63" s="164">
        <v>0.20947801483546899</v>
      </c>
      <c r="Z63" s="164">
        <v>4.3935724228434401E-3</v>
      </c>
    </row>
    <row r="64" spans="1:26">
      <c r="A64" s="3">
        <v>424</v>
      </c>
      <c r="B64" s="3">
        <v>7229</v>
      </c>
      <c r="C64" s="3" t="s">
        <v>1498</v>
      </c>
      <c r="D64" s="3" t="s">
        <v>1499</v>
      </c>
      <c r="E64" s="5" t="s">
        <v>134</v>
      </c>
      <c r="F64" s="3" t="s">
        <v>1500</v>
      </c>
      <c r="G64" s="3" t="s">
        <v>1501</v>
      </c>
      <c r="H64" s="3" t="s">
        <v>33</v>
      </c>
      <c r="I64" s="3" t="s">
        <v>1474</v>
      </c>
      <c r="J64" s="3" t="s">
        <v>30</v>
      </c>
      <c r="K64" s="3" t="s">
        <v>224</v>
      </c>
      <c r="L64" s="5" t="s">
        <v>498</v>
      </c>
      <c r="M64" s="3" t="s">
        <v>285</v>
      </c>
      <c r="N64" s="3" t="s">
        <v>141</v>
      </c>
      <c r="O64" s="3" t="s">
        <v>1502</v>
      </c>
      <c r="P64" s="3" t="s">
        <v>664</v>
      </c>
      <c r="Q64" s="3" t="s">
        <v>498</v>
      </c>
      <c r="R64" s="3" t="s">
        <v>1393</v>
      </c>
      <c r="S64" s="178" t="s">
        <v>1394</v>
      </c>
      <c r="T64" s="178" t="s">
        <v>1394</v>
      </c>
      <c r="U64" s="153">
        <v>204017</v>
      </c>
      <c r="V64" s="162">
        <v>3.306</v>
      </c>
      <c r="W64" s="172">
        <v>276.279</v>
      </c>
      <c r="X64" s="153">
        <v>1863.4490000000001</v>
      </c>
      <c r="Y64" s="164">
        <v>0.58554712419357102</v>
      </c>
      <c r="Z64" s="164">
        <v>1.22812109860445E-2</v>
      </c>
    </row>
    <row r="65" spans="1:26">
      <c r="A65" s="3">
        <v>424</v>
      </c>
      <c r="B65" s="3">
        <v>7229</v>
      </c>
      <c r="C65" s="3" t="s">
        <v>1500</v>
      </c>
      <c r="D65" s="3" t="s">
        <v>1503</v>
      </c>
      <c r="E65" s="5" t="s">
        <v>33</v>
      </c>
      <c r="F65" s="3" t="s">
        <v>1507</v>
      </c>
      <c r="G65" s="3" t="s">
        <v>1508</v>
      </c>
      <c r="H65" s="3" t="s">
        <v>33</v>
      </c>
      <c r="I65" s="3" t="s">
        <v>1474</v>
      </c>
      <c r="J65" s="3" t="s">
        <v>30</v>
      </c>
      <c r="K65" s="3" t="s">
        <v>224</v>
      </c>
      <c r="L65" s="5" t="s">
        <v>498</v>
      </c>
      <c r="M65" s="3" t="s">
        <v>285</v>
      </c>
      <c r="N65" s="3" t="s">
        <v>141</v>
      </c>
      <c r="O65" s="3" t="s">
        <v>1509</v>
      </c>
      <c r="P65" s="3" t="s">
        <v>34</v>
      </c>
      <c r="Q65" s="3" t="s">
        <v>498</v>
      </c>
      <c r="R65" s="3" t="s">
        <v>1393</v>
      </c>
      <c r="S65" s="178" t="s">
        <v>1394</v>
      </c>
      <c r="T65" s="178" t="s">
        <v>1394</v>
      </c>
      <c r="U65" s="153">
        <v>500000</v>
      </c>
      <c r="V65" s="162">
        <v>1</v>
      </c>
      <c r="W65" s="172">
        <v>100</v>
      </c>
      <c r="X65" s="153">
        <v>500</v>
      </c>
      <c r="Y65" s="164">
        <v>0.15711384624569399</v>
      </c>
      <c r="Z65" s="164">
        <v>3.2952912154247901E-3</v>
      </c>
    </row>
    <row r="66" spans="1:26">
      <c r="A66" s="3">
        <v>424</v>
      </c>
      <c r="B66" s="3">
        <v>7229</v>
      </c>
      <c r="C66" s="3" t="s">
        <v>635</v>
      </c>
      <c r="D66" s="3" t="s">
        <v>636</v>
      </c>
      <c r="E66" s="5" t="s">
        <v>134</v>
      </c>
      <c r="F66" s="3" t="s">
        <v>1535</v>
      </c>
      <c r="G66" s="3" t="s">
        <v>1536</v>
      </c>
      <c r="H66" s="3" t="s">
        <v>33</v>
      </c>
      <c r="I66" s="3" t="s">
        <v>1474</v>
      </c>
      <c r="J66" s="3" t="s">
        <v>30</v>
      </c>
      <c r="K66" s="3" t="s">
        <v>30</v>
      </c>
      <c r="L66" s="5" t="s">
        <v>498</v>
      </c>
      <c r="M66" s="3" t="s">
        <v>378</v>
      </c>
      <c r="N66" s="3" t="s">
        <v>141</v>
      </c>
      <c r="O66" s="3" t="s">
        <v>1537</v>
      </c>
      <c r="P66" s="3" t="s">
        <v>34</v>
      </c>
      <c r="Q66" s="3" t="s">
        <v>1482</v>
      </c>
      <c r="R66" s="3" t="s">
        <v>1393</v>
      </c>
      <c r="S66" s="178" t="s">
        <v>1394</v>
      </c>
      <c r="T66" s="178" t="s">
        <v>1394</v>
      </c>
      <c r="U66" s="153">
        <v>55</v>
      </c>
      <c r="V66" s="162">
        <v>1</v>
      </c>
      <c r="W66" s="172">
        <v>161345.59099999999</v>
      </c>
      <c r="X66" s="153">
        <v>88.74</v>
      </c>
      <c r="Y66" s="164">
        <v>2.7884588997191598E-2</v>
      </c>
      <c r="Z66" s="164">
        <v>5.8484877917432197E-4</v>
      </c>
    </row>
    <row r="67" spans="1:26">
      <c r="A67" s="3">
        <v>969</v>
      </c>
      <c r="B67" s="3">
        <v>969</v>
      </c>
      <c r="C67" s="3" t="s">
        <v>1498</v>
      </c>
      <c r="D67" s="3" t="s">
        <v>1499</v>
      </c>
      <c r="E67" s="5" t="s">
        <v>134</v>
      </c>
      <c r="F67" s="3" t="s">
        <v>1500</v>
      </c>
      <c r="G67" s="3" t="s">
        <v>1501</v>
      </c>
      <c r="H67" s="3" t="s">
        <v>33</v>
      </c>
      <c r="I67" s="3" t="s">
        <v>1474</v>
      </c>
      <c r="J67" s="3" t="s">
        <v>30</v>
      </c>
      <c r="K67" s="3" t="s">
        <v>224</v>
      </c>
      <c r="L67" s="5" t="s">
        <v>498</v>
      </c>
      <c r="M67" s="3" t="s">
        <v>285</v>
      </c>
      <c r="N67" s="3" t="s">
        <v>141</v>
      </c>
      <c r="O67" s="3" t="s">
        <v>1502</v>
      </c>
      <c r="P67" s="3" t="s">
        <v>664</v>
      </c>
      <c r="Q67" s="3" t="s">
        <v>498</v>
      </c>
      <c r="R67" s="3" t="s">
        <v>1393</v>
      </c>
      <c r="S67" s="178" t="s">
        <v>1394</v>
      </c>
      <c r="T67" s="178" t="s">
        <v>1394</v>
      </c>
      <c r="U67" s="153">
        <v>81607</v>
      </c>
      <c r="V67" s="162">
        <v>3.306</v>
      </c>
      <c r="W67" s="172">
        <v>276.279</v>
      </c>
      <c r="X67" s="153">
        <v>745.38099999999997</v>
      </c>
      <c r="Y67" s="164">
        <v>0.74042588915928198</v>
      </c>
      <c r="Z67" s="164">
        <v>9.8194685389948796E-3</v>
      </c>
    </row>
    <row r="68" spans="1:26">
      <c r="A68" s="3">
        <v>969</v>
      </c>
      <c r="B68" s="3">
        <v>969</v>
      </c>
      <c r="C68" s="3" t="s">
        <v>1500</v>
      </c>
      <c r="D68" s="3" t="s">
        <v>1503</v>
      </c>
      <c r="E68" s="5" t="s">
        <v>33</v>
      </c>
      <c r="F68" s="3" t="s">
        <v>1507</v>
      </c>
      <c r="G68" s="3" t="s">
        <v>1508</v>
      </c>
      <c r="H68" s="3" t="s">
        <v>33</v>
      </c>
      <c r="I68" s="3" t="s">
        <v>1474</v>
      </c>
      <c r="J68" s="3" t="s">
        <v>30</v>
      </c>
      <c r="K68" s="3" t="s">
        <v>224</v>
      </c>
      <c r="L68" s="5" t="s">
        <v>498</v>
      </c>
      <c r="M68" s="3" t="s">
        <v>285</v>
      </c>
      <c r="N68" s="3" t="s">
        <v>141</v>
      </c>
      <c r="O68" s="3" t="s">
        <v>1509</v>
      </c>
      <c r="P68" s="3" t="s">
        <v>34</v>
      </c>
      <c r="Q68" s="3" t="s">
        <v>498</v>
      </c>
      <c r="R68" s="3" t="s">
        <v>1393</v>
      </c>
      <c r="S68" s="178" t="s">
        <v>1394</v>
      </c>
      <c r="T68" s="178" t="s">
        <v>1394</v>
      </c>
      <c r="U68" s="153">
        <v>200000</v>
      </c>
      <c r="V68" s="162">
        <v>1</v>
      </c>
      <c r="W68" s="172">
        <v>100</v>
      </c>
      <c r="X68" s="153">
        <v>200</v>
      </c>
      <c r="Y68" s="164">
        <v>0.19867038774203399</v>
      </c>
      <c r="Z68" s="164">
        <v>2.6347506896036502E-3</v>
      </c>
    </row>
    <row r="69" spans="1:26">
      <c r="A69" s="3">
        <v>969</v>
      </c>
      <c r="B69" s="3">
        <v>969</v>
      </c>
      <c r="C69" s="3" t="s">
        <v>635</v>
      </c>
      <c r="D69" s="3" t="s">
        <v>636</v>
      </c>
      <c r="E69" s="5" t="s">
        <v>134</v>
      </c>
      <c r="F69" s="3" t="s">
        <v>1535</v>
      </c>
      <c r="G69" s="3" t="s">
        <v>1536</v>
      </c>
      <c r="H69" s="3" t="s">
        <v>33</v>
      </c>
      <c r="I69" s="3" t="s">
        <v>1474</v>
      </c>
      <c r="J69" s="3" t="s">
        <v>30</v>
      </c>
      <c r="K69" s="3" t="s">
        <v>30</v>
      </c>
      <c r="L69" s="5" t="s">
        <v>498</v>
      </c>
      <c r="M69" s="3" t="s">
        <v>378</v>
      </c>
      <c r="N69" s="3" t="s">
        <v>141</v>
      </c>
      <c r="O69" s="3" t="s">
        <v>1537</v>
      </c>
      <c r="P69" s="3" t="s">
        <v>34</v>
      </c>
      <c r="Q69" s="3" t="s">
        <v>1482</v>
      </c>
      <c r="R69" s="3" t="s">
        <v>1393</v>
      </c>
      <c r="S69" s="178" t="s">
        <v>1394</v>
      </c>
      <c r="T69" s="178" t="s">
        <v>1394</v>
      </c>
      <c r="U69" s="153">
        <v>38</v>
      </c>
      <c r="V69" s="162">
        <v>1</v>
      </c>
      <c r="W69" s="172">
        <v>161345.59099999999</v>
      </c>
      <c r="X69" s="153">
        <v>61.311</v>
      </c>
      <c r="Y69" s="164">
        <v>6.0903723098683998E-2</v>
      </c>
      <c r="Z69" s="164">
        <v>8.0770027308773803E-4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Z287"/>
  <sheetViews>
    <sheetView rightToLeft="1" workbookViewId="0">
      <selection activeCell="C29" sqref="C29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19" t="s">
        <v>0</v>
      </c>
      <c r="B1" s="19" t="s">
        <v>1</v>
      </c>
      <c r="C1" s="19" t="s">
        <v>1593</v>
      </c>
      <c r="D1" s="19" t="s">
        <v>1594</v>
      </c>
      <c r="E1" s="19" t="s">
        <v>1595</v>
      </c>
      <c r="F1" s="19" t="s">
        <v>1596</v>
      </c>
      <c r="G1" s="19" t="s">
        <v>1597</v>
      </c>
      <c r="H1" s="19" t="s">
        <v>1598</v>
      </c>
      <c r="I1" s="19" t="s">
        <v>5</v>
      </c>
      <c r="J1" s="19" t="s">
        <v>1599</v>
      </c>
      <c r="K1" s="19" t="s">
        <v>6</v>
      </c>
      <c r="L1" s="19" t="s">
        <v>1600</v>
      </c>
      <c r="M1" s="19" t="s">
        <v>1601</v>
      </c>
      <c r="N1" s="19" t="s">
        <v>7</v>
      </c>
      <c r="O1" s="19" t="s">
        <v>125</v>
      </c>
      <c r="P1" s="179" t="s">
        <v>1343</v>
      </c>
      <c r="Q1" s="19" t="s">
        <v>11</v>
      </c>
      <c r="R1" s="19" t="s">
        <v>1349</v>
      </c>
      <c r="S1" s="19" t="s">
        <v>1350</v>
      </c>
      <c r="T1" s="176" t="s">
        <v>1352</v>
      </c>
      <c r="U1" s="161" t="s">
        <v>18</v>
      </c>
      <c r="V1" s="117" t="s">
        <v>1602</v>
      </c>
      <c r="W1" s="19" t="s">
        <v>20</v>
      </c>
      <c r="X1" s="163" t="s">
        <v>1603</v>
      </c>
      <c r="Y1" s="163" t="s">
        <v>24</v>
      </c>
      <c r="Z1" s="163" t="s">
        <v>25</v>
      </c>
    </row>
    <row r="2" spans="1:26" hidden="1">
      <c r="A2" s="20">
        <v>1182</v>
      </c>
      <c r="B2" s="20">
        <v>1182</v>
      </c>
      <c r="C2" s="21" t="s">
        <v>1604</v>
      </c>
      <c r="D2" s="21" t="s">
        <v>1605</v>
      </c>
      <c r="E2" s="21" t="s">
        <v>498</v>
      </c>
      <c r="F2" s="21" t="s">
        <v>1606</v>
      </c>
      <c r="G2" s="21">
        <v>50007566</v>
      </c>
      <c r="H2" s="21" t="s">
        <v>33</v>
      </c>
      <c r="I2" s="3" t="s">
        <v>1607</v>
      </c>
      <c r="J2" s="21" t="s">
        <v>1608</v>
      </c>
      <c r="K2" s="18" t="s">
        <v>30</v>
      </c>
      <c r="L2" s="21" t="s">
        <v>30</v>
      </c>
      <c r="M2" s="21" t="s">
        <v>30</v>
      </c>
      <c r="N2" s="18" t="s">
        <v>30</v>
      </c>
      <c r="O2" s="20" t="s">
        <v>141</v>
      </c>
      <c r="P2" s="180" t="s">
        <v>1609</v>
      </c>
      <c r="Q2" s="18" t="s">
        <v>34</v>
      </c>
      <c r="R2" s="20" t="s">
        <v>1482</v>
      </c>
      <c r="S2" s="20" t="s">
        <v>1393</v>
      </c>
      <c r="T2" s="177" t="s">
        <v>1394</v>
      </c>
      <c r="U2" s="170">
        <v>1</v>
      </c>
      <c r="V2" s="155">
        <v>1738.826</v>
      </c>
      <c r="W2" s="155">
        <v>1738.826</v>
      </c>
      <c r="X2" s="169">
        <v>9.2100000000000005E-4</v>
      </c>
      <c r="Y2" s="169">
        <v>2.2434440082868198E-2</v>
      </c>
      <c r="Z2" s="169">
        <v>3.76604940120974E-3</v>
      </c>
    </row>
    <row r="3" spans="1:26" hidden="1">
      <c r="A3" s="20">
        <v>1182</v>
      </c>
      <c r="B3" s="20">
        <v>1182</v>
      </c>
      <c r="C3" s="20" t="s">
        <v>1610</v>
      </c>
      <c r="D3" s="3" t="s">
        <v>1611</v>
      </c>
      <c r="E3" s="21" t="s">
        <v>366</v>
      </c>
      <c r="F3" s="20" t="s">
        <v>1612</v>
      </c>
      <c r="G3" s="20">
        <v>62018312</v>
      </c>
      <c r="H3" s="21" t="s">
        <v>33</v>
      </c>
      <c r="I3" s="3" t="s">
        <v>1607</v>
      </c>
      <c r="J3" s="20" t="s">
        <v>1613</v>
      </c>
      <c r="K3" s="18" t="s">
        <v>30</v>
      </c>
      <c r="L3" s="21" t="s">
        <v>30</v>
      </c>
      <c r="M3" s="21" t="s">
        <v>30</v>
      </c>
      <c r="N3" s="18" t="s">
        <v>30</v>
      </c>
      <c r="O3" s="20" t="s">
        <v>141</v>
      </c>
      <c r="P3" s="180" t="s">
        <v>1614</v>
      </c>
      <c r="Q3" s="18" t="s">
        <v>664</v>
      </c>
      <c r="R3" s="20" t="s">
        <v>1482</v>
      </c>
      <c r="S3" s="20" t="s">
        <v>1393</v>
      </c>
      <c r="T3" s="181" t="s">
        <v>1394</v>
      </c>
      <c r="U3" s="170">
        <v>3.306</v>
      </c>
      <c r="V3" s="155">
        <v>426.68700000000001</v>
      </c>
      <c r="W3" s="155">
        <v>1410.627</v>
      </c>
      <c r="X3" s="182">
        <v>2.32E-4</v>
      </c>
      <c r="Y3" s="169">
        <v>1.8199995067651801E-2</v>
      </c>
      <c r="Z3" s="169">
        <v>3.0552169019315801E-3</v>
      </c>
    </row>
    <row r="4" spans="1:26" hidden="1">
      <c r="A4" s="20">
        <v>1182</v>
      </c>
      <c r="B4" s="20">
        <v>1182</v>
      </c>
      <c r="C4" s="20" t="s">
        <v>1615</v>
      </c>
      <c r="D4" s="3" t="s">
        <v>1616</v>
      </c>
      <c r="E4" s="21" t="s">
        <v>33</v>
      </c>
      <c r="F4" s="20" t="s">
        <v>1617</v>
      </c>
      <c r="G4" s="20">
        <v>60390093</v>
      </c>
      <c r="H4" s="21" t="s">
        <v>33</v>
      </c>
      <c r="I4" s="3" t="s">
        <v>1607</v>
      </c>
      <c r="J4" s="20" t="s">
        <v>1618</v>
      </c>
      <c r="K4" s="18" t="s">
        <v>572</v>
      </c>
      <c r="L4" s="21" t="s">
        <v>1619</v>
      </c>
      <c r="M4" s="21" t="s">
        <v>30</v>
      </c>
      <c r="N4" s="18" t="s">
        <v>30</v>
      </c>
      <c r="O4" s="20" t="s">
        <v>141</v>
      </c>
      <c r="P4" s="180" t="s">
        <v>1620</v>
      </c>
      <c r="Q4" s="18" t="s">
        <v>664</v>
      </c>
      <c r="R4" s="20" t="s">
        <v>1482</v>
      </c>
      <c r="S4" s="20" t="s">
        <v>1393</v>
      </c>
      <c r="T4" s="177" t="s">
        <v>1394</v>
      </c>
      <c r="U4" s="170">
        <v>3.306</v>
      </c>
      <c r="V4" s="155">
        <v>32.261000000000003</v>
      </c>
      <c r="W4" s="155">
        <v>106.654</v>
      </c>
      <c r="X4" s="182">
        <v>1.6670000000000001E-3</v>
      </c>
      <c r="Y4" s="169">
        <v>1.37605498533279E-3</v>
      </c>
      <c r="Z4" s="169">
        <v>2.30997120249131E-4</v>
      </c>
    </row>
    <row r="5" spans="1:26" hidden="1">
      <c r="A5" s="20">
        <v>1182</v>
      </c>
      <c r="B5" s="20">
        <v>1182</v>
      </c>
      <c r="C5" s="20" t="s">
        <v>1615</v>
      </c>
      <c r="D5" s="3" t="s">
        <v>1616</v>
      </c>
      <c r="E5" s="21" t="s">
        <v>33</v>
      </c>
      <c r="F5" s="20" t="s">
        <v>1621</v>
      </c>
      <c r="G5" s="20">
        <v>62019724</v>
      </c>
      <c r="H5" s="21" t="s">
        <v>33</v>
      </c>
      <c r="I5" s="3" t="s">
        <v>1607</v>
      </c>
      <c r="J5" s="20" t="s">
        <v>1618</v>
      </c>
      <c r="K5" s="18" t="s">
        <v>572</v>
      </c>
      <c r="L5" s="21" t="s">
        <v>1619</v>
      </c>
      <c r="M5" s="21" t="s">
        <v>30</v>
      </c>
      <c r="N5" s="18" t="s">
        <v>30</v>
      </c>
      <c r="O5" s="20" t="s">
        <v>141</v>
      </c>
      <c r="P5" s="180" t="s">
        <v>1622</v>
      </c>
      <c r="Q5" s="18" t="s">
        <v>664</v>
      </c>
      <c r="R5" s="20" t="s">
        <v>1482</v>
      </c>
      <c r="S5" s="20" t="s">
        <v>1393</v>
      </c>
      <c r="T5" s="177" t="s">
        <v>1394</v>
      </c>
      <c r="U5" s="170">
        <v>3.306</v>
      </c>
      <c r="V5" s="155">
        <v>55.098999999999997</v>
      </c>
      <c r="W5" s="155">
        <v>182.15600000000001</v>
      </c>
      <c r="X5" s="182">
        <v>0</v>
      </c>
      <c r="Y5" s="169">
        <v>2.3501890689447899E-3</v>
      </c>
      <c r="Z5" s="169">
        <v>3.94524138027767E-4</v>
      </c>
    </row>
    <row r="6" spans="1:26" hidden="1">
      <c r="A6" s="20">
        <v>1182</v>
      </c>
      <c r="B6" s="20">
        <v>1182</v>
      </c>
      <c r="C6" s="20" t="s">
        <v>1615</v>
      </c>
      <c r="D6" s="3" t="s">
        <v>1616</v>
      </c>
      <c r="E6" s="21" t="s">
        <v>33</v>
      </c>
      <c r="F6" s="20" t="s">
        <v>1623</v>
      </c>
      <c r="G6" s="20">
        <v>62000563</v>
      </c>
      <c r="H6" s="21" t="s">
        <v>33</v>
      </c>
      <c r="I6" s="3" t="s">
        <v>1607</v>
      </c>
      <c r="J6" s="20" t="s">
        <v>1618</v>
      </c>
      <c r="K6" s="18" t="s">
        <v>572</v>
      </c>
      <c r="L6" s="21" t="s">
        <v>1619</v>
      </c>
      <c r="M6" s="21" t="s">
        <v>30</v>
      </c>
      <c r="N6" s="18" t="s">
        <v>30</v>
      </c>
      <c r="O6" s="20" t="s">
        <v>141</v>
      </c>
      <c r="P6" s="180" t="s">
        <v>1624</v>
      </c>
      <c r="Q6" s="18" t="s">
        <v>664</v>
      </c>
      <c r="R6" s="20" t="s">
        <v>1482</v>
      </c>
      <c r="S6" s="20" t="s">
        <v>1393</v>
      </c>
      <c r="T6" s="177" t="s">
        <v>1394</v>
      </c>
      <c r="U6" s="170">
        <v>3.306</v>
      </c>
      <c r="V6" s="155">
        <v>63.406999999999996</v>
      </c>
      <c r="W6" s="155">
        <v>209.624</v>
      </c>
      <c r="X6" s="169">
        <v>1.2409999999999999E-3</v>
      </c>
      <c r="Y6" s="169">
        <v>2.70458262366891E-3</v>
      </c>
      <c r="Z6" s="169">
        <v>4.5401586724549601E-4</v>
      </c>
    </row>
    <row r="7" spans="1:26" hidden="1">
      <c r="A7" s="20">
        <v>1182</v>
      </c>
      <c r="B7" s="20">
        <v>1182</v>
      </c>
      <c r="C7" s="20" t="s">
        <v>1625</v>
      </c>
      <c r="D7" s="3" t="s">
        <v>1626</v>
      </c>
      <c r="E7" s="21" t="s">
        <v>492</v>
      </c>
      <c r="F7" s="20" t="s">
        <v>1627</v>
      </c>
      <c r="G7" s="20">
        <v>60415775</v>
      </c>
      <c r="H7" s="21" t="s">
        <v>33</v>
      </c>
      <c r="I7" s="3" t="s">
        <v>1607</v>
      </c>
      <c r="J7" s="20" t="s">
        <v>1628</v>
      </c>
      <c r="K7" s="18" t="s">
        <v>572</v>
      </c>
      <c r="L7" s="21" t="s">
        <v>1619</v>
      </c>
      <c r="M7" s="21" t="s">
        <v>30</v>
      </c>
      <c r="N7" s="18" t="s">
        <v>30</v>
      </c>
      <c r="O7" s="20" t="s">
        <v>141</v>
      </c>
      <c r="P7" s="180" t="s">
        <v>1629</v>
      </c>
      <c r="Q7" s="18" t="s">
        <v>664</v>
      </c>
      <c r="R7" s="20" t="s">
        <v>1482</v>
      </c>
      <c r="S7" s="20" t="s">
        <v>1393</v>
      </c>
      <c r="T7" s="177" t="s">
        <v>1394</v>
      </c>
      <c r="U7" s="170">
        <v>3.306</v>
      </c>
      <c r="V7" s="155">
        <v>121.01</v>
      </c>
      <c r="W7" s="155">
        <v>400.06099999999998</v>
      </c>
      <c r="X7" s="169">
        <v>5.0000000000000001E-4</v>
      </c>
      <c r="Y7" s="169">
        <v>5.1616084524704698E-3</v>
      </c>
      <c r="Z7" s="169">
        <v>8.6647459664258603E-4</v>
      </c>
    </row>
    <row r="8" spans="1:26" hidden="1">
      <c r="A8" s="20">
        <v>1182</v>
      </c>
      <c r="B8" s="20">
        <v>1182</v>
      </c>
      <c r="C8" s="20" t="s">
        <v>1630</v>
      </c>
      <c r="D8" s="3" t="s">
        <v>1631</v>
      </c>
      <c r="E8" s="21" t="s">
        <v>33</v>
      </c>
      <c r="F8" s="20" t="s">
        <v>1632</v>
      </c>
      <c r="G8" s="20">
        <v>62017538</v>
      </c>
      <c r="H8" s="21" t="s">
        <v>33</v>
      </c>
      <c r="I8" s="3" t="s">
        <v>1607</v>
      </c>
      <c r="J8" s="20" t="s">
        <v>1628</v>
      </c>
      <c r="K8" s="18" t="s">
        <v>30</v>
      </c>
      <c r="L8" s="21" t="s">
        <v>30</v>
      </c>
      <c r="M8" s="21" t="s">
        <v>30</v>
      </c>
      <c r="N8" s="18" t="s">
        <v>30</v>
      </c>
      <c r="O8" s="20" t="s">
        <v>141</v>
      </c>
      <c r="P8" s="180" t="s">
        <v>1633</v>
      </c>
      <c r="Q8" s="18" t="s">
        <v>664</v>
      </c>
      <c r="R8" s="20" t="s">
        <v>498</v>
      </c>
      <c r="S8" s="20" t="s">
        <v>1393</v>
      </c>
      <c r="T8" s="177" t="s">
        <v>1394</v>
      </c>
      <c r="U8" s="170">
        <v>3.306</v>
      </c>
      <c r="V8" s="155">
        <v>515.44100000000003</v>
      </c>
      <c r="W8" s="155">
        <v>1704.049</v>
      </c>
      <c r="X8" s="169">
        <v>1.72E-3</v>
      </c>
      <c r="Y8" s="169">
        <v>2.1985740990628801E-2</v>
      </c>
      <c r="Z8" s="169">
        <v>3.6907266857147299E-3</v>
      </c>
    </row>
    <row r="9" spans="1:26" hidden="1">
      <c r="A9" s="20">
        <v>1182</v>
      </c>
      <c r="B9" s="20">
        <v>1182</v>
      </c>
      <c r="C9" s="20" t="s">
        <v>1634</v>
      </c>
      <c r="D9" s="3" t="s">
        <v>1635</v>
      </c>
      <c r="E9" s="21" t="s">
        <v>33</v>
      </c>
      <c r="F9" s="20" t="s">
        <v>1636</v>
      </c>
      <c r="G9" s="20">
        <v>62001189</v>
      </c>
      <c r="H9" s="21" t="s">
        <v>33</v>
      </c>
      <c r="I9" s="3" t="s">
        <v>1607</v>
      </c>
      <c r="J9" s="20" t="s">
        <v>1637</v>
      </c>
      <c r="K9" s="18" t="s">
        <v>30</v>
      </c>
      <c r="L9" s="21" t="s">
        <v>1619</v>
      </c>
      <c r="M9" s="21" t="s">
        <v>30</v>
      </c>
      <c r="N9" s="18" t="s">
        <v>30</v>
      </c>
      <c r="O9" s="20" t="s">
        <v>141</v>
      </c>
      <c r="P9" s="180" t="s">
        <v>1638</v>
      </c>
      <c r="Q9" s="18" t="s">
        <v>664</v>
      </c>
      <c r="R9" s="20" t="s">
        <v>1482</v>
      </c>
      <c r="S9" s="20" t="s">
        <v>1393</v>
      </c>
      <c r="T9" s="177" t="s">
        <v>1394</v>
      </c>
      <c r="U9" s="170">
        <v>3.306</v>
      </c>
      <c r="V9" s="155">
        <v>119.337</v>
      </c>
      <c r="W9" s="155">
        <v>394.52699999999999</v>
      </c>
      <c r="X9" s="169">
        <v>1.4170000000000001E-3</v>
      </c>
      <c r="Y9" s="169">
        <v>5.0902169546291802E-3</v>
      </c>
      <c r="Z9" s="169">
        <v>8.5449016972114096E-4</v>
      </c>
    </row>
    <row r="10" spans="1:26" hidden="1">
      <c r="A10" s="20">
        <v>1182</v>
      </c>
      <c r="B10" s="20">
        <v>1182</v>
      </c>
      <c r="C10" s="20" t="s">
        <v>1639</v>
      </c>
      <c r="D10" s="3" t="s">
        <v>1640</v>
      </c>
      <c r="E10" s="21" t="s">
        <v>33</v>
      </c>
      <c r="F10" s="20" t="s">
        <v>1639</v>
      </c>
      <c r="G10" s="20">
        <v>60401809</v>
      </c>
      <c r="H10" s="21" t="s">
        <v>33</v>
      </c>
      <c r="I10" s="3" t="s">
        <v>1607</v>
      </c>
      <c r="J10" s="20" t="s">
        <v>1641</v>
      </c>
      <c r="K10" s="18" t="s">
        <v>572</v>
      </c>
      <c r="L10" s="21" t="s">
        <v>1619</v>
      </c>
      <c r="M10" s="21" t="s">
        <v>30</v>
      </c>
      <c r="N10" s="18" t="s">
        <v>224</v>
      </c>
      <c r="O10" s="20" t="s">
        <v>141</v>
      </c>
      <c r="P10" s="180" t="s">
        <v>1642</v>
      </c>
      <c r="Q10" s="18" t="s">
        <v>664</v>
      </c>
      <c r="R10" s="20" t="s">
        <v>1482</v>
      </c>
      <c r="S10" s="20" t="s">
        <v>1393</v>
      </c>
      <c r="T10" s="177" t="s">
        <v>1394</v>
      </c>
      <c r="U10" s="170">
        <v>3.306</v>
      </c>
      <c r="V10" s="155">
        <v>107.77200000000001</v>
      </c>
      <c r="W10" s="155">
        <v>356.29599999999999</v>
      </c>
      <c r="X10" s="169">
        <v>9.8999999999999999E-4</v>
      </c>
      <c r="Y10" s="169">
        <v>4.5969514229441304E-3</v>
      </c>
      <c r="Z10" s="169">
        <v>7.7168612587703205E-4</v>
      </c>
    </row>
    <row r="11" spans="1:26" hidden="1">
      <c r="A11" s="20">
        <v>1182</v>
      </c>
      <c r="B11" s="20">
        <v>1182</v>
      </c>
      <c r="C11" s="20" t="s">
        <v>1643</v>
      </c>
      <c r="D11" s="3" t="s">
        <v>1644</v>
      </c>
      <c r="E11" s="21" t="s">
        <v>492</v>
      </c>
      <c r="F11" s="20" t="s">
        <v>1645</v>
      </c>
      <c r="G11" s="20">
        <v>50000983</v>
      </c>
      <c r="H11" s="21" t="s">
        <v>33</v>
      </c>
      <c r="I11" s="3" t="s">
        <v>1607</v>
      </c>
      <c r="J11" s="20" t="s">
        <v>1646</v>
      </c>
      <c r="K11" s="18" t="s">
        <v>572</v>
      </c>
      <c r="L11" s="21" t="s">
        <v>1619</v>
      </c>
      <c r="M11" s="21" t="s">
        <v>30</v>
      </c>
      <c r="N11" s="18" t="s">
        <v>797</v>
      </c>
      <c r="O11" s="20" t="s">
        <v>141</v>
      </c>
      <c r="P11" s="180" t="s">
        <v>1647</v>
      </c>
      <c r="Q11" s="18" t="s">
        <v>34</v>
      </c>
      <c r="R11" s="20" t="s">
        <v>1482</v>
      </c>
      <c r="S11" s="20" t="s">
        <v>1393</v>
      </c>
      <c r="T11" s="177" t="s">
        <v>1394</v>
      </c>
      <c r="U11" s="170">
        <v>1</v>
      </c>
      <c r="V11" s="155">
        <v>320.64600000000002</v>
      </c>
      <c r="W11" s="155">
        <v>320.64600000000002</v>
      </c>
      <c r="X11" s="169">
        <v>3.6499999999999998E-4</v>
      </c>
      <c r="Y11" s="169">
        <v>4.1370010291985398E-3</v>
      </c>
      <c r="Z11" s="169">
        <v>6.9447466445640401E-4</v>
      </c>
    </row>
    <row r="12" spans="1:26" hidden="1">
      <c r="A12" s="20">
        <v>1182</v>
      </c>
      <c r="B12" s="20">
        <v>1182</v>
      </c>
      <c r="C12" s="20" t="s">
        <v>1643</v>
      </c>
      <c r="D12" s="3" t="s">
        <v>1644</v>
      </c>
      <c r="E12" s="21" t="s">
        <v>492</v>
      </c>
      <c r="F12" s="20" t="s">
        <v>1648</v>
      </c>
      <c r="G12" s="20">
        <v>50007897</v>
      </c>
      <c r="H12" s="21" t="s">
        <v>33</v>
      </c>
      <c r="I12" s="3" t="s">
        <v>1607</v>
      </c>
      <c r="J12" s="20" t="s">
        <v>1646</v>
      </c>
      <c r="K12" s="18" t="s">
        <v>572</v>
      </c>
      <c r="L12" s="21" t="s">
        <v>1619</v>
      </c>
      <c r="M12" s="21" t="s">
        <v>30</v>
      </c>
      <c r="N12" s="18" t="s">
        <v>797</v>
      </c>
      <c r="O12" s="20" t="s">
        <v>141</v>
      </c>
      <c r="P12" s="180" t="s">
        <v>1649</v>
      </c>
      <c r="Q12" s="18" t="s">
        <v>34</v>
      </c>
      <c r="R12" s="20" t="s">
        <v>498</v>
      </c>
      <c r="S12" s="20" t="s">
        <v>1393</v>
      </c>
      <c r="T12" s="177" t="s">
        <v>1394</v>
      </c>
      <c r="U12" s="170">
        <v>1</v>
      </c>
      <c r="V12" s="155">
        <v>593.71699999999998</v>
      </c>
      <c r="W12" s="155">
        <v>593.71699999999998</v>
      </c>
      <c r="X12" s="169">
        <v>1.6100000000000001E-4</v>
      </c>
      <c r="Y12" s="169">
        <v>7.6601688211398898E-3</v>
      </c>
      <c r="Z12" s="169">
        <v>1.28590569211706E-3</v>
      </c>
    </row>
    <row r="13" spans="1:26" hidden="1">
      <c r="A13" s="20">
        <v>1182</v>
      </c>
      <c r="B13" s="20">
        <v>1182</v>
      </c>
      <c r="C13" s="20" t="s">
        <v>1615</v>
      </c>
      <c r="D13" s="3" t="s">
        <v>1616</v>
      </c>
      <c r="E13" s="21" t="s">
        <v>33</v>
      </c>
      <c r="F13" s="20" t="s">
        <v>1650</v>
      </c>
      <c r="G13" s="20">
        <v>62013347</v>
      </c>
      <c r="H13" s="21" t="s">
        <v>33</v>
      </c>
      <c r="I13" s="3" t="s">
        <v>1607</v>
      </c>
      <c r="J13" s="20" t="s">
        <v>1618</v>
      </c>
      <c r="K13" s="18" t="s">
        <v>572</v>
      </c>
      <c r="L13" s="21" t="s">
        <v>1619</v>
      </c>
      <c r="M13" s="21" t="s">
        <v>30</v>
      </c>
      <c r="N13" s="18" t="s">
        <v>30</v>
      </c>
      <c r="O13" s="20" t="s">
        <v>141</v>
      </c>
      <c r="P13" s="180" t="s">
        <v>1651</v>
      </c>
      <c r="Q13" s="18" t="s">
        <v>664</v>
      </c>
      <c r="R13" s="20" t="s">
        <v>1482</v>
      </c>
      <c r="S13" s="20" t="s">
        <v>1393</v>
      </c>
      <c r="T13" s="177" t="s">
        <v>1394</v>
      </c>
      <c r="U13" s="170">
        <v>3.306</v>
      </c>
      <c r="V13" s="155">
        <v>69.373999999999995</v>
      </c>
      <c r="W13" s="155">
        <v>229.34899999999999</v>
      </c>
      <c r="X13" s="169">
        <v>0.01</v>
      </c>
      <c r="Y13" s="169">
        <v>2.9590767754724199E-3</v>
      </c>
      <c r="Z13" s="169">
        <v>4.9673757300105397E-4</v>
      </c>
    </row>
    <row r="14" spans="1:26" hidden="1">
      <c r="A14" s="20">
        <v>1182</v>
      </c>
      <c r="B14" s="20">
        <v>1182</v>
      </c>
      <c r="C14" s="20" t="s">
        <v>1652</v>
      </c>
      <c r="D14" s="3" t="s">
        <v>1653</v>
      </c>
      <c r="E14" s="21" t="s">
        <v>498</v>
      </c>
      <c r="F14" s="20" t="s">
        <v>1652</v>
      </c>
      <c r="G14" s="20">
        <v>50008440</v>
      </c>
      <c r="H14" s="21" t="s">
        <v>33</v>
      </c>
      <c r="I14" s="3" t="s">
        <v>1654</v>
      </c>
      <c r="J14" s="20" t="s">
        <v>1613</v>
      </c>
      <c r="K14" s="18" t="s">
        <v>30</v>
      </c>
      <c r="L14" s="21" t="s">
        <v>1619</v>
      </c>
      <c r="M14" s="21" t="s">
        <v>30</v>
      </c>
      <c r="N14" s="18" t="s">
        <v>30</v>
      </c>
      <c r="O14" s="20" t="s">
        <v>141</v>
      </c>
      <c r="P14" s="180" t="s">
        <v>1655</v>
      </c>
      <c r="Q14" s="18" t="s">
        <v>34</v>
      </c>
      <c r="R14" s="20" t="s">
        <v>498</v>
      </c>
      <c r="S14" s="20" t="s">
        <v>1393</v>
      </c>
      <c r="T14" s="177" t="s">
        <v>1394</v>
      </c>
      <c r="U14" s="170">
        <v>1</v>
      </c>
      <c r="V14" s="155">
        <v>948.03499999999997</v>
      </c>
      <c r="W14" s="155">
        <v>948.03499999999997</v>
      </c>
      <c r="X14" s="169">
        <v>3.0000000000000001E-6</v>
      </c>
      <c r="Y14" s="169">
        <v>1.22316104022102E-2</v>
      </c>
      <c r="Z14" s="169">
        <v>2.0533095036435302E-3</v>
      </c>
    </row>
    <row r="15" spans="1:26" hidden="1">
      <c r="A15" s="20">
        <v>1182</v>
      </c>
      <c r="B15" s="20">
        <v>1182</v>
      </c>
      <c r="C15" s="20" t="s">
        <v>1656</v>
      </c>
      <c r="D15" s="3" t="s">
        <v>1657</v>
      </c>
      <c r="E15" s="21" t="s">
        <v>134</v>
      </c>
      <c r="F15" s="20" t="s">
        <v>1658</v>
      </c>
      <c r="G15" s="20">
        <v>60364742</v>
      </c>
      <c r="H15" s="21" t="s">
        <v>33</v>
      </c>
      <c r="I15" s="3" t="s">
        <v>1607</v>
      </c>
      <c r="J15" s="20" t="s">
        <v>1641</v>
      </c>
      <c r="K15" s="18" t="s">
        <v>30</v>
      </c>
      <c r="L15" s="21" t="s">
        <v>1619</v>
      </c>
      <c r="M15" s="21" t="s">
        <v>30</v>
      </c>
      <c r="N15" s="18" t="s">
        <v>30</v>
      </c>
      <c r="O15" s="20" t="s">
        <v>141</v>
      </c>
      <c r="P15" s="180" t="s">
        <v>1367</v>
      </c>
      <c r="Q15" s="18" t="s">
        <v>664</v>
      </c>
      <c r="R15" s="20" t="s">
        <v>1482</v>
      </c>
      <c r="S15" s="20" t="s">
        <v>1393</v>
      </c>
      <c r="T15" s="177" t="s">
        <v>1394</v>
      </c>
      <c r="U15" s="170">
        <v>3.306</v>
      </c>
      <c r="V15" s="155">
        <v>95.361999999999995</v>
      </c>
      <c r="W15" s="155">
        <v>315.26600000000002</v>
      </c>
      <c r="X15" s="169">
        <v>2.2729999999999998E-3</v>
      </c>
      <c r="Y15" s="169">
        <v>4.0675831677647696E-3</v>
      </c>
      <c r="Z15" s="169">
        <v>6.8282155011433702E-4</v>
      </c>
    </row>
    <row r="16" spans="1:26" hidden="1">
      <c r="A16" s="20">
        <v>1182</v>
      </c>
      <c r="B16" s="20">
        <v>1182</v>
      </c>
      <c r="C16" s="20" t="s">
        <v>1656</v>
      </c>
      <c r="D16" s="3" t="s">
        <v>1657</v>
      </c>
      <c r="E16" s="21" t="s">
        <v>134</v>
      </c>
      <c r="F16" s="20" t="s">
        <v>1659</v>
      </c>
      <c r="G16" s="20">
        <v>62002785</v>
      </c>
      <c r="H16" s="21" t="s">
        <v>33</v>
      </c>
      <c r="I16" s="3" t="s">
        <v>1607</v>
      </c>
      <c r="J16" s="20" t="s">
        <v>1641</v>
      </c>
      <c r="K16" s="18" t="s">
        <v>30</v>
      </c>
      <c r="L16" s="21" t="s">
        <v>1619</v>
      </c>
      <c r="M16" s="21" t="s">
        <v>30</v>
      </c>
      <c r="N16" s="18" t="s">
        <v>30</v>
      </c>
      <c r="O16" s="20" t="s">
        <v>141</v>
      </c>
      <c r="P16" s="180" t="s">
        <v>1660</v>
      </c>
      <c r="Q16" s="18" t="s">
        <v>664</v>
      </c>
      <c r="R16" s="20" t="s">
        <v>1482</v>
      </c>
      <c r="S16" s="20" t="s">
        <v>1393</v>
      </c>
      <c r="T16" s="177" t="s">
        <v>1394</v>
      </c>
      <c r="U16" s="170">
        <v>3.306</v>
      </c>
      <c r="V16" s="155">
        <v>109.601</v>
      </c>
      <c r="W16" s="155">
        <v>362.34100000000001</v>
      </c>
      <c r="X16" s="169">
        <v>8.4999999999999995E-4</v>
      </c>
      <c r="Y16" s="169">
        <v>4.6749499207900599E-3</v>
      </c>
      <c r="Z16" s="169">
        <v>7.8477966398285697E-4</v>
      </c>
    </row>
    <row r="17" spans="1:26" hidden="1">
      <c r="A17" s="20">
        <v>1182</v>
      </c>
      <c r="B17" s="20">
        <v>1182</v>
      </c>
      <c r="C17" s="20" t="s">
        <v>1656</v>
      </c>
      <c r="D17" s="3" t="s">
        <v>1657</v>
      </c>
      <c r="E17" s="21" t="s">
        <v>134</v>
      </c>
      <c r="F17" s="20" t="s">
        <v>1661</v>
      </c>
      <c r="G17" s="20">
        <v>62017827</v>
      </c>
      <c r="H17" s="21" t="s">
        <v>33</v>
      </c>
      <c r="I17" s="3" t="s">
        <v>1607</v>
      </c>
      <c r="J17" s="20" t="s">
        <v>1641</v>
      </c>
      <c r="K17" s="18" t="s">
        <v>30</v>
      </c>
      <c r="L17" s="21" t="s">
        <v>1619</v>
      </c>
      <c r="M17" s="21" t="s">
        <v>30</v>
      </c>
      <c r="N17" s="18" t="s">
        <v>30</v>
      </c>
      <c r="O17" s="20" t="s">
        <v>141</v>
      </c>
      <c r="P17" s="180" t="s">
        <v>1662</v>
      </c>
      <c r="Q17" s="18" t="s">
        <v>664</v>
      </c>
      <c r="R17" s="20" t="s">
        <v>1482</v>
      </c>
      <c r="S17" s="20" t="s">
        <v>1393</v>
      </c>
      <c r="T17" s="177" t="s">
        <v>1394</v>
      </c>
      <c r="U17" s="170">
        <v>3.306</v>
      </c>
      <c r="V17" s="155">
        <v>42.633000000000003</v>
      </c>
      <c r="W17" s="155">
        <v>140.94399999999999</v>
      </c>
      <c r="X17" s="169">
        <v>2.23E-4</v>
      </c>
      <c r="Y17" s="169">
        <v>1.8184714805533999E-3</v>
      </c>
      <c r="Z17" s="169">
        <v>3.0526518179897999E-4</v>
      </c>
    </row>
    <row r="18" spans="1:26" hidden="1">
      <c r="A18" s="20">
        <v>1182</v>
      </c>
      <c r="B18" s="20">
        <v>1182</v>
      </c>
      <c r="C18" s="20" t="s">
        <v>1656</v>
      </c>
      <c r="D18" s="3" t="s">
        <v>1657</v>
      </c>
      <c r="E18" s="21" t="s">
        <v>134</v>
      </c>
      <c r="F18" s="20" t="s">
        <v>1663</v>
      </c>
      <c r="G18" s="20">
        <v>62018247</v>
      </c>
      <c r="H18" s="21" t="s">
        <v>33</v>
      </c>
      <c r="I18" s="3" t="s">
        <v>1607</v>
      </c>
      <c r="J18" s="20" t="s">
        <v>1641</v>
      </c>
      <c r="K18" s="18" t="s">
        <v>30</v>
      </c>
      <c r="L18" s="21" t="s">
        <v>1619</v>
      </c>
      <c r="M18" s="21" t="s">
        <v>30</v>
      </c>
      <c r="N18" s="18" t="s">
        <v>30</v>
      </c>
      <c r="O18" s="20" t="s">
        <v>141</v>
      </c>
      <c r="P18" s="180" t="s">
        <v>1664</v>
      </c>
      <c r="Q18" s="18" t="s">
        <v>664</v>
      </c>
      <c r="R18" s="20" t="s">
        <v>1482</v>
      </c>
      <c r="S18" s="20" t="s">
        <v>1393</v>
      </c>
      <c r="T18" s="177" t="s">
        <v>1394</v>
      </c>
      <c r="U18" s="170">
        <v>3.306</v>
      </c>
      <c r="V18" s="155">
        <v>187.57599999999999</v>
      </c>
      <c r="W18" s="155">
        <v>620.125</v>
      </c>
      <c r="X18" s="169">
        <v>1.4170000000000001E-3</v>
      </c>
      <c r="Y18" s="169">
        <v>8.0008935178166197E-3</v>
      </c>
      <c r="Z18" s="169">
        <v>1.3431028423537899E-3</v>
      </c>
    </row>
    <row r="19" spans="1:26" hidden="1">
      <c r="A19" s="20">
        <v>1182</v>
      </c>
      <c r="B19" s="20">
        <v>1182</v>
      </c>
      <c r="C19" s="20" t="s">
        <v>1665</v>
      </c>
      <c r="D19" s="3" t="s">
        <v>1666</v>
      </c>
      <c r="E19" s="21" t="s">
        <v>33</v>
      </c>
      <c r="F19" s="20" t="s">
        <v>1667</v>
      </c>
      <c r="G19" s="20">
        <v>62013487</v>
      </c>
      <c r="H19" s="21" t="s">
        <v>33</v>
      </c>
      <c r="I19" s="3" t="s">
        <v>1607</v>
      </c>
      <c r="J19" s="20" t="s">
        <v>1618</v>
      </c>
      <c r="K19" s="18" t="s">
        <v>30</v>
      </c>
      <c r="L19" s="21" t="s">
        <v>30</v>
      </c>
      <c r="M19" s="21" t="s">
        <v>30</v>
      </c>
      <c r="N19" s="18" t="s">
        <v>30</v>
      </c>
      <c r="O19" s="20" t="s">
        <v>141</v>
      </c>
      <c r="P19" s="180" t="s">
        <v>1668</v>
      </c>
      <c r="Q19" s="18" t="s">
        <v>664</v>
      </c>
      <c r="R19" s="20" t="s">
        <v>1482</v>
      </c>
      <c r="S19" s="20" t="s">
        <v>1393</v>
      </c>
      <c r="T19" s="177" t="s">
        <v>1394</v>
      </c>
      <c r="U19" s="170">
        <v>3.306</v>
      </c>
      <c r="V19" s="155">
        <v>56.043999999999997</v>
      </c>
      <c r="W19" s="155">
        <v>185.28100000000001</v>
      </c>
      <c r="X19" s="169">
        <v>8.8889999999999993E-3</v>
      </c>
      <c r="Y19" s="169">
        <v>2.3905096762808099E-3</v>
      </c>
      <c r="Z19" s="169">
        <v>4.01292722336238E-4</v>
      </c>
    </row>
    <row r="20" spans="1:26" hidden="1">
      <c r="A20" s="3">
        <v>1182</v>
      </c>
      <c r="B20" s="3">
        <v>1182</v>
      </c>
      <c r="C20" s="3" t="s">
        <v>1669</v>
      </c>
      <c r="D20" s="3" t="s">
        <v>1670</v>
      </c>
      <c r="E20" s="21" t="s">
        <v>33</v>
      </c>
      <c r="F20" s="3" t="s">
        <v>1671</v>
      </c>
      <c r="G20" s="3">
        <v>62017694</v>
      </c>
      <c r="H20" s="21" t="s">
        <v>33</v>
      </c>
      <c r="I20" s="3" t="s">
        <v>1607</v>
      </c>
      <c r="J20" s="20" t="s">
        <v>1613</v>
      </c>
      <c r="K20" s="18" t="s">
        <v>30</v>
      </c>
      <c r="L20" s="21" t="s">
        <v>30</v>
      </c>
      <c r="M20" s="21" t="s">
        <v>30</v>
      </c>
      <c r="N20" s="18" t="s">
        <v>30</v>
      </c>
      <c r="O20" s="20" t="s">
        <v>141</v>
      </c>
      <c r="P20" s="180" t="s">
        <v>1672</v>
      </c>
      <c r="Q20" s="3" t="s">
        <v>664</v>
      </c>
      <c r="R20" s="20" t="s">
        <v>1482</v>
      </c>
      <c r="S20" s="20" t="s">
        <v>1393</v>
      </c>
      <c r="T20" s="178" t="s">
        <v>1394</v>
      </c>
      <c r="U20" s="162">
        <v>3.306</v>
      </c>
      <c r="V20" s="153">
        <v>182.59200000000001</v>
      </c>
      <c r="W20" s="153">
        <v>603.65</v>
      </c>
      <c r="X20" s="164">
        <v>4.8799999999999999E-4</v>
      </c>
      <c r="Y20" s="164">
        <v>7.7883278134970001E-3</v>
      </c>
      <c r="Z20" s="164">
        <v>1.3074196275949801E-3</v>
      </c>
    </row>
    <row r="21" spans="1:26" hidden="1">
      <c r="A21" s="3">
        <v>1182</v>
      </c>
      <c r="B21" s="3">
        <v>1182</v>
      </c>
      <c r="C21" s="3" t="s">
        <v>1673</v>
      </c>
      <c r="D21" s="3" t="s">
        <v>1674</v>
      </c>
      <c r="E21" s="3" t="s">
        <v>33</v>
      </c>
      <c r="F21" s="3" t="s">
        <v>1673</v>
      </c>
      <c r="G21" s="3">
        <v>62020375</v>
      </c>
      <c r="H21" s="3" t="s">
        <v>33</v>
      </c>
      <c r="I21" s="3" t="s">
        <v>1607</v>
      </c>
      <c r="J21" s="3" t="s">
        <v>1675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141</v>
      </c>
      <c r="P21" s="180" t="s">
        <v>1676</v>
      </c>
      <c r="Q21" s="3" t="s">
        <v>664</v>
      </c>
      <c r="R21" s="3" t="s">
        <v>498</v>
      </c>
      <c r="S21" s="3" t="s">
        <v>1393</v>
      </c>
      <c r="T21" s="178" t="s">
        <v>1394</v>
      </c>
      <c r="U21" s="162">
        <v>3.306</v>
      </c>
      <c r="V21" s="153">
        <v>242.98699999999999</v>
      </c>
      <c r="W21" s="153">
        <v>803.31500000000005</v>
      </c>
      <c r="X21" s="164">
        <v>4.84E-4</v>
      </c>
      <c r="Y21" s="164">
        <v>1.03644145511953E-2</v>
      </c>
      <c r="Z21" s="164">
        <v>1.73986500533283E-3</v>
      </c>
    </row>
    <row r="22" spans="1:26" hidden="1">
      <c r="A22" s="3">
        <v>1182</v>
      </c>
      <c r="B22" s="3">
        <v>1182</v>
      </c>
      <c r="C22" s="3" t="s">
        <v>1677</v>
      </c>
      <c r="D22" s="3" t="s">
        <v>1678</v>
      </c>
      <c r="E22" s="3" t="s">
        <v>651</v>
      </c>
      <c r="F22" s="3" t="s">
        <v>1679</v>
      </c>
      <c r="G22" s="3">
        <v>62013024</v>
      </c>
      <c r="H22" s="3" t="s">
        <v>33</v>
      </c>
      <c r="I22" s="3" t="s">
        <v>1607</v>
      </c>
      <c r="J22" s="3" t="s">
        <v>1613</v>
      </c>
      <c r="K22" s="3" t="s">
        <v>30</v>
      </c>
      <c r="L22" s="3" t="s">
        <v>1619</v>
      </c>
      <c r="M22" s="3" t="s">
        <v>30</v>
      </c>
      <c r="N22" s="3" t="s">
        <v>30</v>
      </c>
      <c r="O22" s="3" t="s">
        <v>141</v>
      </c>
      <c r="P22" s="180" t="s">
        <v>1680</v>
      </c>
      <c r="Q22" s="3" t="s">
        <v>664</v>
      </c>
      <c r="R22" s="3" t="s">
        <v>498</v>
      </c>
      <c r="S22" s="3" t="s">
        <v>1393</v>
      </c>
      <c r="T22" s="178" t="s">
        <v>1394</v>
      </c>
      <c r="U22" s="162">
        <v>3.306</v>
      </c>
      <c r="V22" s="153">
        <v>222.505</v>
      </c>
      <c r="W22" s="153">
        <v>735.6</v>
      </c>
      <c r="X22" s="164">
        <v>0</v>
      </c>
      <c r="Y22" s="164">
        <v>9.4907558262523999E-3</v>
      </c>
      <c r="Z22" s="164">
        <v>1.59320469619298E-3</v>
      </c>
    </row>
    <row r="23" spans="1:26" hidden="1">
      <c r="A23" s="3">
        <v>1182</v>
      </c>
      <c r="B23" s="3">
        <v>1182</v>
      </c>
      <c r="C23" s="3" t="s">
        <v>1681</v>
      </c>
      <c r="D23" s="3" t="s">
        <v>1682</v>
      </c>
      <c r="E23" s="3" t="s">
        <v>498</v>
      </c>
      <c r="F23" s="3" t="s">
        <v>1683</v>
      </c>
      <c r="G23" s="3">
        <v>60406600</v>
      </c>
      <c r="H23" s="3" t="s">
        <v>33</v>
      </c>
      <c r="I23" s="3" t="s">
        <v>1607</v>
      </c>
      <c r="J23" s="3" t="s">
        <v>1684</v>
      </c>
      <c r="K23" s="3" t="s">
        <v>572</v>
      </c>
      <c r="L23" s="3" t="s">
        <v>1619</v>
      </c>
      <c r="M23" s="3" t="s">
        <v>30</v>
      </c>
      <c r="N23" s="3" t="s">
        <v>30</v>
      </c>
      <c r="O23" s="3" t="s">
        <v>141</v>
      </c>
      <c r="P23" s="180" t="s">
        <v>1685</v>
      </c>
      <c r="Q23" s="3" t="s">
        <v>664</v>
      </c>
      <c r="R23" s="3" t="s">
        <v>1482</v>
      </c>
      <c r="S23" s="3" t="s">
        <v>1393</v>
      </c>
      <c r="T23" s="178" t="s">
        <v>1394</v>
      </c>
      <c r="U23" s="162">
        <v>3.306</v>
      </c>
      <c r="V23" s="153">
        <v>212.30500000000001</v>
      </c>
      <c r="W23" s="153">
        <v>701.87900000000002</v>
      </c>
      <c r="X23" s="164">
        <v>0</v>
      </c>
      <c r="Y23" s="164">
        <v>9.0556928184831707E-3</v>
      </c>
      <c r="Z23" s="164">
        <v>1.5201710580078601E-3</v>
      </c>
    </row>
    <row r="24" spans="1:26" hidden="1">
      <c r="A24" s="3">
        <v>1182</v>
      </c>
      <c r="B24" s="3">
        <v>1182</v>
      </c>
      <c r="C24" s="3" t="s">
        <v>1686</v>
      </c>
      <c r="D24" s="3" t="s">
        <v>1687</v>
      </c>
      <c r="E24" s="3" t="s">
        <v>498</v>
      </c>
      <c r="F24" s="3" t="s">
        <v>1688</v>
      </c>
      <c r="G24" s="3">
        <v>62009048</v>
      </c>
      <c r="H24" s="3" t="s">
        <v>33</v>
      </c>
      <c r="I24" s="3" t="s">
        <v>1607</v>
      </c>
      <c r="J24" s="3" t="s">
        <v>1684</v>
      </c>
      <c r="K24" s="3" t="s">
        <v>572</v>
      </c>
      <c r="L24" s="3" t="s">
        <v>1619</v>
      </c>
      <c r="M24" s="3" t="s">
        <v>30</v>
      </c>
      <c r="N24" s="3" t="s">
        <v>224</v>
      </c>
      <c r="O24" s="3" t="s">
        <v>141</v>
      </c>
      <c r="P24" s="180" t="s">
        <v>1689</v>
      </c>
      <c r="Q24" s="3" t="s">
        <v>664</v>
      </c>
      <c r="R24" s="3" t="s">
        <v>1482</v>
      </c>
      <c r="S24" s="3" t="s">
        <v>1393</v>
      </c>
      <c r="T24" s="178" t="s">
        <v>1394</v>
      </c>
      <c r="U24" s="162">
        <v>3.306</v>
      </c>
      <c r="V24" s="153">
        <v>328.04300000000001</v>
      </c>
      <c r="W24" s="153">
        <v>1084.51</v>
      </c>
      <c r="X24" s="164">
        <v>1.9400000000000001E-3</v>
      </c>
      <c r="Y24" s="164">
        <v>1.39924157176483E-2</v>
      </c>
      <c r="Z24" s="164">
        <v>2.3488943178558699E-3</v>
      </c>
    </row>
    <row r="25" spans="1:26" hidden="1">
      <c r="A25" s="3">
        <v>1182</v>
      </c>
      <c r="B25" s="3">
        <v>1182</v>
      </c>
      <c r="C25" s="3" t="s">
        <v>1690</v>
      </c>
      <c r="D25" s="3" t="s">
        <v>1691</v>
      </c>
      <c r="E25" s="3" t="s">
        <v>498</v>
      </c>
      <c r="F25" s="3" t="s">
        <v>1692</v>
      </c>
      <c r="G25" s="3">
        <v>62015334</v>
      </c>
      <c r="H25" s="3" t="s">
        <v>33</v>
      </c>
      <c r="I25" s="3" t="s">
        <v>1607</v>
      </c>
      <c r="J25" s="3" t="s">
        <v>1684</v>
      </c>
      <c r="K25" s="3" t="s">
        <v>572</v>
      </c>
      <c r="L25" s="3" t="s">
        <v>1619</v>
      </c>
      <c r="M25" s="3" t="s">
        <v>30</v>
      </c>
      <c r="N25" s="3" t="s">
        <v>30</v>
      </c>
      <c r="O25" s="3" t="s">
        <v>141</v>
      </c>
      <c r="P25" s="180" t="s">
        <v>1693</v>
      </c>
      <c r="Q25" s="3" t="s">
        <v>664</v>
      </c>
      <c r="R25" s="3" t="s">
        <v>1482</v>
      </c>
      <c r="S25" s="3" t="s">
        <v>1393</v>
      </c>
      <c r="T25" s="178" t="s">
        <v>1394</v>
      </c>
      <c r="U25" s="162">
        <v>3.306</v>
      </c>
      <c r="V25" s="153">
        <v>306.71699999999998</v>
      </c>
      <c r="W25" s="153">
        <v>1014.0069999999999</v>
      </c>
      <c r="X25" s="164">
        <v>2.2000000000000001E-3</v>
      </c>
      <c r="Y25" s="164">
        <v>1.30827876104819E-2</v>
      </c>
      <c r="Z25" s="164">
        <v>2.1961958606773599E-3</v>
      </c>
    </row>
    <row r="26" spans="1:26" hidden="1">
      <c r="A26" s="3">
        <v>1182</v>
      </c>
      <c r="B26" s="3">
        <v>1182</v>
      </c>
      <c r="C26" s="3" t="s">
        <v>1694</v>
      </c>
      <c r="D26" s="3" t="s">
        <v>1695</v>
      </c>
      <c r="E26" s="3" t="s">
        <v>498</v>
      </c>
      <c r="F26" s="3" t="s">
        <v>1696</v>
      </c>
      <c r="G26" s="3">
        <v>62017835</v>
      </c>
      <c r="H26" s="3" t="s">
        <v>33</v>
      </c>
      <c r="I26" s="3" t="s">
        <v>1607</v>
      </c>
      <c r="J26" s="3" t="s">
        <v>1684</v>
      </c>
      <c r="K26" s="3" t="s">
        <v>30</v>
      </c>
      <c r="L26" s="3" t="s">
        <v>224</v>
      </c>
      <c r="M26" s="3" t="s">
        <v>30</v>
      </c>
      <c r="N26" s="3" t="s">
        <v>30</v>
      </c>
      <c r="O26" s="3" t="s">
        <v>141</v>
      </c>
      <c r="P26" s="180" t="s">
        <v>1662</v>
      </c>
      <c r="Q26" s="3" t="s">
        <v>664</v>
      </c>
      <c r="R26" s="3" t="s">
        <v>498</v>
      </c>
      <c r="S26" s="3" t="s">
        <v>1393</v>
      </c>
      <c r="T26" s="178" t="s">
        <v>1394</v>
      </c>
      <c r="U26" s="162">
        <v>3.306</v>
      </c>
      <c r="V26" s="153">
        <v>210.02699999999999</v>
      </c>
      <c r="W26" s="153">
        <v>694.34799999999996</v>
      </c>
      <c r="X26" s="164">
        <v>5.5999999999999995E-4</v>
      </c>
      <c r="Y26" s="164">
        <v>8.9585183496767706E-3</v>
      </c>
      <c r="Z26" s="164">
        <v>1.50385846679946E-3</v>
      </c>
    </row>
    <row r="27" spans="1:26" hidden="1">
      <c r="A27" s="3">
        <v>1182</v>
      </c>
      <c r="B27" s="3">
        <v>1182</v>
      </c>
      <c r="C27" s="3" t="s">
        <v>1697</v>
      </c>
      <c r="D27" s="3" t="s">
        <v>1698</v>
      </c>
      <c r="E27" s="3" t="s">
        <v>498</v>
      </c>
      <c r="F27" s="3" t="s">
        <v>1699</v>
      </c>
      <c r="G27" s="3">
        <v>62020011</v>
      </c>
      <c r="H27" s="3" t="s">
        <v>33</v>
      </c>
      <c r="I27" s="3" t="s">
        <v>1607</v>
      </c>
      <c r="J27" s="3" t="s">
        <v>1684</v>
      </c>
      <c r="K27" s="3" t="s">
        <v>572</v>
      </c>
      <c r="L27" s="3" t="s">
        <v>224</v>
      </c>
      <c r="M27" s="3" t="s">
        <v>30</v>
      </c>
      <c r="N27" s="3" t="s">
        <v>30</v>
      </c>
      <c r="O27" s="3" t="s">
        <v>141</v>
      </c>
      <c r="P27" s="180" t="s">
        <v>1700</v>
      </c>
      <c r="Q27" s="3" t="s">
        <v>664</v>
      </c>
      <c r="R27" s="3" t="s">
        <v>1482</v>
      </c>
      <c r="S27" s="3" t="s">
        <v>1393</v>
      </c>
      <c r="T27" s="178" t="s">
        <v>1394</v>
      </c>
      <c r="U27" s="162">
        <v>3.306</v>
      </c>
      <c r="V27" s="153">
        <v>134.24299999999999</v>
      </c>
      <c r="W27" s="153">
        <v>443.80599999999998</v>
      </c>
      <c r="X27" s="164">
        <v>1.823E-3</v>
      </c>
      <c r="Y27" s="164">
        <v>5.7260176183261602E-3</v>
      </c>
      <c r="Z27" s="164">
        <v>9.6122145875532795E-4</v>
      </c>
    </row>
    <row r="28" spans="1:26" hidden="1">
      <c r="A28" s="3">
        <v>1182</v>
      </c>
      <c r="B28" s="3">
        <v>1182</v>
      </c>
      <c r="C28" s="3" t="s">
        <v>1701</v>
      </c>
      <c r="D28" s="3" t="s">
        <v>1702</v>
      </c>
      <c r="E28" s="3" t="s">
        <v>498</v>
      </c>
      <c r="F28" s="3" t="s">
        <v>1703</v>
      </c>
      <c r="G28" s="3">
        <v>62020748</v>
      </c>
      <c r="H28" s="3" t="s">
        <v>33</v>
      </c>
      <c r="I28" s="3" t="s">
        <v>1607</v>
      </c>
      <c r="J28" s="3" t="s">
        <v>1684</v>
      </c>
      <c r="K28" s="3" t="s">
        <v>572</v>
      </c>
      <c r="L28" s="3" t="s">
        <v>224</v>
      </c>
      <c r="M28" s="3" t="s">
        <v>30</v>
      </c>
      <c r="N28" s="3" t="s">
        <v>224</v>
      </c>
      <c r="O28" s="3" t="s">
        <v>141</v>
      </c>
      <c r="P28" s="180" t="s">
        <v>1704</v>
      </c>
      <c r="Q28" s="3" t="s">
        <v>664</v>
      </c>
      <c r="R28" s="3" t="s">
        <v>498</v>
      </c>
      <c r="S28" s="3" t="s">
        <v>1393</v>
      </c>
      <c r="T28" s="178" t="s">
        <v>1394</v>
      </c>
      <c r="U28" s="162">
        <v>3.306</v>
      </c>
      <c r="V28" s="153">
        <v>117.782</v>
      </c>
      <c r="W28" s="153">
        <v>389.38900000000001</v>
      </c>
      <c r="X28" s="164">
        <v>2.81E-4</v>
      </c>
      <c r="Y28" s="164">
        <v>5.0239179654044501E-3</v>
      </c>
      <c r="Z28" s="164">
        <v>8.43360617668658E-4</v>
      </c>
    </row>
    <row r="29" spans="1:26" hidden="1">
      <c r="A29" s="3">
        <v>1182</v>
      </c>
      <c r="B29" s="3">
        <v>1182</v>
      </c>
      <c r="C29" s="3" t="s">
        <v>1705</v>
      </c>
      <c r="D29" s="3" t="s">
        <v>1706</v>
      </c>
      <c r="E29" s="3" t="s">
        <v>33</v>
      </c>
      <c r="F29" s="3" t="s">
        <v>1707</v>
      </c>
      <c r="G29" s="3">
        <v>62022710</v>
      </c>
      <c r="H29" s="3" t="s">
        <v>33</v>
      </c>
      <c r="I29" s="3" t="s">
        <v>1607</v>
      </c>
      <c r="J29" s="3" t="s">
        <v>1613</v>
      </c>
      <c r="K29" s="3" t="s">
        <v>30</v>
      </c>
      <c r="L29" s="3" t="s">
        <v>1619</v>
      </c>
      <c r="M29" s="3" t="s">
        <v>30</v>
      </c>
      <c r="N29" s="3" t="s">
        <v>797</v>
      </c>
      <c r="O29" s="3" t="s">
        <v>141</v>
      </c>
      <c r="P29" s="180" t="s">
        <v>1708</v>
      </c>
      <c r="Q29" s="3" t="s">
        <v>664</v>
      </c>
      <c r="R29" s="3" t="s">
        <v>498</v>
      </c>
      <c r="S29" s="3" t="s">
        <v>1393</v>
      </c>
      <c r="T29" s="178" t="s">
        <v>1394</v>
      </c>
      <c r="U29" s="162">
        <v>3.306</v>
      </c>
      <c r="V29" s="153">
        <v>12</v>
      </c>
      <c r="W29" s="153">
        <v>39.671999999999997</v>
      </c>
      <c r="X29" s="164">
        <v>3.4E-5</v>
      </c>
      <c r="Y29" s="164">
        <v>5.1185063634680999E-4</v>
      </c>
      <c r="Z29" s="164">
        <v>8.5923908749331899E-5</v>
      </c>
    </row>
    <row r="30" spans="1:26" hidden="1">
      <c r="A30" s="3">
        <v>1182</v>
      </c>
      <c r="B30" s="3">
        <v>1182</v>
      </c>
      <c r="C30" s="3" t="s">
        <v>1709</v>
      </c>
      <c r="D30" s="3" t="s">
        <v>1710</v>
      </c>
      <c r="E30" s="3" t="s">
        <v>498</v>
      </c>
      <c r="F30" s="3" t="s">
        <v>1711</v>
      </c>
      <c r="G30" s="3">
        <v>62015151</v>
      </c>
      <c r="H30" s="3" t="s">
        <v>33</v>
      </c>
      <c r="I30" s="3" t="s">
        <v>1607</v>
      </c>
      <c r="J30" s="3" t="s">
        <v>1641</v>
      </c>
      <c r="K30" s="3" t="s">
        <v>572</v>
      </c>
      <c r="L30" s="3" t="s">
        <v>224</v>
      </c>
      <c r="M30" s="3" t="s">
        <v>30</v>
      </c>
      <c r="N30" s="3" t="s">
        <v>30</v>
      </c>
      <c r="O30" s="3" t="s">
        <v>141</v>
      </c>
      <c r="P30" s="180" t="s">
        <v>1712</v>
      </c>
      <c r="Q30" s="3" t="s">
        <v>664</v>
      </c>
      <c r="R30" s="3" t="s">
        <v>1482</v>
      </c>
      <c r="S30" s="3" t="s">
        <v>1393</v>
      </c>
      <c r="T30" s="178" t="s">
        <v>1394</v>
      </c>
      <c r="U30" s="162">
        <v>3.306</v>
      </c>
      <c r="V30" s="153">
        <v>223.036</v>
      </c>
      <c r="W30" s="153">
        <v>737.35799999999995</v>
      </c>
      <c r="X30" s="164">
        <v>1.884E-3</v>
      </c>
      <c r="Y30" s="164">
        <v>9.5134332586905099E-3</v>
      </c>
      <c r="Z30" s="164">
        <v>1.5970115365036401E-3</v>
      </c>
    </row>
    <row r="31" spans="1:26" hidden="1">
      <c r="A31" s="3">
        <v>1182</v>
      </c>
      <c r="B31" s="3">
        <v>1182</v>
      </c>
      <c r="C31" s="3" t="s">
        <v>1713</v>
      </c>
      <c r="D31" s="3" t="s">
        <v>1714</v>
      </c>
      <c r="E31" s="3" t="s">
        <v>498</v>
      </c>
      <c r="F31" s="3" t="s">
        <v>1715</v>
      </c>
      <c r="G31" s="3">
        <v>62007349</v>
      </c>
      <c r="H31" s="3" t="s">
        <v>33</v>
      </c>
      <c r="I31" s="3" t="s">
        <v>1607</v>
      </c>
      <c r="J31" s="3" t="s">
        <v>1637</v>
      </c>
      <c r="K31" s="3" t="s">
        <v>572</v>
      </c>
      <c r="L31" s="3" t="s">
        <v>1619</v>
      </c>
      <c r="M31" s="3" t="s">
        <v>30</v>
      </c>
      <c r="N31" s="3" t="s">
        <v>30</v>
      </c>
      <c r="O31" s="3" t="s">
        <v>141</v>
      </c>
      <c r="P31" s="180" t="s">
        <v>1716</v>
      </c>
      <c r="Q31" s="3" t="s">
        <v>664</v>
      </c>
      <c r="R31" s="3" t="s">
        <v>1482</v>
      </c>
      <c r="S31" s="3" t="s">
        <v>1393</v>
      </c>
      <c r="T31" s="178" t="s">
        <v>1394</v>
      </c>
      <c r="U31" s="162">
        <v>3.306</v>
      </c>
      <c r="V31" s="153">
        <v>119.953</v>
      </c>
      <c r="W31" s="153">
        <v>396.56400000000002</v>
      </c>
      <c r="X31" s="164">
        <v>4.1899999999999999E-4</v>
      </c>
      <c r="Y31" s="164">
        <v>5.1164927769321604E-3</v>
      </c>
      <c r="Z31" s="164">
        <v>8.5890106852159803E-4</v>
      </c>
    </row>
    <row r="32" spans="1:26" hidden="1">
      <c r="A32" s="3">
        <v>1182</v>
      </c>
      <c r="B32" s="3">
        <v>1182</v>
      </c>
      <c r="C32" s="3" t="s">
        <v>1717</v>
      </c>
      <c r="D32" s="3" t="s">
        <v>1718</v>
      </c>
      <c r="E32" s="3" t="s">
        <v>498</v>
      </c>
      <c r="F32" s="3" t="s">
        <v>1719</v>
      </c>
      <c r="G32" s="3">
        <v>62020755</v>
      </c>
      <c r="H32" s="3" t="s">
        <v>33</v>
      </c>
      <c r="I32" s="3" t="s">
        <v>1607</v>
      </c>
      <c r="J32" s="3" t="s">
        <v>1637</v>
      </c>
      <c r="K32" s="3" t="s">
        <v>572</v>
      </c>
      <c r="L32" s="3" t="s">
        <v>224</v>
      </c>
      <c r="M32" s="3" t="s">
        <v>30</v>
      </c>
      <c r="N32" s="3" t="s">
        <v>30</v>
      </c>
      <c r="O32" s="3" t="s">
        <v>141</v>
      </c>
      <c r="P32" s="180" t="s">
        <v>1704</v>
      </c>
      <c r="Q32" s="3" t="s">
        <v>664</v>
      </c>
      <c r="R32" s="3" t="s">
        <v>498</v>
      </c>
      <c r="S32" s="3" t="s">
        <v>1393</v>
      </c>
      <c r="T32" s="178" t="s">
        <v>1394</v>
      </c>
      <c r="U32" s="162">
        <v>3.306</v>
      </c>
      <c r="V32" s="153">
        <v>316.74400000000003</v>
      </c>
      <c r="W32" s="153">
        <v>1047.1569999999999</v>
      </c>
      <c r="X32" s="164">
        <v>7.4299999999999995E-4</v>
      </c>
      <c r="Y32" s="164">
        <v>1.3510488637278301E-2</v>
      </c>
      <c r="Z32" s="164">
        <v>2.26799364969788E-3</v>
      </c>
    </row>
    <row r="33" spans="1:26" hidden="1">
      <c r="A33" s="3">
        <v>1182</v>
      </c>
      <c r="B33" s="3">
        <v>1182</v>
      </c>
      <c r="C33" s="3" t="s">
        <v>1720</v>
      </c>
      <c r="D33" s="3" t="s">
        <v>1721</v>
      </c>
      <c r="E33" s="3" t="s">
        <v>134</v>
      </c>
      <c r="F33" s="3" t="s">
        <v>1722</v>
      </c>
      <c r="G33" s="3">
        <v>50006410</v>
      </c>
      <c r="H33" s="3" t="s">
        <v>33</v>
      </c>
      <c r="I33" s="3" t="s">
        <v>1654</v>
      </c>
      <c r="J33" s="3" t="s">
        <v>1613</v>
      </c>
      <c r="K33" s="3" t="s">
        <v>30</v>
      </c>
      <c r="L33" s="3" t="s">
        <v>1619</v>
      </c>
      <c r="M33" s="3" t="s">
        <v>30</v>
      </c>
      <c r="N33" s="3" t="s">
        <v>30</v>
      </c>
      <c r="O33" s="3" t="s">
        <v>141</v>
      </c>
      <c r="P33" s="180" t="s">
        <v>1723</v>
      </c>
      <c r="Q33" s="3" t="s">
        <v>34</v>
      </c>
      <c r="R33" s="3" t="s">
        <v>498</v>
      </c>
      <c r="S33" s="3" t="s">
        <v>1393</v>
      </c>
      <c r="T33" s="178" t="s">
        <v>1394</v>
      </c>
      <c r="U33" s="162">
        <v>1</v>
      </c>
      <c r="V33" s="153">
        <v>3119.779</v>
      </c>
      <c r="W33" s="153">
        <v>3119.779</v>
      </c>
      <c r="X33" s="164">
        <v>0</v>
      </c>
      <c r="Y33" s="164">
        <v>4.02515828709352E-2</v>
      </c>
      <c r="Z33" s="164">
        <v>6.7569972332221801E-3</v>
      </c>
    </row>
    <row r="34" spans="1:26" hidden="1">
      <c r="A34" s="3">
        <v>1182</v>
      </c>
      <c r="B34" s="3">
        <v>1182</v>
      </c>
      <c r="C34" s="3" t="s">
        <v>1724</v>
      </c>
      <c r="D34" s="3" t="s">
        <v>1725</v>
      </c>
      <c r="E34" s="3" t="s">
        <v>134</v>
      </c>
      <c r="F34" s="3" t="s">
        <v>1726</v>
      </c>
      <c r="G34" s="3">
        <v>50007004</v>
      </c>
      <c r="H34" s="3" t="s">
        <v>33</v>
      </c>
      <c r="I34" s="3" t="s">
        <v>1607</v>
      </c>
      <c r="J34" s="3" t="s">
        <v>1727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141</v>
      </c>
      <c r="P34" s="180" t="s">
        <v>1728</v>
      </c>
      <c r="Q34" s="3" t="s">
        <v>34</v>
      </c>
      <c r="R34" s="3" t="s">
        <v>1482</v>
      </c>
      <c r="S34" s="3" t="s">
        <v>1393</v>
      </c>
      <c r="T34" s="178" t="s">
        <v>1394</v>
      </c>
      <c r="U34" s="162">
        <v>1</v>
      </c>
      <c r="V34" s="153">
        <v>1109.9480000000001</v>
      </c>
      <c r="W34" s="153">
        <v>1109.9480000000001</v>
      </c>
      <c r="X34" s="164">
        <v>0</v>
      </c>
      <c r="Y34" s="164">
        <v>1.432061789627E-2</v>
      </c>
      <c r="Z34" s="164">
        <v>2.4039893241813298E-3</v>
      </c>
    </row>
    <row r="35" spans="1:26" hidden="1">
      <c r="A35" s="3">
        <v>1182</v>
      </c>
      <c r="B35" s="3">
        <v>1182</v>
      </c>
      <c r="C35" s="3" t="s">
        <v>1729</v>
      </c>
      <c r="D35" s="3" t="s">
        <v>1730</v>
      </c>
      <c r="E35" s="3" t="s">
        <v>134</v>
      </c>
      <c r="F35" s="3" t="s">
        <v>1729</v>
      </c>
      <c r="G35" s="3">
        <v>50007350</v>
      </c>
      <c r="H35" s="3" t="s">
        <v>33</v>
      </c>
      <c r="I35" s="3" t="s">
        <v>1607</v>
      </c>
      <c r="J35" s="3" t="s">
        <v>1731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141</v>
      </c>
      <c r="P35" s="180" t="s">
        <v>1732</v>
      </c>
      <c r="Q35" s="3" t="s">
        <v>34</v>
      </c>
      <c r="R35" s="3" t="s">
        <v>498</v>
      </c>
      <c r="S35" s="3" t="s">
        <v>1393</v>
      </c>
      <c r="T35" s="178" t="s">
        <v>1394</v>
      </c>
      <c r="U35" s="162">
        <v>1</v>
      </c>
      <c r="V35" s="153">
        <v>1689.47</v>
      </c>
      <c r="W35" s="153">
        <v>1689.47</v>
      </c>
      <c r="X35" s="164">
        <v>2.2230000000000001E-3</v>
      </c>
      <c r="Y35" s="164">
        <v>2.17976486498591E-2</v>
      </c>
      <c r="Z35" s="164">
        <v>3.6591517926168301E-3</v>
      </c>
    </row>
    <row r="36" spans="1:26" hidden="1">
      <c r="A36" s="3">
        <v>1182</v>
      </c>
      <c r="B36" s="3">
        <v>1182</v>
      </c>
      <c r="C36" s="3" t="s">
        <v>1733</v>
      </c>
      <c r="D36" s="3" t="s">
        <v>1734</v>
      </c>
      <c r="E36" s="3" t="s">
        <v>33</v>
      </c>
      <c r="F36" s="3" t="s">
        <v>1735</v>
      </c>
      <c r="G36" s="3">
        <v>50008325</v>
      </c>
      <c r="H36" s="3" t="s">
        <v>33</v>
      </c>
      <c r="I36" s="3" t="s">
        <v>1607</v>
      </c>
      <c r="J36" s="3" t="s">
        <v>1613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141</v>
      </c>
      <c r="P36" s="180" t="s">
        <v>1736</v>
      </c>
      <c r="Q36" s="3" t="s">
        <v>34</v>
      </c>
      <c r="R36" s="3" t="s">
        <v>498</v>
      </c>
      <c r="S36" s="3" t="s">
        <v>1393</v>
      </c>
      <c r="T36" s="178" t="s">
        <v>1394</v>
      </c>
      <c r="U36" s="162">
        <v>1</v>
      </c>
      <c r="V36" s="153">
        <v>91.460999999999999</v>
      </c>
      <c r="W36" s="153">
        <v>91.460999999999999</v>
      </c>
      <c r="X36" s="164">
        <v>0</v>
      </c>
      <c r="Y36" s="164">
        <v>1.1800354507275799E-3</v>
      </c>
      <c r="Z36" s="164">
        <v>1.9809149620865699E-4</v>
      </c>
    </row>
    <row r="37" spans="1:26" hidden="1">
      <c r="A37" s="3">
        <v>1182</v>
      </c>
      <c r="B37" s="3">
        <v>1182</v>
      </c>
      <c r="C37" s="3" t="s">
        <v>1610</v>
      </c>
      <c r="D37" s="3" t="s">
        <v>1611</v>
      </c>
      <c r="E37" s="3" t="s">
        <v>366</v>
      </c>
      <c r="F37" s="3" t="s">
        <v>1737</v>
      </c>
      <c r="G37" s="3">
        <v>60400892</v>
      </c>
      <c r="H37" s="3" t="s">
        <v>33</v>
      </c>
      <c r="I37" s="3" t="s">
        <v>1607</v>
      </c>
      <c r="J37" s="3" t="s">
        <v>1613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141</v>
      </c>
      <c r="P37" s="180" t="s">
        <v>1738</v>
      </c>
      <c r="Q37" s="3" t="s">
        <v>664</v>
      </c>
      <c r="R37" s="3" t="s">
        <v>1482</v>
      </c>
      <c r="S37" s="3" t="s">
        <v>1393</v>
      </c>
      <c r="T37" s="178" t="s">
        <v>1394</v>
      </c>
      <c r="U37" s="162">
        <v>3.306</v>
      </c>
      <c r="V37" s="153">
        <v>746.86</v>
      </c>
      <c r="W37" s="153">
        <v>2469.1210000000001</v>
      </c>
      <c r="X37" s="164">
        <v>0</v>
      </c>
      <c r="Y37" s="164">
        <v>3.1856751275412799E-2</v>
      </c>
      <c r="Z37" s="164">
        <v>5.3477643579289604E-3</v>
      </c>
    </row>
    <row r="38" spans="1:26" hidden="1">
      <c r="A38" s="3">
        <v>1182</v>
      </c>
      <c r="B38" s="3">
        <v>1182</v>
      </c>
      <c r="C38" s="3" t="s">
        <v>1724</v>
      </c>
      <c r="D38" s="3" t="s">
        <v>1725</v>
      </c>
      <c r="E38" s="3" t="s">
        <v>134</v>
      </c>
      <c r="F38" s="3" t="s">
        <v>1724</v>
      </c>
      <c r="G38" s="3">
        <v>18952</v>
      </c>
      <c r="H38" s="3" t="s">
        <v>33</v>
      </c>
      <c r="I38" s="3" t="s">
        <v>1607</v>
      </c>
      <c r="J38" s="3" t="s">
        <v>1727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141</v>
      </c>
      <c r="P38" s="180" t="s">
        <v>1739</v>
      </c>
      <c r="Q38" s="3" t="s">
        <v>34</v>
      </c>
      <c r="R38" s="3" t="s">
        <v>1482</v>
      </c>
      <c r="S38" s="3" t="s">
        <v>1393</v>
      </c>
      <c r="T38" s="178" t="s">
        <v>1394</v>
      </c>
      <c r="U38" s="162">
        <v>1</v>
      </c>
      <c r="V38" s="153">
        <v>107.643</v>
      </c>
      <c r="W38" s="153">
        <v>107.643</v>
      </c>
      <c r="X38" s="164">
        <v>3.1100000000000002E-4</v>
      </c>
      <c r="Y38" s="164">
        <v>1.3888194138660999E-3</v>
      </c>
      <c r="Z38" s="164">
        <v>2.3313987345612299E-4</v>
      </c>
    </row>
    <row r="39" spans="1:26" hidden="1">
      <c r="A39" s="3">
        <v>1182</v>
      </c>
      <c r="B39" s="3">
        <v>1182</v>
      </c>
      <c r="C39" s="3" t="s">
        <v>1740</v>
      </c>
      <c r="D39" s="3" t="s">
        <v>1741</v>
      </c>
      <c r="E39" s="3" t="s">
        <v>498</v>
      </c>
      <c r="F39" s="3" t="s">
        <v>1742</v>
      </c>
      <c r="G39" s="3">
        <v>50007160</v>
      </c>
      <c r="H39" s="3" t="s">
        <v>33</v>
      </c>
      <c r="I39" s="3" t="s">
        <v>1607</v>
      </c>
      <c r="J39" s="3" t="s">
        <v>1613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141</v>
      </c>
      <c r="P39" s="180" t="s">
        <v>1743</v>
      </c>
      <c r="Q39" s="3" t="s">
        <v>34</v>
      </c>
      <c r="R39" s="3" t="s">
        <v>498</v>
      </c>
      <c r="S39" s="3" t="s">
        <v>1393</v>
      </c>
      <c r="T39" s="178" t="s">
        <v>1394</v>
      </c>
      <c r="U39" s="162">
        <v>1</v>
      </c>
      <c r="V39" s="153">
        <v>304.33499999999998</v>
      </c>
      <c r="W39" s="153">
        <v>304.33499999999998</v>
      </c>
      <c r="X39" s="164">
        <v>3.1350000000000002E-3</v>
      </c>
      <c r="Y39" s="164">
        <v>3.9265469278953902E-3</v>
      </c>
      <c r="Z39" s="164">
        <v>6.5914592260828001E-4</v>
      </c>
    </row>
    <row r="40" spans="1:26" hidden="1">
      <c r="A40" s="3">
        <v>1182</v>
      </c>
      <c r="B40" s="3">
        <v>1182</v>
      </c>
      <c r="C40" s="3" t="s">
        <v>1744</v>
      </c>
      <c r="D40" s="3" t="s">
        <v>1745</v>
      </c>
      <c r="E40" s="3" t="s">
        <v>651</v>
      </c>
      <c r="F40" s="3" t="s">
        <v>1746</v>
      </c>
      <c r="G40" s="3">
        <v>62022124</v>
      </c>
      <c r="H40" s="3" t="s">
        <v>33</v>
      </c>
      <c r="I40" s="3" t="s">
        <v>1607</v>
      </c>
      <c r="J40" s="3" t="s">
        <v>1613</v>
      </c>
      <c r="K40" s="3" t="s">
        <v>572</v>
      </c>
      <c r="L40" s="3" t="s">
        <v>1315</v>
      </c>
      <c r="M40" s="3" t="s">
        <v>1315</v>
      </c>
      <c r="N40" s="3" t="s">
        <v>1747</v>
      </c>
      <c r="O40" s="3" t="s">
        <v>141</v>
      </c>
      <c r="P40" s="180" t="s">
        <v>1748</v>
      </c>
      <c r="Q40" s="3" t="s">
        <v>576</v>
      </c>
      <c r="R40" s="3" t="s">
        <v>498</v>
      </c>
      <c r="S40" s="3" t="s">
        <v>1393</v>
      </c>
      <c r="T40" s="178" t="s">
        <v>1394</v>
      </c>
      <c r="U40" s="162">
        <v>3.8807</v>
      </c>
      <c r="V40" s="153">
        <v>147.971</v>
      </c>
      <c r="W40" s="153">
        <v>574.22900000000004</v>
      </c>
      <c r="X40" s="164">
        <v>9.2E-5</v>
      </c>
      <c r="Y40" s="164">
        <v>7.4087404431540799E-3</v>
      </c>
      <c r="Z40" s="164">
        <v>1.2436986350716E-3</v>
      </c>
    </row>
    <row r="41" spans="1:26" hidden="1">
      <c r="A41" s="3">
        <v>1182</v>
      </c>
      <c r="B41" s="3">
        <v>1182</v>
      </c>
      <c r="C41" s="3" t="s">
        <v>1749</v>
      </c>
      <c r="D41" s="3" t="s">
        <v>1750</v>
      </c>
      <c r="E41" s="3" t="s">
        <v>33</v>
      </c>
      <c r="F41" s="3" t="s">
        <v>1751</v>
      </c>
      <c r="G41" s="3">
        <v>62020672</v>
      </c>
      <c r="H41" s="3" t="s">
        <v>33</v>
      </c>
      <c r="I41" s="3" t="s">
        <v>1607</v>
      </c>
      <c r="J41" s="3" t="s">
        <v>1613</v>
      </c>
      <c r="K41" s="3" t="s">
        <v>572</v>
      </c>
      <c r="L41" s="3" t="s">
        <v>224</v>
      </c>
      <c r="M41" s="3" t="s">
        <v>224</v>
      </c>
      <c r="N41" s="3" t="s">
        <v>224</v>
      </c>
      <c r="O41" s="3" t="s">
        <v>141</v>
      </c>
      <c r="P41" s="180" t="s">
        <v>1752</v>
      </c>
      <c r="Q41" s="3" t="s">
        <v>664</v>
      </c>
      <c r="R41" s="3" t="s">
        <v>498</v>
      </c>
      <c r="S41" s="3" t="s">
        <v>1393</v>
      </c>
      <c r="T41" s="178" t="s">
        <v>1394</v>
      </c>
      <c r="U41" s="162">
        <v>3.306</v>
      </c>
      <c r="V41" s="153">
        <v>91.694000000000003</v>
      </c>
      <c r="W41" s="153">
        <v>303.14100000000002</v>
      </c>
      <c r="X41" s="164">
        <v>2.3499999999999999E-4</v>
      </c>
      <c r="Y41" s="164">
        <v>3.9111448530466802E-3</v>
      </c>
      <c r="Z41" s="164">
        <v>6.5656039007227097E-4</v>
      </c>
    </row>
    <row r="42" spans="1:26" hidden="1">
      <c r="A42" s="3">
        <v>1182</v>
      </c>
      <c r="B42" s="3">
        <v>1182</v>
      </c>
      <c r="C42" s="3" t="s">
        <v>1753</v>
      </c>
      <c r="D42" s="3" t="s">
        <v>1754</v>
      </c>
      <c r="E42" s="3" t="s">
        <v>651</v>
      </c>
      <c r="F42" s="3" t="s">
        <v>1753</v>
      </c>
      <c r="G42" s="3">
        <v>62021365</v>
      </c>
      <c r="H42" s="3" t="s">
        <v>33</v>
      </c>
      <c r="I42" s="3" t="s">
        <v>1607</v>
      </c>
      <c r="J42" s="3" t="s">
        <v>1755</v>
      </c>
      <c r="K42" s="3" t="s">
        <v>572</v>
      </c>
      <c r="L42" s="3" t="s">
        <v>1315</v>
      </c>
      <c r="M42" s="3" t="s">
        <v>1315</v>
      </c>
      <c r="N42" s="3" t="s">
        <v>1120</v>
      </c>
      <c r="O42" s="3" t="s">
        <v>141</v>
      </c>
      <c r="P42" s="180" t="s">
        <v>1756</v>
      </c>
      <c r="Q42" s="3" t="s">
        <v>664</v>
      </c>
      <c r="R42" s="3" t="s">
        <v>1482</v>
      </c>
      <c r="S42" s="3" t="s">
        <v>1393</v>
      </c>
      <c r="T42" s="178" t="s">
        <v>1394</v>
      </c>
      <c r="U42" s="162">
        <v>3.306</v>
      </c>
      <c r="V42" s="153">
        <v>109.387</v>
      </c>
      <c r="W42" s="153">
        <v>361.63200000000001</v>
      </c>
      <c r="X42" s="164">
        <v>0</v>
      </c>
      <c r="Y42" s="164">
        <v>4.6657973960831196E-3</v>
      </c>
      <c r="Z42" s="164">
        <v>7.8324323784229803E-4</v>
      </c>
    </row>
    <row r="43" spans="1:26" hidden="1">
      <c r="A43" s="3">
        <v>1182</v>
      </c>
      <c r="B43" s="3">
        <v>1182</v>
      </c>
      <c r="C43" s="3" t="s">
        <v>1757</v>
      </c>
      <c r="D43" s="3" t="s">
        <v>1758</v>
      </c>
      <c r="E43" s="3" t="s">
        <v>492</v>
      </c>
      <c r="F43" s="3" t="s">
        <v>1757</v>
      </c>
      <c r="G43" s="3">
        <v>62020896</v>
      </c>
      <c r="H43" s="3" t="s">
        <v>33</v>
      </c>
      <c r="I43" s="3" t="s">
        <v>1607</v>
      </c>
      <c r="J43" s="3" t="s">
        <v>1637</v>
      </c>
      <c r="K43" s="3" t="s">
        <v>572</v>
      </c>
      <c r="L43" s="3" t="s">
        <v>566</v>
      </c>
      <c r="M43" s="3" t="s">
        <v>1759</v>
      </c>
      <c r="N43" s="3" t="s">
        <v>797</v>
      </c>
      <c r="O43" s="3" t="s">
        <v>141</v>
      </c>
      <c r="P43" s="180" t="s">
        <v>1760</v>
      </c>
      <c r="Q43" s="3" t="s">
        <v>664</v>
      </c>
      <c r="R43" s="3" t="s">
        <v>1482</v>
      </c>
      <c r="S43" s="3" t="s">
        <v>1393</v>
      </c>
      <c r="T43" s="178" t="s">
        <v>1394</v>
      </c>
      <c r="U43" s="162">
        <v>3.306</v>
      </c>
      <c r="V43" s="153">
        <v>95.665000000000006</v>
      </c>
      <c r="W43" s="153">
        <v>316.267</v>
      </c>
      <c r="X43" s="164">
        <v>6.0000000000000002E-6</v>
      </c>
      <c r="Y43" s="164">
        <v>4.0804964533924602E-3</v>
      </c>
      <c r="Z43" s="164">
        <v>6.8498929182869196E-4</v>
      </c>
    </row>
    <row r="44" spans="1:26">
      <c r="A44" s="3">
        <v>1182</v>
      </c>
      <c r="B44" s="3">
        <v>1182</v>
      </c>
      <c r="C44" s="3" t="s">
        <v>1757</v>
      </c>
      <c r="D44" s="3" t="s">
        <v>1761</v>
      </c>
      <c r="E44" s="3" t="s">
        <v>33</v>
      </c>
      <c r="F44" s="3" t="s">
        <v>1762</v>
      </c>
      <c r="G44" s="3">
        <v>62022447</v>
      </c>
      <c r="H44" s="3" t="s">
        <v>33</v>
      </c>
      <c r="I44" s="3" t="s">
        <v>1607</v>
      </c>
      <c r="J44" s="3" t="s">
        <v>1613</v>
      </c>
      <c r="K44" s="3" t="s">
        <v>572</v>
      </c>
      <c r="L44" s="3" t="s">
        <v>1315</v>
      </c>
      <c r="M44" s="3" t="s">
        <v>1315</v>
      </c>
      <c r="N44" s="3" t="s">
        <v>1120</v>
      </c>
      <c r="O44" s="3" t="s">
        <v>141</v>
      </c>
      <c r="P44" s="180" t="s">
        <v>1390</v>
      </c>
      <c r="Q44" s="3" t="s">
        <v>664</v>
      </c>
      <c r="R44" s="3" t="s">
        <v>498</v>
      </c>
      <c r="S44" s="3" t="s">
        <v>1393</v>
      </c>
      <c r="T44" s="178" t="s">
        <v>1394</v>
      </c>
      <c r="U44" s="162">
        <v>3.306</v>
      </c>
      <c r="V44" s="153">
        <v>0.04</v>
      </c>
      <c r="W44" s="153">
        <v>0.13200000000000001</v>
      </c>
      <c r="X44" s="164">
        <v>0</v>
      </c>
      <c r="Y44" s="164">
        <v>1.7061687878227001E-6</v>
      </c>
      <c r="Z44" s="164">
        <v>2.8641302916444002E-7</v>
      </c>
    </row>
    <row r="45" spans="1:26" hidden="1">
      <c r="A45" s="3">
        <v>1182</v>
      </c>
      <c r="B45" s="3">
        <v>1182</v>
      </c>
      <c r="C45" s="3" t="s">
        <v>1763</v>
      </c>
      <c r="D45" s="3" t="s">
        <v>1764</v>
      </c>
      <c r="E45" s="3" t="s">
        <v>651</v>
      </c>
      <c r="F45" s="3" t="s">
        <v>1763</v>
      </c>
      <c r="G45" s="3">
        <v>62019815</v>
      </c>
      <c r="H45" s="3" t="s">
        <v>33</v>
      </c>
      <c r="I45" s="3" t="s">
        <v>1607</v>
      </c>
      <c r="J45" s="3" t="s">
        <v>1637</v>
      </c>
      <c r="K45" s="3" t="s">
        <v>572</v>
      </c>
      <c r="L45" s="3" t="s">
        <v>566</v>
      </c>
      <c r="M45" s="3" t="s">
        <v>1759</v>
      </c>
      <c r="N45" s="3" t="s">
        <v>797</v>
      </c>
      <c r="O45" s="3" t="s">
        <v>141</v>
      </c>
      <c r="P45" s="180" t="s">
        <v>1765</v>
      </c>
      <c r="Q45" s="3" t="s">
        <v>664</v>
      </c>
      <c r="R45" s="3" t="s">
        <v>1482</v>
      </c>
      <c r="S45" s="3" t="s">
        <v>1393</v>
      </c>
      <c r="T45" s="178" t="s">
        <v>1394</v>
      </c>
      <c r="U45" s="162">
        <v>3.306</v>
      </c>
      <c r="V45" s="153">
        <v>433.12299999999999</v>
      </c>
      <c r="W45" s="153">
        <v>1431.905</v>
      </c>
      <c r="X45" s="164">
        <v>1.65E-4</v>
      </c>
      <c r="Y45" s="164">
        <v>1.8474533449602901E-2</v>
      </c>
      <c r="Z45" s="164">
        <v>3.1013034146832601E-3</v>
      </c>
    </row>
    <row r="46" spans="1:26" hidden="1">
      <c r="A46" s="3">
        <v>1182</v>
      </c>
      <c r="B46" s="3">
        <v>1182</v>
      </c>
      <c r="C46" s="3" t="s">
        <v>1766</v>
      </c>
      <c r="D46" s="3" t="s">
        <v>1767</v>
      </c>
      <c r="E46" s="3" t="s">
        <v>492</v>
      </c>
      <c r="F46" s="3" t="s">
        <v>1768</v>
      </c>
      <c r="G46" s="3">
        <v>62019757</v>
      </c>
      <c r="H46" s="3" t="s">
        <v>33</v>
      </c>
      <c r="I46" s="3" t="s">
        <v>1607</v>
      </c>
      <c r="J46" s="3" t="s">
        <v>1618</v>
      </c>
      <c r="K46" s="3" t="s">
        <v>572</v>
      </c>
      <c r="L46" s="3" t="s">
        <v>1619</v>
      </c>
      <c r="M46" s="3" t="s">
        <v>1619</v>
      </c>
      <c r="N46" s="3" t="s">
        <v>942</v>
      </c>
      <c r="O46" s="3" t="s">
        <v>141</v>
      </c>
      <c r="P46" s="180" t="s">
        <v>1769</v>
      </c>
      <c r="Q46" s="3" t="s">
        <v>664</v>
      </c>
      <c r="R46" s="3" t="s">
        <v>1482</v>
      </c>
      <c r="S46" s="3" t="s">
        <v>1393</v>
      </c>
      <c r="T46" s="178" t="s">
        <v>1394</v>
      </c>
      <c r="U46" s="162">
        <v>3.306</v>
      </c>
      <c r="V46" s="153">
        <v>91.123999999999995</v>
      </c>
      <c r="W46" s="153">
        <v>301.25599999999997</v>
      </c>
      <c r="X46" s="164">
        <v>0</v>
      </c>
      <c r="Y46" s="164">
        <v>3.8868288728348501E-3</v>
      </c>
      <c r="Z46" s="164">
        <v>6.52478488211636E-4</v>
      </c>
    </row>
    <row r="47" spans="1:26" hidden="1">
      <c r="A47" s="3">
        <v>1182</v>
      </c>
      <c r="B47" s="3">
        <v>1182</v>
      </c>
      <c r="C47" s="3" t="s">
        <v>1770</v>
      </c>
      <c r="D47" s="3" t="s">
        <v>1771</v>
      </c>
      <c r="E47" s="3" t="s">
        <v>492</v>
      </c>
      <c r="F47" s="3" t="s">
        <v>1772</v>
      </c>
      <c r="G47" s="3">
        <v>62013909</v>
      </c>
      <c r="H47" s="3" t="s">
        <v>33</v>
      </c>
      <c r="I47" s="3" t="s">
        <v>1607</v>
      </c>
      <c r="J47" s="3" t="s">
        <v>1773</v>
      </c>
      <c r="K47" s="3" t="s">
        <v>572</v>
      </c>
      <c r="L47" s="3" t="s">
        <v>1619</v>
      </c>
      <c r="M47" s="3" t="s">
        <v>224</v>
      </c>
      <c r="N47" s="3" t="s">
        <v>224</v>
      </c>
      <c r="O47" s="3" t="s">
        <v>141</v>
      </c>
      <c r="P47" s="180" t="s">
        <v>1774</v>
      </c>
      <c r="Q47" s="3" t="s">
        <v>664</v>
      </c>
      <c r="R47" s="3" t="s">
        <v>1482</v>
      </c>
      <c r="S47" s="3" t="s">
        <v>1393</v>
      </c>
      <c r="T47" s="178" t="s">
        <v>1394</v>
      </c>
      <c r="U47" s="162">
        <v>3.306</v>
      </c>
      <c r="V47" s="153">
        <v>193.208</v>
      </c>
      <c r="W47" s="153">
        <v>638.745</v>
      </c>
      <c r="X47" s="164">
        <v>4.6670000000000001E-3</v>
      </c>
      <c r="Y47" s="164">
        <v>8.2411236826752995E-3</v>
      </c>
      <c r="Z47" s="164">
        <v>1.38343006537236E-3</v>
      </c>
    </row>
    <row r="48" spans="1:26" hidden="1">
      <c r="A48" s="3">
        <v>1182</v>
      </c>
      <c r="B48" s="3">
        <v>1182</v>
      </c>
      <c r="C48" s="3" t="s">
        <v>1775</v>
      </c>
      <c r="D48" s="3" t="s">
        <v>1776</v>
      </c>
      <c r="E48" s="3" t="s">
        <v>492</v>
      </c>
      <c r="F48" s="3" t="s">
        <v>1777</v>
      </c>
      <c r="G48" s="3">
        <v>62011226</v>
      </c>
      <c r="H48" s="3" t="s">
        <v>33</v>
      </c>
      <c r="I48" s="3" t="s">
        <v>1607</v>
      </c>
      <c r="J48" s="3" t="s">
        <v>1778</v>
      </c>
      <c r="K48" s="3" t="s">
        <v>572</v>
      </c>
      <c r="L48" s="3" t="s">
        <v>1619</v>
      </c>
      <c r="M48" s="3" t="s">
        <v>224</v>
      </c>
      <c r="N48" s="3" t="s">
        <v>224</v>
      </c>
      <c r="O48" s="3" t="s">
        <v>141</v>
      </c>
      <c r="P48" s="180" t="s">
        <v>1779</v>
      </c>
      <c r="Q48" s="3" t="s">
        <v>664</v>
      </c>
      <c r="R48" s="3" t="s">
        <v>1482</v>
      </c>
      <c r="S48" s="3" t="s">
        <v>1393</v>
      </c>
      <c r="T48" s="178" t="s">
        <v>1394</v>
      </c>
      <c r="U48" s="162">
        <v>3.306</v>
      </c>
      <c r="V48" s="153">
        <v>7.7140000000000004</v>
      </c>
      <c r="W48" s="153">
        <v>25.504000000000001</v>
      </c>
      <c r="X48" s="164">
        <v>0</v>
      </c>
      <c r="Y48" s="164">
        <v>3.29055488358692E-4</v>
      </c>
      <c r="Z48" s="164">
        <v>5.5238250668192802E-5</v>
      </c>
    </row>
    <row r="49" spans="1:26" hidden="1">
      <c r="A49" s="3">
        <v>1182</v>
      </c>
      <c r="B49" s="3">
        <v>1182</v>
      </c>
      <c r="C49" s="3" t="s">
        <v>1780</v>
      </c>
      <c r="D49" s="3" t="s">
        <v>1781</v>
      </c>
      <c r="E49" s="3" t="s">
        <v>33</v>
      </c>
      <c r="F49" s="3" t="s">
        <v>1782</v>
      </c>
      <c r="G49" s="3">
        <v>62022348</v>
      </c>
      <c r="H49" s="3" t="s">
        <v>33</v>
      </c>
      <c r="I49" s="3" t="s">
        <v>1607</v>
      </c>
      <c r="J49" s="3" t="s">
        <v>1613</v>
      </c>
      <c r="K49" s="3" t="s">
        <v>572</v>
      </c>
      <c r="L49" s="3" t="s">
        <v>1619</v>
      </c>
      <c r="M49" s="3" t="s">
        <v>566</v>
      </c>
      <c r="N49" s="3" t="s">
        <v>797</v>
      </c>
      <c r="O49" s="3" t="s">
        <v>141</v>
      </c>
      <c r="P49" s="180" t="s">
        <v>1783</v>
      </c>
      <c r="Q49" s="3" t="s">
        <v>664</v>
      </c>
      <c r="R49" s="3" t="s">
        <v>498</v>
      </c>
      <c r="S49" s="3" t="s">
        <v>1393</v>
      </c>
      <c r="T49" s="178" t="s">
        <v>1394</v>
      </c>
      <c r="U49" s="162">
        <v>3.306</v>
      </c>
      <c r="V49" s="153">
        <v>81.131</v>
      </c>
      <c r="W49" s="153">
        <v>268.21899999999999</v>
      </c>
      <c r="X49" s="164">
        <v>2.0000000000000002E-5</v>
      </c>
      <c r="Y49" s="164">
        <v>3.4605805296528199E-3</v>
      </c>
      <c r="Z49" s="164">
        <v>5.8092455989081397E-4</v>
      </c>
    </row>
    <row r="50" spans="1:26" hidden="1">
      <c r="A50" s="3">
        <v>1182</v>
      </c>
      <c r="B50" s="3">
        <v>1182</v>
      </c>
      <c r="C50" s="3" t="s">
        <v>1784</v>
      </c>
      <c r="D50" s="3" t="s">
        <v>1785</v>
      </c>
      <c r="E50" s="3" t="s">
        <v>492</v>
      </c>
      <c r="F50" s="3" t="s">
        <v>1786</v>
      </c>
      <c r="G50" s="3">
        <v>62022504</v>
      </c>
      <c r="H50" s="3" t="s">
        <v>33</v>
      </c>
      <c r="I50" s="3" t="s">
        <v>1607</v>
      </c>
      <c r="J50" s="3" t="s">
        <v>1613</v>
      </c>
      <c r="K50" s="3" t="s">
        <v>572</v>
      </c>
      <c r="L50" s="3" t="s">
        <v>566</v>
      </c>
      <c r="M50" s="3" t="s">
        <v>566</v>
      </c>
      <c r="N50" s="3" t="s">
        <v>797</v>
      </c>
      <c r="O50" s="3" t="s">
        <v>141</v>
      </c>
      <c r="P50" s="180" t="s">
        <v>1787</v>
      </c>
      <c r="Q50" s="3" t="s">
        <v>664</v>
      </c>
      <c r="R50" s="3" t="s">
        <v>498</v>
      </c>
      <c r="S50" s="3" t="s">
        <v>1393</v>
      </c>
      <c r="T50" s="178" t="s">
        <v>1394</v>
      </c>
      <c r="U50" s="162">
        <v>3.306</v>
      </c>
      <c r="V50" s="153">
        <v>68.671000000000006</v>
      </c>
      <c r="W50" s="153">
        <v>227.02600000000001</v>
      </c>
      <c r="X50" s="164">
        <v>6.9999999999999999E-6</v>
      </c>
      <c r="Y50" s="164">
        <v>2.9291005363611998E-3</v>
      </c>
      <c r="Z50" s="164">
        <v>4.9170548853902602E-4</v>
      </c>
    </row>
    <row r="51" spans="1:26" hidden="1">
      <c r="A51" s="3">
        <v>1182</v>
      </c>
      <c r="B51" s="3">
        <v>1182</v>
      </c>
      <c r="C51" s="3" t="s">
        <v>1788</v>
      </c>
      <c r="D51" s="3" t="s">
        <v>1789</v>
      </c>
      <c r="E51" s="3" t="s">
        <v>492</v>
      </c>
      <c r="F51" s="3" t="s">
        <v>1790</v>
      </c>
      <c r="G51" s="3">
        <v>60419041</v>
      </c>
      <c r="H51" s="3" t="s">
        <v>33</v>
      </c>
      <c r="I51" s="3" t="s">
        <v>1607</v>
      </c>
      <c r="J51" s="3" t="s">
        <v>1637</v>
      </c>
      <c r="K51" s="3" t="s">
        <v>572</v>
      </c>
      <c r="L51" s="3" t="s">
        <v>1619</v>
      </c>
      <c r="M51" s="3" t="s">
        <v>224</v>
      </c>
      <c r="N51" s="3" t="s">
        <v>797</v>
      </c>
      <c r="O51" s="3" t="s">
        <v>141</v>
      </c>
      <c r="P51" s="180" t="s">
        <v>1791</v>
      </c>
      <c r="Q51" s="3" t="s">
        <v>664</v>
      </c>
      <c r="R51" s="3" t="s">
        <v>1482</v>
      </c>
      <c r="S51" s="3" t="s">
        <v>1393</v>
      </c>
      <c r="T51" s="178" t="s">
        <v>1394</v>
      </c>
      <c r="U51" s="162">
        <v>3.306</v>
      </c>
      <c r="V51" s="153">
        <v>41.661000000000001</v>
      </c>
      <c r="W51" s="153">
        <v>137.733</v>
      </c>
      <c r="X51" s="164">
        <v>2.5000000000000001E-5</v>
      </c>
      <c r="Y51" s="164">
        <v>1.7770361292852601E-3</v>
      </c>
      <c r="Z51" s="164">
        <v>2.9830946642316199E-4</v>
      </c>
    </row>
    <row r="52" spans="1:26" hidden="1">
      <c r="A52" s="3">
        <v>1182</v>
      </c>
      <c r="B52" s="3">
        <v>1182</v>
      </c>
      <c r="C52" s="3" t="s">
        <v>1792</v>
      </c>
      <c r="D52" s="3" t="s">
        <v>1793</v>
      </c>
      <c r="E52" s="3" t="s">
        <v>492</v>
      </c>
      <c r="F52" s="3" t="s">
        <v>1794</v>
      </c>
      <c r="G52" s="3">
        <v>62016654</v>
      </c>
      <c r="H52" s="3" t="s">
        <v>33</v>
      </c>
      <c r="I52" s="3" t="s">
        <v>1607</v>
      </c>
      <c r="J52" s="3" t="s">
        <v>1637</v>
      </c>
      <c r="K52" s="3" t="s">
        <v>572</v>
      </c>
      <c r="L52" s="3" t="s">
        <v>1619</v>
      </c>
      <c r="M52" s="3" t="s">
        <v>224</v>
      </c>
      <c r="N52" s="3" t="s">
        <v>797</v>
      </c>
      <c r="O52" s="3" t="s">
        <v>141</v>
      </c>
      <c r="P52" s="180" t="s">
        <v>1795</v>
      </c>
      <c r="Q52" s="3" t="s">
        <v>664</v>
      </c>
      <c r="R52" s="3" t="s">
        <v>1482</v>
      </c>
      <c r="S52" s="3" t="s">
        <v>1393</v>
      </c>
      <c r="T52" s="178" t="s">
        <v>1394</v>
      </c>
      <c r="U52" s="162">
        <v>3.306</v>
      </c>
      <c r="V52" s="153">
        <v>397.95800000000003</v>
      </c>
      <c r="W52" s="153">
        <v>1315.6489999999999</v>
      </c>
      <c r="X52" s="164">
        <v>6.3E-5</v>
      </c>
      <c r="Y52" s="164">
        <v>1.6974580262522E-2</v>
      </c>
      <c r="Z52" s="164">
        <v>2.8495076140667599E-3</v>
      </c>
    </row>
    <row r="53" spans="1:26" hidden="1">
      <c r="A53" s="3">
        <v>1182</v>
      </c>
      <c r="B53" s="3">
        <v>1182</v>
      </c>
      <c r="C53" s="3" t="s">
        <v>1796</v>
      </c>
      <c r="D53" s="3" t="s">
        <v>1797</v>
      </c>
      <c r="E53" s="3" t="s">
        <v>651</v>
      </c>
      <c r="F53" s="3" t="s">
        <v>1798</v>
      </c>
      <c r="G53" s="3">
        <v>62021241</v>
      </c>
      <c r="H53" s="3" t="s">
        <v>33</v>
      </c>
      <c r="I53" s="3" t="s">
        <v>1607</v>
      </c>
      <c r="J53" s="3" t="s">
        <v>1637</v>
      </c>
      <c r="K53" s="3" t="s">
        <v>572</v>
      </c>
      <c r="L53" s="3" t="s">
        <v>1619</v>
      </c>
      <c r="M53" s="3" t="s">
        <v>224</v>
      </c>
      <c r="N53" s="3" t="s">
        <v>797</v>
      </c>
      <c r="O53" s="3" t="s">
        <v>141</v>
      </c>
      <c r="P53" s="180" t="s">
        <v>1799</v>
      </c>
      <c r="Q53" s="3" t="s">
        <v>664</v>
      </c>
      <c r="R53" s="3" t="s">
        <v>498</v>
      </c>
      <c r="S53" s="3" t="s">
        <v>1393</v>
      </c>
      <c r="T53" s="178" t="s">
        <v>1394</v>
      </c>
      <c r="U53" s="162">
        <v>3.306</v>
      </c>
      <c r="V53" s="153">
        <v>196.48599999999999</v>
      </c>
      <c r="W53" s="153">
        <v>649.58399999999995</v>
      </c>
      <c r="X53" s="164">
        <v>0</v>
      </c>
      <c r="Y53" s="164">
        <v>8.3809684424341595E-3</v>
      </c>
      <c r="Z53" s="164">
        <v>1.4069056801774E-3</v>
      </c>
    </row>
    <row r="54" spans="1:26" hidden="1">
      <c r="A54" s="3">
        <v>1182</v>
      </c>
      <c r="B54" s="3">
        <v>1182</v>
      </c>
      <c r="C54" s="3" t="s">
        <v>1800</v>
      </c>
      <c r="D54" s="3" t="s">
        <v>1801</v>
      </c>
      <c r="E54" s="3" t="s">
        <v>651</v>
      </c>
      <c r="F54" s="3" t="s">
        <v>1802</v>
      </c>
      <c r="G54" s="3">
        <v>62018064</v>
      </c>
      <c r="H54" s="3" t="s">
        <v>33</v>
      </c>
      <c r="I54" s="3" t="s">
        <v>1607</v>
      </c>
      <c r="J54" s="3" t="s">
        <v>1628</v>
      </c>
      <c r="K54" s="3" t="s">
        <v>572</v>
      </c>
      <c r="L54" s="3" t="s">
        <v>1619</v>
      </c>
      <c r="M54" s="3" t="s">
        <v>224</v>
      </c>
      <c r="N54" s="3" t="s">
        <v>1803</v>
      </c>
      <c r="O54" s="3" t="s">
        <v>141</v>
      </c>
      <c r="P54" s="180" t="s">
        <v>1554</v>
      </c>
      <c r="Q54" s="3" t="s">
        <v>664</v>
      </c>
      <c r="R54" s="3" t="s">
        <v>498</v>
      </c>
      <c r="S54" s="3" t="s">
        <v>1393</v>
      </c>
      <c r="T54" s="178" t="s">
        <v>1394</v>
      </c>
      <c r="U54" s="162">
        <v>3.306</v>
      </c>
      <c r="V54" s="153">
        <v>3.4649999999999999</v>
      </c>
      <c r="W54" s="153">
        <v>11.457000000000001</v>
      </c>
      <c r="X54" s="164">
        <v>1.75E-4</v>
      </c>
      <c r="Y54" s="164">
        <v>1.4781572654295799E-4</v>
      </c>
      <c r="Z54" s="164">
        <v>2.4813693873358101E-5</v>
      </c>
    </row>
    <row r="55" spans="1:26" hidden="1">
      <c r="A55" s="3">
        <v>1182</v>
      </c>
      <c r="B55" s="3">
        <v>1182</v>
      </c>
      <c r="C55" s="3" t="s">
        <v>1800</v>
      </c>
      <c r="D55" s="3" t="s">
        <v>1801</v>
      </c>
      <c r="E55" s="3" t="s">
        <v>651</v>
      </c>
      <c r="F55" s="3" t="s">
        <v>1804</v>
      </c>
      <c r="G55" s="3">
        <v>62021340</v>
      </c>
      <c r="H55" s="3" t="s">
        <v>33</v>
      </c>
      <c r="I55" s="3" t="s">
        <v>1607</v>
      </c>
      <c r="J55" s="3" t="s">
        <v>1805</v>
      </c>
      <c r="K55" s="3" t="s">
        <v>572</v>
      </c>
      <c r="L55" s="3" t="s">
        <v>1619</v>
      </c>
      <c r="M55" s="3" t="s">
        <v>224</v>
      </c>
      <c r="N55" s="3" t="s">
        <v>1803</v>
      </c>
      <c r="O55" s="3" t="s">
        <v>141</v>
      </c>
      <c r="P55" s="180" t="s">
        <v>1806</v>
      </c>
      <c r="Q55" s="3" t="s">
        <v>664</v>
      </c>
      <c r="R55" s="3" t="s">
        <v>1482</v>
      </c>
      <c r="S55" s="3" t="s">
        <v>1393</v>
      </c>
      <c r="T55" s="178" t="s">
        <v>1394</v>
      </c>
      <c r="U55" s="162">
        <v>3.306</v>
      </c>
      <c r="V55" s="153">
        <v>186.13300000000001</v>
      </c>
      <c r="W55" s="153">
        <v>615.35599999999999</v>
      </c>
      <c r="X55" s="164">
        <v>5.5999999999999999E-5</v>
      </c>
      <c r="Y55" s="164">
        <v>7.9393579736381607E-3</v>
      </c>
      <c r="Z55" s="164">
        <v>1.3327729255628901E-3</v>
      </c>
    </row>
    <row r="56" spans="1:26" hidden="1">
      <c r="A56" s="3">
        <v>1182</v>
      </c>
      <c r="B56" s="3">
        <v>1182</v>
      </c>
      <c r="C56" s="3" t="s">
        <v>1807</v>
      </c>
      <c r="D56" s="3" t="s">
        <v>1808</v>
      </c>
      <c r="E56" s="3" t="s">
        <v>492</v>
      </c>
      <c r="F56" s="3" t="s">
        <v>1809</v>
      </c>
      <c r="G56" s="3">
        <v>62018908</v>
      </c>
      <c r="H56" s="3" t="s">
        <v>33</v>
      </c>
      <c r="I56" s="3" t="s">
        <v>1607</v>
      </c>
      <c r="J56" s="3" t="s">
        <v>1628</v>
      </c>
      <c r="K56" s="3" t="s">
        <v>572</v>
      </c>
      <c r="L56" s="3" t="s">
        <v>1315</v>
      </c>
      <c r="M56" s="3" t="s">
        <v>1315</v>
      </c>
      <c r="N56" s="3" t="s">
        <v>797</v>
      </c>
      <c r="O56" s="3" t="s">
        <v>141</v>
      </c>
      <c r="P56" s="180" t="s">
        <v>1810</v>
      </c>
      <c r="Q56" s="3" t="s">
        <v>664</v>
      </c>
      <c r="R56" s="3" t="s">
        <v>1482</v>
      </c>
      <c r="S56" s="3" t="s">
        <v>1393</v>
      </c>
      <c r="T56" s="178" t="s">
        <v>1394</v>
      </c>
      <c r="U56" s="162">
        <v>3.306</v>
      </c>
      <c r="V56" s="153">
        <v>640.83500000000004</v>
      </c>
      <c r="W56" s="153">
        <v>2118.6010000000001</v>
      </c>
      <c r="X56" s="164">
        <v>3.1999999999999999E-5</v>
      </c>
      <c r="Y56" s="164">
        <v>2.7334317132324801E-2</v>
      </c>
      <c r="Z56" s="164">
        <v>4.5885873812058896E-3</v>
      </c>
    </row>
    <row r="57" spans="1:26" hidden="1">
      <c r="A57" s="3">
        <v>1182</v>
      </c>
      <c r="B57" s="3">
        <v>1182</v>
      </c>
      <c r="C57" s="3" t="s">
        <v>1811</v>
      </c>
      <c r="D57" s="3" t="s">
        <v>1812</v>
      </c>
      <c r="E57" s="3" t="s">
        <v>492</v>
      </c>
      <c r="F57" s="3" t="s">
        <v>1813</v>
      </c>
      <c r="G57" s="3">
        <v>62019559</v>
      </c>
      <c r="H57" s="3" t="s">
        <v>33</v>
      </c>
      <c r="I57" s="3" t="s">
        <v>1607</v>
      </c>
      <c r="J57" s="3" t="s">
        <v>1773</v>
      </c>
      <c r="K57" s="3" t="s">
        <v>572</v>
      </c>
      <c r="L57" s="3" t="s">
        <v>224</v>
      </c>
      <c r="M57" s="3" t="s">
        <v>224</v>
      </c>
      <c r="N57" s="3" t="s">
        <v>224</v>
      </c>
      <c r="O57" s="3" t="s">
        <v>141</v>
      </c>
      <c r="P57" s="180" t="s">
        <v>1814</v>
      </c>
      <c r="Q57" s="3" t="s">
        <v>664</v>
      </c>
      <c r="R57" s="3" t="s">
        <v>1482</v>
      </c>
      <c r="S57" s="3" t="s">
        <v>1393</v>
      </c>
      <c r="T57" s="178" t="s">
        <v>1394</v>
      </c>
      <c r="U57" s="162">
        <v>3.306</v>
      </c>
      <c r="V57" s="153">
        <v>691.51400000000001</v>
      </c>
      <c r="W57" s="153">
        <v>2286.145</v>
      </c>
      <c r="X57" s="164">
        <v>1.1900000000000001E-3</v>
      </c>
      <c r="Y57" s="164">
        <v>2.9495990078560699E-2</v>
      </c>
      <c r="Z57" s="164">
        <v>4.9514654862404597E-3</v>
      </c>
    </row>
    <row r="58" spans="1:26" hidden="1">
      <c r="A58" s="3">
        <v>1182</v>
      </c>
      <c r="B58" s="3">
        <v>1182</v>
      </c>
      <c r="C58" s="3" t="s">
        <v>1815</v>
      </c>
      <c r="D58" s="3" t="s">
        <v>1816</v>
      </c>
      <c r="E58" s="3" t="s">
        <v>651</v>
      </c>
      <c r="F58" s="3" t="s">
        <v>1817</v>
      </c>
      <c r="G58" s="3">
        <v>62020946</v>
      </c>
      <c r="H58" s="3" t="s">
        <v>33</v>
      </c>
      <c r="I58" s="3" t="s">
        <v>1607</v>
      </c>
      <c r="J58" s="3" t="s">
        <v>1773</v>
      </c>
      <c r="K58" s="3" t="s">
        <v>572</v>
      </c>
      <c r="L58" s="3" t="s">
        <v>224</v>
      </c>
      <c r="M58" s="3" t="s">
        <v>224</v>
      </c>
      <c r="N58" s="3" t="s">
        <v>224</v>
      </c>
      <c r="O58" s="3" t="s">
        <v>141</v>
      </c>
      <c r="P58" s="180" t="s">
        <v>1818</v>
      </c>
      <c r="Q58" s="3" t="s">
        <v>664</v>
      </c>
      <c r="R58" s="3" t="s">
        <v>1482</v>
      </c>
      <c r="S58" s="3" t="s">
        <v>1393</v>
      </c>
      <c r="T58" s="178" t="s">
        <v>1394</v>
      </c>
      <c r="U58" s="162">
        <v>3.306</v>
      </c>
      <c r="V58" s="153">
        <v>511.548</v>
      </c>
      <c r="W58" s="153">
        <v>1691.1790000000001</v>
      </c>
      <c r="X58" s="164">
        <v>6.3299999999999999E-4</v>
      </c>
      <c r="Y58" s="164">
        <v>2.1819702018800201E-2</v>
      </c>
      <c r="Z58" s="164">
        <v>3.6628538719461201E-3</v>
      </c>
    </row>
    <row r="59" spans="1:26" hidden="1">
      <c r="A59" s="3">
        <v>1182</v>
      </c>
      <c r="B59" s="3">
        <v>1182</v>
      </c>
      <c r="C59" s="3" t="s">
        <v>1819</v>
      </c>
      <c r="D59" s="3" t="s">
        <v>1820</v>
      </c>
      <c r="E59" s="3" t="s">
        <v>366</v>
      </c>
      <c r="F59" s="3" t="s">
        <v>1821</v>
      </c>
      <c r="G59" s="3">
        <v>62021431</v>
      </c>
      <c r="H59" s="3" t="s">
        <v>33</v>
      </c>
      <c r="I59" s="3" t="s">
        <v>1607</v>
      </c>
      <c r="J59" s="3" t="s">
        <v>1675</v>
      </c>
      <c r="K59" s="3" t="s">
        <v>30</v>
      </c>
      <c r="L59" s="3" t="s">
        <v>1619</v>
      </c>
      <c r="M59" s="3" t="s">
        <v>30</v>
      </c>
      <c r="N59" s="3" t="s">
        <v>30</v>
      </c>
      <c r="O59" s="3" t="s">
        <v>141</v>
      </c>
      <c r="P59" s="180" t="s">
        <v>1822</v>
      </c>
      <c r="Q59" s="3" t="s">
        <v>664</v>
      </c>
      <c r="R59" s="3" t="s">
        <v>1482</v>
      </c>
      <c r="S59" s="3" t="s">
        <v>1393</v>
      </c>
      <c r="T59" s="178" t="s">
        <v>1394</v>
      </c>
      <c r="U59" s="162">
        <v>3.306</v>
      </c>
      <c r="V59" s="153">
        <v>64.712999999999994</v>
      </c>
      <c r="W59" s="153">
        <v>213.94</v>
      </c>
      <c r="X59" s="164">
        <v>5.7000000000000003E-5</v>
      </c>
      <c r="Y59" s="164">
        <v>2.76027013877199E-3</v>
      </c>
      <c r="Z59" s="164">
        <v>4.6336408062341698E-4</v>
      </c>
    </row>
    <row r="60" spans="1:26" hidden="1">
      <c r="A60" s="3">
        <v>1182</v>
      </c>
      <c r="B60" s="3">
        <v>1182</v>
      </c>
      <c r="C60" s="3" t="s">
        <v>1823</v>
      </c>
      <c r="D60" s="3" t="s">
        <v>1824</v>
      </c>
      <c r="E60" s="3" t="s">
        <v>651</v>
      </c>
      <c r="F60" s="3" t="s">
        <v>1825</v>
      </c>
      <c r="G60" s="3">
        <v>62021662</v>
      </c>
      <c r="H60" s="3" t="s">
        <v>33</v>
      </c>
      <c r="I60" s="3" t="s">
        <v>1607</v>
      </c>
      <c r="J60" s="3" t="s">
        <v>1613</v>
      </c>
      <c r="K60" s="3" t="s">
        <v>572</v>
      </c>
      <c r="L60" s="3" t="s">
        <v>1619</v>
      </c>
      <c r="M60" s="3" t="s">
        <v>224</v>
      </c>
      <c r="N60" s="3" t="s">
        <v>797</v>
      </c>
      <c r="O60" s="3" t="s">
        <v>141</v>
      </c>
      <c r="P60" s="180" t="s">
        <v>1826</v>
      </c>
      <c r="Q60" s="3" t="s">
        <v>664</v>
      </c>
      <c r="R60" s="3" t="s">
        <v>498</v>
      </c>
      <c r="S60" s="3" t="s">
        <v>1393</v>
      </c>
      <c r="T60" s="178" t="s">
        <v>1394</v>
      </c>
      <c r="U60" s="162">
        <v>3.306</v>
      </c>
      <c r="V60" s="153">
        <v>343.92099999999999</v>
      </c>
      <c r="W60" s="153">
        <v>1137.0029999999999</v>
      </c>
      <c r="X60" s="164">
        <v>0</v>
      </c>
      <c r="Y60" s="164">
        <v>1.4669685150701699E-2</v>
      </c>
      <c r="Z60" s="164">
        <v>2.4625869321304701E-3</v>
      </c>
    </row>
    <row r="61" spans="1:26" hidden="1">
      <c r="A61" s="3">
        <v>1182</v>
      </c>
      <c r="B61" s="3">
        <v>1182</v>
      </c>
      <c r="C61" s="3" t="s">
        <v>1827</v>
      </c>
      <c r="D61" s="3" t="s">
        <v>1828</v>
      </c>
      <c r="E61" s="3" t="s">
        <v>651</v>
      </c>
      <c r="F61" s="3" t="s">
        <v>1829</v>
      </c>
      <c r="G61" s="3">
        <v>62003800</v>
      </c>
      <c r="H61" s="3" t="s">
        <v>33</v>
      </c>
      <c r="I61" s="3" t="s">
        <v>1607</v>
      </c>
      <c r="J61" s="3" t="s">
        <v>1830</v>
      </c>
      <c r="K61" s="3" t="s">
        <v>572</v>
      </c>
      <c r="L61" s="3" t="s">
        <v>1619</v>
      </c>
      <c r="M61" s="3" t="s">
        <v>224</v>
      </c>
      <c r="N61" s="3" t="s">
        <v>797</v>
      </c>
      <c r="O61" s="3" t="s">
        <v>141</v>
      </c>
      <c r="P61" s="180" t="s">
        <v>1831</v>
      </c>
      <c r="Q61" s="3" t="s">
        <v>664</v>
      </c>
      <c r="R61" s="3" t="s">
        <v>498</v>
      </c>
      <c r="S61" s="3" t="s">
        <v>1393</v>
      </c>
      <c r="T61" s="178" t="s">
        <v>1394</v>
      </c>
      <c r="U61" s="162">
        <v>3.306</v>
      </c>
      <c r="V61" s="153">
        <v>426.69299999999998</v>
      </c>
      <c r="W61" s="153">
        <v>1410.6469999999999</v>
      </c>
      <c r="X61" s="164">
        <v>1.2600000000000001E-3</v>
      </c>
      <c r="Y61" s="164">
        <v>1.8200254917158199E-2</v>
      </c>
      <c r="Z61" s="164">
        <v>3.05526052263592E-3</v>
      </c>
    </row>
    <row r="62" spans="1:26" hidden="1">
      <c r="A62" s="3">
        <v>1182</v>
      </c>
      <c r="B62" s="3">
        <v>1182</v>
      </c>
      <c r="C62" s="3" t="s">
        <v>1827</v>
      </c>
      <c r="D62" s="3" t="s">
        <v>1828</v>
      </c>
      <c r="E62" s="3" t="s">
        <v>651</v>
      </c>
      <c r="F62" s="3" t="s">
        <v>1832</v>
      </c>
      <c r="G62" s="3">
        <v>620101031</v>
      </c>
      <c r="H62" s="3" t="s">
        <v>33</v>
      </c>
      <c r="I62" s="3" t="s">
        <v>1607</v>
      </c>
      <c r="J62" s="3" t="s">
        <v>1613</v>
      </c>
      <c r="K62" s="3" t="s">
        <v>572</v>
      </c>
      <c r="L62" s="3" t="s">
        <v>1619</v>
      </c>
      <c r="M62" s="3" t="s">
        <v>224</v>
      </c>
      <c r="N62" s="3" t="s">
        <v>224</v>
      </c>
      <c r="O62" s="3" t="s">
        <v>141</v>
      </c>
      <c r="P62" s="180" t="s">
        <v>1668</v>
      </c>
      <c r="Q62" s="3" t="s">
        <v>664</v>
      </c>
      <c r="R62" s="3" t="s">
        <v>498</v>
      </c>
      <c r="S62" s="3" t="s">
        <v>1393</v>
      </c>
      <c r="T62" s="178" t="s">
        <v>1394</v>
      </c>
      <c r="U62" s="162">
        <v>3.306</v>
      </c>
      <c r="V62" s="153">
        <v>291.29500000000002</v>
      </c>
      <c r="W62" s="153">
        <v>963.02200000000005</v>
      </c>
      <c r="X62" s="164">
        <v>0</v>
      </c>
      <c r="Y62" s="164">
        <v>1.2424966513923099E-2</v>
      </c>
      <c r="Z62" s="164">
        <v>2.08576802126406E-3</v>
      </c>
    </row>
    <row r="63" spans="1:26" hidden="1">
      <c r="A63" s="3">
        <v>1182</v>
      </c>
      <c r="B63" s="3">
        <v>1182</v>
      </c>
      <c r="C63" s="3" t="s">
        <v>1827</v>
      </c>
      <c r="D63" s="3" t="s">
        <v>1828</v>
      </c>
      <c r="E63" s="3" t="s">
        <v>651</v>
      </c>
      <c r="F63" s="3" t="s">
        <v>1833</v>
      </c>
      <c r="G63" s="3">
        <v>62014857</v>
      </c>
      <c r="H63" s="3" t="s">
        <v>33</v>
      </c>
      <c r="I63" s="3" t="s">
        <v>1607</v>
      </c>
      <c r="J63" s="3" t="s">
        <v>1830</v>
      </c>
      <c r="K63" s="3" t="s">
        <v>572</v>
      </c>
      <c r="L63" s="3" t="s">
        <v>1619</v>
      </c>
      <c r="M63" s="3" t="s">
        <v>224</v>
      </c>
      <c r="N63" s="3" t="s">
        <v>797</v>
      </c>
      <c r="O63" s="3" t="s">
        <v>141</v>
      </c>
      <c r="P63" s="180" t="s">
        <v>1834</v>
      </c>
      <c r="Q63" s="3" t="s">
        <v>664</v>
      </c>
      <c r="R63" s="3" t="s">
        <v>1482</v>
      </c>
      <c r="S63" s="3" t="s">
        <v>1393</v>
      </c>
      <c r="T63" s="178" t="s">
        <v>1394</v>
      </c>
      <c r="U63" s="162">
        <v>3.306</v>
      </c>
      <c r="V63" s="153">
        <v>309.137</v>
      </c>
      <c r="W63" s="153">
        <v>1022.0069999999999</v>
      </c>
      <c r="X63" s="164">
        <v>3.6900000000000002E-4</v>
      </c>
      <c r="Y63" s="164">
        <v>1.3185999220197401E-2</v>
      </c>
      <c r="Z63" s="164">
        <v>2.2135219013332099E-3</v>
      </c>
    </row>
    <row r="64" spans="1:26" hidden="1">
      <c r="A64" s="3">
        <v>1182</v>
      </c>
      <c r="B64" s="3">
        <v>1182</v>
      </c>
      <c r="C64" s="3" t="s">
        <v>1827</v>
      </c>
      <c r="D64" s="3" t="s">
        <v>1828</v>
      </c>
      <c r="E64" s="3" t="s">
        <v>651</v>
      </c>
      <c r="F64" s="3" t="s">
        <v>1835</v>
      </c>
      <c r="G64" s="3">
        <v>62019476</v>
      </c>
      <c r="H64" s="3" t="s">
        <v>33</v>
      </c>
      <c r="I64" s="3" t="s">
        <v>1607</v>
      </c>
      <c r="J64" s="3" t="s">
        <v>1830</v>
      </c>
      <c r="K64" s="3" t="s">
        <v>572</v>
      </c>
      <c r="L64" s="3" t="s">
        <v>1619</v>
      </c>
      <c r="M64" s="3" t="s">
        <v>224</v>
      </c>
      <c r="N64" s="3" t="s">
        <v>797</v>
      </c>
      <c r="O64" s="3" t="s">
        <v>141</v>
      </c>
      <c r="P64" s="180" t="s">
        <v>1728</v>
      </c>
      <c r="Q64" s="3" t="s">
        <v>664</v>
      </c>
      <c r="R64" s="3" t="s">
        <v>498</v>
      </c>
      <c r="S64" s="3" t="s">
        <v>1393</v>
      </c>
      <c r="T64" s="178" t="s">
        <v>1394</v>
      </c>
      <c r="U64" s="162">
        <v>3.306</v>
      </c>
      <c r="V64" s="153">
        <v>322.31200000000001</v>
      </c>
      <c r="W64" s="153">
        <v>1065.5640000000001</v>
      </c>
      <c r="X64" s="164">
        <v>2.92E-4</v>
      </c>
      <c r="Y64" s="164">
        <v>1.37479743898027E-2</v>
      </c>
      <c r="Z64" s="164">
        <v>2.3078601706713001E-3</v>
      </c>
    </row>
    <row r="65" spans="1:26" hidden="1">
      <c r="A65" s="3">
        <v>1182</v>
      </c>
      <c r="B65" s="3">
        <v>1182</v>
      </c>
      <c r="C65" s="3" t="s">
        <v>1836</v>
      </c>
      <c r="D65" s="3" t="s">
        <v>1837</v>
      </c>
      <c r="E65" s="3" t="s">
        <v>33</v>
      </c>
      <c r="F65" s="3" t="s">
        <v>1838</v>
      </c>
      <c r="G65" s="3">
        <v>62022074</v>
      </c>
      <c r="H65" s="3" t="s">
        <v>33</v>
      </c>
      <c r="I65" s="3" t="s">
        <v>1607</v>
      </c>
      <c r="J65" s="3" t="s">
        <v>1613</v>
      </c>
      <c r="K65" s="3" t="s">
        <v>572</v>
      </c>
      <c r="L65" s="3" t="s">
        <v>1619</v>
      </c>
      <c r="M65" s="3" t="s">
        <v>224</v>
      </c>
      <c r="N65" s="3" t="s">
        <v>797</v>
      </c>
      <c r="O65" s="3" t="s">
        <v>141</v>
      </c>
      <c r="P65" s="180" t="s">
        <v>1839</v>
      </c>
      <c r="Q65" s="3" t="s">
        <v>664</v>
      </c>
      <c r="R65" s="3" t="s">
        <v>498</v>
      </c>
      <c r="S65" s="3" t="s">
        <v>1393</v>
      </c>
      <c r="T65" s="178" t="s">
        <v>1394</v>
      </c>
      <c r="U65" s="162">
        <v>3.306</v>
      </c>
      <c r="V65" s="153">
        <v>88.001999999999995</v>
      </c>
      <c r="W65" s="153">
        <v>290.93400000000003</v>
      </c>
      <c r="X65" s="164">
        <v>6.3999999999999997E-5</v>
      </c>
      <c r="Y65" s="164">
        <v>3.75364299229903E-3</v>
      </c>
      <c r="Z65" s="164">
        <v>6.3012069350899195E-4</v>
      </c>
    </row>
    <row r="66" spans="1:26" hidden="1">
      <c r="A66" s="3">
        <v>1182</v>
      </c>
      <c r="B66" s="3">
        <v>1182</v>
      </c>
      <c r="C66" s="3" t="s">
        <v>1827</v>
      </c>
      <c r="D66" s="3" t="s">
        <v>1828</v>
      </c>
      <c r="E66" s="3" t="s">
        <v>651</v>
      </c>
      <c r="F66" s="3" t="s">
        <v>1840</v>
      </c>
      <c r="G66" s="3">
        <v>62020458</v>
      </c>
      <c r="H66" s="3" t="s">
        <v>33</v>
      </c>
      <c r="I66" s="3" t="s">
        <v>1607</v>
      </c>
      <c r="J66" s="3" t="s">
        <v>1731</v>
      </c>
      <c r="K66" s="3" t="s">
        <v>572</v>
      </c>
      <c r="L66" s="3" t="s">
        <v>1619</v>
      </c>
      <c r="M66" s="3" t="s">
        <v>224</v>
      </c>
      <c r="N66" s="3" t="s">
        <v>797</v>
      </c>
      <c r="O66" s="3" t="s">
        <v>141</v>
      </c>
      <c r="P66" s="180" t="s">
        <v>1841</v>
      </c>
      <c r="Q66" s="3" t="s">
        <v>664</v>
      </c>
      <c r="R66" s="3" t="s">
        <v>498</v>
      </c>
      <c r="S66" s="3" t="s">
        <v>1393</v>
      </c>
      <c r="T66" s="178" t="s">
        <v>1394</v>
      </c>
      <c r="U66" s="162">
        <v>3.306</v>
      </c>
      <c r="V66" s="153">
        <v>171.208</v>
      </c>
      <c r="W66" s="153">
        <v>566.01300000000003</v>
      </c>
      <c r="X66" s="164">
        <v>7.4999999999999993E-5</v>
      </c>
      <c r="Y66" s="164">
        <v>7.3027336218970899E-3</v>
      </c>
      <c r="Z66" s="164">
        <v>1.2259033647530899E-3</v>
      </c>
    </row>
    <row r="67" spans="1:26" hidden="1">
      <c r="A67" s="3">
        <v>1182</v>
      </c>
      <c r="B67" s="3">
        <v>1182</v>
      </c>
      <c r="C67" s="3" t="s">
        <v>1827</v>
      </c>
      <c r="D67" s="3" t="s">
        <v>1828</v>
      </c>
      <c r="E67" s="3" t="s">
        <v>651</v>
      </c>
      <c r="F67" s="3" t="s">
        <v>1842</v>
      </c>
      <c r="G67" s="3">
        <v>62017678</v>
      </c>
      <c r="H67" s="3" t="s">
        <v>33</v>
      </c>
      <c r="I67" s="3" t="s">
        <v>1607</v>
      </c>
      <c r="J67" s="3" t="s">
        <v>1731</v>
      </c>
      <c r="K67" s="3" t="s">
        <v>572</v>
      </c>
      <c r="L67" s="3" t="s">
        <v>1619</v>
      </c>
      <c r="M67" s="3" t="s">
        <v>224</v>
      </c>
      <c r="N67" s="3" t="s">
        <v>797</v>
      </c>
      <c r="O67" s="3" t="s">
        <v>141</v>
      </c>
      <c r="P67" s="180" t="s">
        <v>1843</v>
      </c>
      <c r="Q67" s="3" t="s">
        <v>664</v>
      </c>
      <c r="R67" s="3" t="s">
        <v>498</v>
      </c>
      <c r="S67" s="3" t="s">
        <v>1393</v>
      </c>
      <c r="T67" s="178" t="s">
        <v>1394</v>
      </c>
      <c r="U67" s="162">
        <v>3.306</v>
      </c>
      <c r="V67" s="153">
        <v>505.904</v>
      </c>
      <c r="W67" s="153">
        <v>1672.519</v>
      </c>
      <c r="X67" s="164">
        <v>9.7000000000000005E-4</v>
      </c>
      <c r="Y67" s="164">
        <v>2.15789438585124E-2</v>
      </c>
      <c r="Z67" s="164">
        <v>3.6224380148068801E-3</v>
      </c>
    </row>
    <row r="68" spans="1:26" hidden="1">
      <c r="A68" s="3">
        <v>1182</v>
      </c>
      <c r="B68" s="3">
        <v>1182</v>
      </c>
      <c r="C68" s="3" t="s">
        <v>1827</v>
      </c>
      <c r="D68" s="3" t="s">
        <v>1828</v>
      </c>
      <c r="E68" s="3" t="s">
        <v>651</v>
      </c>
      <c r="F68" s="3" t="s">
        <v>1844</v>
      </c>
      <c r="G68" s="3">
        <v>62019237</v>
      </c>
      <c r="H68" s="3" t="s">
        <v>33</v>
      </c>
      <c r="I68" s="3" t="s">
        <v>1607</v>
      </c>
      <c r="J68" s="3" t="s">
        <v>1778</v>
      </c>
      <c r="K68" s="3" t="s">
        <v>572</v>
      </c>
      <c r="L68" s="3" t="s">
        <v>1619</v>
      </c>
      <c r="M68" s="3" t="s">
        <v>224</v>
      </c>
      <c r="N68" s="3" t="s">
        <v>224</v>
      </c>
      <c r="O68" s="3" t="s">
        <v>141</v>
      </c>
      <c r="P68" s="180" t="s">
        <v>1845</v>
      </c>
      <c r="Q68" s="3" t="s">
        <v>664</v>
      </c>
      <c r="R68" s="3" t="s">
        <v>1482</v>
      </c>
      <c r="S68" s="3" t="s">
        <v>1393</v>
      </c>
      <c r="T68" s="178" t="s">
        <v>1394</v>
      </c>
      <c r="U68" s="162">
        <v>3.306</v>
      </c>
      <c r="V68" s="153">
        <v>356.12799999999999</v>
      </c>
      <c r="W68" s="153">
        <v>1177.3589999999999</v>
      </c>
      <c r="X68" s="164">
        <v>5.9999999999999995E-4</v>
      </c>
      <c r="Y68" s="164">
        <v>1.51903551270679E-2</v>
      </c>
      <c r="Z68" s="164">
        <v>2.5499913356047199E-3</v>
      </c>
    </row>
    <row r="69" spans="1:26" hidden="1">
      <c r="A69" s="3">
        <v>1182</v>
      </c>
      <c r="B69" s="3">
        <v>1182</v>
      </c>
      <c r="C69" s="3" t="s">
        <v>1836</v>
      </c>
      <c r="D69" s="3" t="s">
        <v>1837</v>
      </c>
      <c r="E69" s="3" t="s">
        <v>33</v>
      </c>
      <c r="F69" s="3" t="s">
        <v>1846</v>
      </c>
      <c r="G69" s="3">
        <v>62021845</v>
      </c>
      <c r="H69" s="3" t="s">
        <v>33</v>
      </c>
      <c r="I69" s="3" t="s">
        <v>1607</v>
      </c>
      <c r="J69" s="3" t="s">
        <v>1613</v>
      </c>
      <c r="K69" s="3" t="s">
        <v>572</v>
      </c>
      <c r="L69" s="3" t="s">
        <v>224</v>
      </c>
      <c r="M69" s="3" t="s">
        <v>224</v>
      </c>
      <c r="N69" s="3" t="s">
        <v>224</v>
      </c>
      <c r="O69" s="3" t="s">
        <v>141</v>
      </c>
      <c r="P69" s="180" t="s">
        <v>1847</v>
      </c>
      <c r="Q69" s="3" t="s">
        <v>664</v>
      </c>
      <c r="R69" s="3" t="s">
        <v>498</v>
      </c>
      <c r="S69" s="3" t="s">
        <v>1393</v>
      </c>
      <c r="T69" s="178" t="s">
        <v>1394</v>
      </c>
      <c r="U69" s="162">
        <v>3.306</v>
      </c>
      <c r="V69" s="153">
        <v>42.904000000000003</v>
      </c>
      <c r="W69" s="153">
        <v>141.839</v>
      </c>
      <c r="X69" s="164">
        <v>0</v>
      </c>
      <c r="Y69" s="164">
        <v>1.8300195801307501E-3</v>
      </c>
      <c r="Z69" s="164">
        <v>3.0720375095148598E-4</v>
      </c>
    </row>
    <row r="70" spans="1:26" hidden="1">
      <c r="A70" s="3">
        <v>1182</v>
      </c>
      <c r="B70" s="3">
        <v>1182</v>
      </c>
      <c r="C70" s="3" t="s">
        <v>1848</v>
      </c>
      <c r="D70" s="3" t="s">
        <v>1849</v>
      </c>
      <c r="E70" s="3" t="s">
        <v>651</v>
      </c>
      <c r="F70" s="3" t="s">
        <v>1850</v>
      </c>
      <c r="G70" s="3">
        <v>62022389</v>
      </c>
      <c r="H70" s="3" t="s">
        <v>33</v>
      </c>
      <c r="I70" s="3" t="s">
        <v>1607</v>
      </c>
      <c r="J70" s="3" t="s">
        <v>1613</v>
      </c>
      <c r="K70" s="3" t="s">
        <v>572</v>
      </c>
      <c r="L70" s="3" t="s">
        <v>1619</v>
      </c>
      <c r="M70" s="3" t="s">
        <v>224</v>
      </c>
      <c r="N70" s="3" t="s">
        <v>30</v>
      </c>
      <c r="O70" s="3" t="s">
        <v>141</v>
      </c>
      <c r="P70" s="180" t="s">
        <v>1851</v>
      </c>
      <c r="Q70" s="3" t="s">
        <v>664</v>
      </c>
      <c r="R70" s="3" t="s">
        <v>498</v>
      </c>
      <c r="S70" s="3" t="s">
        <v>1393</v>
      </c>
      <c r="T70" s="178" t="s">
        <v>1394</v>
      </c>
      <c r="U70" s="162">
        <v>3.306</v>
      </c>
      <c r="V70" s="153">
        <v>23.193000000000001</v>
      </c>
      <c r="W70" s="153">
        <v>76.676000000000002</v>
      </c>
      <c r="X70" s="164">
        <v>0</v>
      </c>
      <c r="Y70" s="164">
        <v>9.8927931739929698E-4</v>
      </c>
      <c r="Z70" s="164">
        <v>1.66069434635271E-4</v>
      </c>
    </row>
    <row r="71" spans="1:26" hidden="1">
      <c r="A71" s="3">
        <v>1182</v>
      </c>
      <c r="B71" s="3">
        <v>1182</v>
      </c>
      <c r="C71" s="3" t="s">
        <v>1852</v>
      </c>
      <c r="D71" s="3" t="s">
        <v>1853</v>
      </c>
      <c r="E71" s="3" t="s">
        <v>651</v>
      </c>
      <c r="F71" s="3" t="s">
        <v>1854</v>
      </c>
      <c r="G71" s="3">
        <v>62020565</v>
      </c>
      <c r="H71" s="3" t="s">
        <v>33</v>
      </c>
      <c r="I71" s="3" t="s">
        <v>1607</v>
      </c>
      <c r="J71" s="3" t="s">
        <v>1613</v>
      </c>
      <c r="K71" s="3" t="s">
        <v>572</v>
      </c>
      <c r="L71" s="3" t="s">
        <v>566</v>
      </c>
      <c r="M71" s="3" t="s">
        <v>566</v>
      </c>
      <c r="N71" s="3" t="s">
        <v>1120</v>
      </c>
      <c r="O71" s="3" t="s">
        <v>141</v>
      </c>
      <c r="P71" s="180" t="s">
        <v>1609</v>
      </c>
      <c r="Q71" s="3" t="s">
        <v>576</v>
      </c>
      <c r="R71" s="3" t="s">
        <v>498</v>
      </c>
      <c r="S71" s="3" t="s">
        <v>1393</v>
      </c>
      <c r="T71" s="178" t="s">
        <v>1394</v>
      </c>
      <c r="U71" s="162">
        <v>3.8807</v>
      </c>
      <c r="V71" s="153">
        <v>147.68199999999999</v>
      </c>
      <c r="W71" s="153">
        <v>573.10900000000004</v>
      </c>
      <c r="X71" s="164">
        <v>1.47E-4</v>
      </c>
      <c r="Y71" s="164">
        <v>7.3942874561663801E-3</v>
      </c>
      <c r="Z71" s="164">
        <v>1.24127242506637E-3</v>
      </c>
    </row>
    <row r="72" spans="1:26" hidden="1">
      <c r="A72" s="3">
        <v>1182</v>
      </c>
      <c r="B72" s="3">
        <v>1182</v>
      </c>
      <c r="C72" s="3" t="s">
        <v>1855</v>
      </c>
      <c r="D72" s="3" t="s">
        <v>1856</v>
      </c>
      <c r="E72" s="3" t="s">
        <v>492</v>
      </c>
      <c r="F72" s="3" t="s">
        <v>1857</v>
      </c>
      <c r="G72" s="3">
        <v>62017702</v>
      </c>
      <c r="H72" s="3" t="s">
        <v>33</v>
      </c>
      <c r="I72" s="3" t="s">
        <v>1607</v>
      </c>
      <c r="J72" s="3" t="s">
        <v>1858</v>
      </c>
      <c r="K72" s="3" t="s">
        <v>572</v>
      </c>
      <c r="L72" s="3" t="s">
        <v>224</v>
      </c>
      <c r="M72" s="3" t="s">
        <v>224</v>
      </c>
      <c r="N72" s="3" t="s">
        <v>224</v>
      </c>
      <c r="O72" s="3" t="s">
        <v>141</v>
      </c>
      <c r="P72" s="180" t="s">
        <v>1859</v>
      </c>
      <c r="Q72" s="3" t="s">
        <v>664</v>
      </c>
      <c r="R72" s="3" t="s">
        <v>1482</v>
      </c>
      <c r="S72" s="3" t="s">
        <v>1393</v>
      </c>
      <c r="T72" s="178" t="s">
        <v>1394</v>
      </c>
      <c r="U72" s="162">
        <v>3.306</v>
      </c>
      <c r="V72" s="153">
        <v>401.35</v>
      </c>
      <c r="W72" s="153">
        <v>1326.8630000000001</v>
      </c>
      <c r="X72" s="164">
        <v>0</v>
      </c>
      <c r="Y72" s="164">
        <v>1.7119274699571599E-2</v>
      </c>
      <c r="Z72" s="164">
        <v>2.8737973398631801E-3</v>
      </c>
    </row>
    <row r="73" spans="1:26" hidden="1">
      <c r="A73" s="3">
        <v>1182</v>
      </c>
      <c r="B73" s="3">
        <v>1182</v>
      </c>
      <c r="C73" s="3" t="s">
        <v>1860</v>
      </c>
      <c r="D73" s="3" t="s">
        <v>1861</v>
      </c>
      <c r="E73" s="3" t="s">
        <v>492</v>
      </c>
      <c r="F73" s="3" t="s">
        <v>1862</v>
      </c>
      <c r="G73" s="3">
        <v>62022231</v>
      </c>
      <c r="H73" s="3" t="s">
        <v>33</v>
      </c>
      <c r="I73" s="3" t="s">
        <v>1607</v>
      </c>
      <c r="J73" s="3" t="s">
        <v>1613</v>
      </c>
      <c r="K73" s="3" t="s">
        <v>572</v>
      </c>
      <c r="L73" s="3" t="s">
        <v>224</v>
      </c>
      <c r="M73" s="3" t="s">
        <v>224</v>
      </c>
      <c r="N73" s="3" t="s">
        <v>797</v>
      </c>
      <c r="O73" s="3" t="s">
        <v>141</v>
      </c>
      <c r="P73" s="180" t="s">
        <v>1863</v>
      </c>
      <c r="Q73" s="3" t="s">
        <v>664</v>
      </c>
      <c r="R73" s="3" t="s">
        <v>498</v>
      </c>
      <c r="S73" s="3" t="s">
        <v>1393</v>
      </c>
      <c r="T73" s="178" t="s">
        <v>1394</v>
      </c>
      <c r="U73" s="162">
        <v>3.306</v>
      </c>
      <c r="V73" s="153">
        <v>63.267000000000003</v>
      </c>
      <c r="W73" s="153">
        <v>209.161</v>
      </c>
      <c r="X73" s="164">
        <v>1.9000000000000001E-5</v>
      </c>
      <c r="Y73" s="164">
        <v>2.6986061756451999E-3</v>
      </c>
      <c r="Z73" s="164">
        <v>4.5301260625846398E-4</v>
      </c>
    </row>
    <row r="74" spans="1:26" hidden="1">
      <c r="A74" s="3">
        <v>1182</v>
      </c>
      <c r="B74" s="3">
        <v>1182</v>
      </c>
      <c r="C74" s="3" t="s">
        <v>1864</v>
      </c>
      <c r="D74" s="3" t="s">
        <v>1865</v>
      </c>
      <c r="E74" s="3" t="s">
        <v>651</v>
      </c>
      <c r="F74" s="3" t="s">
        <v>1866</v>
      </c>
      <c r="G74" s="3">
        <v>77847846</v>
      </c>
      <c r="H74" s="3" t="s">
        <v>33</v>
      </c>
      <c r="I74" s="3" t="s">
        <v>1607</v>
      </c>
      <c r="J74" s="3" t="s">
        <v>1613</v>
      </c>
      <c r="K74" s="3" t="s">
        <v>572</v>
      </c>
      <c r="L74" s="3" t="s">
        <v>1315</v>
      </c>
      <c r="M74" s="3" t="s">
        <v>1315</v>
      </c>
      <c r="N74" s="3" t="s">
        <v>224</v>
      </c>
      <c r="O74" s="3" t="s">
        <v>141</v>
      </c>
      <c r="P74" s="180" t="s">
        <v>1867</v>
      </c>
      <c r="Q74" s="3" t="s">
        <v>664</v>
      </c>
      <c r="R74" s="3" t="s">
        <v>1482</v>
      </c>
      <c r="S74" s="3" t="s">
        <v>1393</v>
      </c>
      <c r="T74" s="178" t="s">
        <v>1394</v>
      </c>
      <c r="U74" s="162">
        <v>3.306</v>
      </c>
      <c r="V74" s="153">
        <v>807.97</v>
      </c>
      <c r="W74" s="153">
        <v>2671.15</v>
      </c>
      <c r="X74" s="164">
        <v>0</v>
      </c>
      <c r="Y74" s="164">
        <v>3.44633472562259E-2</v>
      </c>
      <c r="Z74" s="164">
        <v>5.7853312950344503E-3</v>
      </c>
    </row>
    <row r="75" spans="1:26" hidden="1">
      <c r="A75" s="3">
        <v>1182</v>
      </c>
      <c r="B75" s="3">
        <v>1182</v>
      </c>
      <c r="C75" s="3" t="s">
        <v>1868</v>
      </c>
      <c r="D75" s="3" t="s">
        <v>1869</v>
      </c>
      <c r="E75" s="3" t="s">
        <v>492</v>
      </c>
      <c r="F75" s="3" t="s">
        <v>1870</v>
      </c>
      <c r="G75" s="3">
        <v>62019013</v>
      </c>
      <c r="H75" s="3" t="s">
        <v>33</v>
      </c>
      <c r="I75" s="3" t="s">
        <v>1607</v>
      </c>
      <c r="J75" s="3" t="s">
        <v>1628</v>
      </c>
      <c r="K75" s="3" t="s">
        <v>572</v>
      </c>
      <c r="L75" s="3" t="s">
        <v>224</v>
      </c>
      <c r="M75" s="3" t="s">
        <v>224</v>
      </c>
      <c r="N75" s="3" t="s">
        <v>224</v>
      </c>
      <c r="O75" s="3" t="s">
        <v>141</v>
      </c>
      <c r="P75" s="180" t="s">
        <v>1871</v>
      </c>
      <c r="Q75" s="3" t="s">
        <v>664</v>
      </c>
      <c r="R75" s="3" t="s">
        <v>1482</v>
      </c>
      <c r="S75" s="3" t="s">
        <v>1393</v>
      </c>
      <c r="T75" s="178" t="s">
        <v>1394</v>
      </c>
      <c r="U75" s="162">
        <v>3.306</v>
      </c>
      <c r="V75" s="153">
        <v>384.65100000000001</v>
      </c>
      <c r="W75" s="153">
        <v>1271.655</v>
      </c>
      <c r="X75" s="164">
        <v>4.6999999999999997E-5</v>
      </c>
      <c r="Y75" s="164">
        <v>1.6406973606818798E-2</v>
      </c>
      <c r="Z75" s="164">
        <v>2.7542239921917399E-3</v>
      </c>
    </row>
    <row r="76" spans="1:26" hidden="1">
      <c r="A76" s="3">
        <v>1182</v>
      </c>
      <c r="B76" s="3">
        <v>1182</v>
      </c>
      <c r="C76" s="3" t="s">
        <v>1872</v>
      </c>
      <c r="D76" s="3" t="s">
        <v>1873</v>
      </c>
      <c r="E76" s="3" t="s">
        <v>492</v>
      </c>
      <c r="F76" s="3" t="s">
        <v>1874</v>
      </c>
      <c r="G76" s="3">
        <v>62006705</v>
      </c>
      <c r="H76" s="3" t="s">
        <v>33</v>
      </c>
      <c r="I76" s="3" t="s">
        <v>1607</v>
      </c>
      <c r="J76" s="3" t="s">
        <v>1628</v>
      </c>
      <c r="K76" s="3" t="s">
        <v>572</v>
      </c>
      <c r="L76" s="3" t="s">
        <v>224</v>
      </c>
      <c r="M76" s="3" t="s">
        <v>224</v>
      </c>
      <c r="N76" s="3" t="s">
        <v>797</v>
      </c>
      <c r="O76" s="3" t="s">
        <v>141</v>
      </c>
      <c r="P76" s="180" t="s">
        <v>1875</v>
      </c>
      <c r="Q76" s="3" t="s">
        <v>664</v>
      </c>
      <c r="R76" s="3" t="s">
        <v>1482</v>
      </c>
      <c r="S76" s="3" t="s">
        <v>1393</v>
      </c>
      <c r="T76" s="178" t="s">
        <v>1394</v>
      </c>
      <c r="U76" s="162">
        <v>3.306</v>
      </c>
      <c r="V76" s="153">
        <v>236.00800000000001</v>
      </c>
      <c r="W76" s="153">
        <v>780.24199999999996</v>
      </c>
      <c r="X76" s="164">
        <v>4.9200000000000003E-4</v>
      </c>
      <c r="Y76" s="164">
        <v>1.0066729024788701E-2</v>
      </c>
      <c r="Z76" s="164">
        <v>1.6898928021340299E-3</v>
      </c>
    </row>
    <row r="77" spans="1:26" hidden="1">
      <c r="A77" s="3">
        <v>1182</v>
      </c>
      <c r="B77" s="3">
        <v>1182</v>
      </c>
      <c r="C77" s="3" t="s">
        <v>1876</v>
      </c>
      <c r="D77" s="3" t="s">
        <v>1877</v>
      </c>
      <c r="E77" s="3" t="s">
        <v>492</v>
      </c>
      <c r="F77" s="3" t="s">
        <v>1878</v>
      </c>
      <c r="G77" s="3">
        <v>62017652</v>
      </c>
      <c r="H77" s="3" t="s">
        <v>33</v>
      </c>
      <c r="I77" s="3" t="s">
        <v>1607</v>
      </c>
      <c r="J77" s="3" t="s">
        <v>1879</v>
      </c>
      <c r="K77" s="3" t="s">
        <v>572</v>
      </c>
      <c r="L77" s="3" t="s">
        <v>1619</v>
      </c>
      <c r="M77" s="3" t="s">
        <v>224</v>
      </c>
      <c r="N77" s="3" t="s">
        <v>797</v>
      </c>
      <c r="O77" s="3" t="s">
        <v>141</v>
      </c>
      <c r="P77" s="180" t="s">
        <v>1880</v>
      </c>
      <c r="Q77" s="3" t="s">
        <v>664</v>
      </c>
      <c r="R77" s="3" t="s">
        <v>498</v>
      </c>
      <c r="S77" s="3" t="s">
        <v>1393</v>
      </c>
      <c r="T77" s="178" t="s">
        <v>1394</v>
      </c>
      <c r="U77" s="162">
        <v>3.306</v>
      </c>
      <c r="V77" s="153">
        <v>362.50200000000001</v>
      </c>
      <c r="W77" s="153">
        <v>1198.432</v>
      </c>
      <c r="X77" s="164">
        <v>1.11E-4</v>
      </c>
      <c r="Y77" s="164">
        <v>1.54622473157673E-2</v>
      </c>
      <c r="Z77" s="164">
        <v>2.59563363426084E-3</v>
      </c>
    </row>
    <row r="78" spans="1:26" hidden="1">
      <c r="A78" s="3">
        <v>1182</v>
      </c>
      <c r="B78" s="3">
        <v>1182</v>
      </c>
      <c r="C78" s="3" t="s">
        <v>1881</v>
      </c>
      <c r="D78" s="3" t="s">
        <v>1882</v>
      </c>
      <c r="E78" s="3" t="s">
        <v>492</v>
      </c>
      <c r="F78" s="3" t="s">
        <v>1883</v>
      </c>
      <c r="G78" s="3">
        <v>62021142</v>
      </c>
      <c r="H78" s="3" t="s">
        <v>33</v>
      </c>
      <c r="I78" s="3" t="s">
        <v>1607</v>
      </c>
      <c r="J78" s="3" t="s">
        <v>1879</v>
      </c>
      <c r="K78" s="3" t="s">
        <v>572</v>
      </c>
      <c r="L78" s="3" t="s">
        <v>1619</v>
      </c>
      <c r="M78" s="3" t="s">
        <v>224</v>
      </c>
      <c r="N78" s="3" t="s">
        <v>797</v>
      </c>
      <c r="O78" s="3" t="s">
        <v>141</v>
      </c>
      <c r="P78" s="180" t="s">
        <v>1884</v>
      </c>
      <c r="Q78" s="3" t="s">
        <v>664</v>
      </c>
      <c r="R78" s="3" t="s">
        <v>1482</v>
      </c>
      <c r="S78" s="3" t="s">
        <v>1393</v>
      </c>
      <c r="T78" s="178" t="s">
        <v>1394</v>
      </c>
      <c r="U78" s="162">
        <v>3.306</v>
      </c>
      <c r="V78" s="153">
        <v>267.69799999999998</v>
      </c>
      <c r="W78" s="153">
        <v>885.01099999999997</v>
      </c>
      <c r="X78" s="164">
        <v>7.2000000000000002E-5</v>
      </c>
      <c r="Y78" s="164">
        <v>1.14184638064987E-2</v>
      </c>
      <c r="Z78" s="164">
        <v>1.9168073115423E-3</v>
      </c>
    </row>
    <row r="79" spans="1:26" hidden="1">
      <c r="A79" s="3">
        <v>1182</v>
      </c>
      <c r="B79" s="3">
        <v>1182</v>
      </c>
      <c r="C79" s="3" t="s">
        <v>1885</v>
      </c>
      <c r="D79" s="3" t="s">
        <v>1886</v>
      </c>
      <c r="E79" s="3" t="s">
        <v>492</v>
      </c>
      <c r="F79" s="3" t="s">
        <v>1887</v>
      </c>
      <c r="G79" s="3">
        <v>62020953</v>
      </c>
      <c r="H79" s="3" t="s">
        <v>33</v>
      </c>
      <c r="I79" s="3" t="s">
        <v>1607</v>
      </c>
      <c r="J79" s="3" t="s">
        <v>1613</v>
      </c>
      <c r="K79" s="3" t="s">
        <v>572</v>
      </c>
      <c r="L79" s="3" t="s">
        <v>1619</v>
      </c>
      <c r="M79" s="3" t="s">
        <v>30</v>
      </c>
      <c r="N79" s="3" t="s">
        <v>797</v>
      </c>
      <c r="O79" s="3" t="s">
        <v>141</v>
      </c>
      <c r="P79" s="180" t="s">
        <v>1888</v>
      </c>
      <c r="Q79" s="3" t="s">
        <v>664</v>
      </c>
      <c r="R79" s="3" t="s">
        <v>498</v>
      </c>
      <c r="S79" s="3" t="s">
        <v>1393</v>
      </c>
      <c r="T79" s="178" t="s">
        <v>1394</v>
      </c>
      <c r="U79" s="162">
        <v>3.306</v>
      </c>
      <c r="V79" s="153">
        <v>283.245</v>
      </c>
      <c r="W79" s="153">
        <v>936.40700000000004</v>
      </c>
      <c r="X79" s="164">
        <v>1.3749999999999999E-3</v>
      </c>
      <c r="Y79" s="164">
        <v>1.20815848604716E-2</v>
      </c>
      <c r="Z79" s="164">
        <v>2.0281248500687498E-3</v>
      </c>
    </row>
    <row r="80" spans="1:26" hidden="1">
      <c r="A80" s="3">
        <v>1182</v>
      </c>
      <c r="B80" s="3">
        <v>1182</v>
      </c>
      <c r="C80" s="3" t="s">
        <v>1889</v>
      </c>
      <c r="D80" s="3" t="s">
        <v>1890</v>
      </c>
      <c r="E80" s="3" t="s">
        <v>33</v>
      </c>
      <c r="F80" s="3" t="s">
        <v>1891</v>
      </c>
      <c r="G80" s="3">
        <v>62021951</v>
      </c>
      <c r="H80" s="3" t="s">
        <v>33</v>
      </c>
      <c r="I80" s="3" t="s">
        <v>1607</v>
      </c>
      <c r="J80" s="3" t="s">
        <v>1613</v>
      </c>
      <c r="K80" s="3" t="s">
        <v>572</v>
      </c>
      <c r="L80" s="3" t="s">
        <v>224</v>
      </c>
      <c r="M80" s="3" t="s">
        <v>224</v>
      </c>
      <c r="N80" s="3" t="s">
        <v>797</v>
      </c>
      <c r="O80" s="3" t="s">
        <v>141</v>
      </c>
      <c r="P80" s="180" t="s">
        <v>1892</v>
      </c>
      <c r="Q80" s="3" t="s">
        <v>664</v>
      </c>
      <c r="R80" s="3" t="s">
        <v>498</v>
      </c>
      <c r="S80" s="3" t="s">
        <v>1393</v>
      </c>
      <c r="T80" s="178" t="s">
        <v>1394</v>
      </c>
      <c r="U80" s="162">
        <v>3.306</v>
      </c>
      <c r="V80" s="153">
        <v>95.486000000000004</v>
      </c>
      <c r="W80" s="153">
        <v>315.67700000000002</v>
      </c>
      <c r="X80" s="164">
        <v>0</v>
      </c>
      <c r="Y80" s="164">
        <v>4.0728784332146502E-3</v>
      </c>
      <c r="Z80" s="164">
        <v>6.8371046159165099E-4</v>
      </c>
    </row>
    <row r="81" spans="1:26" hidden="1">
      <c r="A81" s="3">
        <v>1182</v>
      </c>
      <c r="B81" s="3">
        <v>1182</v>
      </c>
      <c r="C81" s="3" t="s">
        <v>1893</v>
      </c>
      <c r="D81" s="3" t="s">
        <v>1894</v>
      </c>
      <c r="E81" s="3" t="s">
        <v>492</v>
      </c>
      <c r="F81" s="3" t="s">
        <v>1895</v>
      </c>
      <c r="G81" s="3">
        <v>62020425</v>
      </c>
      <c r="H81" s="3" t="s">
        <v>33</v>
      </c>
      <c r="I81" s="3" t="s">
        <v>1607</v>
      </c>
      <c r="J81" s="3" t="s">
        <v>1675</v>
      </c>
      <c r="K81" s="3" t="s">
        <v>572</v>
      </c>
      <c r="L81" s="3" t="s">
        <v>224</v>
      </c>
      <c r="M81" s="3" t="s">
        <v>224</v>
      </c>
      <c r="N81" s="3" t="s">
        <v>224</v>
      </c>
      <c r="O81" s="3" t="s">
        <v>141</v>
      </c>
      <c r="P81" s="180" t="s">
        <v>1896</v>
      </c>
      <c r="Q81" s="3" t="s">
        <v>664</v>
      </c>
      <c r="R81" s="3" t="s">
        <v>1482</v>
      </c>
      <c r="S81" s="3" t="s">
        <v>1393</v>
      </c>
      <c r="T81" s="178" t="s">
        <v>1394</v>
      </c>
      <c r="U81" s="162">
        <v>3.306</v>
      </c>
      <c r="V81" s="153">
        <v>994.81899999999996</v>
      </c>
      <c r="W81" s="153">
        <v>3288.8719999999998</v>
      </c>
      <c r="X81" s="164">
        <v>2.33E-4</v>
      </c>
      <c r="Y81" s="164">
        <v>4.2433229089812202E-2</v>
      </c>
      <c r="Z81" s="164">
        <v>7.1232282336797098E-3</v>
      </c>
    </row>
    <row r="82" spans="1:26" hidden="1">
      <c r="A82" s="3">
        <v>1182</v>
      </c>
      <c r="B82" s="3">
        <v>1182</v>
      </c>
      <c r="C82" s="3" t="s">
        <v>1897</v>
      </c>
      <c r="D82" s="3" t="s">
        <v>1898</v>
      </c>
      <c r="E82" s="3" t="s">
        <v>492</v>
      </c>
      <c r="F82" s="3" t="s">
        <v>1899</v>
      </c>
      <c r="G82" s="3">
        <v>62021332</v>
      </c>
      <c r="H82" s="3" t="s">
        <v>33</v>
      </c>
      <c r="I82" s="3" t="s">
        <v>1607</v>
      </c>
      <c r="J82" s="3" t="s">
        <v>1778</v>
      </c>
      <c r="K82" s="3" t="s">
        <v>572</v>
      </c>
      <c r="L82" s="3" t="s">
        <v>1619</v>
      </c>
      <c r="M82" s="3" t="s">
        <v>224</v>
      </c>
      <c r="N82" s="3" t="s">
        <v>224</v>
      </c>
      <c r="O82" s="3" t="s">
        <v>141</v>
      </c>
      <c r="P82" s="180" t="s">
        <v>1900</v>
      </c>
      <c r="Q82" s="3" t="s">
        <v>664</v>
      </c>
      <c r="R82" s="3" t="s">
        <v>1482</v>
      </c>
      <c r="S82" s="3" t="s">
        <v>1393</v>
      </c>
      <c r="T82" s="178" t="s">
        <v>1394</v>
      </c>
      <c r="U82" s="162">
        <v>3.306</v>
      </c>
      <c r="V82" s="153">
        <v>225.06299999999999</v>
      </c>
      <c r="W82" s="153">
        <v>744.05799999999999</v>
      </c>
      <c r="X82" s="164">
        <v>0</v>
      </c>
      <c r="Y82" s="164">
        <v>9.5998821162377908E-3</v>
      </c>
      <c r="Z82" s="164">
        <v>1.6115236289382399E-3</v>
      </c>
    </row>
    <row r="83" spans="1:26" hidden="1">
      <c r="A83" s="3">
        <v>1182</v>
      </c>
      <c r="B83" s="3">
        <v>1182</v>
      </c>
      <c r="C83" s="3" t="s">
        <v>1901</v>
      </c>
      <c r="D83" s="3" t="s">
        <v>1902</v>
      </c>
      <c r="E83" s="3" t="s">
        <v>492</v>
      </c>
      <c r="F83" s="3" t="s">
        <v>1903</v>
      </c>
      <c r="G83" s="3">
        <v>62021324</v>
      </c>
      <c r="H83" s="3" t="s">
        <v>33</v>
      </c>
      <c r="I83" s="3" t="s">
        <v>1607</v>
      </c>
      <c r="J83" s="3" t="s">
        <v>1778</v>
      </c>
      <c r="K83" s="3" t="s">
        <v>572</v>
      </c>
      <c r="L83" s="3" t="s">
        <v>1619</v>
      </c>
      <c r="M83" s="3" t="s">
        <v>224</v>
      </c>
      <c r="N83" s="3" t="s">
        <v>224</v>
      </c>
      <c r="O83" s="3" t="s">
        <v>141</v>
      </c>
      <c r="P83" s="180" t="s">
        <v>1900</v>
      </c>
      <c r="Q83" s="3" t="s">
        <v>664</v>
      </c>
      <c r="R83" s="3" t="s">
        <v>1482</v>
      </c>
      <c r="S83" s="3" t="s">
        <v>1393</v>
      </c>
      <c r="T83" s="178" t="s">
        <v>1394</v>
      </c>
      <c r="U83" s="162">
        <v>3.306</v>
      </c>
      <c r="V83" s="153">
        <v>55.655999999999999</v>
      </c>
      <c r="W83" s="153">
        <v>183.999</v>
      </c>
      <c r="X83" s="164">
        <v>0</v>
      </c>
      <c r="Y83" s="164">
        <v>2.3739722811826798E-3</v>
      </c>
      <c r="Z83" s="164">
        <v>3.9851660460489199E-4</v>
      </c>
    </row>
    <row r="84" spans="1:26" hidden="1">
      <c r="A84" s="3">
        <v>1182</v>
      </c>
      <c r="B84" s="3">
        <v>1182</v>
      </c>
      <c r="C84" s="3" t="s">
        <v>1904</v>
      </c>
      <c r="D84" s="3" t="s">
        <v>1905</v>
      </c>
      <c r="E84" s="3" t="s">
        <v>651</v>
      </c>
      <c r="F84" s="3" t="s">
        <v>1906</v>
      </c>
      <c r="G84" s="3">
        <v>62021894</v>
      </c>
      <c r="H84" s="3" t="s">
        <v>33</v>
      </c>
      <c r="I84" s="3" t="s">
        <v>1607</v>
      </c>
      <c r="J84" s="3" t="s">
        <v>1613</v>
      </c>
      <c r="K84" s="3" t="s">
        <v>572</v>
      </c>
      <c r="L84" s="3" t="s">
        <v>1315</v>
      </c>
      <c r="M84" s="3" t="s">
        <v>566</v>
      </c>
      <c r="N84" s="3" t="s">
        <v>797</v>
      </c>
      <c r="O84" s="3" t="s">
        <v>141</v>
      </c>
      <c r="P84" s="180" t="s">
        <v>1907</v>
      </c>
      <c r="Q84" s="3" t="s">
        <v>664</v>
      </c>
      <c r="R84" s="3" t="s">
        <v>498</v>
      </c>
      <c r="S84" s="3" t="s">
        <v>1393</v>
      </c>
      <c r="T84" s="178" t="s">
        <v>1394</v>
      </c>
      <c r="U84" s="162">
        <v>3.306</v>
      </c>
      <c r="V84" s="153">
        <v>51.35</v>
      </c>
      <c r="W84" s="153">
        <v>169.76400000000001</v>
      </c>
      <c r="X84" s="164">
        <v>4.0000000000000003E-5</v>
      </c>
      <c r="Y84" s="164">
        <v>2.190299714033E-3</v>
      </c>
      <c r="Z84" s="164">
        <v>3.6768365495348001E-4</v>
      </c>
    </row>
    <row r="85" spans="1:26" hidden="1">
      <c r="A85" s="3">
        <v>1182</v>
      </c>
      <c r="B85" s="3">
        <v>1182</v>
      </c>
      <c r="C85" s="3" t="s">
        <v>1908</v>
      </c>
      <c r="D85" s="3" t="s">
        <v>1909</v>
      </c>
      <c r="E85" s="3" t="s">
        <v>651</v>
      </c>
      <c r="F85" s="3" t="s">
        <v>1910</v>
      </c>
      <c r="G85" s="3">
        <v>62021571</v>
      </c>
      <c r="H85" s="3" t="s">
        <v>33</v>
      </c>
      <c r="I85" s="3" t="s">
        <v>1607</v>
      </c>
      <c r="J85" s="3" t="s">
        <v>1613</v>
      </c>
      <c r="K85" s="3" t="s">
        <v>572</v>
      </c>
      <c r="L85" s="3" t="s">
        <v>1315</v>
      </c>
      <c r="M85" s="3" t="s">
        <v>566</v>
      </c>
      <c r="N85" s="3" t="s">
        <v>1120</v>
      </c>
      <c r="O85" s="3" t="s">
        <v>141</v>
      </c>
      <c r="P85" s="180" t="s">
        <v>1911</v>
      </c>
      <c r="Q85" s="3" t="s">
        <v>576</v>
      </c>
      <c r="R85" s="3" t="s">
        <v>498</v>
      </c>
      <c r="S85" s="3" t="s">
        <v>1393</v>
      </c>
      <c r="T85" s="178" t="s">
        <v>1394</v>
      </c>
      <c r="U85" s="162">
        <v>3.8807</v>
      </c>
      <c r="V85" s="153">
        <v>216.41300000000001</v>
      </c>
      <c r="W85" s="153">
        <v>839.83299999999997</v>
      </c>
      <c r="X85" s="164">
        <v>8.4199999999999998E-4</v>
      </c>
      <c r="Y85" s="164">
        <v>1.08355843689681E-2</v>
      </c>
      <c r="Z85" s="164">
        <v>1.8189598614351799E-3</v>
      </c>
    </row>
    <row r="86" spans="1:26" hidden="1">
      <c r="A86" s="3">
        <v>1182</v>
      </c>
      <c r="B86" s="3">
        <v>1182</v>
      </c>
      <c r="C86" s="3" t="s">
        <v>1912</v>
      </c>
      <c r="D86" s="3" t="s">
        <v>1913</v>
      </c>
      <c r="E86" s="3" t="s">
        <v>492</v>
      </c>
      <c r="F86" s="3" t="s">
        <v>1914</v>
      </c>
      <c r="G86" s="3">
        <v>62019849</v>
      </c>
      <c r="H86" s="3" t="s">
        <v>33</v>
      </c>
      <c r="I86" s="3" t="s">
        <v>1607</v>
      </c>
      <c r="J86" s="3" t="s">
        <v>1613</v>
      </c>
      <c r="K86" s="3" t="s">
        <v>572</v>
      </c>
      <c r="L86" s="3" t="s">
        <v>1315</v>
      </c>
      <c r="M86" s="3" t="s">
        <v>566</v>
      </c>
      <c r="N86" s="3" t="s">
        <v>224</v>
      </c>
      <c r="O86" s="3" t="s">
        <v>141</v>
      </c>
      <c r="P86" s="180" t="s">
        <v>1915</v>
      </c>
      <c r="Q86" s="3" t="s">
        <v>664</v>
      </c>
      <c r="R86" s="3" t="s">
        <v>1482</v>
      </c>
      <c r="S86" s="3" t="s">
        <v>1393</v>
      </c>
      <c r="T86" s="178" t="s">
        <v>1394</v>
      </c>
      <c r="U86" s="162">
        <v>3.306</v>
      </c>
      <c r="V86" s="153">
        <v>194.84200000000001</v>
      </c>
      <c r="W86" s="153">
        <v>644.14800000000002</v>
      </c>
      <c r="X86" s="164">
        <v>7.3899999999999997E-4</v>
      </c>
      <c r="Y86" s="164">
        <v>8.3108394335692001E-3</v>
      </c>
      <c r="Z86" s="164">
        <v>1.3951331861517999E-3</v>
      </c>
    </row>
    <row r="87" spans="1:26" hidden="1">
      <c r="A87" s="3">
        <v>1182</v>
      </c>
      <c r="B87" s="3">
        <v>1182</v>
      </c>
      <c r="C87" s="3" t="s">
        <v>1916</v>
      </c>
      <c r="D87" s="3" t="s">
        <v>1917</v>
      </c>
      <c r="E87" s="3" t="s">
        <v>492</v>
      </c>
      <c r="F87" s="3" t="s">
        <v>1918</v>
      </c>
      <c r="G87" s="3">
        <v>62021944</v>
      </c>
      <c r="H87" s="3" t="s">
        <v>33</v>
      </c>
      <c r="I87" s="3" t="s">
        <v>1607</v>
      </c>
      <c r="J87" s="3" t="s">
        <v>1613</v>
      </c>
      <c r="K87" s="3" t="s">
        <v>572</v>
      </c>
      <c r="L87" s="3" t="s">
        <v>1315</v>
      </c>
      <c r="M87" s="3" t="s">
        <v>566</v>
      </c>
      <c r="N87" s="3" t="s">
        <v>797</v>
      </c>
      <c r="O87" s="3" t="s">
        <v>141</v>
      </c>
      <c r="P87" s="180" t="s">
        <v>1919</v>
      </c>
      <c r="Q87" s="3" t="s">
        <v>664</v>
      </c>
      <c r="R87" s="3" t="s">
        <v>498</v>
      </c>
      <c r="S87" s="3" t="s">
        <v>1393</v>
      </c>
      <c r="T87" s="178" t="s">
        <v>1394</v>
      </c>
      <c r="U87" s="162">
        <v>3.306</v>
      </c>
      <c r="V87" s="153">
        <v>73.617999999999995</v>
      </c>
      <c r="W87" s="153">
        <v>243.38200000000001</v>
      </c>
      <c r="X87" s="164">
        <v>0</v>
      </c>
      <c r="Y87" s="164">
        <v>3.1401273409018002E-3</v>
      </c>
      <c r="Z87" s="164">
        <v>5.2713036956764504E-4</v>
      </c>
    </row>
    <row r="88" spans="1:26" hidden="1">
      <c r="A88" s="3">
        <v>1182</v>
      </c>
      <c r="B88" s="3">
        <v>1182</v>
      </c>
      <c r="C88" s="3" t="s">
        <v>1920</v>
      </c>
      <c r="D88" s="3" t="s">
        <v>1921</v>
      </c>
      <c r="E88" s="3" t="s">
        <v>492</v>
      </c>
      <c r="F88" s="3" t="s">
        <v>1922</v>
      </c>
      <c r="G88" s="3">
        <v>62009204</v>
      </c>
      <c r="H88" s="3" t="s">
        <v>33</v>
      </c>
      <c r="I88" s="3" t="s">
        <v>1607</v>
      </c>
      <c r="J88" s="3" t="s">
        <v>1618</v>
      </c>
      <c r="K88" s="3" t="s">
        <v>572</v>
      </c>
      <c r="L88" s="3" t="s">
        <v>1315</v>
      </c>
      <c r="M88" s="3" t="s">
        <v>566</v>
      </c>
      <c r="N88" s="3" t="s">
        <v>797</v>
      </c>
      <c r="O88" s="3" t="s">
        <v>141</v>
      </c>
      <c r="P88" s="180" t="s">
        <v>1923</v>
      </c>
      <c r="Q88" s="3" t="s">
        <v>664</v>
      </c>
      <c r="R88" s="3" t="s">
        <v>498</v>
      </c>
      <c r="S88" s="3" t="s">
        <v>1393</v>
      </c>
      <c r="T88" s="178" t="s">
        <v>1394</v>
      </c>
      <c r="U88" s="162">
        <v>3.306</v>
      </c>
      <c r="V88" s="153">
        <v>340.91199999999998</v>
      </c>
      <c r="W88" s="153">
        <v>1127.0540000000001</v>
      </c>
      <c r="X88" s="164">
        <v>3.6499999999999998E-4</v>
      </c>
      <c r="Y88" s="164">
        <v>1.4541324684499399E-2</v>
      </c>
      <c r="Z88" s="164">
        <v>2.44103917541828E-3</v>
      </c>
    </row>
    <row r="89" spans="1:26" hidden="1">
      <c r="A89" s="3">
        <v>1182</v>
      </c>
      <c r="B89" s="3">
        <v>1182</v>
      </c>
      <c r="C89" s="3" t="s">
        <v>1924</v>
      </c>
      <c r="D89" s="3" t="s">
        <v>1925</v>
      </c>
      <c r="E89" s="3" t="s">
        <v>492</v>
      </c>
      <c r="F89" s="3" t="s">
        <v>1926</v>
      </c>
      <c r="G89" s="3">
        <v>62019807</v>
      </c>
      <c r="H89" s="3" t="s">
        <v>33</v>
      </c>
      <c r="I89" s="3" t="s">
        <v>1607</v>
      </c>
      <c r="J89" s="3" t="s">
        <v>1618</v>
      </c>
      <c r="K89" s="3" t="s">
        <v>572</v>
      </c>
      <c r="L89" s="3" t="s">
        <v>1315</v>
      </c>
      <c r="M89" s="3" t="s">
        <v>566</v>
      </c>
      <c r="N89" s="3" t="s">
        <v>797</v>
      </c>
      <c r="O89" s="3" t="s">
        <v>141</v>
      </c>
      <c r="P89" s="180" t="s">
        <v>1765</v>
      </c>
      <c r="Q89" s="3" t="s">
        <v>664</v>
      </c>
      <c r="R89" s="3" t="s">
        <v>1482</v>
      </c>
      <c r="S89" s="3" t="s">
        <v>1393</v>
      </c>
      <c r="T89" s="178" t="s">
        <v>1394</v>
      </c>
      <c r="U89" s="162">
        <v>3.306</v>
      </c>
      <c r="V89" s="153">
        <v>273.08800000000002</v>
      </c>
      <c r="W89" s="153">
        <v>902.83</v>
      </c>
      <c r="X89" s="164">
        <v>1.4100000000000001E-4</v>
      </c>
      <c r="Y89" s="164">
        <v>1.1648365049450601E-2</v>
      </c>
      <c r="Z89" s="164">
        <v>1.9554006276740199E-3</v>
      </c>
    </row>
    <row r="90" spans="1:26" hidden="1">
      <c r="A90" s="3">
        <v>1182</v>
      </c>
      <c r="B90" s="3">
        <v>1182</v>
      </c>
      <c r="C90" s="3" t="s">
        <v>1927</v>
      </c>
      <c r="D90" s="3" t="s">
        <v>1928</v>
      </c>
      <c r="E90" s="3" t="s">
        <v>33</v>
      </c>
      <c r="F90" s="3" t="s">
        <v>1929</v>
      </c>
      <c r="G90" s="3">
        <v>62022355</v>
      </c>
      <c r="H90" s="3" t="s">
        <v>33</v>
      </c>
      <c r="I90" s="3" t="s">
        <v>1607</v>
      </c>
      <c r="J90" s="3" t="s">
        <v>1613</v>
      </c>
      <c r="K90" s="3" t="s">
        <v>572</v>
      </c>
      <c r="L90" s="3" t="s">
        <v>1315</v>
      </c>
      <c r="M90" s="3" t="s">
        <v>1315</v>
      </c>
      <c r="N90" s="3" t="s">
        <v>797</v>
      </c>
      <c r="O90" s="3" t="s">
        <v>141</v>
      </c>
      <c r="P90" s="180" t="s">
        <v>1783</v>
      </c>
      <c r="Q90" s="3" t="s">
        <v>664</v>
      </c>
      <c r="R90" s="3" t="s">
        <v>498</v>
      </c>
      <c r="S90" s="3" t="s">
        <v>1393</v>
      </c>
      <c r="T90" s="178" t="s">
        <v>1394</v>
      </c>
      <c r="U90" s="162">
        <v>3.306</v>
      </c>
      <c r="V90" s="153">
        <v>33.417999999999999</v>
      </c>
      <c r="W90" s="153">
        <v>110.48</v>
      </c>
      <c r="X90" s="164">
        <v>1.8E-5</v>
      </c>
      <c r="Y90" s="164">
        <v>1.4254161520414301E-3</v>
      </c>
      <c r="Z90" s="164">
        <v>2.39283335177581E-4</v>
      </c>
    </row>
    <row r="91" spans="1:26" hidden="1">
      <c r="A91" s="3">
        <v>1182</v>
      </c>
      <c r="B91" s="3">
        <v>1182</v>
      </c>
      <c r="C91" s="3" t="s">
        <v>1930</v>
      </c>
      <c r="D91" s="3" t="s">
        <v>1921</v>
      </c>
      <c r="E91" s="3" t="s">
        <v>492</v>
      </c>
      <c r="F91" s="3" t="s">
        <v>1931</v>
      </c>
      <c r="G91" s="3">
        <v>62020615</v>
      </c>
      <c r="H91" s="3" t="s">
        <v>33</v>
      </c>
      <c r="I91" s="3" t="s">
        <v>1607</v>
      </c>
      <c r="J91" s="3" t="s">
        <v>1628</v>
      </c>
      <c r="K91" s="3" t="s">
        <v>572</v>
      </c>
      <c r="L91" s="3" t="s">
        <v>1315</v>
      </c>
      <c r="M91" s="3" t="s">
        <v>566</v>
      </c>
      <c r="N91" s="3" t="s">
        <v>797</v>
      </c>
      <c r="O91" s="3" t="s">
        <v>141</v>
      </c>
      <c r="P91" s="180" t="s">
        <v>1932</v>
      </c>
      <c r="Q91" s="3" t="s">
        <v>664</v>
      </c>
      <c r="R91" s="3" t="s">
        <v>1482</v>
      </c>
      <c r="S91" s="3" t="s">
        <v>1393</v>
      </c>
      <c r="T91" s="178" t="s">
        <v>1394</v>
      </c>
      <c r="U91" s="162">
        <v>3.306</v>
      </c>
      <c r="V91" s="153">
        <v>364.75400000000002</v>
      </c>
      <c r="W91" s="153">
        <v>1205.875</v>
      </c>
      <c r="X91" s="164">
        <v>0</v>
      </c>
      <c r="Y91" s="164">
        <v>1.55582780571206E-2</v>
      </c>
      <c r="Z91" s="164">
        <v>2.6117542289641402E-3</v>
      </c>
    </row>
    <row r="92" spans="1:26" hidden="1">
      <c r="A92" s="3">
        <v>1182</v>
      </c>
      <c r="B92" s="3">
        <v>1182</v>
      </c>
      <c r="C92" s="3" t="s">
        <v>1933</v>
      </c>
      <c r="D92" s="3" t="s">
        <v>1934</v>
      </c>
      <c r="E92" s="3" t="s">
        <v>492</v>
      </c>
      <c r="F92" s="3" t="s">
        <v>1935</v>
      </c>
      <c r="G92" s="3">
        <v>62020813</v>
      </c>
      <c r="H92" s="3" t="s">
        <v>33</v>
      </c>
      <c r="I92" s="3" t="s">
        <v>1607</v>
      </c>
      <c r="J92" s="3" t="s">
        <v>1637</v>
      </c>
      <c r="K92" s="3" t="s">
        <v>572</v>
      </c>
      <c r="L92" s="3" t="s">
        <v>1315</v>
      </c>
      <c r="M92" s="3" t="s">
        <v>566</v>
      </c>
      <c r="N92" s="3" t="s">
        <v>797</v>
      </c>
      <c r="O92" s="3" t="s">
        <v>141</v>
      </c>
      <c r="P92" s="180" t="s">
        <v>1936</v>
      </c>
      <c r="Q92" s="3" t="s">
        <v>664</v>
      </c>
      <c r="R92" s="3" t="s">
        <v>498</v>
      </c>
      <c r="S92" s="3" t="s">
        <v>1393</v>
      </c>
      <c r="T92" s="178" t="s">
        <v>1394</v>
      </c>
      <c r="U92" s="162">
        <v>3.306</v>
      </c>
      <c r="V92" s="153">
        <v>218.84100000000001</v>
      </c>
      <c r="W92" s="153">
        <v>723.48800000000006</v>
      </c>
      <c r="X92" s="164">
        <v>8.3999999999999995E-5</v>
      </c>
      <c r="Y92" s="164">
        <v>9.3344896380738798E-3</v>
      </c>
      <c r="Z92" s="164">
        <v>1.5669724308792401E-3</v>
      </c>
    </row>
    <row r="93" spans="1:26" hidden="1">
      <c r="A93" s="3">
        <v>1182</v>
      </c>
      <c r="B93" s="3">
        <v>1182</v>
      </c>
      <c r="C93" s="3" t="s">
        <v>1937</v>
      </c>
      <c r="D93" s="3" t="s">
        <v>1938</v>
      </c>
      <c r="E93" s="3" t="s">
        <v>492</v>
      </c>
      <c r="F93" s="3" t="s">
        <v>1939</v>
      </c>
      <c r="G93" s="3">
        <v>62010137</v>
      </c>
      <c r="H93" s="3" t="s">
        <v>33</v>
      </c>
      <c r="I93" s="3" t="s">
        <v>1607</v>
      </c>
      <c r="J93" s="3" t="s">
        <v>1637</v>
      </c>
      <c r="K93" s="3" t="s">
        <v>572</v>
      </c>
      <c r="L93" s="3" t="s">
        <v>1315</v>
      </c>
      <c r="M93" s="3" t="s">
        <v>566</v>
      </c>
      <c r="N93" s="3" t="s">
        <v>797</v>
      </c>
      <c r="O93" s="3" t="s">
        <v>141</v>
      </c>
      <c r="P93" s="180" t="s">
        <v>1940</v>
      </c>
      <c r="Q93" s="3" t="s">
        <v>664</v>
      </c>
      <c r="R93" s="3" t="s">
        <v>1482</v>
      </c>
      <c r="S93" s="3" t="s">
        <v>1393</v>
      </c>
      <c r="T93" s="178" t="s">
        <v>1394</v>
      </c>
      <c r="U93" s="162">
        <v>3.306</v>
      </c>
      <c r="V93" s="153">
        <v>241.32599999999999</v>
      </c>
      <c r="W93" s="153">
        <v>797.82500000000005</v>
      </c>
      <c r="X93" s="164">
        <v>1.11E-4</v>
      </c>
      <c r="Y93" s="164">
        <v>1.02935914369121E-2</v>
      </c>
      <c r="Z93" s="164">
        <v>1.7279759924511699E-3</v>
      </c>
    </row>
    <row r="94" spans="1:26" hidden="1">
      <c r="A94" s="3">
        <v>1182</v>
      </c>
      <c r="B94" s="3">
        <v>1182</v>
      </c>
      <c r="C94" s="3" t="s">
        <v>1941</v>
      </c>
      <c r="D94" s="3" t="s">
        <v>1942</v>
      </c>
      <c r="E94" s="3" t="s">
        <v>33</v>
      </c>
      <c r="F94" s="3" t="s">
        <v>1943</v>
      </c>
      <c r="G94" s="3">
        <v>62006366</v>
      </c>
      <c r="H94" s="3" t="s">
        <v>33</v>
      </c>
      <c r="I94" s="3" t="s">
        <v>1607</v>
      </c>
      <c r="J94" s="3" t="s">
        <v>1944</v>
      </c>
      <c r="K94" s="3" t="s">
        <v>572</v>
      </c>
      <c r="L94" s="3" t="s">
        <v>30</v>
      </c>
      <c r="M94" s="3" t="s">
        <v>30</v>
      </c>
      <c r="N94" s="3" t="s">
        <v>224</v>
      </c>
      <c r="O94" s="3" t="s">
        <v>141</v>
      </c>
      <c r="P94" s="180" t="s">
        <v>1945</v>
      </c>
      <c r="Q94" s="3" t="s">
        <v>664</v>
      </c>
      <c r="R94" s="3" t="s">
        <v>1482</v>
      </c>
      <c r="S94" s="3" t="s">
        <v>1393</v>
      </c>
      <c r="T94" s="178" t="s">
        <v>1394</v>
      </c>
      <c r="U94" s="162">
        <v>3.306</v>
      </c>
      <c r="V94" s="153">
        <v>50.8</v>
      </c>
      <c r="W94" s="153">
        <v>167.94499999999999</v>
      </c>
      <c r="X94" s="164">
        <v>4.6500000000000003E-4</v>
      </c>
      <c r="Y94" s="164">
        <v>2.1668361093578402E-3</v>
      </c>
      <c r="Z94" s="164">
        <v>3.6374484061219302E-4</v>
      </c>
    </row>
    <row r="95" spans="1:26" hidden="1">
      <c r="A95" s="3">
        <v>1182</v>
      </c>
      <c r="B95" s="3">
        <v>1182</v>
      </c>
      <c r="C95" s="3" t="s">
        <v>1946</v>
      </c>
      <c r="D95" s="3" t="s">
        <v>1947</v>
      </c>
      <c r="E95" s="3" t="s">
        <v>492</v>
      </c>
      <c r="F95" s="3" t="s">
        <v>1948</v>
      </c>
      <c r="G95" s="3">
        <v>62018387</v>
      </c>
      <c r="H95" s="3" t="s">
        <v>33</v>
      </c>
      <c r="I95" s="3" t="s">
        <v>1607</v>
      </c>
      <c r="J95" s="3" t="s">
        <v>1641</v>
      </c>
      <c r="K95" s="3" t="s">
        <v>572</v>
      </c>
      <c r="L95" s="3" t="s">
        <v>1619</v>
      </c>
      <c r="M95" s="3" t="s">
        <v>942</v>
      </c>
      <c r="N95" s="3" t="s">
        <v>224</v>
      </c>
      <c r="O95" s="3" t="s">
        <v>141</v>
      </c>
      <c r="P95" s="180" t="s">
        <v>1949</v>
      </c>
      <c r="Q95" s="3" t="s">
        <v>664</v>
      </c>
      <c r="R95" s="3" t="s">
        <v>1482</v>
      </c>
      <c r="S95" s="3" t="s">
        <v>1393</v>
      </c>
      <c r="T95" s="178" t="s">
        <v>1394</v>
      </c>
      <c r="U95" s="162">
        <v>3.306</v>
      </c>
      <c r="V95" s="153">
        <v>175.09100000000001</v>
      </c>
      <c r="W95" s="153">
        <v>578.85</v>
      </c>
      <c r="X95" s="164">
        <v>8.0000000000000007E-5</v>
      </c>
      <c r="Y95" s="164">
        <v>7.4683624560891197E-3</v>
      </c>
      <c r="Z95" s="164">
        <v>1.2537073290832799E-3</v>
      </c>
    </row>
    <row r="96" spans="1:26" hidden="1">
      <c r="A96" s="3">
        <v>1182</v>
      </c>
      <c r="B96" s="3">
        <v>1182</v>
      </c>
      <c r="C96" s="3" t="s">
        <v>1950</v>
      </c>
      <c r="D96" s="3" t="s">
        <v>1951</v>
      </c>
      <c r="E96" s="3" t="s">
        <v>651</v>
      </c>
      <c r="F96" s="3" t="s">
        <v>1952</v>
      </c>
      <c r="G96" s="3">
        <v>62018551</v>
      </c>
      <c r="H96" s="3" t="s">
        <v>33</v>
      </c>
      <c r="I96" s="3" t="s">
        <v>1607</v>
      </c>
      <c r="J96" s="3" t="s">
        <v>1641</v>
      </c>
      <c r="K96" s="3" t="s">
        <v>572</v>
      </c>
      <c r="L96" s="3" t="s">
        <v>1315</v>
      </c>
      <c r="M96" s="3" t="s">
        <v>1953</v>
      </c>
      <c r="N96" s="3" t="s">
        <v>942</v>
      </c>
      <c r="O96" s="3" t="s">
        <v>141</v>
      </c>
      <c r="P96" s="180" t="s">
        <v>1954</v>
      </c>
      <c r="Q96" s="3" t="s">
        <v>664</v>
      </c>
      <c r="R96" s="3" t="s">
        <v>1482</v>
      </c>
      <c r="S96" s="3" t="s">
        <v>1393</v>
      </c>
      <c r="T96" s="178" t="s">
        <v>1394</v>
      </c>
      <c r="U96" s="162">
        <v>3.306</v>
      </c>
      <c r="V96" s="153">
        <v>400.11200000000002</v>
      </c>
      <c r="W96" s="153">
        <v>1322.771</v>
      </c>
      <c r="X96" s="164">
        <v>1.57E-3</v>
      </c>
      <c r="Y96" s="164">
        <v>1.7066477170791999E-2</v>
      </c>
      <c r="Z96" s="164">
        <v>2.8649342659058498E-3</v>
      </c>
    </row>
    <row r="97" spans="1:26" hidden="1">
      <c r="A97" s="3">
        <v>1182</v>
      </c>
      <c r="B97" s="3">
        <v>1182</v>
      </c>
      <c r="C97" s="3" t="s">
        <v>1955</v>
      </c>
      <c r="D97" s="3" t="s">
        <v>1956</v>
      </c>
      <c r="E97" s="3" t="s">
        <v>651</v>
      </c>
      <c r="F97" s="3" t="s">
        <v>1957</v>
      </c>
      <c r="G97" s="3">
        <v>62022306</v>
      </c>
      <c r="H97" s="3" t="s">
        <v>33</v>
      </c>
      <c r="I97" s="3" t="s">
        <v>1607</v>
      </c>
      <c r="J97" s="3" t="s">
        <v>1613</v>
      </c>
      <c r="K97" s="3" t="s">
        <v>572</v>
      </c>
      <c r="L97" s="3" t="s">
        <v>1315</v>
      </c>
      <c r="M97" s="3" t="s">
        <v>1953</v>
      </c>
      <c r="N97" s="3" t="s">
        <v>797</v>
      </c>
      <c r="O97" s="3" t="s">
        <v>141</v>
      </c>
      <c r="P97" s="180" t="s">
        <v>1958</v>
      </c>
      <c r="Q97" s="3" t="s">
        <v>664</v>
      </c>
      <c r="R97" s="3" t="s">
        <v>498</v>
      </c>
      <c r="S97" s="3" t="s">
        <v>1393</v>
      </c>
      <c r="T97" s="178" t="s">
        <v>1394</v>
      </c>
      <c r="U97" s="162">
        <v>3.306</v>
      </c>
      <c r="V97" s="153">
        <v>81.191999999999993</v>
      </c>
      <c r="W97" s="153">
        <v>268.42</v>
      </c>
      <c r="X97" s="164">
        <v>0</v>
      </c>
      <c r="Y97" s="164">
        <v>3.4631731933461199E-3</v>
      </c>
      <c r="Z97" s="164">
        <v>5.8135978802727E-4</v>
      </c>
    </row>
    <row r="98" spans="1:26" hidden="1">
      <c r="A98" s="3">
        <v>1182</v>
      </c>
      <c r="B98" s="3">
        <v>1182</v>
      </c>
      <c r="C98" s="3" t="s">
        <v>1959</v>
      </c>
      <c r="D98" s="3" t="s">
        <v>1960</v>
      </c>
      <c r="E98" s="3" t="s">
        <v>651</v>
      </c>
      <c r="F98" s="3" t="s">
        <v>1961</v>
      </c>
      <c r="G98" s="3">
        <v>62020169</v>
      </c>
      <c r="H98" s="3" t="s">
        <v>33</v>
      </c>
      <c r="I98" s="3" t="s">
        <v>1607</v>
      </c>
      <c r="J98" s="3" t="s">
        <v>1637</v>
      </c>
      <c r="K98" s="3" t="s">
        <v>572</v>
      </c>
      <c r="L98" s="3" t="s">
        <v>1315</v>
      </c>
      <c r="M98" s="3" t="s">
        <v>1953</v>
      </c>
      <c r="N98" s="3" t="s">
        <v>797</v>
      </c>
      <c r="O98" s="3" t="s">
        <v>141</v>
      </c>
      <c r="P98" s="180" t="s">
        <v>1962</v>
      </c>
      <c r="Q98" s="3" t="s">
        <v>664</v>
      </c>
      <c r="R98" s="3" t="s">
        <v>1482</v>
      </c>
      <c r="S98" s="3" t="s">
        <v>1393</v>
      </c>
      <c r="T98" s="178" t="s">
        <v>1394</v>
      </c>
      <c r="U98" s="162">
        <v>3.306</v>
      </c>
      <c r="V98" s="153">
        <v>519.00199999999995</v>
      </c>
      <c r="W98" s="153">
        <v>1715.8219999999999</v>
      </c>
      <c r="X98" s="164">
        <v>1.4E-3</v>
      </c>
      <c r="Y98" s="164">
        <v>2.2137642392126799E-2</v>
      </c>
      <c r="Z98" s="164">
        <v>3.7162262381903598E-3</v>
      </c>
    </row>
    <row r="99" spans="1:26" hidden="1">
      <c r="A99" s="3">
        <v>1182</v>
      </c>
      <c r="B99" s="3">
        <v>1182</v>
      </c>
      <c r="C99" s="3" t="s">
        <v>1963</v>
      </c>
      <c r="D99" s="3" t="s">
        <v>1964</v>
      </c>
      <c r="E99" s="3" t="s">
        <v>134</v>
      </c>
      <c r="F99" s="3" t="s">
        <v>1965</v>
      </c>
      <c r="G99" s="3">
        <v>62022439</v>
      </c>
      <c r="H99" s="3" t="s">
        <v>33</v>
      </c>
      <c r="I99" s="3" t="s">
        <v>1607</v>
      </c>
      <c r="J99" s="3" t="s">
        <v>1613</v>
      </c>
      <c r="K99" s="3" t="s">
        <v>572</v>
      </c>
      <c r="L99" s="3" t="s">
        <v>1315</v>
      </c>
      <c r="M99" s="3" t="s">
        <v>1315</v>
      </c>
      <c r="N99" s="3" t="s">
        <v>1120</v>
      </c>
      <c r="O99" s="3" t="s">
        <v>141</v>
      </c>
      <c r="P99" s="180" t="s">
        <v>1966</v>
      </c>
      <c r="Q99" s="3" t="s">
        <v>576</v>
      </c>
      <c r="R99" s="3" t="s">
        <v>498</v>
      </c>
      <c r="S99" s="3" t="s">
        <v>1393</v>
      </c>
      <c r="T99" s="178" t="s">
        <v>1394</v>
      </c>
      <c r="U99" s="162">
        <v>3.8807</v>
      </c>
      <c r="V99" s="153">
        <v>105.6</v>
      </c>
      <c r="W99" s="153">
        <v>409.80200000000002</v>
      </c>
      <c r="X99" s="164">
        <v>0</v>
      </c>
      <c r="Y99" s="164">
        <v>5.2872901171643599E-3</v>
      </c>
      <c r="Z99" s="164">
        <v>8.8757266534031604E-4</v>
      </c>
    </row>
    <row r="100" spans="1:26" hidden="1">
      <c r="A100" s="3">
        <v>1182</v>
      </c>
      <c r="B100" s="3">
        <v>1182</v>
      </c>
      <c r="C100" s="3" t="s">
        <v>1967</v>
      </c>
      <c r="D100" s="3" t="s">
        <v>1968</v>
      </c>
      <c r="E100" s="3" t="s">
        <v>651</v>
      </c>
      <c r="F100" s="3" t="s">
        <v>1969</v>
      </c>
      <c r="G100" s="3">
        <v>62022033</v>
      </c>
      <c r="H100" s="3" t="s">
        <v>33</v>
      </c>
      <c r="I100" s="3" t="s">
        <v>1607</v>
      </c>
      <c r="J100" s="3" t="s">
        <v>1613</v>
      </c>
      <c r="K100" s="3" t="s">
        <v>572</v>
      </c>
      <c r="L100" s="3" t="s">
        <v>1315</v>
      </c>
      <c r="M100" s="3" t="s">
        <v>1063</v>
      </c>
      <c r="N100" s="3" t="s">
        <v>224</v>
      </c>
      <c r="O100" s="3" t="s">
        <v>141</v>
      </c>
      <c r="P100" s="180" t="s">
        <v>1970</v>
      </c>
      <c r="Q100" s="3" t="s">
        <v>664</v>
      </c>
      <c r="R100" s="3" t="s">
        <v>498</v>
      </c>
      <c r="S100" s="3" t="s">
        <v>1393</v>
      </c>
      <c r="T100" s="178" t="s">
        <v>1394</v>
      </c>
      <c r="U100" s="162">
        <v>3.306</v>
      </c>
      <c r="V100" s="153">
        <v>91.924999999999997</v>
      </c>
      <c r="W100" s="153">
        <v>303.904</v>
      </c>
      <c r="X100" s="164">
        <v>0</v>
      </c>
      <c r="Y100" s="164">
        <v>3.9209880912383704E-3</v>
      </c>
      <c r="Z100" s="164">
        <v>6.5821276566804603E-4</v>
      </c>
    </row>
    <row r="101" spans="1:26" hidden="1">
      <c r="A101" s="3">
        <v>1182</v>
      </c>
      <c r="B101" s="3">
        <v>1182</v>
      </c>
      <c r="C101" s="3" t="s">
        <v>1967</v>
      </c>
      <c r="D101" s="3" t="s">
        <v>1968</v>
      </c>
      <c r="E101" s="3" t="s">
        <v>651</v>
      </c>
      <c r="F101" s="3" t="s">
        <v>1971</v>
      </c>
      <c r="G101" s="3">
        <v>62021852</v>
      </c>
      <c r="H101" s="3" t="s">
        <v>33</v>
      </c>
      <c r="I101" s="3" t="s">
        <v>1607</v>
      </c>
      <c r="J101" s="3" t="s">
        <v>1613</v>
      </c>
      <c r="K101" s="3" t="s">
        <v>572</v>
      </c>
      <c r="L101" s="3" t="s">
        <v>1315</v>
      </c>
      <c r="M101" s="3" t="s">
        <v>1063</v>
      </c>
      <c r="N101" s="3" t="s">
        <v>1120</v>
      </c>
      <c r="O101" s="3" t="s">
        <v>141</v>
      </c>
      <c r="P101" s="180" t="s">
        <v>1847</v>
      </c>
      <c r="Q101" s="3" t="s">
        <v>576</v>
      </c>
      <c r="R101" s="3" t="s">
        <v>498</v>
      </c>
      <c r="S101" s="3" t="s">
        <v>1393</v>
      </c>
      <c r="T101" s="178" t="s">
        <v>1394</v>
      </c>
      <c r="U101" s="162">
        <v>3.8807</v>
      </c>
      <c r="V101" s="153">
        <v>111.31</v>
      </c>
      <c r="W101" s="153">
        <v>431.96199999999999</v>
      </c>
      <c r="X101" s="164">
        <v>0</v>
      </c>
      <c r="Y101" s="164">
        <v>5.5732062577829103E-3</v>
      </c>
      <c r="Z101" s="164">
        <v>9.3556915226824004E-4</v>
      </c>
    </row>
    <row r="102" spans="1:26" hidden="1">
      <c r="A102" s="3">
        <v>1182</v>
      </c>
      <c r="B102" s="3">
        <v>1182</v>
      </c>
      <c r="C102" s="3" t="s">
        <v>1972</v>
      </c>
      <c r="D102" s="3" t="s">
        <v>1973</v>
      </c>
      <c r="E102" s="3" t="s">
        <v>498</v>
      </c>
      <c r="F102" s="3" t="s">
        <v>1974</v>
      </c>
      <c r="G102" s="3">
        <v>62020995</v>
      </c>
      <c r="H102" s="3" t="s">
        <v>33</v>
      </c>
      <c r="I102" s="3" t="s">
        <v>1607</v>
      </c>
      <c r="J102" s="3" t="s">
        <v>1684</v>
      </c>
      <c r="K102" s="3" t="s">
        <v>572</v>
      </c>
      <c r="L102" s="3" t="s">
        <v>224</v>
      </c>
      <c r="M102" s="3" t="s">
        <v>30</v>
      </c>
      <c r="N102" s="3" t="s">
        <v>224</v>
      </c>
      <c r="O102" s="3" t="s">
        <v>141</v>
      </c>
      <c r="P102" s="180" t="s">
        <v>1975</v>
      </c>
      <c r="Q102" s="3" t="s">
        <v>664</v>
      </c>
      <c r="R102" s="3" t="s">
        <v>1482</v>
      </c>
      <c r="S102" s="3" t="s">
        <v>1393</v>
      </c>
      <c r="T102" s="178" t="s">
        <v>1394</v>
      </c>
      <c r="U102" s="162">
        <v>3.306</v>
      </c>
      <c r="V102" s="153">
        <v>104.47</v>
      </c>
      <c r="W102" s="153">
        <v>345.37700000000001</v>
      </c>
      <c r="X102" s="164">
        <v>5.5999999999999999E-5</v>
      </c>
      <c r="Y102" s="164">
        <v>4.4560712426657198E-3</v>
      </c>
      <c r="Z102" s="164">
        <v>7.4803669595499903E-4</v>
      </c>
    </row>
    <row r="103" spans="1:26" hidden="1">
      <c r="A103" s="3">
        <v>1182</v>
      </c>
      <c r="B103" s="3">
        <v>14769</v>
      </c>
      <c r="C103" s="3" t="s">
        <v>1652</v>
      </c>
      <c r="D103" s="3" t="s">
        <v>1653</v>
      </c>
      <c r="E103" s="3" t="s">
        <v>498</v>
      </c>
      <c r="F103" s="3" t="s">
        <v>1652</v>
      </c>
      <c r="G103" s="3">
        <v>50008440</v>
      </c>
      <c r="H103" s="3" t="s">
        <v>33</v>
      </c>
      <c r="I103" s="3" t="s">
        <v>1654</v>
      </c>
      <c r="J103" s="3" t="s">
        <v>1613</v>
      </c>
      <c r="K103" s="3" t="s">
        <v>30</v>
      </c>
      <c r="L103" s="3" t="s">
        <v>1619</v>
      </c>
      <c r="M103" s="3" t="s">
        <v>30</v>
      </c>
      <c r="N103" s="3" t="s">
        <v>30</v>
      </c>
      <c r="O103" s="3" t="s">
        <v>141</v>
      </c>
      <c r="P103" s="180" t="s">
        <v>1655</v>
      </c>
      <c r="Q103" s="3" t="s">
        <v>34</v>
      </c>
      <c r="R103" s="3" t="s">
        <v>498</v>
      </c>
      <c r="S103" s="3" t="s">
        <v>1393</v>
      </c>
      <c r="T103" s="178" t="s">
        <v>1394</v>
      </c>
      <c r="U103" s="162">
        <v>1</v>
      </c>
      <c r="V103" s="153">
        <v>105.34099999999999</v>
      </c>
      <c r="W103" s="153">
        <v>105.34099999999999</v>
      </c>
      <c r="X103" s="164">
        <v>0</v>
      </c>
      <c r="Y103" s="164">
        <v>0.41330811351985902</v>
      </c>
      <c r="Z103" s="164">
        <v>3.65540506941561E-3</v>
      </c>
    </row>
    <row r="104" spans="1:26" hidden="1">
      <c r="A104" s="3">
        <v>1182</v>
      </c>
      <c r="B104" s="3">
        <v>14769</v>
      </c>
      <c r="C104" s="3" t="s">
        <v>1720</v>
      </c>
      <c r="D104" s="3" t="s">
        <v>1721</v>
      </c>
      <c r="E104" s="3" t="s">
        <v>134</v>
      </c>
      <c r="F104" s="3" t="s">
        <v>1976</v>
      </c>
      <c r="G104" s="3">
        <v>50008432</v>
      </c>
      <c r="H104" s="3" t="s">
        <v>33</v>
      </c>
      <c r="I104" s="3" t="s">
        <v>1654</v>
      </c>
      <c r="J104" s="3" t="s">
        <v>1613</v>
      </c>
      <c r="K104" s="3" t="s">
        <v>30</v>
      </c>
      <c r="L104" s="3" t="s">
        <v>1619</v>
      </c>
      <c r="M104" s="3" t="s">
        <v>30</v>
      </c>
      <c r="N104" s="3" t="s">
        <v>30</v>
      </c>
      <c r="O104" s="3" t="s">
        <v>141</v>
      </c>
      <c r="P104" s="180" t="s">
        <v>1655</v>
      </c>
      <c r="Q104" s="3" t="s">
        <v>34</v>
      </c>
      <c r="R104" s="3" t="s">
        <v>498</v>
      </c>
      <c r="S104" s="3" t="s">
        <v>1393</v>
      </c>
      <c r="T104" s="178" t="s">
        <v>1394</v>
      </c>
      <c r="U104" s="162">
        <v>1</v>
      </c>
      <c r="V104" s="153">
        <v>149.53200000000001</v>
      </c>
      <c r="W104" s="153">
        <v>149.53200000000001</v>
      </c>
      <c r="X104" s="164">
        <v>1.3270000000000001E-3</v>
      </c>
      <c r="Y104" s="164">
        <v>0.58669188648014103</v>
      </c>
      <c r="Z104" s="164">
        <v>5.1888565113335696E-3</v>
      </c>
    </row>
    <row r="105" spans="1:26" hidden="1">
      <c r="A105" s="3">
        <v>12904</v>
      </c>
      <c r="B105" s="3">
        <v>12905</v>
      </c>
      <c r="C105" s="3" t="s">
        <v>1652</v>
      </c>
      <c r="D105" s="3" t="s">
        <v>1653</v>
      </c>
      <c r="E105" s="3" t="s">
        <v>498</v>
      </c>
      <c r="F105" s="3" t="s">
        <v>1652</v>
      </c>
      <c r="G105" s="3">
        <v>50008440</v>
      </c>
      <c r="H105" s="3" t="s">
        <v>33</v>
      </c>
      <c r="I105" s="3" t="s">
        <v>1654</v>
      </c>
      <c r="J105" s="3" t="s">
        <v>1613</v>
      </c>
      <c r="K105" s="3" t="s">
        <v>30</v>
      </c>
      <c r="L105" s="3" t="s">
        <v>1619</v>
      </c>
      <c r="M105" s="3" t="s">
        <v>30</v>
      </c>
      <c r="N105" s="3" t="s">
        <v>30</v>
      </c>
      <c r="O105" s="3" t="s">
        <v>141</v>
      </c>
      <c r="P105" s="180" t="s">
        <v>1655</v>
      </c>
      <c r="Q105" s="3" t="s">
        <v>34</v>
      </c>
      <c r="R105" s="3" t="s">
        <v>498</v>
      </c>
      <c r="S105" s="3" t="s">
        <v>1393</v>
      </c>
      <c r="T105" s="178" t="s">
        <v>1394</v>
      </c>
      <c r="U105" s="162">
        <v>1</v>
      </c>
      <c r="V105" s="153">
        <v>105.34099999999999</v>
      </c>
      <c r="W105" s="153">
        <v>105.34099999999999</v>
      </c>
      <c r="X105" s="164">
        <v>0</v>
      </c>
      <c r="Y105" s="164">
        <v>0.26048416648598799</v>
      </c>
      <c r="Z105" s="164">
        <v>2.1850306455305402E-3</v>
      </c>
    </row>
    <row r="106" spans="1:26" hidden="1">
      <c r="A106" s="3">
        <v>12904</v>
      </c>
      <c r="B106" s="3">
        <v>12905</v>
      </c>
      <c r="C106" s="3" t="s">
        <v>1720</v>
      </c>
      <c r="D106" s="3" t="s">
        <v>1721</v>
      </c>
      <c r="E106" s="3" t="s">
        <v>134</v>
      </c>
      <c r="F106" s="3" t="s">
        <v>1976</v>
      </c>
      <c r="G106" s="3">
        <v>50008432</v>
      </c>
      <c r="H106" s="3" t="s">
        <v>33</v>
      </c>
      <c r="I106" s="3" t="s">
        <v>1654</v>
      </c>
      <c r="J106" s="3" t="s">
        <v>1613</v>
      </c>
      <c r="K106" s="3" t="s">
        <v>30</v>
      </c>
      <c r="L106" s="3" t="s">
        <v>1619</v>
      </c>
      <c r="M106" s="3" t="s">
        <v>30</v>
      </c>
      <c r="N106" s="3" t="s">
        <v>30</v>
      </c>
      <c r="O106" s="3" t="s">
        <v>141</v>
      </c>
      <c r="P106" s="180" t="s">
        <v>1655</v>
      </c>
      <c r="Q106" s="3" t="s">
        <v>34</v>
      </c>
      <c r="R106" s="3" t="s">
        <v>498</v>
      </c>
      <c r="S106" s="3" t="s">
        <v>1393</v>
      </c>
      <c r="T106" s="178" t="s">
        <v>1394</v>
      </c>
      <c r="U106" s="162">
        <v>1</v>
      </c>
      <c r="V106" s="153">
        <v>299.06299999999999</v>
      </c>
      <c r="W106" s="153">
        <v>299.06299999999999</v>
      </c>
      <c r="X106" s="164">
        <v>2.6549999999999998E-3</v>
      </c>
      <c r="Y106" s="164">
        <v>0.73951583351401196</v>
      </c>
      <c r="Z106" s="164">
        <v>6.2033127805105901E-3</v>
      </c>
    </row>
    <row r="107" spans="1:26" hidden="1">
      <c r="A107" s="3">
        <v>12904</v>
      </c>
      <c r="B107" s="3">
        <v>13680</v>
      </c>
      <c r="C107" s="3" t="s">
        <v>1652</v>
      </c>
      <c r="D107" s="3" t="s">
        <v>1653</v>
      </c>
      <c r="E107" s="3" t="s">
        <v>498</v>
      </c>
      <c r="F107" s="3" t="s">
        <v>1652</v>
      </c>
      <c r="G107" s="3">
        <v>50008440</v>
      </c>
      <c r="H107" s="3" t="s">
        <v>33</v>
      </c>
      <c r="I107" s="3" t="s">
        <v>1654</v>
      </c>
      <c r="J107" s="3" t="s">
        <v>1613</v>
      </c>
      <c r="K107" s="3" t="s">
        <v>30</v>
      </c>
      <c r="L107" s="3" t="s">
        <v>1619</v>
      </c>
      <c r="M107" s="3" t="s">
        <v>30</v>
      </c>
      <c r="N107" s="3" t="s">
        <v>30</v>
      </c>
      <c r="O107" s="3" t="s">
        <v>141</v>
      </c>
      <c r="P107" s="180" t="s">
        <v>1655</v>
      </c>
      <c r="Q107" s="3" t="s">
        <v>34</v>
      </c>
      <c r="R107" s="3" t="s">
        <v>498</v>
      </c>
      <c r="S107" s="3" t="s">
        <v>1393</v>
      </c>
      <c r="T107" s="178" t="s">
        <v>1394</v>
      </c>
      <c r="U107" s="162">
        <v>1</v>
      </c>
      <c r="V107" s="153">
        <v>210.66499999999999</v>
      </c>
      <c r="W107" s="153">
        <v>210.66499999999999</v>
      </c>
      <c r="X107" s="164">
        <v>9.9999999999999995E-7</v>
      </c>
      <c r="Y107" s="164">
        <v>0.41328909152591797</v>
      </c>
      <c r="Z107" s="164">
        <v>3.9328375577939896E-3</v>
      </c>
    </row>
    <row r="108" spans="1:26" hidden="1">
      <c r="A108" s="3">
        <v>12904</v>
      </c>
      <c r="B108" s="3">
        <v>13680</v>
      </c>
      <c r="C108" s="3" t="s">
        <v>1720</v>
      </c>
      <c r="D108" s="3" t="s">
        <v>1721</v>
      </c>
      <c r="E108" s="3" t="s">
        <v>134</v>
      </c>
      <c r="F108" s="3" t="s">
        <v>1976</v>
      </c>
      <c r="G108" s="3">
        <v>50008432</v>
      </c>
      <c r="H108" s="3" t="s">
        <v>33</v>
      </c>
      <c r="I108" s="3" t="s">
        <v>1654</v>
      </c>
      <c r="J108" s="3" t="s">
        <v>1613</v>
      </c>
      <c r="K108" s="3" t="s">
        <v>30</v>
      </c>
      <c r="L108" s="3" t="s">
        <v>1619</v>
      </c>
      <c r="M108" s="3" t="s">
        <v>30</v>
      </c>
      <c r="N108" s="3" t="s">
        <v>30</v>
      </c>
      <c r="O108" s="3" t="s">
        <v>141</v>
      </c>
      <c r="P108" s="180" t="s">
        <v>1655</v>
      </c>
      <c r="Q108" s="3" t="s">
        <v>34</v>
      </c>
      <c r="R108" s="3" t="s">
        <v>498</v>
      </c>
      <c r="S108" s="3" t="s">
        <v>1393</v>
      </c>
      <c r="T108" s="178" t="s">
        <v>1394</v>
      </c>
      <c r="U108" s="162">
        <v>1</v>
      </c>
      <c r="V108" s="153">
        <v>299.06299999999999</v>
      </c>
      <c r="W108" s="153">
        <v>299.06299999999999</v>
      </c>
      <c r="X108" s="164">
        <v>2.6549999999999998E-3</v>
      </c>
      <c r="Y108" s="164">
        <v>0.58671090847408203</v>
      </c>
      <c r="Z108" s="164">
        <v>5.5831105725411998E-3</v>
      </c>
    </row>
    <row r="109" spans="1:26" hidden="1">
      <c r="A109" s="3">
        <v>424</v>
      </c>
      <c r="B109" s="3">
        <v>7228</v>
      </c>
      <c r="C109" s="3" t="s">
        <v>1977</v>
      </c>
      <c r="D109" s="3" t="s">
        <v>1978</v>
      </c>
      <c r="E109" s="3" t="s">
        <v>134</v>
      </c>
      <c r="F109" s="3" t="s">
        <v>1979</v>
      </c>
      <c r="G109" s="3">
        <v>9840847</v>
      </c>
      <c r="H109" s="3" t="s">
        <v>33</v>
      </c>
      <c r="I109" s="3" t="s">
        <v>1607</v>
      </c>
      <c r="J109" s="3" t="s">
        <v>1684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141</v>
      </c>
      <c r="P109" s="180" t="s">
        <v>1367</v>
      </c>
      <c r="Q109" s="3" t="s">
        <v>664</v>
      </c>
      <c r="R109" s="3" t="s">
        <v>1482</v>
      </c>
      <c r="S109" s="3" t="s">
        <v>1393</v>
      </c>
      <c r="T109" s="178" t="s">
        <v>1394</v>
      </c>
      <c r="U109" s="162">
        <v>3.306</v>
      </c>
      <c r="V109" s="153">
        <v>14.643000000000001</v>
      </c>
      <c r="W109" s="153">
        <v>48.408999999999999</v>
      </c>
      <c r="X109" s="164">
        <v>6.3160000000000004E-3</v>
      </c>
      <c r="Y109" s="164">
        <v>1.05790452685403E-4</v>
      </c>
      <c r="Z109" s="164">
        <v>1.89434758302051E-5</v>
      </c>
    </row>
    <row r="110" spans="1:26" hidden="1">
      <c r="A110" s="3">
        <v>424</v>
      </c>
      <c r="B110" s="3">
        <v>7228</v>
      </c>
      <c r="C110" s="3" t="s">
        <v>1980</v>
      </c>
      <c r="D110" s="3" t="s">
        <v>1981</v>
      </c>
      <c r="E110" s="3" t="s">
        <v>134</v>
      </c>
      <c r="F110" s="3" t="s">
        <v>1982</v>
      </c>
      <c r="G110" s="3">
        <v>9840848</v>
      </c>
      <c r="H110" s="3" t="s">
        <v>33</v>
      </c>
      <c r="I110" s="3" t="s">
        <v>1607</v>
      </c>
      <c r="J110" s="3" t="s">
        <v>1641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141</v>
      </c>
      <c r="P110" s="180" t="s">
        <v>1367</v>
      </c>
      <c r="Q110" s="3" t="s">
        <v>664</v>
      </c>
      <c r="R110" s="3" t="s">
        <v>1482</v>
      </c>
      <c r="S110" s="3" t="s">
        <v>1393</v>
      </c>
      <c r="T110" s="178" t="s">
        <v>1394</v>
      </c>
      <c r="U110" s="162">
        <v>3.306</v>
      </c>
      <c r="V110" s="153">
        <v>0.93200000000000005</v>
      </c>
      <c r="W110" s="153">
        <v>3.081</v>
      </c>
      <c r="X110" s="164">
        <v>8.0649999999999993E-3</v>
      </c>
      <c r="Y110" s="164">
        <v>6.7334227899700003E-6</v>
      </c>
      <c r="Z110" s="164">
        <v>1.20572725268193E-6</v>
      </c>
    </row>
    <row r="111" spans="1:26" hidden="1">
      <c r="A111" s="3">
        <v>424</v>
      </c>
      <c r="B111" s="3">
        <v>7228</v>
      </c>
      <c r="C111" s="3" t="s">
        <v>1604</v>
      </c>
      <c r="D111" s="3" t="s">
        <v>1605</v>
      </c>
      <c r="E111" s="3" t="s">
        <v>498</v>
      </c>
      <c r="F111" s="3" t="s">
        <v>1606</v>
      </c>
      <c r="G111" s="3">
        <v>50007566</v>
      </c>
      <c r="H111" s="3" t="s">
        <v>33</v>
      </c>
      <c r="I111" s="3" t="s">
        <v>1607</v>
      </c>
      <c r="J111" s="3" t="s">
        <v>1608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141</v>
      </c>
      <c r="P111" s="180" t="s">
        <v>1609</v>
      </c>
      <c r="Q111" s="3" t="s">
        <v>34</v>
      </c>
      <c r="R111" s="3" t="s">
        <v>1482</v>
      </c>
      <c r="S111" s="3" t="s">
        <v>1393</v>
      </c>
      <c r="T111" s="178" t="s">
        <v>1394</v>
      </c>
      <c r="U111" s="162">
        <v>1</v>
      </c>
      <c r="V111" s="153">
        <v>2213</v>
      </c>
      <c r="W111" s="153">
        <v>2213</v>
      </c>
      <c r="X111" s="164">
        <v>1.1720000000000001E-3</v>
      </c>
      <c r="Y111" s="164">
        <v>4.83613537457484E-3</v>
      </c>
      <c r="Z111" s="164">
        <v>8.65987537195774E-4</v>
      </c>
    </row>
    <row r="112" spans="1:26" hidden="1">
      <c r="A112" s="3">
        <v>424</v>
      </c>
      <c r="B112" s="3">
        <v>7228</v>
      </c>
      <c r="C112" s="3" t="s">
        <v>1610</v>
      </c>
      <c r="D112" s="3" t="s">
        <v>1611</v>
      </c>
      <c r="E112" s="3" t="s">
        <v>366</v>
      </c>
      <c r="F112" s="3" t="s">
        <v>1612</v>
      </c>
      <c r="G112" s="3">
        <v>62018312</v>
      </c>
      <c r="H112" s="3" t="s">
        <v>33</v>
      </c>
      <c r="I112" s="3" t="s">
        <v>1607</v>
      </c>
      <c r="J112" s="3" t="s">
        <v>1613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141</v>
      </c>
      <c r="P112" s="180" t="s">
        <v>1614</v>
      </c>
      <c r="Q112" s="3" t="s">
        <v>664</v>
      </c>
      <c r="R112" s="3" t="s">
        <v>1482</v>
      </c>
      <c r="S112" s="3" t="s">
        <v>1393</v>
      </c>
      <c r="T112" s="178" t="s">
        <v>1394</v>
      </c>
      <c r="U112" s="162">
        <v>3.306</v>
      </c>
      <c r="V112" s="153">
        <v>1706.7470000000001</v>
      </c>
      <c r="W112" s="153">
        <v>5642.5069999999996</v>
      </c>
      <c r="X112" s="164">
        <v>9.2800000000000001E-4</v>
      </c>
      <c r="Y112" s="164">
        <v>1.2330742606458099E-2</v>
      </c>
      <c r="Z112" s="164">
        <v>2.2080170620741601E-3</v>
      </c>
    </row>
    <row r="113" spans="1:26" hidden="1">
      <c r="A113" s="3">
        <v>424</v>
      </c>
      <c r="B113" s="3">
        <v>7228</v>
      </c>
      <c r="C113" s="3" t="s">
        <v>1610</v>
      </c>
      <c r="D113" s="3" t="s">
        <v>1611</v>
      </c>
      <c r="E113" s="3" t="s">
        <v>366</v>
      </c>
      <c r="F113" s="3" t="s">
        <v>1983</v>
      </c>
      <c r="G113" s="3">
        <v>60305448</v>
      </c>
      <c r="H113" s="3" t="s">
        <v>33</v>
      </c>
      <c r="I113" s="3" t="s">
        <v>1607</v>
      </c>
      <c r="J113" s="3" t="s">
        <v>1613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141</v>
      </c>
      <c r="P113" s="180" t="s">
        <v>1367</v>
      </c>
      <c r="Q113" s="3" t="s">
        <v>664</v>
      </c>
      <c r="R113" s="3" t="s">
        <v>498</v>
      </c>
      <c r="S113" s="3" t="s">
        <v>1393</v>
      </c>
      <c r="T113" s="178" t="s">
        <v>1394</v>
      </c>
      <c r="U113" s="162">
        <v>3.306</v>
      </c>
      <c r="V113" s="153">
        <v>832.88499999999999</v>
      </c>
      <c r="W113" s="153">
        <v>2753.5189999999998</v>
      </c>
      <c r="X113" s="164">
        <v>3.2325E-2</v>
      </c>
      <c r="Y113" s="164">
        <v>6.0173498868302498E-3</v>
      </c>
      <c r="Z113" s="164">
        <v>1.07750292440883E-3</v>
      </c>
    </row>
    <row r="114" spans="1:26" hidden="1">
      <c r="A114" s="3">
        <v>424</v>
      </c>
      <c r="B114" s="3">
        <v>7228</v>
      </c>
      <c r="C114" s="3" t="s">
        <v>1615</v>
      </c>
      <c r="D114" s="3" t="s">
        <v>1616</v>
      </c>
      <c r="E114" s="3" t="s">
        <v>33</v>
      </c>
      <c r="F114" s="3" t="s">
        <v>1617</v>
      </c>
      <c r="G114" s="3">
        <v>60390093</v>
      </c>
      <c r="H114" s="3" t="s">
        <v>33</v>
      </c>
      <c r="I114" s="3" t="s">
        <v>1607</v>
      </c>
      <c r="J114" s="3" t="s">
        <v>1618</v>
      </c>
      <c r="K114" s="3" t="s">
        <v>572</v>
      </c>
      <c r="L114" s="3" t="s">
        <v>1619</v>
      </c>
      <c r="M114" s="3" t="s">
        <v>30</v>
      </c>
      <c r="N114" s="3" t="s">
        <v>30</v>
      </c>
      <c r="O114" s="3" t="s">
        <v>141</v>
      </c>
      <c r="P114" s="180" t="s">
        <v>1620</v>
      </c>
      <c r="Q114" s="3" t="s">
        <v>664</v>
      </c>
      <c r="R114" s="3" t="s">
        <v>1482</v>
      </c>
      <c r="S114" s="3" t="s">
        <v>1393</v>
      </c>
      <c r="T114" s="178" t="s">
        <v>1394</v>
      </c>
      <c r="U114" s="162">
        <v>3.306</v>
      </c>
      <c r="V114" s="153">
        <v>290.346</v>
      </c>
      <c r="W114" s="153">
        <v>959.88499999999999</v>
      </c>
      <c r="X114" s="164">
        <v>1.5006E-2</v>
      </c>
      <c r="Y114" s="164">
        <v>2.09766565815823E-3</v>
      </c>
      <c r="Z114" s="164">
        <v>3.7562065088558302E-4</v>
      </c>
    </row>
    <row r="115" spans="1:26" hidden="1">
      <c r="A115" s="3">
        <v>424</v>
      </c>
      <c r="B115" s="3">
        <v>7228</v>
      </c>
      <c r="C115" s="3" t="s">
        <v>1615</v>
      </c>
      <c r="D115" s="3" t="s">
        <v>1616</v>
      </c>
      <c r="E115" s="3" t="s">
        <v>33</v>
      </c>
      <c r="F115" s="3" t="s">
        <v>1621</v>
      </c>
      <c r="G115" s="3">
        <v>62019724</v>
      </c>
      <c r="H115" s="3" t="s">
        <v>33</v>
      </c>
      <c r="I115" s="3" t="s">
        <v>1607</v>
      </c>
      <c r="J115" s="3" t="s">
        <v>1618</v>
      </c>
      <c r="K115" s="3" t="s">
        <v>572</v>
      </c>
      <c r="L115" s="3" t="s">
        <v>1619</v>
      </c>
      <c r="M115" s="3" t="s">
        <v>30</v>
      </c>
      <c r="N115" s="3" t="s">
        <v>30</v>
      </c>
      <c r="O115" s="3" t="s">
        <v>141</v>
      </c>
      <c r="P115" s="180" t="s">
        <v>1622</v>
      </c>
      <c r="Q115" s="3" t="s">
        <v>664</v>
      </c>
      <c r="R115" s="3" t="s">
        <v>1482</v>
      </c>
      <c r="S115" s="3" t="s">
        <v>1393</v>
      </c>
      <c r="T115" s="178" t="s">
        <v>1394</v>
      </c>
      <c r="U115" s="162">
        <v>3.306</v>
      </c>
      <c r="V115" s="153">
        <v>495.88799999999998</v>
      </c>
      <c r="W115" s="153">
        <v>1639.405</v>
      </c>
      <c r="X115" s="164">
        <v>0</v>
      </c>
      <c r="Y115" s="164">
        <v>3.5826409210763101E-3</v>
      </c>
      <c r="Z115" s="164">
        <v>6.4152926822740801E-4</v>
      </c>
    </row>
    <row r="116" spans="1:26" hidden="1">
      <c r="A116" s="3">
        <v>424</v>
      </c>
      <c r="B116" s="3">
        <v>7228</v>
      </c>
      <c r="C116" s="3" t="s">
        <v>1615</v>
      </c>
      <c r="D116" s="3" t="s">
        <v>1616</v>
      </c>
      <c r="E116" s="3" t="s">
        <v>33</v>
      </c>
      <c r="F116" s="3" t="s">
        <v>1623</v>
      </c>
      <c r="G116" s="3">
        <v>62000563</v>
      </c>
      <c r="H116" s="3" t="s">
        <v>33</v>
      </c>
      <c r="I116" s="3" t="s">
        <v>1607</v>
      </c>
      <c r="J116" s="3" t="s">
        <v>1618</v>
      </c>
      <c r="K116" s="3" t="s">
        <v>572</v>
      </c>
      <c r="L116" s="3" t="s">
        <v>1619</v>
      </c>
      <c r="M116" s="3" t="s">
        <v>30</v>
      </c>
      <c r="N116" s="3" t="s">
        <v>30</v>
      </c>
      <c r="O116" s="3" t="s">
        <v>141</v>
      </c>
      <c r="P116" s="180" t="s">
        <v>1624</v>
      </c>
      <c r="Q116" s="3" t="s">
        <v>664</v>
      </c>
      <c r="R116" s="3" t="s">
        <v>1482</v>
      </c>
      <c r="S116" s="3" t="s">
        <v>1393</v>
      </c>
      <c r="T116" s="178" t="s">
        <v>1394</v>
      </c>
      <c r="U116" s="162">
        <v>3.306</v>
      </c>
      <c r="V116" s="153">
        <v>570.66399999999999</v>
      </c>
      <c r="W116" s="153">
        <v>1886.616</v>
      </c>
      <c r="X116" s="164">
        <v>1.1166000000000001E-2</v>
      </c>
      <c r="Y116" s="164">
        <v>4.1228803716369397E-3</v>
      </c>
      <c r="Z116" s="164">
        <v>7.3826779911026702E-4</v>
      </c>
    </row>
    <row r="117" spans="1:26" hidden="1">
      <c r="A117" s="3">
        <v>424</v>
      </c>
      <c r="B117" s="3">
        <v>7228</v>
      </c>
      <c r="C117" s="3" t="s">
        <v>1625</v>
      </c>
      <c r="D117" s="3" t="s">
        <v>1626</v>
      </c>
      <c r="E117" s="3" t="s">
        <v>492</v>
      </c>
      <c r="F117" s="3" t="s">
        <v>1627</v>
      </c>
      <c r="G117" s="3">
        <v>60415775</v>
      </c>
      <c r="H117" s="3" t="s">
        <v>33</v>
      </c>
      <c r="I117" s="3" t="s">
        <v>1607</v>
      </c>
      <c r="J117" s="3" t="s">
        <v>1628</v>
      </c>
      <c r="K117" s="3" t="s">
        <v>572</v>
      </c>
      <c r="L117" s="3" t="s">
        <v>1619</v>
      </c>
      <c r="M117" s="3" t="s">
        <v>30</v>
      </c>
      <c r="N117" s="3" t="s">
        <v>30</v>
      </c>
      <c r="O117" s="3" t="s">
        <v>141</v>
      </c>
      <c r="P117" s="180" t="s">
        <v>1629</v>
      </c>
      <c r="Q117" s="3" t="s">
        <v>664</v>
      </c>
      <c r="R117" s="3" t="s">
        <v>1482</v>
      </c>
      <c r="S117" s="3" t="s">
        <v>1393</v>
      </c>
      <c r="T117" s="178" t="s">
        <v>1394</v>
      </c>
      <c r="U117" s="162">
        <v>3.306</v>
      </c>
      <c r="V117" s="153">
        <v>1210.105</v>
      </c>
      <c r="W117" s="153">
        <v>4000.607</v>
      </c>
      <c r="X117" s="164">
        <v>5.0000000000000001E-3</v>
      </c>
      <c r="Y117" s="164">
        <v>8.7426486966272997E-3</v>
      </c>
      <c r="Z117" s="164">
        <v>1.5655113488269E-3</v>
      </c>
    </row>
    <row r="118" spans="1:26" hidden="1">
      <c r="A118" s="3">
        <v>424</v>
      </c>
      <c r="B118" s="3">
        <v>7228</v>
      </c>
      <c r="C118" s="3" t="s">
        <v>1984</v>
      </c>
      <c r="D118" s="3" t="s">
        <v>1985</v>
      </c>
      <c r="E118" s="3" t="s">
        <v>33</v>
      </c>
      <c r="F118" s="3" t="s">
        <v>1986</v>
      </c>
      <c r="G118" s="3">
        <v>60283439</v>
      </c>
      <c r="H118" s="3" t="s">
        <v>33</v>
      </c>
      <c r="I118" s="3" t="s">
        <v>1607</v>
      </c>
      <c r="J118" s="3" t="s">
        <v>1628</v>
      </c>
      <c r="K118" s="3" t="s">
        <v>572</v>
      </c>
      <c r="L118" s="3" t="s">
        <v>1315</v>
      </c>
      <c r="M118" s="3" t="s">
        <v>1315</v>
      </c>
      <c r="N118" s="3" t="s">
        <v>1120</v>
      </c>
      <c r="O118" s="3" t="s">
        <v>141</v>
      </c>
      <c r="P118" s="180" t="s">
        <v>1367</v>
      </c>
      <c r="Q118" s="3" t="s">
        <v>664</v>
      </c>
      <c r="R118" s="3" t="s">
        <v>1482</v>
      </c>
      <c r="S118" s="3" t="s">
        <v>1393</v>
      </c>
      <c r="T118" s="178" t="s">
        <v>1394</v>
      </c>
      <c r="U118" s="162">
        <v>3.306</v>
      </c>
      <c r="V118" s="153">
        <v>18.027000000000001</v>
      </c>
      <c r="W118" s="153">
        <v>59.597000000000001</v>
      </c>
      <c r="X118" s="164">
        <v>1.277E-2</v>
      </c>
      <c r="Y118" s="164">
        <v>1.30239062904225E-4</v>
      </c>
      <c r="Z118" s="164">
        <v>2.33213912753696E-5</v>
      </c>
    </row>
    <row r="119" spans="1:26" hidden="1">
      <c r="A119" s="3">
        <v>424</v>
      </c>
      <c r="B119" s="3">
        <v>7228</v>
      </c>
      <c r="C119" s="3" t="s">
        <v>1630</v>
      </c>
      <c r="D119" s="3" t="s">
        <v>1631</v>
      </c>
      <c r="E119" s="3" t="s">
        <v>33</v>
      </c>
      <c r="F119" s="3" t="s">
        <v>1632</v>
      </c>
      <c r="G119" s="3">
        <v>62017538</v>
      </c>
      <c r="H119" s="3" t="s">
        <v>33</v>
      </c>
      <c r="I119" s="3" t="s">
        <v>1607</v>
      </c>
      <c r="J119" s="3" t="s">
        <v>1628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141</v>
      </c>
      <c r="P119" s="180" t="s">
        <v>1633</v>
      </c>
      <c r="Q119" s="3" t="s">
        <v>664</v>
      </c>
      <c r="R119" s="3" t="s">
        <v>498</v>
      </c>
      <c r="S119" s="3" t="s">
        <v>1393</v>
      </c>
      <c r="T119" s="178" t="s">
        <v>1394</v>
      </c>
      <c r="U119" s="162">
        <v>3.306</v>
      </c>
      <c r="V119" s="153">
        <v>3951.7159999999999</v>
      </c>
      <c r="W119" s="153">
        <v>13064.371999999999</v>
      </c>
      <c r="X119" s="164">
        <v>1.3187000000000001E-2</v>
      </c>
      <c r="Y119" s="164">
        <v>2.8549970204568599E-2</v>
      </c>
      <c r="Z119" s="164">
        <v>5.1123296743198999E-3</v>
      </c>
    </row>
    <row r="120" spans="1:26" hidden="1">
      <c r="A120" s="3">
        <v>424</v>
      </c>
      <c r="B120" s="3">
        <v>7228</v>
      </c>
      <c r="C120" s="3" t="s">
        <v>1634</v>
      </c>
      <c r="D120" s="3" t="s">
        <v>1635</v>
      </c>
      <c r="E120" s="3" t="s">
        <v>33</v>
      </c>
      <c r="F120" s="3" t="s">
        <v>1636</v>
      </c>
      <c r="G120" s="3">
        <v>62001189</v>
      </c>
      <c r="H120" s="3" t="s">
        <v>33</v>
      </c>
      <c r="I120" s="3" t="s">
        <v>1607</v>
      </c>
      <c r="J120" s="3" t="s">
        <v>1637</v>
      </c>
      <c r="K120" s="3" t="s">
        <v>30</v>
      </c>
      <c r="L120" s="3" t="s">
        <v>1619</v>
      </c>
      <c r="M120" s="3" t="s">
        <v>30</v>
      </c>
      <c r="N120" s="3" t="s">
        <v>30</v>
      </c>
      <c r="O120" s="3" t="s">
        <v>141</v>
      </c>
      <c r="P120" s="180" t="s">
        <v>1638</v>
      </c>
      <c r="Q120" s="3" t="s">
        <v>664</v>
      </c>
      <c r="R120" s="3" t="s">
        <v>1482</v>
      </c>
      <c r="S120" s="3" t="s">
        <v>1393</v>
      </c>
      <c r="T120" s="178" t="s">
        <v>1394</v>
      </c>
      <c r="U120" s="162">
        <v>3.306</v>
      </c>
      <c r="V120" s="153">
        <v>580.77200000000005</v>
      </c>
      <c r="W120" s="153">
        <v>1920.0329999999999</v>
      </c>
      <c r="X120" s="164">
        <v>6.8989999999999998E-3</v>
      </c>
      <c r="Y120" s="164">
        <v>4.1959071084940102E-3</v>
      </c>
      <c r="Z120" s="164">
        <v>7.51344406587546E-4</v>
      </c>
    </row>
    <row r="121" spans="1:26" hidden="1">
      <c r="A121" s="3">
        <v>424</v>
      </c>
      <c r="B121" s="3">
        <v>7228</v>
      </c>
      <c r="C121" s="3" t="s">
        <v>1987</v>
      </c>
      <c r="D121" s="3" t="s">
        <v>1988</v>
      </c>
      <c r="E121" s="3" t="s">
        <v>33</v>
      </c>
      <c r="F121" s="3" t="s">
        <v>1989</v>
      </c>
      <c r="G121" s="3">
        <v>9840793</v>
      </c>
      <c r="H121" s="3" t="s">
        <v>33</v>
      </c>
      <c r="I121" s="3" t="s">
        <v>1607</v>
      </c>
      <c r="J121" s="3" t="s">
        <v>1944</v>
      </c>
      <c r="K121" s="3" t="s">
        <v>572</v>
      </c>
      <c r="L121" s="3" t="s">
        <v>1619</v>
      </c>
      <c r="M121" s="3" t="s">
        <v>30</v>
      </c>
      <c r="N121" s="3" t="s">
        <v>30</v>
      </c>
      <c r="O121" s="3" t="s">
        <v>141</v>
      </c>
      <c r="P121" s="180" t="s">
        <v>1367</v>
      </c>
      <c r="Q121" s="3" t="s">
        <v>664</v>
      </c>
      <c r="R121" s="3" t="s">
        <v>1482</v>
      </c>
      <c r="S121" s="3" t="s">
        <v>1393</v>
      </c>
      <c r="T121" s="178" t="s">
        <v>1394</v>
      </c>
      <c r="U121" s="162">
        <v>3.306</v>
      </c>
      <c r="V121" s="153">
        <v>28.468</v>
      </c>
      <c r="W121" s="153">
        <v>94.114999999999995</v>
      </c>
      <c r="X121" s="164">
        <v>1.8182E-2</v>
      </c>
      <c r="Y121" s="164">
        <v>2.05672832601788E-4</v>
      </c>
      <c r="Z121" s="164">
        <v>3.6829016555095703E-5</v>
      </c>
    </row>
    <row r="122" spans="1:26" hidden="1">
      <c r="A122" s="3">
        <v>424</v>
      </c>
      <c r="B122" s="3">
        <v>7228</v>
      </c>
      <c r="C122" s="3" t="s">
        <v>1990</v>
      </c>
      <c r="D122" s="3" t="s">
        <v>1991</v>
      </c>
      <c r="E122" s="3" t="s">
        <v>33</v>
      </c>
      <c r="F122" s="3" t="s">
        <v>1992</v>
      </c>
      <c r="G122" s="3">
        <v>60345527</v>
      </c>
      <c r="H122" s="3" t="s">
        <v>33</v>
      </c>
      <c r="I122" s="3" t="s">
        <v>1607</v>
      </c>
      <c r="J122" s="3" t="s">
        <v>1944</v>
      </c>
      <c r="K122" s="3" t="s">
        <v>572</v>
      </c>
      <c r="L122" s="3" t="s">
        <v>1619</v>
      </c>
      <c r="M122" s="3" t="s">
        <v>30</v>
      </c>
      <c r="N122" s="3" t="s">
        <v>224</v>
      </c>
      <c r="O122" s="3" t="s">
        <v>141</v>
      </c>
      <c r="P122" s="180" t="s">
        <v>1367</v>
      </c>
      <c r="Q122" s="3" t="s">
        <v>664</v>
      </c>
      <c r="R122" s="3" t="s">
        <v>1482</v>
      </c>
      <c r="S122" s="3" t="s">
        <v>1393</v>
      </c>
      <c r="T122" s="178" t="s">
        <v>1394</v>
      </c>
      <c r="U122" s="162">
        <v>3.306</v>
      </c>
      <c r="V122" s="153">
        <v>1147.817</v>
      </c>
      <c r="W122" s="153">
        <v>3794.6840000000002</v>
      </c>
      <c r="X122" s="164">
        <v>3.63E-3</v>
      </c>
      <c r="Y122" s="164">
        <v>8.2926375792517597E-3</v>
      </c>
      <c r="Z122" s="164">
        <v>1.4849296468969701E-3</v>
      </c>
    </row>
    <row r="123" spans="1:26" hidden="1">
      <c r="A123" s="3">
        <v>424</v>
      </c>
      <c r="B123" s="3">
        <v>7228</v>
      </c>
      <c r="C123" s="3" t="s">
        <v>1639</v>
      </c>
      <c r="D123" s="3" t="s">
        <v>1640</v>
      </c>
      <c r="E123" s="3" t="s">
        <v>33</v>
      </c>
      <c r="F123" s="3" t="s">
        <v>1639</v>
      </c>
      <c r="G123" s="3">
        <v>60401809</v>
      </c>
      <c r="H123" s="3" t="s">
        <v>33</v>
      </c>
      <c r="I123" s="3" t="s">
        <v>1607</v>
      </c>
      <c r="J123" s="3" t="s">
        <v>1641</v>
      </c>
      <c r="K123" s="3" t="s">
        <v>572</v>
      </c>
      <c r="L123" s="3" t="s">
        <v>1619</v>
      </c>
      <c r="M123" s="3" t="s">
        <v>30</v>
      </c>
      <c r="N123" s="3" t="s">
        <v>224</v>
      </c>
      <c r="O123" s="3" t="s">
        <v>141</v>
      </c>
      <c r="P123" s="180" t="s">
        <v>1642</v>
      </c>
      <c r="Q123" s="3" t="s">
        <v>664</v>
      </c>
      <c r="R123" s="3" t="s">
        <v>1482</v>
      </c>
      <c r="S123" s="3" t="s">
        <v>1393</v>
      </c>
      <c r="T123" s="178" t="s">
        <v>1394</v>
      </c>
      <c r="U123" s="162">
        <v>3.306</v>
      </c>
      <c r="V123" s="153">
        <v>862.18</v>
      </c>
      <c r="W123" s="153">
        <v>2850.3670000000002</v>
      </c>
      <c r="X123" s="164">
        <v>7.92E-3</v>
      </c>
      <c r="Y123" s="164">
        <v>6.2289934211535699E-3</v>
      </c>
      <c r="Z123" s="164">
        <v>1.11540109078681E-3</v>
      </c>
    </row>
    <row r="124" spans="1:26" hidden="1">
      <c r="A124" s="3">
        <v>424</v>
      </c>
      <c r="B124" s="3">
        <v>7228</v>
      </c>
      <c r="C124" s="3" t="s">
        <v>1993</v>
      </c>
      <c r="D124" s="3" t="s">
        <v>1994</v>
      </c>
      <c r="E124" s="3" t="s">
        <v>33</v>
      </c>
      <c r="F124" s="3" t="s">
        <v>1993</v>
      </c>
      <c r="G124" s="3">
        <v>62011408</v>
      </c>
      <c r="H124" s="3" t="s">
        <v>33</v>
      </c>
      <c r="I124" s="3" t="s">
        <v>1607</v>
      </c>
      <c r="J124" s="3" t="s">
        <v>1944</v>
      </c>
      <c r="K124" s="3" t="s">
        <v>572</v>
      </c>
      <c r="L124" s="3" t="s">
        <v>224</v>
      </c>
      <c r="M124" s="3" t="s">
        <v>30</v>
      </c>
      <c r="N124" s="3" t="s">
        <v>30</v>
      </c>
      <c r="O124" s="3" t="s">
        <v>141</v>
      </c>
      <c r="P124" s="180" t="s">
        <v>1995</v>
      </c>
      <c r="Q124" s="3" t="s">
        <v>664</v>
      </c>
      <c r="R124" s="3" t="s">
        <v>1482</v>
      </c>
      <c r="S124" s="3" t="s">
        <v>1393</v>
      </c>
      <c r="T124" s="178" t="s">
        <v>1394</v>
      </c>
      <c r="U124" s="162">
        <v>3.306</v>
      </c>
      <c r="V124" s="153">
        <v>1459.865</v>
      </c>
      <c r="W124" s="153">
        <v>4826.3140000000003</v>
      </c>
      <c r="X124" s="164">
        <v>0</v>
      </c>
      <c r="Y124" s="164">
        <v>1.05470904090982E-2</v>
      </c>
      <c r="Z124" s="164">
        <v>1.88862555336535E-3</v>
      </c>
    </row>
    <row r="125" spans="1:26" hidden="1">
      <c r="A125" s="3">
        <v>424</v>
      </c>
      <c r="B125" s="3">
        <v>7228</v>
      </c>
      <c r="C125" s="3" t="s">
        <v>1643</v>
      </c>
      <c r="D125" s="3" t="s">
        <v>1644</v>
      </c>
      <c r="E125" s="3" t="s">
        <v>492</v>
      </c>
      <c r="F125" s="3" t="s">
        <v>1645</v>
      </c>
      <c r="G125" s="3">
        <v>50000983</v>
      </c>
      <c r="H125" s="3" t="s">
        <v>33</v>
      </c>
      <c r="I125" s="3" t="s">
        <v>1607</v>
      </c>
      <c r="J125" s="3" t="s">
        <v>1646</v>
      </c>
      <c r="K125" s="3" t="s">
        <v>572</v>
      </c>
      <c r="L125" s="3" t="s">
        <v>1619</v>
      </c>
      <c r="M125" s="3" t="s">
        <v>30</v>
      </c>
      <c r="N125" s="3" t="s">
        <v>797</v>
      </c>
      <c r="O125" s="3" t="s">
        <v>141</v>
      </c>
      <c r="P125" s="180" t="s">
        <v>1647</v>
      </c>
      <c r="Q125" s="3" t="s">
        <v>34</v>
      </c>
      <c r="R125" s="3" t="s">
        <v>1482</v>
      </c>
      <c r="S125" s="3" t="s">
        <v>1393</v>
      </c>
      <c r="T125" s="178" t="s">
        <v>1394</v>
      </c>
      <c r="U125" s="162">
        <v>1</v>
      </c>
      <c r="V125" s="153">
        <v>1603.232</v>
      </c>
      <c r="W125" s="153">
        <v>1603.232</v>
      </c>
      <c r="X125" s="164">
        <v>1.8259999999999999E-3</v>
      </c>
      <c r="Y125" s="164">
        <v>3.5035926290144502E-3</v>
      </c>
      <c r="Z125" s="164">
        <v>6.2737440479615004E-4</v>
      </c>
    </row>
    <row r="126" spans="1:26" hidden="1">
      <c r="A126" s="3">
        <v>424</v>
      </c>
      <c r="B126" s="3">
        <v>7228</v>
      </c>
      <c r="C126" s="3" t="s">
        <v>1643</v>
      </c>
      <c r="D126" s="3" t="s">
        <v>1644</v>
      </c>
      <c r="E126" s="3" t="s">
        <v>492</v>
      </c>
      <c r="F126" s="3" t="s">
        <v>1648</v>
      </c>
      <c r="G126" s="3">
        <v>50007897</v>
      </c>
      <c r="H126" s="3" t="s">
        <v>33</v>
      </c>
      <c r="I126" s="3" t="s">
        <v>1607</v>
      </c>
      <c r="J126" s="3" t="s">
        <v>1646</v>
      </c>
      <c r="K126" s="3" t="s">
        <v>572</v>
      </c>
      <c r="L126" s="3" t="s">
        <v>1619</v>
      </c>
      <c r="M126" s="3" t="s">
        <v>30</v>
      </c>
      <c r="N126" s="3" t="s">
        <v>797</v>
      </c>
      <c r="O126" s="3" t="s">
        <v>141</v>
      </c>
      <c r="P126" s="180" t="s">
        <v>1649</v>
      </c>
      <c r="Q126" s="3" t="s">
        <v>34</v>
      </c>
      <c r="R126" s="3" t="s">
        <v>498</v>
      </c>
      <c r="S126" s="3" t="s">
        <v>1393</v>
      </c>
      <c r="T126" s="178" t="s">
        <v>1394</v>
      </c>
      <c r="U126" s="162">
        <v>1</v>
      </c>
      <c r="V126" s="153">
        <v>4898.1620000000003</v>
      </c>
      <c r="W126" s="153">
        <v>4898.1620000000003</v>
      </c>
      <c r="X126" s="164">
        <v>1.3290000000000001E-3</v>
      </c>
      <c r="Y126" s="164">
        <v>1.07041025294402E-2</v>
      </c>
      <c r="Z126" s="164">
        <v>1.9167410896093701E-3</v>
      </c>
    </row>
    <row r="127" spans="1:26" hidden="1">
      <c r="A127" s="3">
        <v>424</v>
      </c>
      <c r="B127" s="3">
        <v>7228</v>
      </c>
      <c r="C127" s="3" t="s">
        <v>1615</v>
      </c>
      <c r="D127" s="3" t="s">
        <v>1616</v>
      </c>
      <c r="E127" s="3" t="s">
        <v>33</v>
      </c>
      <c r="F127" s="3" t="s">
        <v>1650</v>
      </c>
      <c r="G127" s="3">
        <v>62013347</v>
      </c>
      <c r="H127" s="3" t="s">
        <v>33</v>
      </c>
      <c r="I127" s="3" t="s">
        <v>1607</v>
      </c>
      <c r="J127" s="3" t="s">
        <v>1618</v>
      </c>
      <c r="K127" s="3" t="s">
        <v>572</v>
      </c>
      <c r="L127" s="3" t="s">
        <v>1619</v>
      </c>
      <c r="M127" s="3" t="s">
        <v>30</v>
      </c>
      <c r="N127" s="3" t="s">
        <v>30</v>
      </c>
      <c r="O127" s="3" t="s">
        <v>141</v>
      </c>
      <c r="P127" s="180" t="s">
        <v>1651</v>
      </c>
      <c r="Q127" s="3" t="s">
        <v>664</v>
      </c>
      <c r="R127" s="3" t="s">
        <v>1482</v>
      </c>
      <c r="S127" s="3" t="s">
        <v>1393</v>
      </c>
      <c r="T127" s="178" t="s">
        <v>1394</v>
      </c>
      <c r="U127" s="162">
        <v>3.306</v>
      </c>
      <c r="V127" s="153">
        <v>277.49400000000003</v>
      </c>
      <c r="W127" s="153">
        <v>917.39499999999998</v>
      </c>
      <c r="X127" s="164">
        <v>0.04</v>
      </c>
      <c r="Y127" s="164">
        <v>2.0048119972533801E-3</v>
      </c>
      <c r="Z127" s="164">
        <v>3.58993714933927E-4</v>
      </c>
    </row>
    <row r="128" spans="1:26" hidden="1">
      <c r="A128" s="3">
        <v>424</v>
      </c>
      <c r="B128" s="3">
        <v>7228</v>
      </c>
      <c r="C128" s="3" t="s">
        <v>1652</v>
      </c>
      <c r="D128" s="3" t="s">
        <v>1653</v>
      </c>
      <c r="E128" s="3" t="s">
        <v>498</v>
      </c>
      <c r="F128" s="3" t="s">
        <v>1652</v>
      </c>
      <c r="G128" s="3">
        <v>50008440</v>
      </c>
      <c r="H128" s="3" t="s">
        <v>33</v>
      </c>
      <c r="I128" s="3" t="s">
        <v>1654</v>
      </c>
      <c r="J128" s="3" t="s">
        <v>1613</v>
      </c>
      <c r="K128" s="3" t="s">
        <v>30</v>
      </c>
      <c r="L128" s="3" t="s">
        <v>1619</v>
      </c>
      <c r="M128" s="3" t="s">
        <v>30</v>
      </c>
      <c r="N128" s="3" t="s">
        <v>30</v>
      </c>
      <c r="O128" s="3" t="s">
        <v>141</v>
      </c>
      <c r="P128" s="180" t="s">
        <v>1655</v>
      </c>
      <c r="Q128" s="3" t="s">
        <v>34</v>
      </c>
      <c r="R128" s="3" t="s">
        <v>498</v>
      </c>
      <c r="S128" s="3" t="s">
        <v>1393</v>
      </c>
      <c r="T128" s="178" t="s">
        <v>1394</v>
      </c>
      <c r="U128" s="162">
        <v>1</v>
      </c>
      <c r="V128" s="153">
        <v>5056.1660000000002</v>
      </c>
      <c r="W128" s="153">
        <v>5056.1660000000002</v>
      </c>
      <c r="X128" s="164">
        <v>1.7E-5</v>
      </c>
      <c r="Y128" s="164">
        <v>1.1049393633103101E-2</v>
      </c>
      <c r="Z128" s="164">
        <v>1.9785709949608002E-3</v>
      </c>
    </row>
    <row r="129" spans="1:26" hidden="1">
      <c r="A129" s="3">
        <v>424</v>
      </c>
      <c r="B129" s="3">
        <v>7228</v>
      </c>
      <c r="C129" s="3" t="s">
        <v>1656</v>
      </c>
      <c r="D129" s="3" t="s">
        <v>1657</v>
      </c>
      <c r="E129" s="3" t="s">
        <v>134</v>
      </c>
      <c r="F129" s="3" t="s">
        <v>1658</v>
      </c>
      <c r="G129" s="3">
        <v>60364742</v>
      </c>
      <c r="H129" s="3" t="s">
        <v>33</v>
      </c>
      <c r="I129" s="3" t="s">
        <v>1607</v>
      </c>
      <c r="J129" s="3" t="s">
        <v>1641</v>
      </c>
      <c r="K129" s="3" t="s">
        <v>30</v>
      </c>
      <c r="L129" s="3" t="s">
        <v>1619</v>
      </c>
      <c r="M129" s="3" t="s">
        <v>30</v>
      </c>
      <c r="N129" s="3" t="s">
        <v>30</v>
      </c>
      <c r="O129" s="3" t="s">
        <v>141</v>
      </c>
      <c r="P129" s="180" t="s">
        <v>1367</v>
      </c>
      <c r="Q129" s="3" t="s">
        <v>664</v>
      </c>
      <c r="R129" s="3" t="s">
        <v>1482</v>
      </c>
      <c r="S129" s="3" t="s">
        <v>1393</v>
      </c>
      <c r="T129" s="178" t="s">
        <v>1394</v>
      </c>
      <c r="U129" s="162">
        <v>3.306</v>
      </c>
      <c r="V129" s="153">
        <v>476.80900000000003</v>
      </c>
      <c r="W129" s="153">
        <v>1576.3309999999999</v>
      </c>
      <c r="X129" s="164">
        <v>1.1364000000000001E-2</v>
      </c>
      <c r="Y129" s="164">
        <v>3.44480320500301E-3</v>
      </c>
      <c r="Z129" s="164">
        <v>6.1684721633478397E-4</v>
      </c>
    </row>
    <row r="130" spans="1:26" hidden="1">
      <c r="A130" s="3">
        <v>424</v>
      </c>
      <c r="B130" s="3">
        <v>7228</v>
      </c>
      <c r="C130" s="3" t="s">
        <v>1656</v>
      </c>
      <c r="D130" s="3" t="s">
        <v>1657</v>
      </c>
      <c r="E130" s="3" t="s">
        <v>134</v>
      </c>
      <c r="F130" s="3" t="s">
        <v>1659</v>
      </c>
      <c r="G130" s="3">
        <v>62002785</v>
      </c>
      <c r="H130" s="3" t="s">
        <v>33</v>
      </c>
      <c r="I130" s="3" t="s">
        <v>1607</v>
      </c>
      <c r="J130" s="3" t="s">
        <v>1641</v>
      </c>
      <c r="K130" s="3" t="s">
        <v>30</v>
      </c>
      <c r="L130" s="3" t="s">
        <v>1619</v>
      </c>
      <c r="M130" s="3" t="s">
        <v>30</v>
      </c>
      <c r="N130" s="3" t="s">
        <v>30</v>
      </c>
      <c r="O130" s="3" t="s">
        <v>141</v>
      </c>
      <c r="P130" s="180" t="s">
        <v>1660</v>
      </c>
      <c r="Q130" s="3" t="s">
        <v>664</v>
      </c>
      <c r="R130" s="3" t="s">
        <v>1482</v>
      </c>
      <c r="S130" s="3" t="s">
        <v>1393</v>
      </c>
      <c r="T130" s="178" t="s">
        <v>1394</v>
      </c>
      <c r="U130" s="162">
        <v>3.306</v>
      </c>
      <c r="V130" s="153">
        <v>876.80899999999997</v>
      </c>
      <c r="W130" s="153">
        <v>2898.73</v>
      </c>
      <c r="X130" s="164">
        <v>6.7999999999999996E-3</v>
      </c>
      <c r="Y130" s="164">
        <v>6.3346834938215503E-3</v>
      </c>
      <c r="Z130" s="164">
        <v>1.1343265919663201E-3</v>
      </c>
    </row>
    <row r="131" spans="1:26" hidden="1">
      <c r="A131" s="3">
        <v>424</v>
      </c>
      <c r="B131" s="3">
        <v>7228</v>
      </c>
      <c r="C131" s="3" t="s">
        <v>1656</v>
      </c>
      <c r="D131" s="3" t="s">
        <v>1657</v>
      </c>
      <c r="E131" s="3" t="s">
        <v>134</v>
      </c>
      <c r="F131" s="3" t="s">
        <v>1661</v>
      </c>
      <c r="G131" s="3">
        <v>62017827</v>
      </c>
      <c r="H131" s="3" t="s">
        <v>33</v>
      </c>
      <c r="I131" s="3" t="s">
        <v>1607</v>
      </c>
      <c r="J131" s="3" t="s">
        <v>1641</v>
      </c>
      <c r="K131" s="3" t="s">
        <v>30</v>
      </c>
      <c r="L131" s="3" t="s">
        <v>1619</v>
      </c>
      <c r="M131" s="3" t="s">
        <v>30</v>
      </c>
      <c r="N131" s="3" t="s">
        <v>30</v>
      </c>
      <c r="O131" s="3" t="s">
        <v>141</v>
      </c>
      <c r="P131" s="180" t="s">
        <v>1662</v>
      </c>
      <c r="Q131" s="3" t="s">
        <v>664</v>
      </c>
      <c r="R131" s="3" t="s">
        <v>1482</v>
      </c>
      <c r="S131" s="3" t="s">
        <v>1393</v>
      </c>
      <c r="T131" s="178" t="s">
        <v>1394</v>
      </c>
      <c r="U131" s="162">
        <v>3.306</v>
      </c>
      <c r="V131" s="153">
        <v>341.05799999999999</v>
      </c>
      <c r="W131" s="153">
        <v>1127.537</v>
      </c>
      <c r="X131" s="164">
        <v>1.7799999999999999E-3</v>
      </c>
      <c r="Y131" s="164">
        <v>2.46404109000301E-3</v>
      </c>
      <c r="Z131" s="164">
        <v>4.41226043071321E-4</v>
      </c>
    </row>
    <row r="132" spans="1:26" hidden="1">
      <c r="A132" s="3">
        <v>424</v>
      </c>
      <c r="B132" s="3">
        <v>7228</v>
      </c>
      <c r="C132" s="3" t="s">
        <v>1656</v>
      </c>
      <c r="D132" s="3" t="s">
        <v>1657</v>
      </c>
      <c r="E132" s="3" t="s">
        <v>134</v>
      </c>
      <c r="F132" s="3" t="s">
        <v>1663</v>
      </c>
      <c r="G132" s="3">
        <v>62018247</v>
      </c>
      <c r="H132" s="3" t="s">
        <v>33</v>
      </c>
      <c r="I132" s="3" t="s">
        <v>1607</v>
      </c>
      <c r="J132" s="3" t="s">
        <v>1641</v>
      </c>
      <c r="K132" s="3" t="s">
        <v>30</v>
      </c>
      <c r="L132" s="3" t="s">
        <v>1619</v>
      </c>
      <c r="M132" s="3" t="s">
        <v>30</v>
      </c>
      <c r="N132" s="3" t="s">
        <v>30</v>
      </c>
      <c r="O132" s="3" t="s">
        <v>141</v>
      </c>
      <c r="P132" s="180" t="s">
        <v>1664</v>
      </c>
      <c r="Q132" s="3" t="s">
        <v>664</v>
      </c>
      <c r="R132" s="3" t="s">
        <v>1482</v>
      </c>
      <c r="S132" s="3" t="s">
        <v>1393</v>
      </c>
      <c r="T132" s="178" t="s">
        <v>1394</v>
      </c>
      <c r="U132" s="162">
        <v>3.306</v>
      </c>
      <c r="V132" s="153">
        <v>900.36300000000006</v>
      </c>
      <c r="W132" s="153">
        <v>2976.6010000000001</v>
      </c>
      <c r="X132" s="164">
        <v>6.7999999999999996E-3</v>
      </c>
      <c r="Y132" s="164">
        <v>6.5048561753882602E-3</v>
      </c>
      <c r="Z132" s="164">
        <v>1.1647987375937401E-3</v>
      </c>
    </row>
    <row r="133" spans="1:26" hidden="1">
      <c r="A133" s="3">
        <v>424</v>
      </c>
      <c r="B133" s="3">
        <v>7228</v>
      </c>
      <c r="C133" s="3" t="s">
        <v>1665</v>
      </c>
      <c r="D133" s="3" t="s">
        <v>1666</v>
      </c>
      <c r="E133" s="3" t="s">
        <v>33</v>
      </c>
      <c r="F133" s="3" t="s">
        <v>1667</v>
      </c>
      <c r="G133" s="3">
        <v>62013487</v>
      </c>
      <c r="H133" s="3" t="s">
        <v>33</v>
      </c>
      <c r="I133" s="3" t="s">
        <v>1607</v>
      </c>
      <c r="J133" s="3" t="s">
        <v>1618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141</v>
      </c>
      <c r="P133" s="180" t="s">
        <v>1668</v>
      </c>
      <c r="Q133" s="3" t="s">
        <v>664</v>
      </c>
      <c r="R133" s="3" t="s">
        <v>1482</v>
      </c>
      <c r="S133" s="3" t="s">
        <v>1393</v>
      </c>
      <c r="T133" s="178" t="s">
        <v>1394</v>
      </c>
      <c r="U133" s="162">
        <v>3.306</v>
      </c>
      <c r="V133" s="153">
        <v>602.47199999999998</v>
      </c>
      <c r="W133" s="153">
        <v>1991.7729999999999</v>
      </c>
      <c r="X133" s="164">
        <v>9.5556000000000002E-2</v>
      </c>
      <c r="Y133" s="164">
        <v>4.35268201480472E-3</v>
      </c>
      <c r="Z133" s="164">
        <v>7.7941746585794404E-4</v>
      </c>
    </row>
    <row r="134" spans="1:26" hidden="1">
      <c r="A134" s="3">
        <v>424</v>
      </c>
      <c r="B134" s="3">
        <v>7228</v>
      </c>
      <c r="C134" s="3" t="s">
        <v>1669</v>
      </c>
      <c r="D134" s="3" t="s">
        <v>1670</v>
      </c>
      <c r="E134" s="3" t="s">
        <v>33</v>
      </c>
      <c r="F134" s="3" t="s">
        <v>1671</v>
      </c>
      <c r="G134" s="3">
        <v>62017694</v>
      </c>
      <c r="H134" s="3" t="s">
        <v>33</v>
      </c>
      <c r="I134" s="3" t="s">
        <v>1607</v>
      </c>
      <c r="J134" s="3" t="s">
        <v>1613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141</v>
      </c>
      <c r="P134" s="180" t="s">
        <v>1672</v>
      </c>
      <c r="Q134" s="3" t="s">
        <v>664</v>
      </c>
      <c r="R134" s="3" t="s">
        <v>1482</v>
      </c>
      <c r="S134" s="3" t="s">
        <v>1393</v>
      </c>
      <c r="T134" s="178" t="s">
        <v>1394</v>
      </c>
      <c r="U134" s="162">
        <v>3.306</v>
      </c>
      <c r="V134" s="153">
        <v>1825.922</v>
      </c>
      <c r="W134" s="153">
        <v>6036.4979999999996</v>
      </c>
      <c r="X134" s="164">
        <v>4.8780000000000004E-3</v>
      </c>
      <c r="Y134" s="164">
        <v>1.3191743355694899E-2</v>
      </c>
      <c r="Z134" s="164">
        <v>2.36219304363894E-3</v>
      </c>
    </row>
    <row r="135" spans="1:26" hidden="1">
      <c r="A135" s="3">
        <v>424</v>
      </c>
      <c r="B135" s="3">
        <v>7228</v>
      </c>
      <c r="C135" s="3" t="s">
        <v>1673</v>
      </c>
      <c r="D135" s="3" t="s">
        <v>1674</v>
      </c>
      <c r="E135" s="3" t="s">
        <v>33</v>
      </c>
      <c r="F135" s="3" t="s">
        <v>1673</v>
      </c>
      <c r="G135" s="3">
        <v>62020375</v>
      </c>
      <c r="H135" s="3" t="s">
        <v>33</v>
      </c>
      <c r="I135" s="3" t="s">
        <v>1607</v>
      </c>
      <c r="J135" s="3" t="s">
        <v>1675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141</v>
      </c>
      <c r="P135" s="180" t="s">
        <v>1676</v>
      </c>
      <c r="Q135" s="3" t="s">
        <v>664</v>
      </c>
      <c r="R135" s="3" t="s">
        <v>498</v>
      </c>
      <c r="S135" s="3" t="s">
        <v>1393</v>
      </c>
      <c r="T135" s="178" t="s">
        <v>1394</v>
      </c>
      <c r="U135" s="162">
        <v>3.306</v>
      </c>
      <c r="V135" s="153">
        <v>1349.9280000000001</v>
      </c>
      <c r="W135" s="153">
        <v>4462.8630000000003</v>
      </c>
      <c r="X135" s="164">
        <v>2.6879999999999999E-3</v>
      </c>
      <c r="Y135" s="164">
        <v>9.7528302003999593E-3</v>
      </c>
      <c r="Z135" s="164">
        <v>1.7464005350916001E-3</v>
      </c>
    </row>
    <row r="136" spans="1:26" hidden="1">
      <c r="A136" s="3">
        <v>424</v>
      </c>
      <c r="B136" s="3">
        <v>7228</v>
      </c>
      <c r="C136" s="3" t="s">
        <v>1996</v>
      </c>
      <c r="D136" s="3" t="s">
        <v>1997</v>
      </c>
      <c r="E136" s="3" t="s">
        <v>651</v>
      </c>
      <c r="F136" s="3" t="s">
        <v>1998</v>
      </c>
      <c r="G136" s="3">
        <v>60346871</v>
      </c>
      <c r="H136" s="3" t="s">
        <v>33</v>
      </c>
      <c r="I136" s="3" t="s">
        <v>1607</v>
      </c>
      <c r="J136" s="3" t="s">
        <v>1613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141</v>
      </c>
      <c r="P136" s="180" t="s">
        <v>1367</v>
      </c>
      <c r="Q136" s="3" t="s">
        <v>664</v>
      </c>
      <c r="R136" s="3" t="s">
        <v>1482</v>
      </c>
      <c r="S136" s="3" t="s">
        <v>1393</v>
      </c>
      <c r="T136" s="178" t="s">
        <v>1394</v>
      </c>
      <c r="U136" s="162">
        <v>3.306</v>
      </c>
      <c r="V136" s="153">
        <v>551.08399999999995</v>
      </c>
      <c r="W136" s="153">
        <v>1821.884</v>
      </c>
      <c r="X136" s="164">
        <v>2.1749999999999999E-3</v>
      </c>
      <c r="Y136" s="164">
        <v>3.9814188969096E-3</v>
      </c>
      <c r="Z136" s="164">
        <v>7.1293685516042398E-4</v>
      </c>
    </row>
    <row r="137" spans="1:26" hidden="1">
      <c r="A137" s="3">
        <v>424</v>
      </c>
      <c r="B137" s="3">
        <v>7228</v>
      </c>
      <c r="C137" s="3" t="s">
        <v>1677</v>
      </c>
      <c r="D137" s="3" t="s">
        <v>1678</v>
      </c>
      <c r="E137" s="3" t="s">
        <v>651</v>
      </c>
      <c r="F137" s="3" t="s">
        <v>1679</v>
      </c>
      <c r="G137" s="3">
        <v>62013024</v>
      </c>
      <c r="H137" s="3" t="s">
        <v>33</v>
      </c>
      <c r="I137" s="3" t="s">
        <v>1607</v>
      </c>
      <c r="J137" s="3" t="s">
        <v>1613</v>
      </c>
      <c r="K137" s="3" t="s">
        <v>30</v>
      </c>
      <c r="L137" s="3" t="s">
        <v>1619</v>
      </c>
      <c r="M137" s="3" t="s">
        <v>30</v>
      </c>
      <c r="N137" s="3" t="s">
        <v>30</v>
      </c>
      <c r="O137" s="3" t="s">
        <v>141</v>
      </c>
      <c r="P137" s="180" t="s">
        <v>1680</v>
      </c>
      <c r="Q137" s="3" t="s">
        <v>664</v>
      </c>
      <c r="R137" s="3" t="s">
        <v>498</v>
      </c>
      <c r="S137" s="3" t="s">
        <v>1393</v>
      </c>
      <c r="T137" s="178" t="s">
        <v>1394</v>
      </c>
      <c r="U137" s="162">
        <v>3.306</v>
      </c>
      <c r="V137" s="153">
        <v>890.01800000000003</v>
      </c>
      <c r="W137" s="153">
        <v>2942.4</v>
      </c>
      <c r="X137" s="164">
        <v>0</v>
      </c>
      <c r="Y137" s="164">
        <v>6.4301153269136499E-3</v>
      </c>
      <c r="Z137" s="164">
        <v>1.1514151909629499E-3</v>
      </c>
    </row>
    <row r="138" spans="1:26" hidden="1">
      <c r="A138" s="3">
        <v>424</v>
      </c>
      <c r="B138" s="3">
        <v>7228</v>
      </c>
      <c r="C138" s="3" t="s">
        <v>1677</v>
      </c>
      <c r="D138" s="3" t="s">
        <v>1678</v>
      </c>
      <c r="E138" s="3" t="s">
        <v>651</v>
      </c>
      <c r="F138" s="3" t="s">
        <v>1999</v>
      </c>
      <c r="G138" s="3">
        <v>60382116</v>
      </c>
      <c r="H138" s="3" t="s">
        <v>33</v>
      </c>
      <c r="I138" s="3" t="s">
        <v>1607</v>
      </c>
      <c r="J138" s="3" t="s">
        <v>1613</v>
      </c>
      <c r="K138" s="3" t="s">
        <v>30</v>
      </c>
      <c r="L138" s="3" t="s">
        <v>1619</v>
      </c>
      <c r="M138" s="3" t="s">
        <v>30</v>
      </c>
      <c r="N138" s="3" t="s">
        <v>30</v>
      </c>
      <c r="O138" s="3" t="s">
        <v>141</v>
      </c>
      <c r="P138" s="180" t="s">
        <v>2000</v>
      </c>
      <c r="Q138" s="3" t="s">
        <v>664</v>
      </c>
      <c r="R138" s="3" t="s">
        <v>498</v>
      </c>
      <c r="S138" s="3" t="s">
        <v>1393</v>
      </c>
      <c r="T138" s="178" t="s">
        <v>1394</v>
      </c>
      <c r="U138" s="162">
        <v>3.306</v>
      </c>
      <c r="V138" s="153">
        <v>305.69499999999999</v>
      </c>
      <c r="W138" s="153">
        <v>1010.627</v>
      </c>
      <c r="X138" s="164">
        <v>3.1667000000000001E-2</v>
      </c>
      <c r="Y138" s="164">
        <v>2.2085540054670801E-3</v>
      </c>
      <c r="Z138" s="164">
        <v>3.9547698644115101E-4</v>
      </c>
    </row>
    <row r="139" spans="1:26" hidden="1">
      <c r="A139" s="3">
        <v>424</v>
      </c>
      <c r="B139" s="3">
        <v>7228</v>
      </c>
      <c r="C139" s="3" t="s">
        <v>1681</v>
      </c>
      <c r="D139" s="3" t="s">
        <v>1682</v>
      </c>
      <c r="E139" s="3" t="s">
        <v>498</v>
      </c>
      <c r="F139" s="3" t="s">
        <v>1683</v>
      </c>
      <c r="G139" s="3">
        <v>60406600</v>
      </c>
      <c r="H139" s="3" t="s">
        <v>33</v>
      </c>
      <c r="I139" s="3" t="s">
        <v>1607</v>
      </c>
      <c r="J139" s="3" t="s">
        <v>1684</v>
      </c>
      <c r="K139" s="3" t="s">
        <v>572</v>
      </c>
      <c r="L139" s="3" t="s">
        <v>1619</v>
      </c>
      <c r="M139" s="3" t="s">
        <v>30</v>
      </c>
      <c r="N139" s="3" t="s">
        <v>30</v>
      </c>
      <c r="O139" s="3" t="s">
        <v>141</v>
      </c>
      <c r="P139" s="180" t="s">
        <v>1685</v>
      </c>
      <c r="Q139" s="3" t="s">
        <v>664</v>
      </c>
      <c r="R139" s="3" t="s">
        <v>1482</v>
      </c>
      <c r="S139" s="3" t="s">
        <v>1393</v>
      </c>
      <c r="T139" s="178" t="s">
        <v>1394</v>
      </c>
      <c r="U139" s="162">
        <v>3.306</v>
      </c>
      <c r="V139" s="153">
        <v>2123.0500000000002</v>
      </c>
      <c r="W139" s="153">
        <v>7018.8019999999997</v>
      </c>
      <c r="X139" s="164">
        <v>0</v>
      </c>
      <c r="Y139" s="164">
        <v>1.5338402321462099E-2</v>
      </c>
      <c r="Z139" s="164">
        <v>2.7465867313626801E-3</v>
      </c>
    </row>
    <row r="140" spans="1:26" hidden="1">
      <c r="A140" s="3">
        <v>424</v>
      </c>
      <c r="B140" s="3">
        <v>7228</v>
      </c>
      <c r="C140" s="3" t="s">
        <v>1686</v>
      </c>
      <c r="D140" s="3" t="s">
        <v>1687</v>
      </c>
      <c r="E140" s="3" t="s">
        <v>498</v>
      </c>
      <c r="F140" s="3" t="s">
        <v>1688</v>
      </c>
      <c r="G140" s="3">
        <v>62009048</v>
      </c>
      <c r="H140" s="3" t="s">
        <v>33</v>
      </c>
      <c r="I140" s="3" t="s">
        <v>1607</v>
      </c>
      <c r="J140" s="3" t="s">
        <v>1684</v>
      </c>
      <c r="K140" s="3" t="s">
        <v>572</v>
      </c>
      <c r="L140" s="3" t="s">
        <v>1619</v>
      </c>
      <c r="M140" s="3" t="s">
        <v>30</v>
      </c>
      <c r="N140" s="3" t="s">
        <v>224</v>
      </c>
      <c r="O140" s="3" t="s">
        <v>141</v>
      </c>
      <c r="P140" s="180" t="s">
        <v>1689</v>
      </c>
      <c r="Q140" s="3" t="s">
        <v>664</v>
      </c>
      <c r="R140" s="3" t="s">
        <v>1482</v>
      </c>
      <c r="S140" s="3" t="s">
        <v>1393</v>
      </c>
      <c r="T140" s="178" t="s">
        <v>1394</v>
      </c>
      <c r="U140" s="162">
        <v>3.306</v>
      </c>
      <c r="V140" s="153">
        <v>1312.172</v>
      </c>
      <c r="W140" s="153">
        <v>4338.04</v>
      </c>
      <c r="X140" s="164">
        <v>7.7600000000000004E-3</v>
      </c>
      <c r="Y140" s="164">
        <v>9.4800507371313597E-3</v>
      </c>
      <c r="Z140" s="164">
        <v>1.6975550009414499E-3</v>
      </c>
    </row>
    <row r="141" spans="1:26" hidden="1">
      <c r="A141" s="3">
        <v>424</v>
      </c>
      <c r="B141" s="3">
        <v>7228</v>
      </c>
      <c r="C141" s="3" t="s">
        <v>1690</v>
      </c>
      <c r="D141" s="3" t="s">
        <v>1691</v>
      </c>
      <c r="E141" s="3" t="s">
        <v>498</v>
      </c>
      <c r="F141" s="3" t="s">
        <v>1692</v>
      </c>
      <c r="G141" s="3">
        <v>62015334</v>
      </c>
      <c r="H141" s="3" t="s">
        <v>33</v>
      </c>
      <c r="I141" s="3" t="s">
        <v>1607</v>
      </c>
      <c r="J141" s="3" t="s">
        <v>1684</v>
      </c>
      <c r="K141" s="3" t="s">
        <v>572</v>
      </c>
      <c r="L141" s="3" t="s">
        <v>1619</v>
      </c>
      <c r="M141" s="3" t="s">
        <v>30</v>
      </c>
      <c r="N141" s="3" t="s">
        <v>30</v>
      </c>
      <c r="O141" s="3" t="s">
        <v>141</v>
      </c>
      <c r="P141" s="180" t="s">
        <v>1693</v>
      </c>
      <c r="Q141" s="3" t="s">
        <v>664</v>
      </c>
      <c r="R141" s="3" t="s">
        <v>1482</v>
      </c>
      <c r="S141" s="3" t="s">
        <v>1393</v>
      </c>
      <c r="T141" s="178" t="s">
        <v>1394</v>
      </c>
      <c r="U141" s="162">
        <v>3.306</v>
      </c>
      <c r="V141" s="153">
        <v>1840.3040000000001</v>
      </c>
      <c r="W141" s="153">
        <v>6084.0450000000001</v>
      </c>
      <c r="X141" s="164">
        <v>1.32E-2</v>
      </c>
      <c r="Y141" s="164">
        <v>1.3295648103213299E-2</v>
      </c>
      <c r="Z141" s="164">
        <v>2.3807988537408601E-3</v>
      </c>
    </row>
    <row r="142" spans="1:26" hidden="1">
      <c r="A142" s="3">
        <v>424</v>
      </c>
      <c r="B142" s="3">
        <v>7228</v>
      </c>
      <c r="C142" s="3" t="s">
        <v>1694</v>
      </c>
      <c r="D142" s="3" t="s">
        <v>1695</v>
      </c>
      <c r="E142" s="3" t="s">
        <v>498</v>
      </c>
      <c r="F142" s="3" t="s">
        <v>1696</v>
      </c>
      <c r="G142" s="3">
        <v>62017835</v>
      </c>
      <c r="H142" s="3" t="s">
        <v>33</v>
      </c>
      <c r="I142" s="3" t="s">
        <v>1607</v>
      </c>
      <c r="J142" s="3" t="s">
        <v>1684</v>
      </c>
      <c r="K142" s="3" t="s">
        <v>30</v>
      </c>
      <c r="L142" s="3" t="s">
        <v>224</v>
      </c>
      <c r="M142" s="3" t="s">
        <v>30</v>
      </c>
      <c r="N142" s="3" t="s">
        <v>30</v>
      </c>
      <c r="O142" s="3" t="s">
        <v>141</v>
      </c>
      <c r="P142" s="180" t="s">
        <v>1662</v>
      </c>
      <c r="Q142" s="3" t="s">
        <v>664</v>
      </c>
      <c r="R142" s="3" t="s">
        <v>498</v>
      </c>
      <c r="S142" s="3" t="s">
        <v>1393</v>
      </c>
      <c r="T142" s="178" t="s">
        <v>1394</v>
      </c>
      <c r="U142" s="162">
        <v>3.306</v>
      </c>
      <c r="V142" s="153">
        <v>840.10599999999999</v>
      </c>
      <c r="W142" s="153">
        <v>2777.3910000000001</v>
      </c>
      <c r="X142" s="164">
        <v>2.2399999999999998E-3</v>
      </c>
      <c r="Y142" s="164">
        <v>6.0695172440696898E-3</v>
      </c>
      <c r="Z142" s="164">
        <v>1.086844325697E-3</v>
      </c>
    </row>
    <row r="143" spans="1:26" hidden="1">
      <c r="A143" s="3">
        <v>424</v>
      </c>
      <c r="B143" s="3">
        <v>7228</v>
      </c>
      <c r="C143" s="3" t="s">
        <v>1697</v>
      </c>
      <c r="D143" s="3" t="s">
        <v>1698</v>
      </c>
      <c r="E143" s="3" t="s">
        <v>498</v>
      </c>
      <c r="F143" s="3" t="s">
        <v>1699</v>
      </c>
      <c r="G143" s="3">
        <v>62020011</v>
      </c>
      <c r="H143" s="3" t="s">
        <v>33</v>
      </c>
      <c r="I143" s="3" t="s">
        <v>1607</v>
      </c>
      <c r="J143" s="3" t="s">
        <v>1684</v>
      </c>
      <c r="K143" s="3" t="s">
        <v>572</v>
      </c>
      <c r="L143" s="3" t="s">
        <v>224</v>
      </c>
      <c r="M143" s="3" t="s">
        <v>30</v>
      </c>
      <c r="N143" s="3" t="s">
        <v>30</v>
      </c>
      <c r="O143" s="3" t="s">
        <v>141</v>
      </c>
      <c r="P143" s="180" t="s">
        <v>1700</v>
      </c>
      <c r="Q143" s="3" t="s">
        <v>664</v>
      </c>
      <c r="R143" s="3" t="s">
        <v>1482</v>
      </c>
      <c r="S143" s="3" t="s">
        <v>1393</v>
      </c>
      <c r="T143" s="178" t="s">
        <v>1394</v>
      </c>
      <c r="U143" s="162">
        <v>3.306</v>
      </c>
      <c r="V143" s="153">
        <v>805.45600000000002</v>
      </c>
      <c r="W143" s="153">
        <v>2662.8380000000002</v>
      </c>
      <c r="X143" s="164">
        <v>1.0935E-2</v>
      </c>
      <c r="Y143" s="164">
        <v>5.8191814736079798E-3</v>
      </c>
      <c r="Z143" s="164">
        <v>1.04201769440089E-3</v>
      </c>
    </row>
    <row r="144" spans="1:26" hidden="1">
      <c r="A144" s="3">
        <v>424</v>
      </c>
      <c r="B144" s="3">
        <v>7228</v>
      </c>
      <c r="C144" s="3" t="s">
        <v>1701</v>
      </c>
      <c r="D144" s="3" t="s">
        <v>1702</v>
      </c>
      <c r="E144" s="3" t="s">
        <v>498</v>
      </c>
      <c r="F144" s="3" t="s">
        <v>1703</v>
      </c>
      <c r="G144" s="3">
        <v>62020748</v>
      </c>
      <c r="H144" s="3" t="s">
        <v>33</v>
      </c>
      <c r="I144" s="3" t="s">
        <v>1607</v>
      </c>
      <c r="J144" s="3" t="s">
        <v>1684</v>
      </c>
      <c r="K144" s="3" t="s">
        <v>572</v>
      </c>
      <c r="L144" s="3" t="s">
        <v>224</v>
      </c>
      <c r="M144" s="3" t="s">
        <v>30</v>
      </c>
      <c r="N144" s="3" t="s">
        <v>224</v>
      </c>
      <c r="O144" s="3" t="s">
        <v>141</v>
      </c>
      <c r="P144" s="180" t="s">
        <v>1704</v>
      </c>
      <c r="Q144" s="3" t="s">
        <v>664</v>
      </c>
      <c r="R144" s="3" t="s">
        <v>498</v>
      </c>
      <c r="S144" s="3" t="s">
        <v>1393</v>
      </c>
      <c r="T144" s="178" t="s">
        <v>1394</v>
      </c>
      <c r="U144" s="162">
        <v>3.306</v>
      </c>
      <c r="V144" s="153">
        <v>588.91200000000003</v>
      </c>
      <c r="W144" s="153">
        <v>1946.944</v>
      </c>
      <c r="X144" s="164">
        <v>1.4059999999999999E-3</v>
      </c>
      <c r="Y144" s="164">
        <v>4.2547153912055602E-3</v>
      </c>
      <c r="Z144" s="164">
        <v>7.6187497200137398E-4</v>
      </c>
    </row>
    <row r="145" spans="1:26" hidden="1">
      <c r="A145" s="3">
        <v>424</v>
      </c>
      <c r="B145" s="3">
        <v>7228</v>
      </c>
      <c r="C145" s="3" t="s">
        <v>1705</v>
      </c>
      <c r="D145" s="3" t="s">
        <v>1706</v>
      </c>
      <c r="E145" s="3" t="s">
        <v>33</v>
      </c>
      <c r="F145" s="3" t="s">
        <v>1707</v>
      </c>
      <c r="G145" s="3">
        <v>62022710</v>
      </c>
      <c r="H145" s="3" t="s">
        <v>33</v>
      </c>
      <c r="I145" s="3" t="s">
        <v>1607</v>
      </c>
      <c r="J145" s="3" t="s">
        <v>1613</v>
      </c>
      <c r="K145" s="3" t="s">
        <v>30</v>
      </c>
      <c r="L145" s="3" t="s">
        <v>1619</v>
      </c>
      <c r="M145" s="3" t="s">
        <v>30</v>
      </c>
      <c r="N145" s="3" t="s">
        <v>797</v>
      </c>
      <c r="O145" s="3" t="s">
        <v>141</v>
      </c>
      <c r="P145" s="180" t="s">
        <v>1708</v>
      </c>
      <c r="Q145" s="3" t="s">
        <v>664</v>
      </c>
      <c r="R145" s="3" t="s">
        <v>498</v>
      </c>
      <c r="S145" s="3" t="s">
        <v>1393</v>
      </c>
      <c r="T145" s="178" t="s">
        <v>1394</v>
      </c>
      <c r="U145" s="162">
        <v>3.306</v>
      </c>
      <c r="V145" s="153">
        <v>68</v>
      </c>
      <c r="W145" s="153">
        <v>224.80799999999999</v>
      </c>
      <c r="X145" s="164">
        <v>1.94E-4</v>
      </c>
      <c r="Y145" s="164">
        <v>4.9127977437549402E-4</v>
      </c>
      <c r="Z145" s="164">
        <v>8.7971516290097902E-5</v>
      </c>
    </row>
    <row r="146" spans="1:26" hidden="1">
      <c r="A146" s="3">
        <v>424</v>
      </c>
      <c r="B146" s="3">
        <v>7228</v>
      </c>
      <c r="C146" s="3" t="s">
        <v>2001</v>
      </c>
      <c r="D146" s="3" t="s">
        <v>2002</v>
      </c>
      <c r="E146" s="3" t="s">
        <v>498</v>
      </c>
      <c r="F146" s="3" t="s">
        <v>2001</v>
      </c>
      <c r="G146" s="3">
        <v>60297512</v>
      </c>
      <c r="H146" s="3" t="s">
        <v>33</v>
      </c>
      <c r="I146" s="3" t="s">
        <v>1607</v>
      </c>
      <c r="J146" s="3" t="s">
        <v>1641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141</v>
      </c>
      <c r="P146" s="180" t="s">
        <v>1367</v>
      </c>
      <c r="Q146" s="3" t="s">
        <v>664</v>
      </c>
      <c r="R146" s="3" t="s">
        <v>1482</v>
      </c>
      <c r="S146" s="3" t="s">
        <v>1393</v>
      </c>
      <c r="T146" s="178" t="s">
        <v>1394</v>
      </c>
      <c r="U146" s="162">
        <v>3.306</v>
      </c>
      <c r="V146" s="153">
        <v>121.27200000000001</v>
      </c>
      <c r="W146" s="153">
        <v>400.92500000000001</v>
      </c>
      <c r="X146" s="164">
        <v>7.4999999999999997E-3</v>
      </c>
      <c r="Y146" s="164">
        <v>8.7615412938330699E-4</v>
      </c>
      <c r="Z146" s="164">
        <v>1.56889437110776E-4</v>
      </c>
    </row>
    <row r="147" spans="1:26" hidden="1">
      <c r="A147" s="3">
        <v>424</v>
      </c>
      <c r="B147" s="3">
        <v>7228</v>
      </c>
      <c r="C147" s="3" t="s">
        <v>1709</v>
      </c>
      <c r="D147" s="3" t="s">
        <v>1710</v>
      </c>
      <c r="E147" s="3" t="s">
        <v>498</v>
      </c>
      <c r="F147" s="3" t="s">
        <v>1711</v>
      </c>
      <c r="G147" s="3">
        <v>62015151</v>
      </c>
      <c r="H147" s="3" t="s">
        <v>33</v>
      </c>
      <c r="I147" s="3" t="s">
        <v>1607</v>
      </c>
      <c r="J147" s="3" t="s">
        <v>1641</v>
      </c>
      <c r="K147" s="3" t="s">
        <v>572</v>
      </c>
      <c r="L147" s="3" t="s">
        <v>224</v>
      </c>
      <c r="M147" s="3" t="s">
        <v>30</v>
      </c>
      <c r="N147" s="3" t="s">
        <v>30</v>
      </c>
      <c r="O147" s="3" t="s">
        <v>141</v>
      </c>
      <c r="P147" s="180" t="s">
        <v>1712</v>
      </c>
      <c r="Q147" s="3" t="s">
        <v>664</v>
      </c>
      <c r="R147" s="3" t="s">
        <v>1482</v>
      </c>
      <c r="S147" s="3" t="s">
        <v>1393</v>
      </c>
      <c r="T147" s="178" t="s">
        <v>1394</v>
      </c>
      <c r="U147" s="162">
        <v>3.306</v>
      </c>
      <c r="V147" s="153">
        <v>743.45699999999999</v>
      </c>
      <c r="W147" s="153">
        <v>2457.8690000000001</v>
      </c>
      <c r="X147" s="164">
        <v>6.28E-3</v>
      </c>
      <c r="Y147" s="164">
        <v>5.3712558027511504E-3</v>
      </c>
      <c r="Z147" s="164">
        <v>9.6180942508911895E-4</v>
      </c>
    </row>
    <row r="148" spans="1:26" hidden="1">
      <c r="A148" s="3">
        <v>424</v>
      </c>
      <c r="B148" s="3">
        <v>7228</v>
      </c>
      <c r="C148" s="3" t="s">
        <v>2003</v>
      </c>
      <c r="D148" s="3" t="s">
        <v>2004</v>
      </c>
      <c r="E148" s="3" t="s">
        <v>498</v>
      </c>
      <c r="F148" s="3" t="s">
        <v>2005</v>
      </c>
      <c r="G148" s="3">
        <v>60335908</v>
      </c>
      <c r="H148" s="3" t="s">
        <v>33</v>
      </c>
      <c r="I148" s="3" t="s">
        <v>1607</v>
      </c>
      <c r="J148" s="3" t="s">
        <v>1637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141</v>
      </c>
      <c r="P148" s="180" t="s">
        <v>1367</v>
      </c>
      <c r="Q148" s="3" t="s">
        <v>664</v>
      </c>
      <c r="R148" s="3" t="s">
        <v>1482</v>
      </c>
      <c r="S148" s="3" t="s">
        <v>1393</v>
      </c>
      <c r="T148" s="178" t="s">
        <v>1394</v>
      </c>
      <c r="U148" s="162">
        <v>3.306</v>
      </c>
      <c r="V148" s="153">
        <v>142.52500000000001</v>
      </c>
      <c r="W148" s="153">
        <v>471.18700000000001</v>
      </c>
      <c r="X148" s="164">
        <v>4.8000000000000001E-4</v>
      </c>
      <c r="Y148" s="164">
        <v>1.02970015126474E-3</v>
      </c>
      <c r="Z148" s="164">
        <v>1.8438431288170099E-4</v>
      </c>
    </row>
    <row r="149" spans="1:26" hidden="1">
      <c r="A149" s="3">
        <v>424</v>
      </c>
      <c r="B149" s="3">
        <v>7228</v>
      </c>
      <c r="C149" s="3" t="s">
        <v>1713</v>
      </c>
      <c r="D149" s="3" t="s">
        <v>1714</v>
      </c>
      <c r="E149" s="3" t="s">
        <v>498</v>
      </c>
      <c r="F149" s="3" t="s">
        <v>1715</v>
      </c>
      <c r="G149" s="3">
        <v>62007349</v>
      </c>
      <c r="H149" s="3" t="s">
        <v>33</v>
      </c>
      <c r="I149" s="3" t="s">
        <v>1607</v>
      </c>
      <c r="J149" s="3" t="s">
        <v>1637</v>
      </c>
      <c r="K149" s="3" t="s">
        <v>572</v>
      </c>
      <c r="L149" s="3" t="s">
        <v>1619</v>
      </c>
      <c r="M149" s="3" t="s">
        <v>30</v>
      </c>
      <c r="N149" s="3" t="s">
        <v>30</v>
      </c>
      <c r="O149" s="3" t="s">
        <v>141</v>
      </c>
      <c r="P149" s="180" t="s">
        <v>2006</v>
      </c>
      <c r="Q149" s="3" t="s">
        <v>664</v>
      </c>
      <c r="R149" s="3" t="s">
        <v>1482</v>
      </c>
      <c r="S149" s="3" t="s">
        <v>1393</v>
      </c>
      <c r="T149" s="178" t="s">
        <v>1394</v>
      </c>
      <c r="U149" s="162">
        <v>3.306</v>
      </c>
      <c r="V149" s="153">
        <v>959.61300000000006</v>
      </c>
      <c r="W149" s="153">
        <v>3172.4810000000002</v>
      </c>
      <c r="X149" s="164">
        <v>3.349E-3</v>
      </c>
      <c r="Y149" s="164">
        <v>6.9329185943121201E-3</v>
      </c>
      <c r="Z149" s="164">
        <v>1.2414501733411399E-3</v>
      </c>
    </row>
    <row r="150" spans="1:26" hidden="1">
      <c r="A150" s="3">
        <v>424</v>
      </c>
      <c r="B150" s="3">
        <v>7228</v>
      </c>
      <c r="C150" s="3" t="s">
        <v>1717</v>
      </c>
      <c r="D150" s="3" t="s">
        <v>1718</v>
      </c>
      <c r="E150" s="3" t="s">
        <v>498</v>
      </c>
      <c r="F150" s="3" t="s">
        <v>1719</v>
      </c>
      <c r="G150" s="3">
        <v>62020755</v>
      </c>
      <c r="H150" s="3" t="s">
        <v>33</v>
      </c>
      <c r="I150" s="3" t="s">
        <v>1607</v>
      </c>
      <c r="J150" s="3" t="s">
        <v>1637</v>
      </c>
      <c r="K150" s="3" t="s">
        <v>572</v>
      </c>
      <c r="L150" s="3" t="s">
        <v>224</v>
      </c>
      <c r="M150" s="3" t="s">
        <v>30</v>
      </c>
      <c r="N150" s="3" t="s">
        <v>30</v>
      </c>
      <c r="O150" s="3" t="s">
        <v>141</v>
      </c>
      <c r="P150" s="180" t="s">
        <v>1704</v>
      </c>
      <c r="Q150" s="3" t="s">
        <v>664</v>
      </c>
      <c r="R150" s="3" t="s">
        <v>498</v>
      </c>
      <c r="S150" s="3" t="s">
        <v>1393</v>
      </c>
      <c r="T150" s="178" t="s">
        <v>1394</v>
      </c>
      <c r="U150" s="162">
        <v>3.306</v>
      </c>
      <c r="V150" s="153">
        <v>1266.9780000000001</v>
      </c>
      <c r="W150" s="153">
        <v>4188.6289999999999</v>
      </c>
      <c r="X150" s="164">
        <v>2.9710000000000001E-3</v>
      </c>
      <c r="Y150" s="164">
        <v>9.1535386275931208E-3</v>
      </c>
      <c r="Z150" s="164">
        <v>1.6390877754187401E-3</v>
      </c>
    </row>
    <row r="151" spans="1:26" hidden="1">
      <c r="A151" s="3">
        <v>424</v>
      </c>
      <c r="B151" s="3">
        <v>7228</v>
      </c>
      <c r="C151" s="3" t="s">
        <v>2007</v>
      </c>
      <c r="D151" s="3" t="s">
        <v>2008</v>
      </c>
      <c r="E151" s="3" t="s">
        <v>33</v>
      </c>
      <c r="F151" s="3" t="s">
        <v>2009</v>
      </c>
      <c r="G151" s="3">
        <v>9840809</v>
      </c>
      <c r="H151" s="3" t="s">
        <v>33</v>
      </c>
      <c r="I151" s="3" t="s">
        <v>1607</v>
      </c>
      <c r="J151" s="3" t="s">
        <v>1613</v>
      </c>
      <c r="K151" s="3" t="s">
        <v>572</v>
      </c>
      <c r="L151" s="3" t="s">
        <v>1619</v>
      </c>
      <c r="M151" s="3" t="s">
        <v>30</v>
      </c>
      <c r="N151" s="3" t="s">
        <v>30</v>
      </c>
      <c r="O151" s="3" t="s">
        <v>141</v>
      </c>
      <c r="P151" s="180" t="s">
        <v>1367</v>
      </c>
      <c r="Q151" s="3" t="s">
        <v>664</v>
      </c>
      <c r="R151" s="3" t="s">
        <v>1482</v>
      </c>
      <c r="S151" s="3" t="s">
        <v>1393</v>
      </c>
      <c r="T151" s="178" t="s">
        <v>1394</v>
      </c>
      <c r="U151" s="162">
        <v>3.306</v>
      </c>
      <c r="V151" s="153">
        <v>235.23400000000001</v>
      </c>
      <c r="W151" s="153">
        <v>777.68399999999997</v>
      </c>
      <c r="X151" s="164">
        <v>3.98E-3</v>
      </c>
      <c r="Y151" s="164">
        <v>1.6994957733300301E-3</v>
      </c>
      <c r="Z151" s="164">
        <v>3.04321952391601E-4</v>
      </c>
    </row>
    <row r="152" spans="1:26" hidden="1">
      <c r="A152" s="3">
        <v>424</v>
      </c>
      <c r="B152" s="3">
        <v>7228</v>
      </c>
      <c r="C152" s="3" t="s">
        <v>1720</v>
      </c>
      <c r="D152" s="3" t="s">
        <v>1721</v>
      </c>
      <c r="E152" s="3" t="s">
        <v>134</v>
      </c>
      <c r="F152" s="3" t="s">
        <v>2010</v>
      </c>
      <c r="G152" s="3">
        <v>50007376</v>
      </c>
      <c r="H152" s="3" t="s">
        <v>33</v>
      </c>
      <c r="I152" s="3" t="s">
        <v>1654</v>
      </c>
      <c r="J152" s="3" t="s">
        <v>1613</v>
      </c>
      <c r="K152" s="3" t="s">
        <v>30</v>
      </c>
      <c r="L152" s="3" t="s">
        <v>1619</v>
      </c>
      <c r="M152" s="3" t="s">
        <v>30</v>
      </c>
      <c r="N152" s="3" t="s">
        <v>30</v>
      </c>
      <c r="O152" s="3" t="s">
        <v>141</v>
      </c>
      <c r="P152" s="180" t="s">
        <v>2011</v>
      </c>
      <c r="Q152" s="3" t="s">
        <v>34</v>
      </c>
      <c r="R152" s="3" t="s">
        <v>1482</v>
      </c>
      <c r="S152" s="3" t="s">
        <v>1393</v>
      </c>
      <c r="T152" s="178" t="s">
        <v>1394</v>
      </c>
      <c r="U152" s="162">
        <v>1</v>
      </c>
      <c r="V152" s="153">
        <v>16294.329</v>
      </c>
      <c r="W152" s="153">
        <v>16294.329</v>
      </c>
      <c r="X152" s="164">
        <v>9.6770999999999996E-2</v>
      </c>
      <c r="Y152" s="164">
        <v>3.5608494519824098E-2</v>
      </c>
      <c r="Z152" s="164">
        <v>6.3762715648096697E-3</v>
      </c>
    </row>
    <row r="153" spans="1:26" hidden="1">
      <c r="A153" s="3">
        <v>424</v>
      </c>
      <c r="B153" s="3">
        <v>7228</v>
      </c>
      <c r="C153" s="3" t="s">
        <v>1724</v>
      </c>
      <c r="D153" s="3" t="s">
        <v>1725</v>
      </c>
      <c r="E153" s="3" t="s">
        <v>134</v>
      </c>
      <c r="F153" s="3" t="s">
        <v>1726</v>
      </c>
      <c r="G153" s="3">
        <v>50007004</v>
      </c>
      <c r="H153" s="3" t="s">
        <v>33</v>
      </c>
      <c r="I153" s="3" t="s">
        <v>1607</v>
      </c>
      <c r="J153" s="3" t="s">
        <v>1727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141</v>
      </c>
      <c r="P153" s="180" t="s">
        <v>1728</v>
      </c>
      <c r="Q153" s="3" t="s">
        <v>34</v>
      </c>
      <c r="R153" s="3" t="s">
        <v>1482</v>
      </c>
      <c r="S153" s="3" t="s">
        <v>1393</v>
      </c>
      <c r="T153" s="178" t="s">
        <v>1394</v>
      </c>
      <c r="U153" s="162">
        <v>1</v>
      </c>
      <c r="V153" s="153">
        <v>6342.5739999999996</v>
      </c>
      <c r="W153" s="153">
        <v>6342.5739999999996</v>
      </c>
      <c r="X153" s="164">
        <v>0</v>
      </c>
      <c r="Y153" s="164">
        <v>1.38606202469998E-2</v>
      </c>
      <c r="Z153" s="164">
        <v>2.4819661696836798E-3</v>
      </c>
    </row>
    <row r="154" spans="1:26" hidden="1">
      <c r="A154" s="3">
        <v>424</v>
      </c>
      <c r="B154" s="3">
        <v>7228</v>
      </c>
      <c r="C154" s="3" t="s">
        <v>1729</v>
      </c>
      <c r="D154" s="3" t="s">
        <v>1730</v>
      </c>
      <c r="E154" s="3" t="s">
        <v>134</v>
      </c>
      <c r="F154" s="3" t="s">
        <v>1729</v>
      </c>
      <c r="G154" s="3">
        <v>50007350</v>
      </c>
      <c r="H154" s="3" t="s">
        <v>33</v>
      </c>
      <c r="I154" s="3" t="s">
        <v>1607</v>
      </c>
      <c r="J154" s="3" t="s">
        <v>1731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141</v>
      </c>
      <c r="P154" s="180" t="s">
        <v>1732</v>
      </c>
      <c r="Q154" s="3" t="s">
        <v>34</v>
      </c>
      <c r="R154" s="3" t="s">
        <v>498</v>
      </c>
      <c r="S154" s="3" t="s">
        <v>1393</v>
      </c>
      <c r="T154" s="178" t="s">
        <v>1394</v>
      </c>
      <c r="U154" s="162">
        <v>1</v>
      </c>
      <c r="V154" s="153">
        <v>6803.3580000000002</v>
      </c>
      <c r="W154" s="153">
        <v>6803.3580000000002</v>
      </c>
      <c r="X154" s="164">
        <v>8.9519999999999999E-3</v>
      </c>
      <c r="Y154" s="164">
        <v>1.48675854224291E-2</v>
      </c>
      <c r="Z154" s="164">
        <v>2.6622794208172999E-3</v>
      </c>
    </row>
    <row r="155" spans="1:26" hidden="1">
      <c r="A155" s="3">
        <v>424</v>
      </c>
      <c r="B155" s="3">
        <v>7228</v>
      </c>
      <c r="C155" s="3" t="s">
        <v>2012</v>
      </c>
      <c r="D155" s="3" t="s">
        <v>2013</v>
      </c>
      <c r="E155" s="3" t="s">
        <v>134</v>
      </c>
      <c r="F155" s="3" t="s">
        <v>2014</v>
      </c>
      <c r="G155" s="3">
        <v>26427</v>
      </c>
      <c r="H155" s="3" t="s">
        <v>33</v>
      </c>
      <c r="I155" s="3" t="s">
        <v>1607</v>
      </c>
      <c r="J155" s="3" t="s">
        <v>1646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141</v>
      </c>
      <c r="P155" s="180" t="s">
        <v>1367</v>
      </c>
      <c r="Q155" s="3" t="s">
        <v>34</v>
      </c>
      <c r="R155" s="3" t="s">
        <v>1482</v>
      </c>
      <c r="S155" s="3" t="s">
        <v>1393</v>
      </c>
      <c r="T155" s="178" t="s">
        <v>1394</v>
      </c>
      <c r="U155" s="162">
        <v>1</v>
      </c>
      <c r="V155" s="153">
        <v>4.0679999999999996</v>
      </c>
      <c r="W155" s="153">
        <v>4.0679999999999996</v>
      </c>
      <c r="X155" s="164">
        <v>1.2238000000000001E-2</v>
      </c>
      <c r="Y155" s="164">
        <v>8.8899050187519505E-6</v>
      </c>
      <c r="Z155" s="164">
        <v>1.59187995306483E-6</v>
      </c>
    </row>
    <row r="156" spans="1:26" hidden="1">
      <c r="A156" s="3">
        <v>424</v>
      </c>
      <c r="B156" s="3">
        <v>7228</v>
      </c>
      <c r="C156" s="3" t="s">
        <v>1733</v>
      </c>
      <c r="D156" s="3" t="s">
        <v>1734</v>
      </c>
      <c r="E156" s="3" t="s">
        <v>33</v>
      </c>
      <c r="F156" s="3" t="s">
        <v>1735</v>
      </c>
      <c r="G156" s="3">
        <v>50008325</v>
      </c>
      <c r="H156" s="3" t="s">
        <v>33</v>
      </c>
      <c r="I156" s="3" t="s">
        <v>1607</v>
      </c>
      <c r="J156" s="3" t="s">
        <v>1613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141</v>
      </c>
      <c r="P156" s="180" t="s">
        <v>1736</v>
      </c>
      <c r="Q156" s="3" t="s">
        <v>34</v>
      </c>
      <c r="R156" s="3" t="s">
        <v>498</v>
      </c>
      <c r="S156" s="3" t="s">
        <v>1393</v>
      </c>
      <c r="T156" s="178" t="s">
        <v>1394</v>
      </c>
      <c r="U156" s="162">
        <v>1</v>
      </c>
      <c r="V156" s="153">
        <v>503.03</v>
      </c>
      <c r="W156" s="153">
        <v>503.03</v>
      </c>
      <c r="X156" s="164">
        <v>0</v>
      </c>
      <c r="Y156" s="164">
        <v>1.09928682259705E-3</v>
      </c>
      <c r="Z156" s="164">
        <v>1.9684492150021199E-4</v>
      </c>
    </row>
    <row r="157" spans="1:26" hidden="1">
      <c r="A157" s="3">
        <v>424</v>
      </c>
      <c r="B157" s="3">
        <v>7228</v>
      </c>
      <c r="C157" s="3" t="s">
        <v>1610</v>
      </c>
      <c r="D157" s="3" t="s">
        <v>1611</v>
      </c>
      <c r="E157" s="3" t="s">
        <v>366</v>
      </c>
      <c r="F157" s="3" t="s">
        <v>2015</v>
      </c>
      <c r="G157" s="3">
        <v>9840906</v>
      </c>
      <c r="H157" s="3" t="s">
        <v>33</v>
      </c>
      <c r="I157" s="3" t="s">
        <v>1607</v>
      </c>
      <c r="J157" s="3" t="s">
        <v>1613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141</v>
      </c>
      <c r="P157" s="180" t="s">
        <v>1367</v>
      </c>
      <c r="Q157" s="3" t="s">
        <v>664</v>
      </c>
      <c r="R157" s="3" t="s">
        <v>1482</v>
      </c>
      <c r="S157" s="3" t="s">
        <v>1393</v>
      </c>
      <c r="T157" s="178" t="s">
        <v>1394</v>
      </c>
      <c r="U157" s="162">
        <v>3.306</v>
      </c>
      <c r="V157" s="153">
        <v>40.491</v>
      </c>
      <c r="W157" s="153">
        <v>133.864</v>
      </c>
      <c r="X157" s="164">
        <v>5.2469999999999999E-3</v>
      </c>
      <c r="Y157" s="164">
        <v>2.9253674700675602E-4</v>
      </c>
      <c r="Z157" s="164">
        <v>5.2383392411118299E-5</v>
      </c>
    </row>
    <row r="158" spans="1:26" hidden="1">
      <c r="A158" s="3">
        <v>424</v>
      </c>
      <c r="B158" s="3">
        <v>7228</v>
      </c>
      <c r="C158" s="3" t="s">
        <v>1610</v>
      </c>
      <c r="D158" s="3" t="s">
        <v>1611</v>
      </c>
      <c r="E158" s="3" t="s">
        <v>366</v>
      </c>
      <c r="F158" s="3" t="s">
        <v>2016</v>
      </c>
      <c r="G158" s="3">
        <v>9840909</v>
      </c>
      <c r="H158" s="3" t="s">
        <v>33</v>
      </c>
      <c r="I158" s="3" t="s">
        <v>1607</v>
      </c>
      <c r="J158" s="3" t="s">
        <v>1613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141</v>
      </c>
      <c r="P158" s="180" t="s">
        <v>1367</v>
      </c>
      <c r="Q158" s="3" t="s">
        <v>664</v>
      </c>
      <c r="R158" s="3" t="s">
        <v>1482</v>
      </c>
      <c r="S158" s="3" t="s">
        <v>1393</v>
      </c>
      <c r="T158" s="178" t="s">
        <v>1394</v>
      </c>
      <c r="U158" s="162">
        <v>3.306</v>
      </c>
      <c r="V158" s="153">
        <v>14.896000000000001</v>
      </c>
      <c r="W158" s="153">
        <v>49.244999999999997</v>
      </c>
      <c r="X158" s="164">
        <v>7.9109999999999996E-3</v>
      </c>
      <c r="Y158" s="164">
        <v>1.0761589530778201E-4</v>
      </c>
      <c r="Z158" s="164">
        <v>1.9270350584199201E-5</v>
      </c>
    </row>
    <row r="159" spans="1:26" hidden="1">
      <c r="A159" s="3">
        <v>424</v>
      </c>
      <c r="B159" s="3">
        <v>7228</v>
      </c>
      <c r="C159" s="3" t="s">
        <v>1610</v>
      </c>
      <c r="D159" s="3" t="s">
        <v>1611</v>
      </c>
      <c r="E159" s="3" t="s">
        <v>366</v>
      </c>
      <c r="F159" s="3" t="s">
        <v>1737</v>
      </c>
      <c r="G159" s="3">
        <v>60400892</v>
      </c>
      <c r="H159" s="3" t="s">
        <v>33</v>
      </c>
      <c r="I159" s="3" t="s">
        <v>1607</v>
      </c>
      <c r="J159" s="3" t="s">
        <v>1613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141</v>
      </c>
      <c r="P159" s="180" t="s">
        <v>1738</v>
      </c>
      <c r="Q159" s="3" t="s">
        <v>664</v>
      </c>
      <c r="R159" s="3" t="s">
        <v>1482</v>
      </c>
      <c r="S159" s="3" t="s">
        <v>1393</v>
      </c>
      <c r="T159" s="178" t="s">
        <v>1394</v>
      </c>
      <c r="U159" s="162">
        <v>3.306</v>
      </c>
      <c r="V159" s="153">
        <v>2987.45</v>
      </c>
      <c r="W159" s="153">
        <v>9876.5110000000004</v>
      </c>
      <c r="X159" s="164">
        <v>0</v>
      </c>
      <c r="Y159" s="164">
        <v>2.1583439932135799E-2</v>
      </c>
      <c r="Z159" s="164">
        <v>3.86486079138891E-3</v>
      </c>
    </row>
    <row r="160" spans="1:26" hidden="1">
      <c r="A160" s="3">
        <v>424</v>
      </c>
      <c r="B160" s="3">
        <v>7228</v>
      </c>
      <c r="C160" s="3" t="s">
        <v>2017</v>
      </c>
      <c r="D160" s="3" t="s">
        <v>2018</v>
      </c>
      <c r="E160" s="3" t="s">
        <v>134</v>
      </c>
      <c r="F160" s="3" t="s">
        <v>2019</v>
      </c>
      <c r="G160" s="3">
        <v>9840913</v>
      </c>
      <c r="H160" s="3" t="s">
        <v>33</v>
      </c>
      <c r="I160" s="3" t="s">
        <v>1607</v>
      </c>
      <c r="J160" s="3" t="s">
        <v>1628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141</v>
      </c>
      <c r="P160" s="180" t="s">
        <v>1367</v>
      </c>
      <c r="Q160" s="3" t="s">
        <v>664</v>
      </c>
      <c r="R160" s="3" t="s">
        <v>1482</v>
      </c>
      <c r="S160" s="3" t="s">
        <v>1393</v>
      </c>
      <c r="T160" s="178" t="s">
        <v>1394</v>
      </c>
      <c r="U160" s="162">
        <v>3.306</v>
      </c>
      <c r="V160" s="153">
        <v>6.81</v>
      </c>
      <c r="W160" s="153">
        <v>22.513999999999999</v>
      </c>
      <c r="X160" s="164">
        <v>1.1132E-2</v>
      </c>
      <c r="Y160" s="164">
        <v>4.9201036266896501E-5</v>
      </c>
      <c r="Z160" s="164">
        <v>8.8102339831616902E-6</v>
      </c>
    </row>
    <row r="161" spans="1:26" hidden="1">
      <c r="A161" s="3">
        <v>424</v>
      </c>
      <c r="B161" s="3">
        <v>7228</v>
      </c>
      <c r="C161" s="3" t="s">
        <v>2020</v>
      </c>
      <c r="E161" s="3" t="s">
        <v>498</v>
      </c>
      <c r="F161" s="3" t="s">
        <v>2021</v>
      </c>
      <c r="G161" s="3">
        <v>9840922</v>
      </c>
      <c r="H161" s="3" t="s">
        <v>33</v>
      </c>
      <c r="I161" s="3" t="s">
        <v>1607</v>
      </c>
      <c r="J161" s="3" t="s">
        <v>1773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141</v>
      </c>
      <c r="P161" s="180" t="s">
        <v>1367</v>
      </c>
      <c r="Q161" s="3" t="s">
        <v>664</v>
      </c>
      <c r="R161" s="3" t="s">
        <v>1482</v>
      </c>
      <c r="S161" s="3" t="s">
        <v>1393</v>
      </c>
      <c r="T161" s="178" t="s">
        <v>1394</v>
      </c>
      <c r="U161" s="162">
        <v>3.306</v>
      </c>
      <c r="V161" s="153">
        <v>6.016</v>
      </c>
      <c r="W161" s="153">
        <v>19.888999999999999</v>
      </c>
      <c r="X161" s="164">
        <v>5.9369999999999996E-3</v>
      </c>
      <c r="Y161" s="164">
        <v>4.3463031442930901E-5</v>
      </c>
      <c r="Z161" s="164">
        <v>7.7827522687234893E-6</v>
      </c>
    </row>
    <row r="162" spans="1:26" hidden="1">
      <c r="A162" s="3">
        <v>424</v>
      </c>
      <c r="B162" s="3">
        <v>7228</v>
      </c>
      <c r="C162" s="3" t="s">
        <v>2022</v>
      </c>
      <c r="D162" s="3" t="s">
        <v>2023</v>
      </c>
      <c r="E162" s="3" t="s">
        <v>134</v>
      </c>
      <c r="F162" s="3" t="s">
        <v>2024</v>
      </c>
      <c r="G162" s="3">
        <v>9840936</v>
      </c>
      <c r="H162" s="3" t="s">
        <v>33</v>
      </c>
      <c r="I162" s="3" t="s">
        <v>1607</v>
      </c>
      <c r="J162" s="3" t="s">
        <v>1641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141</v>
      </c>
      <c r="P162" s="180" t="s">
        <v>1367</v>
      </c>
      <c r="Q162" s="3" t="s">
        <v>664</v>
      </c>
      <c r="R162" s="3" t="s">
        <v>1482</v>
      </c>
      <c r="S162" s="3" t="s">
        <v>1393</v>
      </c>
      <c r="T162" s="178" t="s">
        <v>1394</v>
      </c>
      <c r="U162" s="162">
        <v>3.306</v>
      </c>
      <c r="V162" s="153">
        <v>158.99700000000001</v>
      </c>
      <c r="W162" s="153">
        <v>525.64400000000001</v>
      </c>
      <c r="X162" s="164">
        <v>2.0996000000000001E-2</v>
      </c>
      <c r="Y162" s="164">
        <v>1.1487057959305299E-3</v>
      </c>
      <c r="Z162" s="164">
        <v>2.0569418060755601E-4</v>
      </c>
    </row>
    <row r="163" spans="1:26" hidden="1">
      <c r="A163" s="3">
        <v>424</v>
      </c>
      <c r="B163" s="3">
        <v>7228</v>
      </c>
      <c r="C163" s="3" t="s">
        <v>1724</v>
      </c>
      <c r="D163" s="3" t="s">
        <v>1725</v>
      </c>
      <c r="E163" s="3" t="s">
        <v>134</v>
      </c>
      <c r="F163" s="3" t="s">
        <v>1724</v>
      </c>
      <c r="G163" s="3">
        <v>18952</v>
      </c>
      <c r="H163" s="3" t="s">
        <v>33</v>
      </c>
      <c r="I163" s="3" t="s">
        <v>1607</v>
      </c>
      <c r="J163" s="3" t="s">
        <v>1727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141</v>
      </c>
      <c r="P163" s="180" t="s">
        <v>1739</v>
      </c>
      <c r="Q163" s="3" t="s">
        <v>34</v>
      </c>
      <c r="R163" s="3" t="s">
        <v>1482</v>
      </c>
      <c r="S163" s="3" t="s">
        <v>1393</v>
      </c>
      <c r="T163" s="178" t="s">
        <v>1394</v>
      </c>
      <c r="U163" s="162">
        <v>1</v>
      </c>
      <c r="V163" s="153">
        <v>1128.5050000000001</v>
      </c>
      <c r="W163" s="153">
        <v>1128.5050000000001</v>
      </c>
      <c r="X163" s="164">
        <v>3.264E-3</v>
      </c>
      <c r="Y163" s="164">
        <v>2.4661560515427199E-3</v>
      </c>
      <c r="Z163" s="164">
        <v>4.4160476082696302E-4</v>
      </c>
    </row>
    <row r="164" spans="1:26" hidden="1">
      <c r="A164" s="3">
        <v>424</v>
      </c>
      <c r="B164" s="3">
        <v>7228</v>
      </c>
      <c r="C164" s="3" t="s">
        <v>2025</v>
      </c>
      <c r="D164" s="3" t="s">
        <v>2026</v>
      </c>
      <c r="E164" s="3" t="s">
        <v>33</v>
      </c>
      <c r="F164" s="3" t="s">
        <v>2027</v>
      </c>
      <c r="G164" s="3">
        <v>9840777</v>
      </c>
      <c r="H164" s="3" t="s">
        <v>33</v>
      </c>
      <c r="I164" s="3" t="s">
        <v>1607</v>
      </c>
      <c r="J164" s="3" t="s">
        <v>1944</v>
      </c>
      <c r="K164" s="3" t="s">
        <v>572</v>
      </c>
      <c r="L164" s="3" t="s">
        <v>1619</v>
      </c>
      <c r="M164" s="3" t="s">
        <v>30</v>
      </c>
      <c r="N164" s="3" t="s">
        <v>30</v>
      </c>
      <c r="O164" s="3" t="s">
        <v>141</v>
      </c>
      <c r="P164" s="180" t="s">
        <v>1367</v>
      </c>
      <c r="Q164" s="3" t="s">
        <v>664</v>
      </c>
      <c r="R164" s="3" t="s">
        <v>1482</v>
      </c>
      <c r="S164" s="3" t="s">
        <v>1393</v>
      </c>
      <c r="T164" s="178" t="s">
        <v>1394</v>
      </c>
      <c r="U164" s="162">
        <v>3.306</v>
      </c>
      <c r="V164" s="153">
        <v>65.430999999999997</v>
      </c>
      <c r="W164" s="153">
        <v>216.315</v>
      </c>
      <c r="X164" s="164">
        <v>4.3480000000000003E-3</v>
      </c>
      <c r="Y164" s="164">
        <v>4.7271951348769E-4</v>
      </c>
      <c r="Z164" s="164">
        <v>8.4648004152608806E-5</v>
      </c>
    </row>
    <row r="165" spans="1:26" hidden="1">
      <c r="A165" s="3">
        <v>424</v>
      </c>
      <c r="B165" s="3">
        <v>7228</v>
      </c>
      <c r="C165" s="3" t="s">
        <v>1740</v>
      </c>
      <c r="D165" s="3" t="s">
        <v>1741</v>
      </c>
      <c r="E165" s="3" t="s">
        <v>498</v>
      </c>
      <c r="F165" s="3" t="s">
        <v>1742</v>
      </c>
      <c r="G165" s="3">
        <v>50007160</v>
      </c>
      <c r="H165" s="3" t="s">
        <v>33</v>
      </c>
      <c r="I165" s="3" t="s">
        <v>1607</v>
      </c>
      <c r="J165" s="3" t="s">
        <v>1613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141</v>
      </c>
      <c r="P165" s="180" t="s">
        <v>1743</v>
      </c>
      <c r="Q165" s="3" t="s">
        <v>34</v>
      </c>
      <c r="R165" s="3" t="s">
        <v>498</v>
      </c>
      <c r="S165" s="3" t="s">
        <v>1393</v>
      </c>
      <c r="T165" s="178" t="s">
        <v>1394</v>
      </c>
      <c r="U165" s="162">
        <v>1</v>
      </c>
      <c r="V165" s="153">
        <v>1521.6759999999999</v>
      </c>
      <c r="W165" s="153">
        <v>1521.6759999999999</v>
      </c>
      <c r="X165" s="164">
        <v>1.5674E-2</v>
      </c>
      <c r="Y165" s="164">
        <v>3.3253650024756801E-3</v>
      </c>
      <c r="Z165" s="164">
        <v>5.95459892192142E-4</v>
      </c>
    </row>
    <row r="166" spans="1:26" hidden="1">
      <c r="A166" s="3">
        <v>424</v>
      </c>
      <c r="B166" s="3">
        <v>7228</v>
      </c>
      <c r="C166" s="3" t="s">
        <v>2028</v>
      </c>
      <c r="D166" s="3" t="s">
        <v>2029</v>
      </c>
      <c r="E166" s="3" t="s">
        <v>134</v>
      </c>
      <c r="F166" s="3" t="s">
        <v>2030</v>
      </c>
      <c r="G166" s="3">
        <v>9840947</v>
      </c>
      <c r="H166" s="3" t="s">
        <v>33</v>
      </c>
      <c r="I166" s="3" t="s">
        <v>1607</v>
      </c>
      <c r="J166" s="3" t="s">
        <v>1628</v>
      </c>
      <c r="K166" s="3" t="s">
        <v>572</v>
      </c>
      <c r="L166" s="3" t="s">
        <v>1619</v>
      </c>
      <c r="M166" s="3" t="s">
        <v>30</v>
      </c>
      <c r="N166" s="3" t="s">
        <v>224</v>
      </c>
      <c r="O166" s="3" t="s">
        <v>141</v>
      </c>
      <c r="P166" s="180" t="s">
        <v>1367</v>
      </c>
      <c r="Q166" s="3" t="s">
        <v>664</v>
      </c>
      <c r="R166" s="3" t="s">
        <v>1482</v>
      </c>
      <c r="S166" s="3" t="s">
        <v>1393</v>
      </c>
      <c r="T166" s="178" t="s">
        <v>1394</v>
      </c>
      <c r="U166" s="162">
        <v>3.306</v>
      </c>
      <c r="V166" s="153">
        <v>1E-3</v>
      </c>
      <c r="W166" s="153">
        <v>3.0000000000000001E-3</v>
      </c>
      <c r="X166" s="164">
        <v>1.4841999999999999E-2</v>
      </c>
      <c r="Y166" s="164">
        <v>6.7552486164168904E-9</v>
      </c>
      <c r="Z166" s="164">
        <v>1.209635516663E-9</v>
      </c>
    </row>
    <row r="167" spans="1:26" hidden="1">
      <c r="A167" s="3">
        <v>424</v>
      </c>
      <c r="B167" s="3">
        <v>7228</v>
      </c>
      <c r="C167" s="3" t="s">
        <v>1744</v>
      </c>
      <c r="D167" s="3" t="s">
        <v>1745</v>
      </c>
      <c r="E167" s="3" t="s">
        <v>651</v>
      </c>
      <c r="F167" s="3" t="s">
        <v>1746</v>
      </c>
      <c r="G167" s="3">
        <v>62022124</v>
      </c>
      <c r="H167" s="3" t="s">
        <v>33</v>
      </c>
      <c r="I167" s="3" t="s">
        <v>1607</v>
      </c>
      <c r="J167" s="3" t="s">
        <v>1613</v>
      </c>
      <c r="K167" s="3" t="s">
        <v>572</v>
      </c>
      <c r="L167" s="3" t="s">
        <v>1315</v>
      </c>
      <c r="M167" s="3" t="s">
        <v>1315</v>
      </c>
      <c r="N167" s="3" t="s">
        <v>1747</v>
      </c>
      <c r="O167" s="3" t="s">
        <v>141</v>
      </c>
      <c r="P167" s="180" t="s">
        <v>1748</v>
      </c>
      <c r="Q167" s="3" t="s">
        <v>576</v>
      </c>
      <c r="R167" s="3" t="s">
        <v>498</v>
      </c>
      <c r="S167" s="3" t="s">
        <v>1393</v>
      </c>
      <c r="T167" s="178" t="s">
        <v>1394</v>
      </c>
      <c r="U167" s="162">
        <v>3.8807</v>
      </c>
      <c r="V167" s="153">
        <v>828.63499999999999</v>
      </c>
      <c r="W167" s="153">
        <v>3215.683</v>
      </c>
      <c r="X167" s="164">
        <v>5.1400000000000003E-4</v>
      </c>
      <c r="Y167" s="164">
        <v>7.0273303310232297E-3</v>
      </c>
      <c r="Z167" s="164">
        <v>1.25835610773385E-3</v>
      </c>
    </row>
    <row r="168" spans="1:26" hidden="1">
      <c r="A168" s="3">
        <v>424</v>
      </c>
      <c r="B168" s="3">
        <v>7228</v>
      </c>
      <c r="C168" s="3" t="s">
        <v>1749</v>
      </c>
      <c r="D168" s="3" t="s">
        <v>1750</v>
      </c>
      <c r="E168" s="3" t="s">
        <v>33</v>
      </c>
      <c r="F168" s="3" t="s">
        <v>1751</v>
      </c>
      <c r="G168" s="3">
        <v>62020672</v>
      </c>
      <c r="H168" s="3" t="s">
        <v>33</v>
      </c>
      <c r="I168" s="3" t="s">
        <v>1607</v>
      </c>
      <c r="J168" s="3" t="s">
        <v>1613</v>
      </c>
      <c r="K168" s="3" t="s">
        <v>572</v>
      </c>
      <c r="L168" s="3" t="s">
        <v>224</v>
      </c>
      <c r="M168" s="3" t="s">
        <v>224</v>
      </c>
      <c r="N168" s="3" t="s">
        <v>224</v>
      </c>
      <c r="O168" s="3" t="s">
        <v>141</v>
      </c>
      <c r="P168" s="180" t="s">
        <v>1752</v>
      </c>
      <c r="Q168" s="3" t="s">
        <v>664</v>
      </c>
      <c r="R168" s="3" t="s">
        <v>498</v>
      </c>
      <c r="S168" s="3" t="s">
        <v>1393</v>
      </c>
      <c r="T168" s="178" t="s">
        <v>1394</v>
      </c>
      <c r="U168" s="162">
        <v>3.306</v>
      </c>
      <c r="V168" s="153">
        <v>1008.6420000000001</v>
      </c>
      <c r="W168" s="153">
        <v>3334.57</v>
      </c>
      <c r="X168" s="164">
        <v>2.5869999999999999E-3</v>
      </c>
      <c r="Y168" s="164">
        <v>7.2871373437433098E-3</v>
      </c>
      <c r="Z168" s="164">
        <v>1.30487871673162E-3</v>
      </c>
    </row>
    <row r="169" spans="1:26" hidden="1">
      <c r="A169" s="3">
        <v>424</v>
      </c>
      <c r="B169" s="3">
        <v>7228</v>
      </c>
      <c r="C169" s="3" t="s">
        <v>1753</v>
      </c>
      <c r="D169" s="3" t="s">
        <v>1754</v>
      </c>
      <c r="E169" s="3" t="s">
        <v>651</v>
      </c>
      <c r="F169" s="3" t="s">
        <v>1753</v>
      </c>
      <c r="G169" s="3">
        <v>62021365</v>
      </c>
      <c r="H169" s="3" t="s">
        <v>33</v>
      </c>
      <c r="I169" s="3" t="s">
        <v>1607</v>
      </c>
      <c r="J169" s="3" t="s">
        <v>1755</v>
      </c>
      <c r="K169" s="3" t="s">
        <v>572</v>
      </c>
      <c r="L169" s="3" t="s">
        <v>1315</v>
      </c>
      <c r="M169" s="3" t="s">
        <v>1315</v>
      </c>
      <c r="N169" s="3" t="s">
        <v>1120</v>
      </c>
      <c r="O169" s="3" t="s">
        <v>141</v>
      </c>
      <c r="P169" s="180" t="s">
        <v>1756</v>
      </c>
      <c r="Q169" s="3" t="s">
        <v>664</v>
      </c>
      <c r="R169" s="3" t="s">
        <v>1482</v>
      </c>
      <c r="S169" s="3" t="s">
        <v>1393</v>
      </c>
      <c r="T169" s="178" t="s">
        <v>1394</v>
      </c>
      <c r="U169" s="162">
        <v>3.306</v>
      </c>
      <c r="V169" s="153">
        <v>820.399</v>
      </c>
      <c r="W169" s="153">
        <v>2712.239</v>
      </c>
      <c r="X169" s="164">
        <v>0</v>
      </c>
      <c r="Y169" s="164">
        <v>5.9271386069565E-3</v>
      </c>
      <c r="Z169" s="164">
        <v>1.06134914912457E-3</v>
      </c>
    </row>
    <row r="170" spans="1:26" hidden="1">
      <c r="A170" s="3">
        <v>424</v>
      </c>
      <c r="B170" s="3">
        <v>7228</v>
      </c>
      <c r="C170" s="3" t="s">
        <v>1757</v>
      </c>
      <c r="D170" s="3" t="s">
        <v>1758</v>
      </c>
      <c r="E170" s="3" t="s">
        <v>492</v>
      </c>
      <c r="F170" s="3" t="s">
        <v>1757</v>
      </c>
      <c r="G170" s="3">
        <v>62020896</v>
      </c>
      <c r="H170" s="3" t="s">
        <v>33</v>
      </c>
      <c r="I170" s="3" t="s">
        <v>1607</v>
      </c>
      <c r="J170" s="3" t="s">
        <v>1637</v>
      </c>
      <c r="K170" s="3" t="s">
        <v>572</v>
      </c>
      <c r="L170" s="3" t="s">
        <v>566</v>
      </c>
      <c r="M170" s="3" t="s">
        <v>1759</v>
      </c>
      <c r="N170" s="3" t="s">
        <v>797</v>
      </c>
      <c r="O170" s="3" t="s">
        <v>141</v>
      </c>
      <c r="P170" s="180" t="s">
        <v>1760</v>
      </c>
      <c r="Q170" s="3" t="s">
        <v>664</v>
      </c>
      <c r="R170" s="3" t="s">
        <v>1482</v>
      </c>
      <c r="S170" s="3" t="s">
        <v>1393</v>
      </c>
      <c r="T170" s="178" t="s">
        <v>1394</v>
      </c>
      <c r="U170" s="162">
        <v>3.306</v>
      </c>
      <c r="V170" s="153">
        <v>860.98199999999997</v>
      </c>
      <c r="W170" s="153">
        <v>2846.4059999999999</v>
      </c>
      <c r="X170" s="164">
        <v>5.3000000000000001E-5</v>
      </c>
      <c r="Y170" s="164">
        <v>6.2203386884536298E-3</v>
      </c>
      <c r="Z170" s="164">
        <v>1.11385132220603E-3</v>
      </c>
    </row>
    <row r="171" spans="1:26">
      <c r="A171" s="3">
        <v>424</v>
      </c>
      <c r="B171" s="3">
        <v>7228</v>
      </c>
      <c r="C171" s="3" t="s">
        <v>1757</v>
      </c>
      <c r="D171" s="3" t="s">
        <v>1761</v>
      </c>
      <c r="E171" s="3" t="s">
        <v>33</v>
      </c>
      <c r="F171" s="3" t="s">
        <v>1762</v>
      </c>
      <c r="G171" s="3">
        <v>62022447</v>
      </c>
      <c r="H171" s="3" t="s">
        <v>33</v>
      </c>
      <c r="I171" s="3" t="s">
        <v>1607</v>
      </c>
      <c r="J171" s="3" t="s">
        <v>1613</v>
      </c>
      <c r="K171" s="3" t="s">
        <v>572</v>
      </c>
      <c r="L171" s="3" t="s">
        <v>1315</v>
      </c>
      <c r="M171" s="3" t="s">
        <v>1315</v>
      </c>
      <c r="N171" s="3" t="s">
        <v>1120</v>
      </c>
      <c r="O171" s="3" t="s">
        <v>141</v>
      </c>
      <c r="P171" s="180" t="s">
        <v>1390</v>
      </c>
      <c r="Q171" s="3" t="s">
        <v>664</v>
      </c>
      <c r="R171" s="3" t="s">
        <v>498</v>
      </c>
      <c r="S171" s="3" t="s">
        <v>1393</v>
      </c>
      <c r="T171" s="178" t="s">
        <v>1394</v>
      </c>
      <c r="U171" s="162">
        <v>3.306</v>
      </c>
      <c r="V171" s="153">
        <v>0.24</v>
      </c>
      <c r="W171" s="153">
        <v>0.79300000000000004</v>
      </c>
      <c r="X171" s="164">
        <v>0</v>
      </c>
      <c r="Y171" s="164">
        <v>1.7339286154429201E-6</v>
      </c>
      <c r="Z171" s="164">
        <v>3.1048770455328701E-7</v>
      </c>
    </row>
    <row r="172" spans="1:26" hidden="1">
      <c r="A172" s="3">
        <v>424</v>
      </c>
      <c r="B172" s="3">
        <v>7228</v>
      </c>
      <c r="C172" s="3" t="s">
        <v>1763</v>
      </c>
      <c r="D172" s="3" t="s">
        <v>1764</v>
      </c>
      <c r="E172" s="3" t="s">
        <v>651</v>
      </c>
      <c r="F172" s="3" t="s">
        <v>1763</v>
      </c>
      <c r="G172" s="3">
        <v>62019815</v>
      </c>
      <c r="H172" s="3" t="s">
        <v>33</v>
      </c>
      <c r="I172" s="3" t="s">
        <v>1607</v>
      </c>
      <c r="J172" s="3" t="s">
        <v>1637</v>
      </c>
      <c r="K172" s="3" t="s">
        <v>572</v>
      </c>
      <c r="L172" s="3" t="s">
        <v>566</v>
      </c>
      <c r="M172" s="3" t="s">
        <v>1759</v>
      </c>
      <c r="N172" s="3" t="s">
        <v>797</v>
      </c>
      <c r="O172" s="3" t="s">
        <v>141</v>
      </c>
      <c r="P172" s="180" t="s">
        <v>1765</v>
      </c>
      <c r="Q172" s="3" t="s">
        <v>664</v>
      </c>
      <c r="R172" s="3" t="s">
        <v>1482</v>
      </c>
      <c r="S172" s="3" t="s">
        <v>1393</v>
      </c>
      <c r="T172" s="178" t="s">
        <v>1394</v>
      </c>
      <c r="U172" s="162">
        <v>3.306</v>
      </c>
      <c r="V172" s="153">
        <v>2310.0050000000001</v>
      </c>
      <c r="W172" s="153">
        <v>7636.8760000000002</v>
      </c>
      <c r="X172" s="164">
        <v>8.7799999999999998E-4</v>
      </c>
      <c r="Y172" s="164">
        <v>1.6689098721439598E-2</v>
      </c>
      <c r="Z172" s="164">
        <v>2.9884505664954102E-3</v>
      </c>
    </row>
    <row r="173" spans="1:26" hidden="1">
      <c r="A173" s="3">
        <v>424</v>
      </c>
      <c r="B173" s="3">
        <v>7228</v>
      </c>
      <c r="C173" s="3" t="s">
        <v>1766</v>
      </c>
      <c r="D173" s="3" t="s">
        <v>1767</v>
      </c>
      <c r="E173" s="3" t="s">
        <v>492</v>
      </c>
      <c r="F173" s="3" t="s">
        <v>1768</v>
      </c>
      <c r="G173" s="3">
        <v>62019757</v>
      </c>
      <c r="H173" s="3" t="s">
        <v>33</v>
      </c>
      <c r="I173" s="3" t="s">
        <v>1607</v>
      </c>
      <c r="J173" s="3" t="s">
        <v>1618</v>
      </c>
      <c r="K173" s="3" t="s">
        <v>572</v>
      </c>
      <c r="L173" s="3" t="s">
        <v>1619</v>
      </c>
      <c r="M173" s="3" t="s">
        <v>1619</v>
      </c>
      <c r="N173" s="3" t="s">
        <v>942</v>
      </c>
      <c r="O173" s="3" t="s">
        <v>141</v>
      </c>
      <c r="P173" s="180" t="s">
        <v>1769</v>
      </c>
      <c r="Q173" s="3" t="s">
        <v>664</v>
      </c>
      <c r="R173" s="3" t="s">
        <v>1482</v>
      </c>
      <c r="S173" s="3" t="s">
        <v>1393</v>
      </c>
      <c r="T173" s="178" t="s">
        <v>1394</v>
      </c>
      <c r="U173" s="162">
        <v>3.306</v>
      </c>
      <c r="V173" s="153">
        <v>910.98099999999999</v>
      </c>
      <c r="W173" s="153">
        <v>3011.7040000000002</v>
      </c>
      <c r="X173" s="164">
        <v>0</v>
      </c>
      <c r="Y173" s="164">
        <v>6.5815677708880799E-3</v>
      </c>
      <c r="Z173" s="164">
        <v>1.17853517806034E-3</v>
      </c>
    </row>
    <row r="174" spans="1:26" hidden="1">
      <c r="A174" s="3">
        <v>424</v>
      </c>
      <c r="B174" s="3">
        <v>7228</v>
      </c>
      <c r="C174" s="3" t="s">
        <v>1770</v>
      </c>
      <c r="D174" s="3" t="s">
        <v>1771</v>
      </c>
      <c r="E174" s="3" t="s">
        <v>492</v>
      </c>
      <c r="F174" s="3" t="s">
        <v>1772</v>
      </c>
      <c r="G174" s="3">
        <v>62013909</v>
      </c>
      <c r="H174" s="3" t="s">
        <v>33</v>
      </c>
      <c r="I174" s="3" t="s">
        <v>1607</v>
      </c>
      <c r="J174" s="3" t="s">
        <v>1773</v>
      </c>
      <c r="K174" s="3" t="s">
        <v>572</v>
      </c>
      <c r="L174" s="3" t="s">
        <v>1619</v>
      </c>
      <c r="M174" s="3" t="s">
        <v>224</v>
      </c>
      <c r="N174" s="3" t="s">
        <v>224</v>
      </c>
      <c r="O174" s="3" t="s">
        <v>141</v>
      </c>
      <c r="P174" s="180" t="s">
        <v>1774</v>
      </c>
      <c r="Q174" s="3" t="s">
        <v>664</v>
      </c>
      <c r="R174" s="3" t="s">
        <v>1482</v>
      </c>
      <c r="S174" s="3" t="s">
        <v>1393</v>
      </c>
      <c r="T174" s="178" t="s">
        <v>1394</v>
      </c>
      <c r="U174" s="162">
        <v>3.306</v>
      </c>
      <c r="V174" s="153">
        <v>1104.0440000000001</v>
      </c>
      <c r="W174" s="153">
        <v>3649.9690000000001</v>
      </c>
      <c r="X174" s="164">
        <v>2.6667E-2</v>
      </c>
      <c r="Y174" s="164">
        <v>7.9763895179502595E-3</v>
      </c>
      <c r="Z174" s="164">
        <v>1.4283003636909499E-3</v>
      </c>
    </row>
    <row r="175" spans="1:26" hidden="1">
      <c r="A175" s="3">
        <v>424</v>
      </c>
      <c r="B175" s="3">
        <v>7228</v>
      </c>
      <c r="C175" s="3" t="s">
        <v>1775</v>
      </c>
      <c r="D175" s="3" t="s">
        <v>1776</v>
      </c>
      <c r="E175" s="3" t="s">
        <v>492</v>
      </c>
      <c r="F175" s="3" t="s">
        <v>1777</v>
      </c>
      <c r="G175" s="3">
        <v>62011226</v>
      </c>
      <c r="H175" s="3" t="s">
        <v>33</v>
      </c>
      <c r="I175" s="3" t="s">
        <v>1607</v>
      </c>
      <c r="J175" s="3" t="s">
        <v>1778</v>
      </c>
      <c r="K175" s="3" t="s">
        <v>572</v>
      </c>
      <c r="L175" s="3" t="s">
        <v>1619</v>
      </c>
      <c r="M175" s="3" t="s">
        <v>224</v>
      </c>
      <c r="N175" s="3" t="s">
        <v>224</v>
      </c>
      <c r="O175" s="3" t="s">
        <v>141</v>
      </c>
      <c r="P175" s="180" t="s">
        <v>1779</v>
      </c>
      <c r="Q175" s="3" t="s">
        <v>664</v>
      </c>
      <c r="R175" s="3" t="s">
        <v>1482</v>
      </c>
      <c r="S175" s="3" t="s">
        <v>1393</v>
      </c>
      <c r="T175" s="178" t="s">
        <v>1394</v>
      </c>
      <c r="U175" s="162">
        <v>3.306</v>
      </c>
      <c r="V175" s="153">
        <v>58.107999999999997</v>
      </c>
      <c r="W175" s="153">
        <v>192.10400000000001</v>
      </c>
      <c r="X175" s="164">
        <v>0</v>
      </c>
      <c r="Y175" s="164">
        <v>4.1981048847286497E-4</v>
      </c>
      <c r="Z175" s="164">
        <v>7.5173795364140902E-5</v>
      </c>
    </row>
    <row r="176" spans="1:26" hidden="1">
      <c r="A176" s="3">
        <v>424</v>
      </c>
      <c r="B176" s="3">
        <v>7228</v>
      </c>
      <c r="C176" s="3" t="s">
        <v>1780</v>
      </c>
      <c r="D176" s="3" t="s">
        <v>1781</v>
      </c>
      <c r="E176" s="3" t="s">
        <v>33</v>
      </c>
      <c r="F176" s="3" t="s">
        <v>1782</v>
      </c>
      <c r="G176" s="3">
        <v>62022348</v>
      </c>
      <c r="H176" s="3" t="s">
        <v>33</v>
      </c>
      <c r="I176" s="3" t="s">
        <v>1607</v>
      </c>
      <c r="J176" s="3" t="s">
        <v>1613</v>
      </c>
      <c r="K176" s="3" t="s">
        <v>572</v>
      </c>
      <c r="L176" s="3" t="s">
        <v>1619</v>
      </c>
      <c r="M176" s="3" t="s">
        <v>566</v>
      </c>
      <c r="N176" s="3" t="s">
        <v>797</v>
      </c>
      <c r="O176" s="3" t="s">
        <v>141</v>
      </c>
      <c r="P176" s="180" t="s">
        <v>1783</v>
      </c>
      <c r="Q176" s="3" t="s">
        <v>664</v>
      </c>
      <c r="R176" s="3" t="s">
        <v>498</v>
      </c>
      <c r="S176" s="3" t="s">
        <v>1393</v>
      </c>
      <c r="T176" s="178" t="s">
        <v>1394</v>
      </c>
      <c r="U176" s="162">
        <v>3.306</v>
      </c>
      <c r="V176" s="153">
        <v>459.74200000000002</v>
      </c>
      <c r="W176" s="153">
        <v>1519.9090000000001</v>
      </c>
      <c r="X176" s="164">
        <v>1.13E-4</v>
      </c>
      <c r="Y176" s="164">
        <v>3.3215026883348202E-3</v>
      </c>
      <c r="Z176" s="164">
        <v>5.9476828295218801E-4</v>
      </c>
    </row>
    <row r="177" spans="1:26" hidden="1">
      <c r="A177" s="3">
        <v>424</v>
      </c>
      <c r="B177" s="3">
        <v>7228</v>
      </c>
      <c r="C177" s="3" t="s">
        <v>1784</v>
      </c>
      <c r="D177" s="3" t="s">
        <v>1785</v>
      </c>
      <c r="E177" s="3" t="s">
        <v>492</v>
      </c>
      <c r="F177" s="3" t="s">
        <v>1786</v>
      </c>
      <c r="G177" s="3">
        <v>62022504</v>
      </c>
      <c r="H177" s="3" t="s">
        <v>33</v>
      </c>
      <c r="I177" s="3" t="s">
        <v>1607</v>
      </c>
      <c r="J177" s="3" t="s">
        <v>1613</v>
      </c>
      <c r="K177" s="3" t="s">
        <v>572</v>
      </c>
      <c r="L177" s="3" t="s">
        <v>566</v>
      </c>
      <c r="M177" s="3" t="s">
        <v>566</v>
      </c>
      <c r="N177" s="3" t="s">
        <v>797</v>
      </c>
      <c r="O177" s="3" t="s">
        <v>141</v>
      </c>
      <c r="P177" s="180" t="s">
        <v>1787</v>
      </c>
      <c r="Q177" s="3" t="s">
        <v>664</v>
      </c>
      <c r="R177" s="3" t="s">
        <v>498</v>
      </c>
      <c r="S177" s="3" t="s">
        <v>1393</v>
      </c>
      <c r="T177" s="178" t="s">
        <v>1394</v>
      </c>
      <c r="U177" s="162">
        <v>3.306</v>
      </c>
      <c r="V177" s="153">
        <v>389.13499999999999</v>
      </c>
      <c r="W177" s="153">
        <v>1286.479</v>
      </c>
      <c r="X177" s="164">
        <v>4.1E-5</v>
      </c>
      <c r="Y177" s="164">
        <v>2.8113824987103801E-3</v>
      </c>
      <c r="Z177" s="164">
        <v>5.03423088396804E-4</v>
      </c>
    </row>
    <row r="178" spans="1:26" hidden="1">
      <c r="A178" s="3">
        <v>424</v>
      </c>
      <c r="B178" s="3">
        <v>7228</v>
      </c>
      <c r="C178" s="3" t="s">
        <v>1788</v>
      </c>
      <c r="D178" s="3" t="s">
        <v>1789</v>
      </c>
      <c r="E178" s="3" t="s">
        <v>492</v>
      </c>
      <c r="F178" s="3" t="s">
        <v>1790</v>
      </c>
      <c r="G178" s="3">
        <v>60419041</v>
      </c>
      <c r="H178" s="3" t="s">
        <v>33</v>
      </c>
      <c r="I178" s="3" t="s">
        <v>1607</v>
      </c>
      <c r="J178" s="3" t="s">
        <v>1637</v>
      </c>
      <c r="K178" s="3" t="s">
        <v>572</v>
      </c>
      <c r="L178" s="3" t="s">
        <v>1619</v>
      </c>
      <c r="M178" s="3" t="s">
        <v>224</v>
      </c>
      <c r="N178" s="3" t="s">
        <v>797</v>
      </c>
      <c r="O178" s="3" t="s">
        <v>141</v>
      </c>
      <c r="P178" s="180" t="s">
        <v>1791</v>
      </c>
      <c r="Q178" s="3" t="s">
        <v>664</v>
      </c>
      <c r="R178" s="3" t="s">
        <v>1482</v>
      </c>
      <c r="S178" s="3" t="s">
        <v>1393</v>
      </c>
      <c r="T178" s="178" t="s">
        <v>1394</v>
      </c>
      <c r="U178" s="162">
        <v>3.306</v>
      </c>
      <c r="V178" s="153">
        <v>416.61399999999998</v>
      </c>
      <c r="W178" s="153">
        <v>1377.327</v>
      </c>
      <c r="X178" s="164">
        <v>2.5300000000000002E-4</v>
      </c>
      <c r="Y178" s="164">
        <v>3.0099149795292102E-3</v>
      </c>
      <c r="Z178" s="164">
        <v>5.3897351054204505E-4</v>
      </c>
    </row>
    <row r="179" spans="1:26" hidden="1">
      <c r="A179" s="3">
        <v>424</v>
      </c>
      <c r="B179" s="3">
        <v>7228</v>
      </c>
      <c r="C179" s="3" t="s">
        <v>1792</v>
      </c>
      <c r="D179" s="3" t="s">
        <v>1793</v>
      </c>
      <c r="E179" s="3" t="s">
        <v>492</v>
      </c>
      <c r="F179" s="3" t="s">
        <v>1794</v>
      </c>
      <c r="G179" s="3">
        <v>62016654</v>
      </c>
      <c r="H179" s="3" t="s">
        <v>33</v>
      </c>
      <c r="I179" s="3" t="s">
        <v>1607</v>
      </c>
      <c r="J179" s="3" t="s">
        <v>1637</v>
      </c>
      <c r="K179" s="3" t="s">
        <v>572</v>
      </c>
      <c r="L179" s="3" t="s">
        <v>1619</v>
      </c>
      <c r="M179" s="3" t="s">
        <v>224</v>
      </c>
      <c r="N179" s="3" t="s">
        <v>797</v>
      </c>
      <c r="O179" s="3" t="s">
        <v>141</v>
      </c>
      <c r="P179" s="180" t="s">
        <v>1795</v>
      </c>
      <c r="Q179" s="3" t="s">
        <v>664</v>
      </c>
      <c r="R179" s="3" t="s">
        <v>1482</v>
      </c>
      <c r="S179" s="3" t="s">
        <v>1393</v>
      </c>
      <c r="T179" s="178" t="s">
        <v>1394</v>
      </c>
      <c r="U179" s="162">
        <v>3.306</v>
      </c>
      <c r="V179" s="153">
        <v>1989.789</v>
      </c>
      <c r="W179" s="153">
        <v>6578.2430000000004</v>
      </c>
      <c r="X179" s="164">
        <v>3.1700000000000001E-4</v>
      </c>
      <c r="Y179" s="164">
        <v>1.4375634395215E-2</v>
      </c>
      <c r="Z179" s="164">
        <v>2.5741877059497101E-3</v>
      </c>
    </row>
    <row r="180" spans="1:26" hidden="1">
      <c r="A180" s="3">
        <v>424</v>
      </c>
      <c r="B180" s="3">
        <v>7228</v>
      </c>
      <c r="C180" s="3" t="s">
        <v>1796</v>
      </c>
      <c r="D180" s="3" t="s">
        <v>1797</v>
      </c>
      <c r="E180" s="3" t="s">
        <v>651</v>
      </c>
      <c r="F180" s="3" t="s">
        <v>1798</v>
      </c>
      <c r="G180" s="3">
        <v>62021241</v>
      </c>
      <c r="H180" s="3" t="s">
        <v>33</v>
      </c>
      <c r="I180" s="3" t="s">
        <v>1607</v>
      </c>
      <c r="J180" s="3" t="s">
        <v>1637</v>
      </c>
      <c r="K180" s="3" t="s">
        <v>572</v>
      </c>
      <c r="L180" s="3" t="s">
        <v>1619</v>
      </c>
      <c r="M180" s="3" t="s">
        <v>224</v>
      </c>
      <c r="N180" s="3" t="s">
        <v>797</v>
      </c>
      <c r="O180" s="3" t="s">
        <v>141</v>
      </c>
      <c r="P180" s="180" t="s">
        <v>1799</v>
      </c>
      <c r="Q180" s="3" t="s">
        <v>664</v>
      </c>
      <c r="R180" s="3" t="s">
        <v>498</v>
      </c>
      <c r="S180" s="3" t="s">
        <v>1393</v>
      </c>
      <c r="T180" s="178" t="s">
        <v>1394</v>
      </c>
      <c r="U180" s="162">
        <v>3.306</v>
      </c>
      <c r="V180" s="153">
        <v>785.94500000000005</v>
      </c>
      <c r="W180" s="153">
        <v>2598.3339999999998</v>
      </c>
      <c r="X180" s="164">
        <v>0</v>
      </c>
      <c r="Y180" s="164">
        <v>5.6782193771131003E-3</v>
      </c>
      <c r="Z180" s="164">
        <v>1.0167761721260301E-3</v>
      </c>
    </row>
    <row r="181" spans="1:26" hidden="1">
      <c r="A181" s="3">
        <v>424</v>
      </c>
      <c r="B181" s="3">
        <v>7228</v>
      </c>
      <c r="C181" s="3" t="s">
        <v>1800</v>
      </c>
      <c r="D181" s="3" t="s">
        <v>1801</v>
      </c>
      <c r="E181" s="3" t="s">
        <v>651</v>
      </c>
      <c r="F181" s="3" t="s">
        <v>1802</v>
      </c>
      <c r="G181" s="3">
        <v>62018064</v>
      </c>
      <c r="H181" s="3" t="s">
        <v>33</v>
      </c>
      <c r="I181" s="3" t="s">
        <v>1607</v>
      </c>
      <c r="J181" s="3" t="s">
        <v>1628</v>
      </c>
      <c r="K181" s="3" t="s">
        <v>572</v>
      </c>
      <c r="L181" s="3" t="s">
        <v>1619</v>
      </c>
      <c r="M181" s="3" t="s">
        <v>224</v>
      </c>
      <c r="N181" s="3" t="s">
        <v>1803</v>
      </c>
      <c r="O181" s="3" t="s">
        <v>141</v>
      </c>
      <c r="P181" s="180" t="s">
        <v>1554</v>
      </c>
      <c r="Q181" s="3" t="s">
        <v>664</v>
      </c>
      <c r="R181" s="3" t="s">
        <v>498</v>
      </c>
      <c r="S181" s="3" t="s">
        <v>1393</v>
      </c>
      <c r="T181" s="178" t="s">
        <v>1394</v>
      </c>
      <c r="U181" s="162">
        <v>3.306</v>
      </c>
      <c r="V181" s="153">
        <v>17.327000000000002</v>
      </c>
      <c r="W181" s="153">
        <v>57.283000000000001</v>
      </c>
      <c r="X181" s="164">
        <v>8.7699999999999996E-4</v>
      </c>
      <c r="Y181" s="164">
        <v>1.25183226417145E-4</v>
      </c>
      <c r="Z181" s="164">
        <v>2.2416062733300702E-5</v>
      </c>
    </row>
    <row r="182" spans="1:26" hidden="1">
      <c r="A182" s="3">
        <v>424</v>
      </c>
      <c r="B182" s="3">
        <v>7228</v>
      </c>
      <c r="C182" s="3" t="s">
        <v>1800</v>
      </c>
      <c r="D182" s="3" t="s">
        <v>1801</v>
      </c>
      <c r="E182" s="3" t="s">
        <v>651</v>
      </c>
      <c r="F182" s="3" t="s">
        <v>1804</v>
      </c>
      <c r="G182" s="3">
        <v>62021340</v>
      </c>
      <c r="H182" s="3" t="s">
        <v>33</v>
      </c>
      <c r="I182" s="3" t="s">
        <v>1607</v>
      </c>
      <c r="J182" s="3" t="s">
        <v>1805</v>
      </c>
      <c r="K182" s="3" t="s">
        <v>572</v>
      </c>
      <c r="L182" s="3" t="s">
        <v>1619</v>
      </c>
      <c r="M182" s="3" t="s">
        <v>224</v>
      </c>
      <c r="N182" s="3" t="s">
        <v>1803</v>
      </c>
      <c r="O182" s="3" t="s">
        <v>141</v>
      </c>
      <c r="P182" s="180" t="s">
        <v>1806</v>
      </c>
      <c r="Q182" s="3" t="s">
        <v>664</v>
      </c>
      <c r="R182" s="3" t="s">
        <v>1482</v>
      </c>
      <c r="S182" s="3" t="s">
        <v>1393</v>
      </c>
      <c r="T182" s="178" t="s">
        <v>1394</v>
      </c>
      <c r="U182" s="162">
        <v>3.306</v>
      </c>
      <c r="V182" s="153">
        <v>1395.9780000000001</v>
      </c>
      <c r="W182" s="153">
        <v>4615.1019999999999</v>
      </c>
      <c r="X182" s="164">
        <v>4.2099999999999999E-4</v>
      </c>
      <c r="Y182" s="164">
        <v>1.0085523236495701E-2</v>
      </c>
      <c r="Z182" s="164">
        <v>1.8059745545628901E-3</v>
      </c>
    </row>
    <row r="183" spans="1:26" hidden="1">
      <c r="A183" s="3">
        <v>424</v>
      </c>
      <c r="B183" s="3">
        <v>7228</v>
      </c>
      <c r="C183" s="3" t="s">
        <v>1807</v>
      </c>
      <c r="D183" s="3" t="s">
        <v>1808</v>
      </c>
      <c r="E183" s="3" t="s">
        <v>492</v>
      </c>
      <c r="F183" s="3" t="s">
        <v>1809</v>
      </c>
      <c r="G183" s="3">
        <v>62018908</v>
      </c>
      <c r="H183" s="3" t="s">
        <v>33</v>
      </c>
      <c r="I183" s="3" t="s">
        <v>1607</v>
      </c>
      <c r="J183" s="3" t="s">
        <v>1628</v>
      </c>
      <c r="K183" s="3" t="s">
        <v>572</v>
      </c>
      <c r="L183" s="3" t="s">
        <v>1315</v>
      </c>
      <c r="M183" s="3" t="s">
        <v>1315</v>
      </c>
      <c r="N183" s="3" t="s">
        <v>797</v>
      </c>
      <c r="O183" s="3" t="s">
        <v>141</v>
      </c>
      <c r="P183" s="180" t="s">
        <v>2031</v>
      </c>
      <c r="Q183" s="3" t="s">
        <v>664</v>
      </c>
      <c r="R183" s="3" t="s">
        <v>1482</v>
      </c>
      <c r="S183" s="3" t="s">
        <v>1393</v>
      </c>
      <c r="T183" s="178" t="s">
        <v>1394</v>
      </c>
      <c r="U183" s="162">
        <v>3.306</v>
      </c>
      <c r="V183" s="153">
        <v>3631.38</v>
      </c>
      <c r="W183" s="153">
        <v>12005.343999999999</v>
      </c>
      <c r="X183" s="164">
        <v>1.8200000000000001E-4</v>
      </c>
      <c r="Y183" s="164">
        <v>2.6235643173943099E-2</v>
      </c>
      <c r="Z183" s="164">
        <v>4.6979123327265098E-3</v>
      </c>
    </row>
    <row r="184" spans="1:26" hidden="1">
      <c r="A184" s="3">
        <v>424</v>
      </c>
      <c r="B184" s="3">
        <v>7228</v>
      </c>
      <c r="C184" s="3" t="s">
        <v>1811</v>
      </c>
      <c r="D184" s="3" t="s">
        <v>1812</v>
      </c>
      <c r="E184" s="3" t="s">
        <v>492</v>
      </c>
      <c r="F184" s="3" t="s">
        <v>1813</v>
      </c>
      <c r="G184" s="3">
        <v>62019559</v>
      </c>
      <c r="H184" s="3" t="s">
        <v>33</v>
      </c>
      <c r="I184" s="3" t="s">
        <v>1607</v>
      </c>
      <c r="J184" s="3" t="s">
        <v>1773</v>
      </c>
      <c r="K184" s="3" t="s">
        <v>572</v>
      </c>
      <c r="L184" s="3" t="s">
        <v>224</v>
      </c>
      <c r="M184" s="3" t="s">
        <v>224</v>
      </c>
      <c r="N184" s="3" t="s">
        <v>224</v>
      </c>
      <c r="O184" s="3" t="s">
        <v>141</v>
      </c>
      <c r="P184" s="180" t="s">
        <v>1814</v>
      </c>
      <c r="Q184" s="3" t="s">
        <v>664</v>
      </c>
      <c r="R184" s="3" t="s">
        <v>1482</v>
      </c>
      <c r="S184" s="3" t="s">
        <v>1393</v>
      </c>
      <c r="T184" s="178" t="s">
        <v>1394</v>
      </c>
      <c r="U184" s="162">
        <v>3.306</v>
      </c>
      <c r="V184" s="153">
        <v>3734.1759999999999</v>
      </c>
      <c r="W184" s="153">
        <v>12345.184999999999</v>
      </c>
      <c r="X184" s="164">
        <v>6.4289999999999998E-3</v>
      </c>
      <c r="Y184" s="164">
        <v>2.6978308033036399E-2</v>
      </c>
      <c r="Z184" s="164">
        <v>4.8308983768453901E-3</v>
      </c>
    </row>
    <row r="185" spans="1:26" hidden="1">
      <c r="A185" s="3">
        <v>424</v>
      </c>
      <c r="B185" s="3">
        <v>7228</v>
      </c>
      <c r="C185" s="3" t="s">
        <v>1815</v>
      </c>
      <c r="D185" s="3" t="s">
        <v>1816</v>
      </c>
      <c r="E185" s="3" t="s">
        <v>651</v>
      </c>
      <c r="F185" s="3" t="s">
        <v>1817</v>
      </c>
      <c r="G185" s="3">
        <v>62020946</v>
      </c>
      <c r="H185" s="3" t="s">
        <v>33</v>
      </c>
      <c r="I185" s="3" t="s">
        <v>1607</v>
      </c>
      <c r="J185" s="3" t="s">
        <v>1773</v>
      </c>
      <c r="K185" s="3" t="s">
        <v>572</v>
      </c>
      <c r="L185" s="3" t="s">
        <v>224</v>
      </c>
      <c r="M185" s="3" t="s">
        <v>224</v>
      </c>
      <c r="N185" s="3" t="s">
        <v>224</v>
      </c>
      <c r="O185" s="3" t="s">
        <v>141</v>
      </c>
      <c r="P185" s="180" t="s">
        <v>1818</v>
      </c>
      <c r="Q185" s="3" t="s">
        <v>664</v>
      </c>
      <c r="R185" s="3" t="s">
        <v>1482</v>
      </c>
      <c r="S185" s="3" t="s">
        <v>1393</v>
      </c>
      <c r="T185" s="178" t="s">
        <v>1394</v>
      </c>
      <c r="U185" s="162">
        <v>3.306</v>
      </c>
      <c r="V185" s="153">
        <v>2762.364</v>
      </c>
      <c r="W185" s="153">
        <v>9132.3760000000002</v>
      </c>
      <c r="X185" s="164">
        <v>3.4199999999999999E-3</v>
      </c>
      <c r="Y185" s="164">
        <v>1.99572601416006E-2</v>
      </c>
      <c r="Z185" s="164">
        <v>3.57366724059486E-3</v>
      </c>
    </row>
    <row r="186" spans="1:26" hidden="1">
      <c r="A186" s="3">
        <v>424</v>
      </c>
      <c r="B186" s="3">
        <v>7228</v>
      </c>
      <c r="C186" s="3" t="s">
        <v>1819</v>
      </c>
      <c r="D186" s="3" t="s">
        <v>1820</v>
      </c>
      <c r="E186" s="3" t="s">
        <v>366</v>
      </c>
      <c r="F186" s="3" t="s">
        <v>1821</v>
      </c>
      <c r="G186" s="3">
        <v>62021431</v>
      </c>
      <c r="H186" s="3" t="s">
        <v>33</v>
      </c>
      <c r="I186" s="3" t="s">
        <v>1607</v>
      </c>
      <c r="J186" s="3" t="s">
        <v>1675</v>
      </c>
      <c r="K186" s="3" t="s">
        <v>30</v>
      </c>
      <c r="L186" s="3" t="s">
        <v>1619</v>
      </c>
      <c r="M186" s="3" t="s">
        <v>30</v>
      </c>
      <c r="N186" s="3" t="s">
        <v>30</v>
      </c>
      <c r="O186" s="3" t="s">
        <v>141</v>
      </c>
      <c r="P186" s="180" t="s">
        <v>1822</v>
      </c>
      <c r="Q186" s="3" t="s">
        <v>664</v>
      </c>
      <c r="R186" s="3" t="s">
        <v>1482</v>
      </c>
      <c r="S186" s="3" t="s">
        <v>1393</v>
      </c>
      <c r="T186" s="178" t="s">
        <v>1394</v>
      </c>
      <c r="U186" s="162">
        <v>3.306</v>
      </c>
      <c r="V186" s="153">
        <v>557.52499999999998</v>
      </c>
      <c r="W186" s="153">
        <v>1843.1769999999999</v>
      </c>
      <c r="X186" s="164">
        <v>4.8700000000000002E-4</v>
      </c>
      <c r="Y186" s="164">
        <v>4.0279514591212203E-3</v>
      </c>
      <c r="Z186" s="164">
        <v>7.21269256102073E-4</v>
      </c>
    </row>
    <row r="187" spans="1:26" hidden="1">
      <c r="A187" s="3">
        <v>424</v>
      </c>
      <c r="B187" s="3">
        <v>7228</v>
      </c>
      <c r="C187" s="3" t="s">
        <v>1823</v>
      </c>
      <c r="D187" s="3" t="s">
        <v>1824</v>
      </c>
      <c r="E187" s="3" t="s">
        <v>651</v>
      </c>
      <c r="F187" s="3" t="s">
        <v>1825</v>
      </c>
      <c r="G187" s="3">
        <v>62021662</v>
      </c>
      <c r="H187" s="3" t="s">
        <v>33</v>
      </c>
      <c r="I187" s="3" t="s">
        <v>1607</v>
      </c>
      <c r="J187" s="3" t="s">
        <v>1613</v>
      </c>
      <c r="K187" s="3" t="s">
        <v>572</v>
      </c>
      <c r="L187" s="3" t="s">
        <v>1619</v>
      </c>
      <c r="M187" s="3" t="s">
        <v>224</v>
      </c>
      <c r="N187" s="3" t="s">
        <v>797</v>
      </c>
      <c r="O187" s="3" t="s">
        <v>141</v>
      </c>
      <c r="P187" s="180" t="s">
        <v>1826</v>
      </c>
      <c r="Q187" s="3" t="s">
        <v>664</v>
      </c>
      <c r="R187" s="3" t="s">
        <v>498</v>
      </c>
      <c r="S187" s="3" t="s">
        <v>1393</v>
      </c>
      <c r="T187" s="178" t="s">
        <v>1394</v>
      </c>
      <c r="U187" s="162">
        <v>3.306</v>
      </c>
      <c r="V187" s="153">
        <v>1948.886</v>
      </c>
      <c r="W187" s="153">
        <v>6443.0169999999998</v>
      </c>
      <c r="X187" s="164">
        <v>0</v>
      </c>
      <c r="Y187" s="164">
        <v>1.40801224013974E-2</v>
      </c>
      <c r="Z187" s="164">
        <v>2.5212715479192198E-3</v>
      </c>
    </row>
    <row r="188" spans="1:26" hidden="1">
      <c r="A188" s="3">
        <v>424</v>
      </c>
      <c r="B188" s="3">
        <v>7228</v>
      </c>
      <c r="C188" s="3" t="s">
        <v>1827</v>
      </c>
      <c r="D188" s="3" t="s">
        <v>1828</v>
      </c>
      <c r="E188" s="3" t="s">
        <v>651</v>
      </c>
      <c r="F188" s="3" t="s">
        <v>1829</v>
      </c>
      <c r="G188" s="3">
        <v>62003800</v>
      </c>
      <c r="H188" s="3" t="s">
        <v>33</v>
      </c>
      <c r="I188" s="3" t="s">
        <v>1607</v>
      </c>
      <c r="J188" s="3" t="s">
        <v>1830</v>
      </c>
      <c r="K188" s="3" t="s">
        <v>572</v>
      </c>
      <c r="L188" s="3" t="s">
        <v>1619</v>
      </c>
      <c r="M188" s="3" t="s">
        <v>224</v>
      </c>
      <c r="N188" s="3" t="s">
        <v>797</v>
      </c>
      <c r="O188" s="3" t="s">
        <v>141</v>
      </c>
      <c r="P188" s="180" t="s">
        <v>2032</v>
      </c>
      <c r="Q188" s="3" t="s">
        <v>664</v>
      </c>
      <c r="R188" s="3" t="s">
        <v>498</v>
      </c>
      <c r="S188" s="3" t="s">
        <v>1393</v>
      </c>
      <c r="T188" s="178" t="s">
        <v>1394</v>
      </c>
      <c r="U188" s="162">
        <v>3.306</v>
      </c>
      <c r="V188" s="153">
        <v>2133.4650000000001</v>
      </c>
      <c r="W188" s="153">
        <v>7053.2340000000004</v>
      </c>
      <c r="X188" s="164">
        <v>6.3E-3</v>
      </c>
      <c r="Y188" s="164">
        <v>1.5413648322512701E-2</v>
      </c>
      <c r="Z188" s="164">
        <v>2.7600607336572E-3</v>
      </c>
    </row>
    <row r="189" spans="1:26" hidden="1">
      <c r="A189" s="3">
        <v>424</v>
      </c>
      <c r="B189" s="3">
        <v>7228</v>
      </c>
      <c r="C189" s="3" t="s">
        <v>1827</v>
      </c>
      <c r="D189" s="3" t="s">
        <v>1828</v>
      </c>
      <c r="E189" s="3" t="s">
        <v>651</v>
      </c>
      <c r="F189" s="3" t="s">
        <v>1832</v>
      </c>
      <c r="G189" s="3">
        <v>620101031</v>
      </c>
      <c r="H189" s="3" t="s">
        <v>33</v>
      </c>
      <c r="I189" s="3" t="s">
        <v>1607</v>
      </c>
      <c r="J189" s="3" t="s">
        <v>1613</v>
      </c>
      <c r="K189" s="3" t="s">
        <v>572</v>
      </c>
      <c r="L189" s="3" t="s">
        <v>1619</v>
      </c>
      <c r="M189" s="3" t="s">
        <v>224</v>
      </c>
      <c r="N189" s="3" t="s">
        <v>224</v>
      </c>
      <c r="O189" s="3" t="s">
        <v>141</v>
      </c>
      <c r="P189" s="180" t="s">
        <v>1668</v>
      </c>
      <c r="Q189" s="3" t="s">
        <v>664</v>
      </c>
      <c r="R189" s="3" t="s">
        <v>498</v>
      </c>
      <c r="S189" s="3" t="s">
        <v>1393</v>
      </c>
      <c r="T189" s="178" t="s">
        <v>1394</v>
      </c>
      <c r="U189" s="162">
        <v>3.306</v>
      </c>
      <c r="V189" s="153">
        <v>1456.4760000000001</v>
      </c>
      <c r="W189" s="153">
        <v>4815.1090000000004</v>
      </c>
      <c r="X189" s="164">
        <v>0</v>
      </c>
      <c r="Y189" s="164">
        <v>1.0522603399585301E-2</v>
      </c>
      <c r="Z189" s="164">
        <v>1.88424076191123E-3</v>
      </c>
    </row>
    <row r="190" spans="1:26" hidden="1">
      <c r="A190" s="3">
        <v>424</v>
      </c>
      <c r="B190" s="3">
        <v>7228</v>
      </c>
      <c r="C190" s="3" t="s">
        <v>1827</v>
      </c>
      <c r="D190" s="3" t="s">
        <v>1828</v>
      </c>
      <c r="E190" s="3" t="s">
        <v>651</v>
      </c>
      <c r="F190" s="3" t="s">
        <v>1833</v>
      </c>
      <c r="G190" s="3">
        <v>62014857</v>
      </c>
      <c r="H190" s="3" t="s">
        <v>33</v>
      </c>
      <c r="I190" s="3" t="s">
        <v>1607</v>
      </c>
      <c r="J190" s="3" t="s">
        <v>1830</v>
      </c>
      <c r="K190" s="3" t="s">
        <v>572</v>
      </c>
      <c r="L190" s="3" t="s">
        <v>1619</v>
      </c>
      <c r="M190" s="3" t="s">
        <v>224</v>
      </c>
      <c r="N190" s="3" t="s">
        <v>797</v>
      </c>
      <c r="O190" s="3" t="s">
        <v>141</v>
      </c>
      <c r="P190" s="180" t="s">
        <v>1834</v>
      </c>
      <c r="Q190" s="3" t="s">
        <v>664</v>
      </c>
      <c r="R190" s="3" t="s">
        <v>1482</v>
      </c>
      <c r="S190" s="3" t="s">
        <v>1393</v>
      </c>
      <c r="T190" s="178" t="s">
        <v>1394</v>
      </c>
      <c r="U190" s="162">
        <v>3.306</v>
      </c>
      <c r="V190" s="153">
        <v>1545.6849999999999</v>
      </c>
      <c r="W190" s="153">
        <v>5110.0349999999999</v>
      </c>
      <c r="X190" s="164">
        <v>1.846E-3</v>
      </c>
      <c r="Y190" s="164">
        <v>1.1167115828110899E-2</v>
      </c>
      <c r="Z190" s="164">
        <v>1.9996510404582798E-3</v>
      </c>
    </row>
    <row r="191" spans="1:26" hidden="1">
      <c r="A191" s="3">
        <v>424</v>
      </c>
      <c r="B191" s="3">
        <v>7228</v>
      </c>
      <c r="C191" s="3" t="s">
        <v>1827</v>
      </c>
      <c r="D191" s="3" t="s">
        <v>1828</v>
      </c>
      <c r="E191" s="3" t="s">
        <v>651</v>
      </c>
      <c r="F191" s="3" t="s">
        <v>1835</v>
      </c>
      <c r="G191" s="3">
        <v>62019476</v>
      </c>
      <c r="H191" s="3" t="s">
        <v>33</v>
      </c>
      <c r="I191" s="3" t="s">
        <v>1607</v>
      </c>
      <c r="J191" s="3" t="s">
        <v>1830</v>
      </c>
      <c r="K191" s="3" t="s">
        <v>572</v>
      </c>
      <c r="L191" s="3" t="s">
        <v>1619</v>
      </c>
      <c r="M191" s="3" t="s">
        <v>224</v>
      </c>
      <c r="N191" s="3" t="s">
        <v>797</v>
      </c>
      <c r="O191" s="3" t="s">
        <v>141</v>
      </c>
      <c r="P191" s="180" t="s">
        <v>1728</v>
      </c>
      <c r="Q191" s="3" t="s">
        <v>664</v>
      </c>
      <c r="R191" s="3" t="s">
        <v>498</v>
      </c>
      <c r="S191" s="3" t="s">
        <v>1393</v>
      </c>
      <c r="T191" s="178" t="s">
        <v>1394</v>
      </c>
      <c r="U191" s="162">
        <v>3.306</v>
      </c>
      <c r="V191" s="153">
        <v>1410.117</v>
      </c>
      <c r="W191" s="153">
        <v>4661.8459999999995</v>
      </c>
      <c r="X191" s="164">
        <v>1.2769999999999999E-3</v>
      </c>
      <c r="Y191" s="164">
        <v>1.0187674386702299E-2</v>
      </c>
      <c r="Z191" s="164">
        <v>1.8242663549649699E-3</v>
      </c>
    </row>
    <row r="192" spans="1:26" hidden="1">
      <c r="A192" s="3">
        <v>424</v>
      </c>
      <c r="B192" s="3">
        <v>7228</v>
      </c>
      <c r="C192" s="3" t="s">
        <v>1836</v>
      </c>
      <c r="D192" s="3" t="s">
        <v>1837</v>
      </c>
      <c r="E192" s="3" t="s">
        <v>33</v>
      </c>
      <c r="F192" s="3" t="s">
        <v>1838</v>
      </c>
      <c r="G192" s="3">
        <v>62022074</v>
      </c>
      <c r="H192" s="3" t="s">
        <v>33</v>
      </c>
      <c r="I192" s="3" t="s">
        <v>1607</v>
      </c>
      <c r="J192" s="3" t="s">
        <v>1613</v>
      </c>
      <c r="K192" s="3" t="s">
        <v>572</v>
      </c>
      <c r="L192" s="3" t="s">
        <v>1619</v>
      </c>
      <c r="M192" s="3" t="s">
        <v>224</v>
      </c>
      <c r="N192" s="3" t="s">
        <v>797</v>
      </c>
      <c r="O192" s="3" t="s">
        <v>141</v>
      </c>
      <c r="P192" s="180" t="s">
        <v>1839</v>
      </c>
      <c r="Q192" s="3" t="s">
        <v>664</v>
      </c>
      <c r="R192" s="3" t="s">
        <v>498</v>
      </c>
      <c r="S192" s="3" t="s">
        <v>1393</v>
      </c>
      <c r="T192" s="178" t="s">
        <v>1394</v>
      </c>
      <c r="U192" s="162">
        <v>3.306</v>
      </c>
      <c r="V192" s="153">
        <v>374.00700000000001</v>
      </c>
      <c r="W192" s="153">
        <v>1236.4680000000001</v>
      </c>
      <c r="X192" s="164">
        <v>2.72E-4</v>
      </c>
      <c r="Y192" s="164">
        <v>2.7020903434415199E-3</v>
      </c>
      <c r="Z192" s="164">
        <v>4.8385257660474898E-4</v>
      </c>
    </row>
    <row r="193" spans="1:26" hidden="1">
      <c r="A193" s="3">
        <v>424</v>
      </c>
      <c r="B193" s="3">
        <v>7228</v>
      </c>
      <c r="C193" s="3" t="s">
        <v>1827</v>
      </c>
      <c r="D193" s="3" t="s">
        <v>1828</v>
      </c>
      <c r="E193" s="3" t="s">
        <v>651</v>
      </c>
      <c r="F193" s="3" t="s">
        <v>1840</v>
      </c>
      <c r="G193" s="3">
        <v>62020458</v>
      </c>
      <c r="H193" s="3" t="s">
        <v>33</v>
      </c>
      <c r="I193" s="3" t="s">
        <v>1607</v>
      </c>
      <c r="J193" s="3" t="s">
        <v>1731</v>
      </c>
      <c r="K193" s="3" t="s">
        <v>572</v>
      </c>
      <c r="L193" s="3" t="s">
        <v>1619</v>
      </c>
      <c r="M193" s="3" t="s">
        <v>224</v>
      </c>
      <c r="N193" s="3" t="s">
        <v>797</v>
      </c>
      <c r="O193" s="3" t="s">
        <v>141</v>
      </c>
      <c r="P193" s="180" t="s">
        <v>1841</v>
      </c>
      <c r="Q193" s="3" t="s">
        <v>664</v>
      </c>
      <c r="R193" s="3" t="s">
        <v>498</v>
      </c>
      <c r="S193" s="3" t="s">
        <v>1393</v>
      </c>
      <c r="T193" s="178" t="s">
        <v>1394</v>
      </c>
      <c r="U193" s="162">
        <v>3.306</v>
      </c>
      <c r="V193" s="153">
        <v>1141.385</v>
      </c>
      <c r="W193" s="153">
        <v>3773.4189999999999</v>
      </c>
      <c r="X193" s="164">
        <v>5.0000000000000001E-4</v>
      </c>
      <c r="Y193" s="164">
        <v>8.2461678588757401E-3</v>
      </c>
      <c r="Z193" s="164">
        <v>1.47660849879302E-3</v>
      </c>
    </row>
    <row r="194" spans="1:26" hidden="1">
      <c r="A194" s="3">
        <v>424</v>
      </c>
      <c r="B194" s="3">
        <v>7228</v>
      </c>
      <c r="C194" s="3" t="s">
        <v>1827</v>
      </c>
      <c r="D194" s="3" t="s">
        <v>1828</v>
      </c>
      <c r="E194" s="3" t="s">
        <v>651</v>
      </c>
      <c r="F194" s="3" t="s">
        <v>1842</v>
      </c>
      <c r="G194" s="3">
        <v>62017678</v>
      </c>
      <c r="H194" s="3" t="s">
        <v>33</v>
      </c>
      <c r="I194" s="3" t="s">
        <v>1607</v>
      </c>
      <c r="J194" s="3" t="s">
        <v>1731</v>
      </c>
      <c r="K194" s="3" t="s">
        <v>572</v>
      </c>
      <c r="L194" s="3" t="s">
        <v>1619</v>
      </c>
      <c r="M194" s="3" t="s">
        <v>224</v>
      </c>
      <c r="N194" s="3" t="s">
        <v>797</v>
      </c>
      <c r="O194" s="3" t="s">
        <v>141</v>
      </c>
      <c r="P194" s="180" t="s">
        <v>1843</v>
      </c>
      <c r="Q194" s="3" t="s">
        <v>664</v>
      </c>
      <c r="R194" s="3" t="s">
        <v>498</v>
      </c>
      <c r="S194" s="3" t="s">
        <v>1393</v>
      </c>
      <c r="T194" s="178" t="s">
        <v>1394</v>
      </c>
      <c r="U194" s="162">
        <v>3.306</v>
      </c>
      <c r="V194" s="153">
        <v>2529.52</v>
      </c>
      <c r="W194" s="153">
        <v>8362.5939999999991</v>
      </c>
      <c r="X194" s="164">
        <v>4.8500000000000001E-3</v>
      </c>
      <c r="Y194" s="164">
        <v>1.8275032592691299E-2</v>
      </c>
      <c r="Z194" s="164">
        <v>3.2724374405066199E-3</v>
      </c>
    </row>
    <row r="195" spans="1:26" hidden="1">
      <c r="A195" s="3">
        <v>424</v>
      </c>
      <c r="B195" s="3">
        <v>7228</v>
      </c>
      <c r="C195" s="3" t="s">
        <v>1827</v>
      </c>
      <c r="D195" s="3" t="s">
        <v>1828</v>
      </c>
      <c r="E195" s="3" t="s">
        <v>651</v>
      </c>
      <c r="F195" s="3" t="s">
        <v>1844</v>
      </c>
      <c r="G195" s="3">
        <v>62019237</v>
      </c>
      <c r="H195" s="3" t="s">
        <v>33</v>
      </c>
      <c r="I195" s="3" t="s">
        <v>1607</v>
      </c>
      <c r="J195" s="3" t="s">
        <v>1778</v>
      </c>
      <c r="K195" s="3" t="s">
        <v>572</v>
      </c>
      <c r="L195" s="3" t="s">
        <v>1619</v>
      </c>
      <c r="M195" s="3" t="s">
        <v>224</v>
      </c>
      <c r="N195" s="3" t="s">
        <v>224</v>
      </c>
      <c r="O195" s="3" t="s">
        <v>141</v>
      </c>
      <c r="P195" s="180" t="s">
        <v>1845</v>
      </c>
      <c r="Q195" s="3" t="s">
        <v>664</v>
      </c>
      <c r="R195" s="3" t="s">
        <v>1482</v>
      </c>
      <c r="S195" s="3" t="s">
        <v>1393</v>
      </c>
      <c r="T195" s="178" t="s">
        <v>1394</v>
      </c>
      <c r="U195" s="162">
        <v>3.306</v>
      </c>
      <c r="V195" s="153">
        <v>1780.6389999999999</v>
      </c>
      <c r="W195" s="153">
        <v>5886.7929999999997</v>
      </c>
      <c r="X195" s="164">
        <v>3.0000000000000001E-3</v>
      </c>
      <c r="Y195" s="164">
        <v>1.2864588594414099E-2</v>
      </c>
      <c r="Z195" s="164">
        <v>2.3036107410233401E-3</v>
      </c>
    </row>
    <row r="196" spans="1:26" hidden="1">
      <c r="A196" s="3">
        <v>424</v>
      </c>
      <c r="B196" s="3">
        <v>7228</v>
      </c>
      <c r="C196" s="3" t="s">
        <v>1836</v>
      </c>
      <c r="D196" s="3" t="s">
        <v>1837</v>
      </c>
      <c r="E196" s="3" t="s">
        <v>33</v>
      </c>
      <c r="F196" s="3" t="s">
        <v>1846</v>
      </c>
      <c r="G196" s="3">
        <v>62021845</v>
      </c>
      <c r="H196" s="3" t="s">
        <v>33</v>
      </c>
      <c r="I196" s="3" t="s">
        <v>1607</v>
      </c>
      <c r="J196" s="3" t="s">
        <v>1613</v>
      </c>
      <c r="K196" s="3" t="s">
        <v>572</v>
      </c>
      <c r="L196" s="3" t="s">
        <v>224</v>
      </c>
      <c r="M196" s="3" t="s">
        <v>224</v>
      </c>
      <c r="N196" s="3" t="s">
        <v>224</v>
      </c>
      <c r="O196" s="3" t="s">
        <v>141</v>
      </c>
      <c r="P196" s="180" t="s">
        <v>1847</v>
      </c>
      <c r="Q196" s="3" t="s">
        <v>664</v>
      </c>
      <c r="R196" s="3" t="s">
        <v>498</v>
      </c>
      <c r="S196" s="3" t="s">
        <v>1393</v>
      </c>
      <c r="T196" s="178" t="s">
        <v>1394</v>
      </c>
      <c r="U196" s="162">
        <v>3.306</v>
      </c>
      <c r="V196" s="153">
        <v>321.77699999999999</v>
      </c>
      <c r="W196" s="153">
        <v>1063.7950000000001</v>
      </c>
      <c r="X196" s="164">
        <v>0</v>
      </c>
      <c r="Y196" s="164">
        <v>2.3247431170474002E-3</v>
      </c>
      <c r="Z196" s="164">
        <v>4.1628250878351198E-4</v>
      </c>
    </row>
    <row r="197" spans="1:26" hidden="1">
      <c r="A197" s="3">
        <v>424</v>
      </c>
      <c r="B197" s="3">
        <v>7228</v>
      </c>
      <c r="C197" s="3" t="s">
        <v>1848</v>
      </c>
      <c r="D197" s="3" t="s">
        <v>1849</v>
      </c>
      <c r="E197" s="3" t="s">
        <v>651</v>
      </c>
      <c r="F197" s="3" t="s">
        <v>1850</v>
      </c>
      <c r="G197" s="3">
        <v>62022389</v>
      </c>
      <c r="H197" s="3" t="s">
        <v>33</v>
      </c>
      <c r="I197" s="3" t="s">
        <v>1607</v>
      </c>
      <c r="J197" s="3" t="s">
        <v>1613</v>
      </c>
      <c r="K197" s="3" t="s">
        <v>572</v>
      </c>
      <c r="L197" s="3" t="s">
        <v>1619</v>
      </c>
      <c r="M197" s="3" t="s">
        <v>224</v>
      </c>
      <c r="N197" s="3" t="s">
        <v>30</v>
      </c>
      <c r="O197" s="3" t="s">
        <v>141</v>
      </c>
      <c r="P197" s="180" t="s">
        <v>1851</v>
      </c>
      <c r="Q197" s="3" t="s">
        <v>664</v>
      </c>
      <c r="R197" s="3" t="s">
        <v>498</v>
      </c>
      <c r="S197" s="3" t="s">
        <v>1393</v>
      </c>
      <c r="T197" s="178" t="s">
        <v>1394</v>
      </c>
      <c r="U197" s="162">
        <v>3.306</v>
      </c>
      <c r="V197" s="153">
        <v>131.42699999999999</v>
      </c>
      <c r="W197" s="153">
        <v>434.49799999999999</v>
      </c>
      <c r="X197" s="164">
        <v>0</v>
      </c>
      <c r="Y197" s="164">
        <v>9.4952098392423498E-4</v>
      </c>
      <c r="Z197" s="164">
        <v>1.7002694810968699E-4</v>
      </c>
    </row>
    <row r="198" spans="1:26" hidden="1">
      <c r="A198" s="3">
        <v>424</v>
      </c>
      <c r="B198" s="3">
        <v>7228</v>
      </c>
      <c r="C198" s="3" t="s">
        <v>2033</v>
      </c>
      <c r="D198" s="3" t="s">
        <v>2034</v>
      </c>
      <c r="E198" s="3" t="s">
        <v>492</v>
      </c>
      <c r="F198" s="3" t="s">
        <v>2035</v>
      </c>
      <c r="G198" s="3">
        <v>62001875</v>
      </c>
      <c r="H198" s="3" t="s">
        <v>33</v>
      </c>
      <c r="I198" s="3" t="s">
        <v>1607</v>
      </c>
      <c r="J198" s="3" t="s">
        <v>1613</v>
      </c>
      <c r="K198" s="3" t="s">
        <v>572</v>
      </c>
      <c r="L198" s="3" t="s">
        <v>1619</v>
      </c>
      <c r="M198" s="3" t="s">
        <v>224</v>
      </c>
      <c r="N198" s="3" t="s">
        <v>224</v>
      </c>
      <c r="O198" s="3" t="s">
        <v>141</v>
      </c>
      <c r="P198" s="180" t="s">
        <v>2036</v>
      </c>
      <c r="Q198" s="3" t="s">
        <v>664</v>
      </c>
      <c r="R198" s="3" t="s">
        <v>498</v>
      </c>
      <c r="S198" s="3" t="s">
        <v>1393</v>
      </c>
      <c r="T198" s="178" t="s">
        <v>1394</v>
      </c>
      <c r="U198" s="162">
        <v>3.306</v>
      </c>
      <c r="V198" s="153">
        <v>168.48400000000001</v>
      </c>
      <c r="W198" s="153">
        <v>557.00699999999995</v>
      </c>
      <c r="X198" s="164">
        <v>7.5900000000000002E-4</v>
      </c>
      <c r="Y198" s="164">
        <v>1.2172437054742201E-3</v>
      </c>
      <c r="Z198" s="164">
        <v>2.17966991621558E-4</v>
      </c>
    </row>
    <row r="199" spans="1:26" hidden="1">
      <c r="A199" s="3">
        <v>424</v>
      </c>
      <c r="B199" s="3">
        <v>7228</v>
      </c>
      <c r="C199" s="3" t="s">
        <v>1852</v>
      </c>
      <c r="D199" s="3" t="s">
        <v>1853</v>
      </c>
      <c r="E199" s="3" t="s">
        <v>651</v>
      </c>
      <c r="F199" s="3" t="s">
        <v>1854</v>
      </c>
      <c r="G199" s="3">
        <v>62020565</v>
      </c>
      <c r="H199" s="3" t="s">
        <v>33</v>
      </c>
      <c r="I199" s="3" t="s">
        <v>1607</v>
      </c>
      <c r="J199" s="3" t="s">
        <v>1613</v>
      </c>
      <c r="K199" s="3" t="s">
        <v>572</v>
      </c>
      <c r="L199" s="3" t="s">
        <v>566</v>
      </c>
      <c r="M199" s="3" t="s">
        <v>566</v>
      </c>
      <c r="N199" s="3" t="s">
        <v>1120</v>
      </c>
      <c r="O199" s="3" t="s">
        <v>141</v>
      </c>
      <c r="P199" s="180" t="s">
        <v>1609</v>
      </c>
      <c r="Q199" s="3" t="s">
        <v>576</v>
      </c>
      <c r="R199" s="3" t="s">
        <v>498</v>
      </c>
      <c r="S199" s="3" t="s">
        <v>1393</v>
      </c>
      <c r="T199" s="178" t="s">
        <v>1394</v>
      </c>
      <c r="U199" s="162">
        <v>3.8807</v>
      </c>
      <c r="V199" s="153">
        <v>735.62300000000005</v>
      </c>
      <c r="W199" s="153">
        <v>2854.73</v>
      </c>
      <c r="X199" s="164">
        <v>7.3099999999999999E-4</v>
      </c>
      <c r="Y199" s="164">
        <v>6.2385294502189303E-3</v>
      </c>
      <c r="Z199" s="164">
        <v>1.1171086696044701E-3</v>
      </c>
    </row>
    <row r="200" spans="1:26" hidden="1">
      <c r="A200" s="3">
        <v>424</v>
      </c>
      <c r="B200" s="3">
        <v>7228</v>
      </c>
      <c r="C200" s="3" t="s">
        <v>1855</v>
      </c>
      <c r="D200" s="3" t="s">
        <v>1856</v>
      </c>
      <c r="E200" s="3" t="s">
        <v>492</v>
      </c>
      <c r="F200" s="3" t="s">
        <v>1857</v>
      </c>
      <c r="G200" s="3">
        <v>62017702</v>
      </c>
      <c r="H200" s="3" t="s">
        <v>33</v>
      </c>
      <c r="I200" s="3" t="s">
        <v>1607</v>
      </c>
      <c r="J200" s="3" t="s">
        <v>1858</v>
      </c>
      <c r="K200" s="3" t="s">
        <v>572</v>
      </c>
      <c r="L200" s="3" t="s">
        <v>224</v>
      </c>
      <c r="M200" s="3" t="s">
        <v>224</v>
      </c>
      <c r="N200" s="3" t="s">
        <v>224</v>
      </c>
      <c r="O200" s="3" t="s">
        <v>141</v>
      </c>
      <c r="P200" s="180" t="s">
        <v>1859</v>
      </c>
      <c r="Q200" s="3" t="s">
        <v>664</v>
      </c>
      <c r="R200" s="3" t="s">
        <v>1482</v>
      </c>
      <c r="S200" s="3" t="s">
        <v>1393</v>
      </c>
      <c r="T200" s="178" t="s">
        <v>1394</v>
      </c>
      <c r="U200" s="162">
        <v>3.306</v>
      </c>
      <c r="V200" s="153">
        <v>2006.723</v>
      </c>
      <c r="W200" s="153">
        <v>6634.2259999999997</v>
      </c>
      <c r="X200" s="164">
        <v>0</v>
      </c>
      <c r="Y200" s="164">
        <v>1.4497976145427201E-2</v>
      </c>
      <c r="Z200" s="164">
        <v>2.59609495683428E-3</v>
      </c>
    </row>
    <row r="201" spans="1:26" hidden="1">
      <c r="A201" s="3">
        <v>424</v>
      </c>
      <c r="B201" s="3">
        <v>7228</v>
      </c>
      <c r="C201" s="3" t="s">
        <v>1860</v>
      </c>
      <c r="D201" s="3" t="s">
        <v>1861</v>
      </c>
      <c r="E201" s="3" t="s">
        <v>492</v>
      </c>
      <c r="F201" s="3" t="s">
        <v>2037</v>
      </c>
      <c r="G201" s="3">
        <v>62006754</v>
      </c>
      <c r="H201" s="3" t="s">
        <v>33</v>
      </c>
      <c r="I201" s="3" t="s">
        <v>1607</v>
      </c>
      <c r="J201" s="3" t="s">
        <v>1675</v>
      </c>
      <c r="K201" s="3" t="s">
        <v>572</v>
      </c>
      <c r="L201" s="3" t="s">
        <v>224</v>
      </c>
      <c r="M201" s="3" t="s">
        <v>224</v>
      </c>
      <c r="N201" s="3" t="s">
        <v>797</v>
      </c>
      <c r="O201" s="3" t="s">
        <v>141</v>
      </c>
      <c r="P201" s="180" t="s">
        <v>2038</v>
      </c>
      <c r="Q201" s="3" t="s">
        <v>664</v>
      </c>
      <c r="R201" s="3" t="s">
        <v>1482</v>
      </c>
      <c r="S201" s="3" t="s">
        <v>1393</v>
      </c>
      <c r="T201" s="178" t="s">
        <v>1394</v>
      </c>
      <c r="U201" s="162">
        <v>3.306</v>
      </c>
      <c r="V201" s="153">
        <v>769.745</v>
      </c>
      <c r="W201" s="153">
        <v>2544.7779999999998</v>
      </c>
      <c r="X201" s="164">
        <v>3.4499999999999998E-4</v>
      </c>
      <c r="Y201" s="164">
        <v>5.5611800549149803E-3</v>
      </c>
      <c r="Z201" s="164">
        <v>9.9581840594804806E-4</v>
      </c>
    </row>
    <row r="202" spans="1:26" hidden="1">
      <c r="A202" s="3">
        <v>424</v>
      </c>
      <c r="B202" s="3">
        <v>7228</v>
      </c>
      <c r="C202" s="3" t="s">
        <v>1860</v>
      </c>
      <c r="D202" s="3" t="s">
        <v>1861</v>
      </c>
      <c r="E202" s="3" t="s">
        <v>492</v>
      </c>
      <c r="F202" s="3" t="s">
        <v>1862</v>
      </c>
      <c r="G202" s="3">
        <v>62022231</v>
      </c>
      <c r="H202" s="3" t="s">
        <v>33</v>
      </c>
      <c r="I202" s="3" t="s">
        <v>1607</v>
      </c>
      <c r="J202" s="3" t="s">
        <v>1613</v>
      </c>
      <c r="K202" s="3" t="s">
        <v>572</v>
      </c>
      <c r="L202" s="3" t="s">
        <v>224</v>
      </c>
      <c r="M202" s="3" t="s">
        <v>224</v>
      </c>
      <c r="N202" s="3" t="s">
        <v>797</v>
      </c>
      <c r="O202" s="3" t="s">
        <v>141</v>
      </c>
      <c r="P202" s="180" t="s">
        <v>1863</v>
      </c>
      <c r="Q202" s="3" t="s">
        <v>664</v>
      </c>
      <c r="R202" s="3" t="s">
        <v>498</v>
      </c>
      <c r="S202" s="3" t="s">
        <v>1393</v>
      </c>
      <c r="T202" s="178" t="s">
        <v>1394</v>
      </c>
      <c r="U202" s="162">
        <v>3.306</v>
      </c>
      <c r="V202" s="153">
        <v>358.52</v>
      </c>
      <c r="W202" s="153">
        <v>1185.268</v>
      </c>
      <c r="X202" s="164">
        <v>1.07E-4</v>
      </c>
      <c r="Y202" s="164">
        <v>2.5902016762780799E-3</v>
      </c>
      <c r="Z202" s="164">
        <v>4.63817117749235E-4</v>
      </c>
    </row>
    <row r="203" spans="1:26" hidden="1">
      <c r="A203" s="3">
        <v>424</v>
      </c>
      <c r="B203" s="3">
        <v>7228</v>
      </c>
      <c r="C203" s="3" t="s">
        <v>1864</v>
      </c>
      <c r="D203" s="3" t="s">
        <v>1865</v>
      </c>
      <c r="E203" s="3" t="s">
        <v>651</v>
      </c>
      <c r="F203" s="3" t="s">
        <v>1866</v>
      </c>
      <c r="G203" s="3">
        <v>77847846</v>
      </c>
      <c r="H203" s="3" t="s">
        <v>33</v>
      </c>
      <c r="I203" s="3" t="s">
        <v>1607</v>
      </c>
      <c r="J203" s="3" t="s">
        <v>1613</v>
      </c>
      <c r="K203" s="3" t="s">
        <v>572</v>
      </c>
      <c r="L203" s="3" t="s">
        <v>1315</v>
      </c>
      <c r="M203" s="3" t="s">
        <v>1315</v>
      </c>
      <c r="N203" s="3" t="s">
        <v>224</v>
      </c>
      <c r="O203" s="3" t="s">
        <v>141</v>
      </c>
      <c r="P203" s="180" t="s">
        <v>1867</v>
      </c>
      <c r="Q203" s="3" t="s">
        <v>664</v>
      </c>
      <c r="R203" s="3" t="s">
        <v>1482</v>
      </c>
      <c r="S203" s="3" t="s">
        <v>1393</v>
      </c>
      <c r="T203" s="178" t="s">
        <v>1394</v>
      </c>
      <c r="U203" s="162">
        <v>3.306</v>
      </c>
      <c r="V203" s="153">
        <v>5295.87</v>
      </c>
      <c r="W203" s="153">
        <v>17508.148000000001</v>
      </c>
      <c r="X203" s="164">
        <v>9.9999999999999995E-7</v>
      </c>
      <c r="Y203" s="164">
        <v>3.8261088933261897E-2</v>
      </c>
      <c r="Z203" s="164">
        <v>6.85126110198204E-3</v>
      </c>
    </row>
    <row r="204" spans="1:26" hidden="1">
      <c r="A204" s="3">
        <v>424</v>
      </c>
      <c r="B204" s="3">
        <v>7228</v>
      </c>
      <c r="C204" s="3" t="s">
        <v>1868</v>
      </c>
      <c r="D204" s="3" t="s">
        <v>1869</v>
      </c>
      <c r="E204" s="3" t="s">
        <v>492</v>
      </c>
      <c r="F204" s="3" t="s">
        <v>1870</v>
      </c>
      <c r="G204" s="3">
        <v>62019013</v>
      </c>
      <c r="H204" s="3" t="s">
        <v>33</v>
      </c>
      <c r="I204" s="3" t="s">
        <v>1607</v>
      </c>
      <c r="J204" s="3" t="s">
        <v>1628</v>
      </c>
      <c r="K204" s="3" t="s">
        <v>572</v>
      </c>
      <c r="L204" s="3" t="s">
        <v>224</v>
      </c>
      <c r="M204" s="3" t="s">
        <v>224</v>
      </c>
      <c r="N204" s="3" t="s">
        <v>224</v>
      </c>
      <c r="O204" s="3" t="s">
        <v>141</v>
      </c>
      <c r="P204" s="180" t="s">
        <v>1871</v>
      </c>
      <c r="Q204" s="3" t="s">
        <v>664</v>
      </c>
      <c r="R204" s="3" t="s">
        <v>1482</v>
      </c>
      <c r="S204" s="3" t="s">
        <v>1393</v>
      </c>
      <c r="T204" s="178" t="s">
        <v>1394</v>
      </c>
      <c r="U204" s="162">
        <v>3.306</v>
      </c>
      <c r="V204" s="153">
        <v>3461.8560000000002</v>
      </c>
      <c r="W204" s="153">
        <v>11444.896000000001</v>
      </c>
      <c r="X204" s="164">
        <v>4.2499999999999998E-4</v>
      </c>
      <c r="Y204" s="164">
        <v>2.5010881122675299E-2</v>
      </c>
      <c r="Z204" s="164">
        <v>4.4785990608102004E-3</v>
      </c>
    </row>
    <row r="205" spans="1:26" hidden="1">
      <c r="A205" s="3">
        <v>424</v>
      </c>
      <c r="B205" s="3">
        <v>7228</v>
      </c>
      <c r="C205" s="3" t="s">
        <v>1872</v>
      </c>
      <c r="D205" s="3" t="s">
        <v>1873</v>
      </c>
      <c r="E205" s="3" t="s">
        <v>492</v>
      </c>
      <c r="F205" s="3" t="s">
        <v>1874</v>
      </c>
      <c r="G205" s="3">
        <v>62006705</v>
      </c>
      <c r="H205" s="3" t="s">
        <v>33</v>
      </c>
      <c r="I205" s="3" t="s">
        <v>1607</v>
      </c>
      <c r="J205" s="3" t="s">
        <v>1628</v>
      </c>
      <c r="K205" s="3" t="s">
        <v>572</v>
      </c>
      <c r="L205" s="3" t="s">
        <v>224</v>
      </c>
      <c r="M205" s="3" t="s">
        <v>224</v>
      </c>
      <c r="N205" s="3" t="s">
        <v>797</v>
      </c>
      <c r="O205" s="3" t="s">
        <v>141</v>
      </c>
      <c r="P205" s="180" t="s">
        <v>1875</v>
      </c>
      <c r="Q205" s="3" t="s">
        <v>664</v>
      </c>
      <c r="R205" s="3" t="s">
        <v>1482</v>
      </c>
      <c r="S205" s="3" t="s">
        <v>1393</v>
      </c>
      <c r="T205" s="178" t="s">
        <v>1394</v>
      </c>
      <c r="U205" s="162">
        <v>3.306</v>
      </c>
      <c r="V205" s="153">
        <v>1180.039</v>
      </c>
      <c r="W205" s="153">
        <v>3901.21</v>
      </c>
      <c r="X205" s="164">
        <v>2.4599999999999999E-3</v>
      </c>
      <c r="Y205" s="164">
        <v>8.5254320664181395E-3</v>
      </c>
      <c r="Z205" s="164">
        <v>1.5266152303224901E-3</v>
      </c>
    </row>
    <row r="206" spans="1:26" hidden="1">
      <c r="A206" s="3">
        <v>424</v>
      </c>
      <c r="B206" s="3">
        <v>7228</v>
      </c>
      <c r="C206" s="3" t="s">
        <v>1876</v>
      </c>
      <c r="D206" s="3" t="s">
        <v>1877</v>
      </c>
      <c r="E206" s="3" t="s">
        <v>492</v>
      </c>
      <c r="F206" s="3" t="s">
        <v>1878</v>
      </c>
      <c r="G206" s="3">
        <v>62017652</v>
      </c>
      <c r="H206" s="3" t="s">
        <v>33</v>
      </c>
      <c r="I206" s="3" t="s">
        <v>1607</v>
      </c>
      <c r="J206" s="3" t="s">
        <v>1879</v>
      </c>
      <c r="K206" s="3" t="s">
        <v>572</v>
      </c>
      <c r="L206" s="3" t="s">
        <v>1619</v>
      </c>
      <c r="M206" s="3" t="s">
        <v>224</v>
      </c>
      <c r="N206" s="3" t="s">
        <v>797</v>
      </c>
      <c r="O206" s="3" t="s">
        <v>141</v>
      </c>
      <c r="P206" s="180" t="s">
        <v>1880</v>
      </c>
      <c r="Q206" s="3" t="s">
        <v>664</v>
      </c>
      <c r="R206" s="3" t="s">
        <v>498</v>
      </c>
      <c r="S206" s="3" t="s">
        <v>1393</v>
      </c>
      <c r="T206" s="178" t="s">
        <v>1394</v>
      </c>
      <c r="U206" s="162">
        <v>3.306</v>
      </c>
      <c r="V206" s="153">
        <v>1993.7660000000001</v>
      </c>
      <c r="W206" s="153">
        <v>6591.39</v>
      </c>
      <c r="X206" s="164">
        <v>6.0899999999999995E-4</v>
      </c>
      <c r="Y206" s="164">
        <v>1.4404365604679699E-2</v>
      </c>
      <c r="Z206" s="164">
        <v>2.5793324894179E-3</v>
      </c>
    </row>
    <row r="207" spans="1:26" hidden="1">
      <c r="A207" s="3">
        <v>424</v>
      </c>
      <c r="B207" s="3">
        <v>7228</v>
      </c>
      <c r="C207" s="3" t="s">
        <v>1881</v>
      </c>
      <c r="D207" s="3" t="s">
        <v>1882</v>
      </c>
      <c r="E207" s="3" t="s">
        <v>492</v>
      </c>
      <c r="F207" s="3" t="s">
        <v>1883</v>
      </c>
      <c r="G207" s="3">
        <v>62021142</v>
      </c>
      <c r="H207" s="3" t="s">
        <v>33</v>
      </c>
      <c r="I207" s="3" t="s">
        <v>1607</v>
      </c>
      <c r="J207" s="3" t="s">
        <v>1879</v>
      </c>
      <c r="K207" s="3" t="s">
        <v>572</v>
      </c>
      <c r="L207" s="3" t="s">
        <v>1619</v>
      </c>
      <c r="M207" s="3" t="s">
        <v>224</v>
      </c>
      <c r="N207" s="3" t="s">
        <v>797</v>
      </c>
      <c r="O207" s="3" t="s">
        <v>141</v>
      </c>
      <c r="P207" s="180" t="s">
        <v>1884</v>
      </c>
      <c r="Q207" s="3" t="s">
        <v>664</v>
      </c>
      <c r="R207" s="3" t="s">
        <v>1482</v>
      </c>
      <c r="S207" s="3" t="s">
        <v>1393</v>
      </c>
      <c r="T207" s="178" t="s">
        <v>1394</v>
      </c>
      <c r="U207" s="162">
        <v>3.306</v>
      </c>
      <c r="V207" s="153">
        <v>2498.518</v>
      </c>
      <c r="W207" s="153">
        <v>8260.1</v>
      </c>
      <c r="X207" s="164">
        <v>6.7199999999999996E-4</v>
      </c>
      <c r="Y207" s="164">
        <v>1.8051048245711E-2</v>
      </c>
      <c r="Z207" s="164">
        <v>3.2323294538626501E-3</v>
      </c>
    </row>
    <row r="208" spans="1:26" hidden="1">
      <c r="A208" s="3">
        <v>424</v>
      </c>
      <c r="B208" s="3">
        <v>7228</v>
      </c>
      <c r="C208" s="3" t="s">
        <v>1885</v>
      </c>
      <c r="D208" s="3" t="s">
        <v>1886</v>
      </c>
      <c r="E208" s="3" t="s">
        <v>492</v>
      </c>
      <c r="F208" s="3" t="s">
        <v>1887</v>
      </c>
      <c r="G208" s="3">
        <v>62020953</v>
      </c>
      <c r="H208" s="3" t="s">
        <v>33</v>
      </c>
      <c r="I208" s="3" t="s">
        <v>1607</v>
      </c>
      <c r="J208" s="3" t="s">
        <v>1613</v>
      </c>
      <c r="K208" s="3" t="s">
        <v>572</v>
      </c>
      <c r="L208" s="3" t="s">
        <v>1619</v>
      </c>
      <c r="M208" s="3" t="s">
        <v>30</v>
      </c>
      <c r="N208" s="3" t="s">
        <v>797</v>
      </c>
      <c r="O208" s="3" t="s">
        <v>141</v>
      </c>
      <c r="P208" s="180" t="s">
        <v>1888</v>
      </c>
      <c r="Q208" s="3" t="s">
        <v>664</v>
      </c>
      <c r="R208" s="3" t="s">
        <v>498</v>
      </c>
      <c r="S208" s="3" t="s">
        <v>1393</v>
      </c>
      <c r="T208" s="178" t="s">
        <v>1394</v>
      </c>
      <c r="U208" s="162">
        <v>3.306</v>
      </c>
      <c r="V208" s="153">
        <v>1544.972</v>
      </c>
      <c r="W208" s="153">
        <v>5107.6760000000004</v>
      </c>
      <c r="X208" s="164">
        <v>7.4999999999999997E-3</v>
      </c>
      <c r="Y208" s="164">
        <v>1.11619595578907E-2</v>
      </c>
      <c r="Z208" s="164">
        <v>1.9987277276468699E-3</v>
      </c>
    </row>
    <row r="209" spans="1:26" hidden="1">
      <c r="A209" s="3">
        <v>424</v>
      </c>
      <c r="B209" s="3">
        <v>7228</v>
      </c>
      <c r="C209" s="3" t="s">
        <v>1889</v>
      </c>
      <c r="D209" s="3" t="s">
        <v>1890</v>
      </c>
      <c r="E209" s="3" t="s">
        <v>33</v>
      </c>
      <c r="F209" s="3" t="s">
        <v>1891</v>
      </c>
      <c r="G209" s="3">
        <v>62021951</v>
      </c>
      <c r="H209" s="3" t="s">
        <v>33</v>
      </c>
      <c r="I209" s="3" t="s">
        <v>1607</v>
      </c>
      <c r="J209" s="3" t="s">
        <v>1613</v>
      </c>
      <c r="K209" s="3" t="s">
        <v>572</v>
      </c>
      <c r="L209" s="3" t="s">
        <v>224</v>
      </c>
      <c r="M209" s="3" t="s">
        <v>224</v>
      </c>
      <c r="N209" s="3" t="s">
        <v>797</v>
      </c>
      <c r="O209" s="3" t="s">
        <v>141</v>
      </c>
      <c r="P209" s="180" t="s">
        <v>1892</v>
      </c>
      <c r="Q209" s="3" t="s">
        <v>664</v>
      </c>
      <c r="R209" s="3" t="s">
        <v>498</v>
      </c>
      <c r="S209" s="3" t="s">
        <v>1393</v>
      </c>
      <c r="T209" s="178" t="s">
        <v>1394</v>
      </c>
      <c r="U209" s="162">
        <v>3.306</v>
      </c>
      <c r="V209" s="153">
        <v>541.08000000000004</v>
      </c>
      <c r="W209" s="153">
        <v>1788.81</v>
      </c>
      <c r="X209" s="164">
        <v>0</v>
      </c>
      <c r="Y209" s="164">
        <v>3.9091405896767399E-3</v>
      </c>
      <c r="Z209" s="164">
        <v>6.9999426600083595E-4</v>
      </c>
    </row>
    <row r="210" spans="1:26" hidden="1">
      <c r="A210" s="3">
        <v>424</v>
      </c>
      <c r="B210" s="3">
        <v>7228</v>
      </c>
      <c r="C210" s="3" t="s">
        <v>1893</v>
      </c>
      <c r="D210" s="3" t="s">
        <v>1894</v>
      </c>
      <c r="E210" s="3" t="s">
        <v>492</v>
      </c>
      <c r="F210" s="3" t="s">
        <v>1895</v>
      </c>
      <c r="G210" s="3">
        <v>62020425</v>
      </c>
      <c r="H210" s="3" t="s">
        <v>33</v>
      </c>
      <c r="I210" s="3" t="s">
        <v>1607</v>
      </c>
      <c r="J210" s="3" t="s">
        <v>1675</v>
      </c>
      <c r="K210" s="3" t="s">
        <v>572</v>
      </c>
      <c r="L210" s="3" t="s">
        <v>224</v>
      </c>
      <c r="M210" s="3" t="s">
        <v>224</v>
      </c>
      <c r="N210" s="3" t="s">
        <v>224</v>
      </c>
      <c r="O210" s="3" t="s">
        <v>141</v>
      </c>
      <c r="P210" s="180" t="s">
        <v>1896</v>
      </c>
      <c r="Q210" s="3" t="s">
        <v>664</v>
      </c>
      <c r="R210" s="3" t="s">
        <v>1482</v>
      </c>
      <c r="S210" s="3" t="s">
        <v>1393</v>
      </c>
      <c r="T210" s="178" t="s">
        <v>1394</v>
      </c>
      <c r="U210" s="162">
        <v>3.306</v>
      </c>
      <c r="V210" s="153">
        <v>4263.5050000000001</v>
      </c>
      <c r="W210" s="153">
        <v>14095.148999999999</v>
      </c>
      <c r="X210" s="164">
        <v>1E-3</v>
      </c>
      <c r="Y210" s="164">
        <v>3.0802558847540702E-2</v>
      </c>
      <c r="Z210" s="164">
        <v>5.5156917682550903E-3</v>
      </c>
    </row>
    <row r="211" spans="1:26" hidden="1">
      <c r="A211" s="3">
        <v>424</v>
      </c>
      <c r="B211" s="3">
        <v>7228</v>
      </c>
      <c r="C211" s="3" t="s">
        <v>1897</v>
      </c>
      <c r="D211" s="3" t="s">
        <v>1898</v>
      </c>
      <c r="E211" s="3" t="s">
        <v>492</v>
      </c>
      <c r="F211" s="3" t="s">
        <v>1899</v>
      </c>
      <c r="G211" s="3">
        <v>62021332</v>
      </c>
      <c r="H211" s="3" t="s">
        <v>33</v>
      </c>
      <c r="I211" s="3" t="s">
        <v>1607</v>
      </c>
      <c r="J211" s="3" t="s">
        <v>1778</v>
      </c>
      <c r="K211" s="3" t="s">
        <v>572</v>
      </c>
      <c r="L211" s="3" t="s">
        <v>1619</v>
      </c>
      <c r="M211" s="3" t="s">
        <v>224</v>
      </c>
      <c r="N211" s="3" t="s">
        <v>224</v>
      </c>
      <c r="O211" s="3" t="s">
        <v>141</v>
      </c>
      <c r="P211" s="180" t="s">
        <v>1900</v>
      </c>
      <c r="Q211" s="3" t="s">
        <v>664</v>
      </c>
      <c r="R211" s="3" t="s">
        <v>1482</v>
      </c>
      <c r="S211" s="3" t="s">
        <v>1393</v>
      </c>
      <c r="T211" s="178" t="s">
        <v>1394</v>
      </c>
      <c r="U211" s="162">
        <v>3.306</v>
      </c>
      <c r="V211" s="153">
        <v>1667.066</v>
      </c>
      <c r="W211" s="153">
        <v>5511.3209999999999</v>
      </c>
      <c r="X211" s="164">
        <v>0</v>
      </c>
      <c r="Y211" s="164">
        <v>1.2044058246793801E-2</v>
      </c>
      <c r="Z211" s="164">
        <v>2.15668163340038E-3</v>
      </c>
    </row>
    <row r="212" spans="1:26" hidden="1">
      <c r="A212" s="3">
        <v>424</v>
      </c>
      <c r="B212" s="3">
        <v>7228</v>
      </c>
      <c r="C212" s="3" t="s">
        <v>1901</v>
      </c>
      <c r="D212" s="3" t="s">
        <v>1902</v>
      </c>
      <c r="E212" s="3" t="s">
        <v>492</v>
      </c>
      <c r="F212" s="3" t="s">
        <v>1903</v>
      </c>
      <c r="G212" s="3">
        <v>62021324</v>
      </c>
      <c r="H212" s="3" t="s">
        <v>33</v>
      </c>
      <c r="I212" s="3" t="s">
        <v>1607</v>
      </c>
      <c r="J212" s="3" t="s">
        <v>1778</v>
      </c>
      <c r="K212" s="3" t="s">
        <v>572</v>
      </c>
      <c r="L212" s="3" t="s">
        <v>1619</v>
      </c>
      <c r="M212" s="3" t="s">
        <v>224</v>
      </c>
      <c r="N212" s="3" t="s">
        <v>224</v>
      </c>
      <c r="O212" s="3" t="s">
        <v>141</v>
      </c>
      <c r="P212" s="180" t="s">
        <v>1900</v>
      </c>
      <c r="Q212" s="3" t="s">
        <v>664</v>
      </c>
      <c r="R212" s="3" t="s">
        <v>1482</v>
      </c>
      <c r="S212" s="3" t="s">
        <v>1393</v>
      </c>
      <c r="T212" s="178" t="s">
        <v>1394</v>
      </c>
      <c r="U212" s="162">
        <v>3.306</v>
      </c>
      <c r="V212" s="153">
        <v>428.15899999999999</v>
      </c>
      <c r="W212" s="153">
        <v>1415.492</v>
      </c>
      <c r="X212" s="164">
        <v>0</v>
      </c>
      <c r="Y212" s="164">
        <v>3.0933178636692199E-3</v>
      </c>
      <c r="Z212" s="164">
        <v>5.5390813346661101E-4</v>
      </c>
    </row>
    <row r="213" spans="1:26" hidden="1">
      <c r="A213" s="3">
        <v>424</v>
      </c>
      <c r="B213" s="3">
        <v>7228</v>
      </c>
      <c r="C213" s="3" t="s">
        <v>1904</v>
      </c>
      <c r="D213" s="3" t="s">
        <v>1905</v>
      </c>
      <c r="E213" s="3" t="s">
        <v>651</v>
      </c>
      <c r="F213" s="3" t="s">
        <v>1906</v>
      </c>
      <c r="G213" s="3">
        <v>62021894</v>
      </c>
      <c r="H213" s="3" t="s">
        <v>33</v>
      </c>
      <c r="I213" s="3" t="s">
        <v>1607</v>
      </c>
      <c r="J213" s="3" t="s">
        <v>1613</v>
      </c>
      <c r="K213" s="3" t="s">
        <v>572</v>
      </c>
      <c r="L213" s="3" t="s">
        <v>1315</v>
      </c>
      <c r="M213" s="3" t="s">
        <v>566</v>
      </c>
      <c r="N213" s="3" t="s">
        <v>797</v>
      </c>
      <c r="O213" s="3" t="s">
        <v>141</v>
      </c>
      <c r="P213" s="180" t="s">
        <v>1907</v>
      </c>
      <c r="Q213" s="3" t="s">
        <v>664</v>
      </c>
      <c r="R213" s="3" t="s">
        <v>498</v>
      </c>
      <c r="S213" s="3" t="s">
        <v>1393</v>
      </c>
      <c r="T213" s="178" t="s">
        <v>1394</v>
      </c>
      <c r="U213" s="162">
        <v>3.306</v>
      </c>
      <c r="V213" s="153">
        <v>256.75099999999998</v>
      </c>
      <c r="W213" s="153">
        <v>848.81799999999998</v>
      </c>
      <c r="X213" s="164">
        <v>2.02E-4</v>
      </c>
      <c r="Y213" s="164">
        <v>1.85494694664977E-3</v>
      </c>
      <c r="Z213" s="164">
        <v>3.3215797605733399E-4</v>
      </c>
    </row>
    <row r="214" spans="1:26" hidden="1">
      <c r="A214" s="3">
        <v>424</v>
      </c>
      <c r="B214" s="3">
        <v>7228</v>
      </c>
      <c r="C214" s="3" t="s">
        <v>1908</v>
      </c>
      <c r="D214" s="3" t="s">
        <v>1909</v>
      </c>
      <c r="E214" s="3" t="s">
        <v>651</v>
      </c>
      <c r="F214" s="3" t="s">
        <v>1910</v>
      </c>
      <c r="G214" s="3">
        <v>62021571</v>
      </c>
      <c r="H214" s="3" t="s">
        <v>33</v>
      </c>
      <c r="I214" s="3" t="s">
        <v>1607</v>
      </c>
      <c r="J214" s="3" t="s">
        <v>1613</v>
      </c>
      <c r="K214" s="3" t="s">
        <v>572</v>
      </c>
      <c r="L214" s="3" t="s">
        <v>1315</v>
      </c>
      <c r="M214" s="3" t="s">
        <v>566</v>
      </c>
      <c r="N214" s="3" t="s">
        <v>1120</v>
      </c>
      <c r="O214" s="3" t="s">
        <v>141</v>
      </c>
      <c r="P214" s="180" t="s">
        <v>1911</v>
      </c>
      <c r="Q214" s="3" t="s">
        <v>576</v>
      </c>
      <c r="R214" s="3" t="s">
        <v>498</v>
      </c>
      <c r="S214" s="3" t="s">
        <v>1393</v>
      </c>
      <c r="T214" s="178" t="s">
        <v>1394</v>
      </c>
      <c r="U214" s="162">
        <v>3.8807</v>
      </c>
      <c r="V214" s="153">
        <v>1154.202</v>
      </c>
      <c r="W214" s="153">
        <v>4479.1120000000001</v>
      </c>
      <c r="X214" s="164">
        <v>4.4900000000000001E-3</v>
      </c>
      <c r="Y214" s="164">
        <v>9.7883396678905207E-3</v>
      </c>
      <c r="Z214" s="164">
        <v>1.7527590742799301E-3</v>
      </c>
    </row>
    <row r="215" spans="1:26" hidden="1">
      <c r="A215" s="3">
        <v>424</v>
      </c>
      <c r="B215" s="3">
        <v>7228</v>
      </c>
      <c r="C215" s="3" t="s">
        <v>1912</v>
      </c>
      <c r="D215" s="3" t="s">
        <v>1913</v>
      </c>
      <c r="E215" s="3" t="s">
        <v>492</v>
      </c>
      <c r="F215" s="3" t="s">
        <v>1914</v>
      </c>
      <c r="G215" s="3">
        <v>62019849</v>
      </c>
      <c r="H215" s="3" t="s">
        <v>33</v>
      </c>
      <c r="I215" s="3" t="s">
        <v>1607</v>
      </c>
      <c r="J215" s="3" t="s">
        <v>1613</v>
      </c>
      <c r="K215" s="3" t="s">
        <v>572</v>
      </c>
      <c r="L215" s="3" t="s">
        <v>1315</v>
      </c>
      <c r="M215" s="3" t="s">
        <v>566</v>
      </c>
      <c r="N215" s="3" t="s">
        <v>224</v>
      </c>
      <c r="O215" s="3" t="s">
        <v>141</v>
      </c>
      <c r="P215" s="180" t="s">
        <v>1915</v>
      </c>
      <c r="Q215" s="3" t="s">
        <v>664</v>
      </c>
      <c r="R215" s="3" t="s">
        <v>1482</v>
      </c>
      <c r="S215" s="3" t="s">
        <v>1393</v>
      </c>
      <c r="T215" s="178" t="s">
        <v>1394</v>
      </c>
      <c r="U215" s="162">
        <v>3.306</v>
      </c>
      <c r="V215" s="153">
        <v>1948.4349999999999</v>
      </c>
      <c r="W215" s="153">
        <v>6441.5249999999996</v>
      </c>
      <c r="X215" s="164">
        <v>7.3850000000000001E-3</v>
      </c>
      <c r="Y215" s="164">
        <v>1.40768602425442E-2</v>
      </c>
      <c r="Z215" s="164">
        <v>2.52068740610093E-3</v>
      </c>
    </row>
    <row r="216" spans="1:26" hidden="1">
      <c r="A216" s="3">
        <v>424</v>
      </c>
      <c r="B216" s="3">
        <v>7228</v>
      </c>
      <c r="C216" s="3" t="s">
        <v>1916</v>
      </c>
      <c r="D216" s="3" t="s">
        <v>1917</v>
      </c>
      <c r="E216" s="3" t="s">
        <v>492</v>
      </c>
      <c r="F216" s="3" t="s">
        <v>1918</v>
      </c>
      <c r="G216" s="3">
        <v>62021944</v>
      </c>
      <c r="H216" s="3" t="s">
        <v>33</v>
      </c>
      <c r="I216" s="3" t="s">
        <v>1607</v>
      </c>
      <c r="J216" s="3" t="s">
        <v>1613</v>
      </c>
      <c r="K216" s="3" t="s">
        <v>572</v>
      </c>
      <c r="L216" s="3" t="s">
        <v>1315</v>
      </c>
      <c r="M216" s="3" t="s">
        <v>566</v>
      </c>
      <c r="N216" s="3" t="s">
        <v>797</v>
      </c>
      <c r="O216" s="3" t="s">
        <v>141</v>
      </c>
      <c r="P216" s="180" t="s">
        <v>1919</v>
      </c>
      <c r="Q216" s="3" t="s">
        <v>664</v>
      </c>
      <c r="R216" s="3" t="s">
        <v>498</v>
      </c>
      <c r="S216" s="3" t="s">
        <v>1393</v>
      </c>
      <c r="T216" s="178" t="s">
        <v>1394</v>
      </c>
      <c r="U216" s="162">
        <v>3.306</v>
      </c>
      <c r="V216" s="153">
        <v>368.09100000000001</v>
      </c>
      <c r="W216" s="153">
        <v>1216.9090000000001</v>
      </c>
      <c r="X216" s="164">
        <v>0</v>
      </c>
      <c r="Y216" s="164">
        <v>2.6593480895785999E-3</v>
      </c>
      <c r="Z216" s="164">
        <v>4.7619889111208299E-4</v>
      </c>
    </row>
    <row r="217" spans="1:26" hidden="1">
      <c r="A217" s="3">
        <v>424</v>
      </c>
      <c r="B217" s="3">
        <v>7228</v>
      </c>
      <c r="C217" s="3" t="s">
        <v>1920</v>
      </c>
      <c r="D217" s="3" t="s">
        <v>1921</v>
      </c>
      <c r="E217" s="3" t="s">
        <v>492</v>
      </c>
      <c r="F217" s="3" t="s">
        <v>1922</v>
      </c>
      <c r="G217" s="3">
        <v>62009204</v>
      </c>
      <c r="H217" s="3" t="s">
        <v>33</v>
      </c>
      <c r="I217" s="3" t="s">
        <v>1607</v>
      </c>
      <c r="J217" s="3" t="s">
        <v>1618</v>
      </c>
      <c r="K217" s="3" t="s">
        <v>572</v>
      </c>
      <c r="L217" s="3" t="s">
        <v>1315</v>
      </c>
      <c r="M217" s="3" t="s">
        <v>566</v>
      </c>
      <c r="N217" s="3" t="s">
        <v>797</v>
      </c>
      <c r="O217" s="3" t="s">
        <v>141</v>
      </c>
      <c r="P217" s="180" t="s">
        <v>1923</v>
      </c>
      <c r="Q217" s="3" t="s">
        <v>664</v>
      </c>
      <c r="R217" s="3" t="s">
        <v>498</v>
      </c>
      <c r="S217" s="3" t="s">
        <v>1393</v>
      </c>
      <c r="T217" s="178" t="s">
        <v>1394</v>
      </c>
      <c r="U217" s="162">
        <v>3.306</v>
      </c>
      <c r="V217" s="153">
        <v>1704.5550000000001</v>
      </c>
      <c r="W217" s="153">
        <v>5635.259</v>
      </c>
      <c r="X217" s="164">
        <v>1.8259999999999999E-3</v>
      </c>
      <c r="Y217" s="164">
        <v>1.2314903005451201E-2</v>
      </c>
      <c r="Z217" s="164">
        <v>2.2051807276865201E-3</v>
      </c>
    </row>
    <row r="218" spans="1:26" hidden="1">
      <c r="A218" s="3">
        <v>424</v>
      </c>
      <c r="B218" s="3">
        <v>7228</v>
      </c>
      <c r="C218" s="3" t="s">
        <v>1924</v>
      </c>
      <c r="D218" s="3" t="s">
        <v>1925</v>
      </c>
      <c r="E218" s="3" t="s">
        <v>492</v>
      </c>
      <c r="F218" s="3" t="s">
        <v>1926</v>
      </c>
      <c r="G218" s="3">
        <v>62019807</v>
      </c>
      <c r="H218" s="3" t="s">
        <v>33</v>
      </c>
      <c r="I218" s="3" t="s">
        <v>1607</v>
      </c>
      <c r="J218" s="3" t="s">
        <v>1618</v>
      </c>
      <c r="K218" s="3" t="s">
        <v>572</v>
      </c>
      <c r="L218" s="3" t="s">
        <v>1315</v>
      </c>
      <c r="M218" s="3" t="s">
        <v>566</v>
      </c>
      <c r="N218" s="3" t="s">
        <v>797</v>
      </c>
      <c r="O218" s="3" t="s">
        <v>141</v>
      </c>
      <c r="P218" s="180" t="s">
        <v>1765</v>
      </c>
      <c r="Q218" s="3" t="s">
        <v>664</v>
      </c>
      <c r="R218" s="3" t="s">
        <v>1482</v>
      </c>
      <c r="S218" s="3" t="s">
        <v>1393</v>
      </c>
      <c r="T218" s="178" t="s">
        <v>1394</v>
      </c>
      <c r="U218" s="162">
        <v>3.306</v>
      </c>
      <c r="V218" s="153">
        <v>2949.3440000000001</v>
      </c>
      <c r="W218" s="153">
        <v>9750.5300000000007</v>
      </c>
      <c r="X218" s="164">
        <v>1.521E-3</v>
      </c>
      <c r="Y218" s="164">
        <v>2.1308131415532599E-2</v>
      </c>
      <c r="Z218" s="164">
        <v>3.8155623897114699E-3</v>
      </c>
    </row>
    <row r="219" spans="1:26" hidden="1">
      <c r="A219" s="3">
        <v>424</v>
      </c>
      <c r="B219" s="3">
        <v>7228</v>
      </c>
      <c r="C219" s="3" t="s">
        <v>1927</v>
      </c>
      <c r="D219" s="3" t="s">
        <v>1928</v>
      </c>
      <c r="E219" s="3" t="s">
        <v>33</v>
      </c>
      <c r="F219" s="3" t="s">
        <v>1929</v>
      </c>
      <c r="G219" s="3">
        <v>62022355</v>
      </c>
      <c r="H219" s="3" t="s">
        <v>33</v>
      </c>
      <c r="I219" s="3" t="s">
        <v>1607</v>
      </c>
      <c r="J219" s="3" t="s">
        <v>1613</v>
      </c>
      <c r="K219" s="3" t="s">
        <v>572</v>
      </c>
      <c r="L219" s="3" t="s">
        <v>1315</v>
      </c>
      <c r="M219" s="3" t="s">
        <v>1315</v>
      </c>
      <c r="N219" s="3" t="s">
        <v>797</v>
      </c>
      <c r="O219" s="3" t="s">
        <v>141</v>
      </c>
      <c r="P219" s="180" t="s">
        <v>1783</v>
      </c>
      <c r="Q219" s="3" t="s">
        <v>664</v>
      </c>
      <c r="R219" s="3" t="s">
        <v>498</v>
      </c>
      <c r="S219" s="3" t="s">
        <v>1393</v>
      </c>
      <c r="T219" s="178" t="s">
        <v>1394</v>
      </c>
      <c r="U219" s="162">
        <v>3.306</v>
      </c>
      <c r="V219" s="153">
        <v>189.36799999999999</v>
      </c>
      <c r="W219" s="153">
        <v>626.05200000000002</v>
      </c>
      <c r="X219" s="164">
        <v>1E-4</v>
      </c>
      <c r="Y219" s="164">
        <v>1.3681299425467399E-3</v>
      </c>
      <c r="Z219" s="164">
        <v>2.4498559029977702E-4</v>
      </c>
    </row>
    <row r="220" spans="1:26" hidden="1">
      <c r="A220" s="3">
        <v>424</v>
      </c>
      <c r="B220" s="3">
        <v>7228</v>
      </c>
      <c r="C220" s="3" t="s">
        <v>1930</v>
      </c>
      <c r="D220" s="3" t="s">
        <v>1921</v>
      </c>
      <c r="E220" s="3" t="s">
        <v>492</v>
      </c>
      <c r="F220" s="3" t="s">
        <v>1931</v>
      </c>
      <c r="G220" s="3">
        <v>62020615</v>
      </c>
      <c r="H220" s="3" t="s">
        <v>33</v>
      </c>
      <c r="I220" s="3" t="s">
        <v>1607</v>
      </c>
      <c r="J220" s="3" t="s">
        <v>1628</v>
      </c>
      <c r="K220" s="3" t="s">
        <v>572</v>
      </c>
      <c r="L220" s="3" t="s">
        <v>1315</v>
      </c>
      <c r="M220" s="3" t="s">
        <v>566</v>
      </c>
      <c r="N220" s="3" t="s">
        <v>797</v>
      </c>
      <c r="O220" s="3" t="s">
        <v>141</v>
      </c>
      <c r="P220" s="180" t="s">
        <v>1932</v>
      </c>
      <c r="Q220" s="3" t="s">
        <v>664</v>
      </c>
      <c r="R220" s="3" t="s">
        <v>1482</v>
      </c>
      <c r="S220" s="3" t="s">
        <v>1393</v>
      </c>
      <c r="T220" s="178" t="s">
        <v>1394</v>
      </c>
      <c r="U220" s="162">
        <v>3.306</v>
      </c>
      <c r="V220" s="153">
        <v>1896.7170000000001</v>
      </c>
      <c r="W220" s="153">
        <v>6270.5450000000001</v>
      </c>
      <c r="X220" s="164">
        <v>0</v>
      </c>
      <c r="Y220" s="164">
        <v>1.3703213081839499E-2</v>
      </c>
      <c r="Z220" s="164">
        <v>2.45377989433441E-3</v>
      </c>
    </row>
    <row r="221" spans="1:26" hidden="1">
      <c r="A221" s="3">
        <v>424</v>
      </c>
      <c r="B221" s="3">
        <v>7228</v>
      </c>
      <c r="C221" s="3" t="s">
        <v>1933</v>
      </c>
      <c r="D221" s="3" t="s">
        <v>1934</v>
      </c>
      <c r="E221" s="3" t="s">
        <v>492</v>
      </c>
      <c r="F221" s="3" t="s">
        <v>1935</v>
      </c>
      <c r="G221" s="3">
        <v>62020813</v>
      </c>
      <c r="H221" s="3" t="s">
        <v>33</v>
      </c>
      <c r="I221" s="3" t="s">
        <v>1607</v>
      </c>
      <c r="J221" s="3" t="s">
        <v>1637</v>
      </c>
      <c r="K221" s="3" t="s">
        <v>572</v>
      </c>
      <c r="L221" s="3" t="s">
        <v>1315</v>
      </c>
      <c r="M221" s="3" t="s">
        <v>566</v>
      </c>
      <c r="N221" s="3" t="s">
        <v>797</v>
      </c>
      <c r="O221" s="3" t="s">
        <v>141</v>
      </c>
      <c r="P221" s="180" t="s">
        <v>1936</v>
      </c>
      <c r="Q221" s="3" t="s">
        <v>664</v>
      </c>
      <c r="R221" s="3" t="s">
        <v>498</v>
      </c>
      <c r="S221" s="3" t="s">
        <v>1393</v>
      </c>
      <c r="T221" s="178" t="s">
        <v>1394</v>
      </c>
      <c r="U221" s="162">
        <v>3.306</v>
      </c>
      <c r="V221" s="153">
        <v>1504.5309999999999</v>
      </c>
      <c r="W221" s="153">
        <v>4973.9780000000001</v>
      </c>
      <c r="X221" s="164">
        <v>5.8E-4</v>
      </c>
      <c r="Y221" s="164">
        <v>1.0869785414009601E-2</v>
      </c>
      <c r="Z221" s="164">
        <v>1.9464092651360601E-3</v>
      </c>
    </row>
    <row r="222" spans="1:26" hidden="1">
      <c r="A222" s="3">
        <v>424</v>
      </c>
      <c r="B222" s="3">
        <v>7228</v>
      </c>
      <c r="C222" s="3" t="s">
        <v>1937</v>
      </c>
      <c r="D222" s="3" t="s">
        <v>1938</v>
      </c>
      <c r="E222" s="3" t="s">
        <v>492</v>
      </c>
      <c r="F222" s="3" t="s">
        <v>1939</v>
      </c>
      <c r="G222" s="3">
        <v>62010137</v>
      </c>
      <c r="H222" s="3" t="s">
        <v>33</v>
      </c>
      <c r="I222" s="3" t="s">
        <v>1607</v>
      </c>
      <c r="J222" s="3" t="s">
        <v>1637</v>
      </c>
      <c r="K222" s="3" t="s">
        <v>572</v>
      </c>
      <c r="L222" s="3" t="s">
        <v>1315</v>
      </c>
      <c r="M222" s="3" t="s">
        <v>566</v>
      </c>
      <c r="N222" s="3" t="s">
        <v>797</v>
      </c>
      <c r="O222" s="3" t="s">
        <v>141</v>
      </c>
      <c r="P222" s="180" t="s">
        <v>1940</v>
      </c>
      <c r="Q222" s="3" t="s">
        <v>664</v>
      </c>
      <c r="R222" s="3" t="s">
        <v>1482</v>
      </c>
      <c r="S222" s="3" t="s">
        <v>1393</v>
      </c>
      <c r="T222" s="178" t="s">
        <v>1394</v>
      </c>
      <c r="U222" s="162">
        <v>3.306</v>
      </c>
      <c r="V222" s="153">
        <v>1206.634</v>
      </c>
      <c r="W222" s="153">
        <v>3989.1329999999998</v>
      </c>
      <c r="X222" s="164">
        <v>5.5599999999999996E-4</v>
      </c>
      <c r="Y222" s="164">
        <v>8.7175748196483792E-3</v>
      </c>
      <c r="Z222" s="164">
        <v>1.56102146934852E-3</v>
      </c>
    </row>
    <row r="223" spans="1:26" hidden="1">
      <c r="A223" s="3">
        <v>424</v>
      </c>
      <c r="B223" s="3">
        <v>7228</v>
      </c>
      <c r="C223" s="3" t="s">
        <v>1941</v>
      </c>
      <c r="D223" s="3" t="s">
        <v>1942</v>
      </c>
      <c r="E223" s="3" t="s">
        <v>33</v>
      </c>
      <c r="F223" s="3" t="s">
        <v>1943</v>
      </c>
      <c r="G223" s="3">
        <v>62006366</v>
      </c>
      <c r="H223" s="3" t="s">
        <v>33</v>
      </c>
      <c r="I223" s="3" t="s">
        <v>1607</v>
      </c>
      <c r="J223" s="3" t="s">
        <v>1944</v>
      </c>
      <c r="K223" s="3" t="s">
        <v>572</v>
      </c>
      <c r="L223" s="3" t="s">
        <v>30</v>
      </c>
      <c r="M223" s="3" t="s">
        <v>30</v>
      </c>
      <c r="N223" s="3" t="s">
        <v>224</v>
      </c>
      <c r="O223" s="3" t="s">
        <v>141</v>
      </c>
      <c r="P223" s="180" t="s">
        <v>1945</v>
      </c>
      <c r="Q223" s="3" t="s">
        <v>664</v>
      </c>
      <c r="R223" s="3" t="s">
        <v>1482</v>
      </c>
      <c r="S223" s="3" t="s">
        <v>1393</v>
      </c>
      <c r="T223" s="178" t="s">
        <v>1394</v>
      </c>
      <c r="U223" s="162">
        <v>3.306</v>
      </c>
      <c r="V223" s="153">
        <v>203.2</v>
      </c>
      <c r="W223" s="153">
        <v>671.78</v>
      </c>
      <c r="X223" s="164">
        <v>1.8600000000000001E-3</v>
      </c>
      <c r="Y223" s="164">
        <v>1.4680607459262201E-3</v>
      </c>
      <c r="Z223" s="164">
        <v>2.62879802021714E-4</v>
      </c>
    </row>
    <row r="224" spans="1:26" hidden="1">
      <c r="A224" s="3">
        <v>424</v>
      </c>
      <c r="B224" s="3">
        <v>7228</v>
      </c>
      <c r="C224" s="3" t="s">
        <v>1946</v>
      </c>
      <c r="D224" s="3" t="s">
        <v>1947</v>
      </c>
      <c r="E224" s="3" t="s">
        <v>492</v>
      </c>
      <c r="F224" s="3" t="s">
        <v>1948</v>
      </c>
      <c r="G224" s="3">
        <v>62018387</v>
      </c>
      <c r="H224" s="3" t="s">
        <v>33</v>
      </c>
      <c r="I224" s="3" t="s">
        <v>1607</v>
      </c>
      <c r="J224" s="3" t="s">
        <v>1641</v>
      </c>
      <c r="K224" s="3" t="s">
        <v>572</v>
      </c>
      <c r="L224" s="3" t="s">
        <v>1619</v>
      </c>
      <c r="M224" s="3" t="s">
        <v>942</v>
      </c>
      <c r="N224" s="3" t="s">
        <v>224</v>
      </c>
      <c r="O224" s="3" t="s">
        <v>141</v>
      </c>
      <c r="P224" s="180" t="s">
        <v>1949</v>
      </c>
      <c r="Q224" s="3" t="s">
        <v>664</v>
      </c>
      <c r="R224" s="3" t="s">
        <v>1482</v>
      </c>
      <c r="S224" s="3" t="s">
        <v>1393</v>
      </c>
      <c r="T224" s="178" t="s">
        <v>1394</v>
      </c>
      <c r="U224" s="162">
        <v>3.306</v>
      </c>
      <c r="V224" s="153">
        <v>1046.789</v>
      </c>
      <c r="W224" s="153">
        <v>3460.683</v>
      </c>
      <c r="X224" s="164">
        <v>4.7899999999999999E-4</v>
      </c>
      <c r="Y224" s="164">
        <v>7.5627361238288799E-3</v>
      </c>
      <c r="Z224" s="164">
        <v>1.3542290947369999E-3</v>
      </c>
    </row>
    <row r="225" spans="1:26" hidden="1">
      <c r="A225" s="3">
        <v>424</v>
      </c>
      <c r="B225" s="3">
        <v>7228</v>
      </c>
      <c r="C225" s="3" t="s">
        <v>1950</v>
      </c>
      <c r="D225" s="3" t="s">
        <v>1951</v>
      </c>
      <c r="E225" s="3" t="s">
        <v>651</v>
      </c>
      <c r="F225" s="3" t="s">
        <v>1952</v>
      </c>
      <c r="G225" s="3">
        <v>62018551</v>
      </c>
      <c r="H225" s="3" t="s">
        <v>33</v>
      </c>
      <c r="I225" s="3" t="s">
        <v>1607</v>
      </c>
      <c r="J225" s="3" t="s">
        <v>1641</v>
      </c>
      <c r="K225" s="3" t="s">
        <v>572</v>
      </c>
      <c r="L225" s="3" t="s">
        <v>1315</v>
      </c>
      <c r="M225" s="3" t="s">
        <v>1953</v>
      </c>
      <c r="N225" s="3" t="s">
        <v>942</v>
      </c>
      <c r="O225" s="3" t="s">
        <v>141</v>
      </c>
      <c r="P225" s="180" t="s">
        <v>1954</v>
      </c>
      <c r="Q225" s="3" t="s">
        <v>664</v>
      </c>
      <c r="R225" s="3" t="s">
        <v>1482</v>
      </c>
      <c r="S225" s="3" t="s">
        <v>1393</v>
      </c>
      <c r="T225" s="178" t="s">
        <v>1394</v>
      </c>
      <c r="U225" s="162">
        <v>3.306</v>
      </c>
      <c r="V225" s="153">
        <v>1981.508</v>
      </c>
      <c r="W225" s="153">
        <v>6550.8670000000002</v>
      </c>
      <c r="X225" s="164">
        <v>7.7759999999999999E-3</v>
      </c>
      <c r="Y225" s="164">
        <v>1.43158091308593E-2</v>
      </c>
      <c r="Z225" s="164">
        <v>2.5634750336755198E-3</v>
      </c>
    </row>
    <row r="226" spans="1:26" hidden="1">
      <c r="A226" s="3">
        <v>424</v>
      </c>
      <c r="B226" s="3">
        <v>7228</v>
      </c>
      <c r="C226" s="3" t="s">
        <v>1955</v>
      </c>
      <c r="D226" s="3" t="s">
        <v>1956</v>
      </c>
      <c r="E226" s="3" t="s">
        <v>651</v>
      </c>
      <c r="F226" s="3" t="s">
        <v>1957</v>
      </c>
      <c r="G226" s="3">
        <v>62022306</v>
      </c>
      <c r="H226" s="3" t="s">
        <v>33</v>
      </c>
      <c r="I226" s="3" t="s">
        <v>1607</v>
      </c>
      <c r="J226" s="3" t="s">
        <v>1613</v>
      </c>
      <c r="K226" s="3" t="s">
        <v>572</v>
      </c>
      <c r="L226" s="3" t="s">
        <v>1315</v>
      </c>
      <c r="M226" s="3" t="s">
        <v>1953</v>
      </c>
      <c r="N226" s="3" t="s">
        <v>797</v>
      </c>
      <c r="O226" s="3" t="s">
        <v>141</v>
      </c>
      <c r="P226" s="180" t="s">
        <v>1958</v>
      </c>
      <c r="Q226" s="3" t="s">
        <v>664</v>
      </c>
      <c r="R226" s="3" t="s">
        <v>498</v>
      </c>
      <c r="S226" s="3" t="s">
        <v>1393</v>
      </c>
      <c r="T226" s="178" t="s">
        <v>1394</v>
      </c>
      <c r="U226" s="162">
        <v>3.306</v>
      </c>
      <c r="V226" s="153">
        <v>460.08699999999999</v>
      </c>
      <c r="W226" s="153">
        <v>1521.048</v>
      </c>
      <c r="X226" s="164">
        <v>0</v>
      </c>
      <c r="Y226" s="164">
        <v>3.3239915236618501E-3</v>
      </c>
      <c r="Z226" s="164">
        <v>5.9521394880072303E-4</v>
      </c>
    </row>
    <row r="227" spans="1:26" hidden="1">
      <c r="A227" s="3">
        <v>424</v>
      </c>
      <c r="B227" s="3">
        <v>7228</v>
      </c>
      <c r="C227" s="3" t="s">
        <v>1959</v>
      </c>
      <c r="D227" s="3" t="s">
        <v>1960</v>
      </c>
      <c r="E227" s="3" t="s">
        <v>651</v>
      </c>
      <c r="F227" s="3" t="s">
        <v>1961</v>
      </c>
      <c r="G227" s="3">
        <v>62020169</v>
      </c>
      <c r="H227" s="3" t="s">
        <v>33</v>
      </c>
      <c r="I227" s="3" t="s">
        <v>1607</v>
      </c>
      <c r="J227" s="3" t="s">
        <v>1637</v>
      </c>
      <c r="K227" s="3" t="s">
        <v>572</v>
      </c>
      <c r="L227" s="3" t="s">
        <v>1315</v>
      </c>
      <c r="M227" s="3" t="s">
        <v>1953</v>
      </c>
      <c r="N227" s="3" t="s">
        <v>797</v>
      </c>
      <c r="O227" s="3" t="s">
        <v>141</v>
      </c>
      <c r="P227" s="180" t="s">
        <v>1962</v>
      </c>
      <c r="Q227" s="3" t="s">
        <v>664</v>
      </c>
      <c r="R227" s="3" t="s">
        <v>1482</v>
      </c>
      <c r="S227" s="3" t="s">
        <v>1393</v>
      </c>
      <c r="T227" s="178" t="s">
        <v>1394</v>
      </c>
      <c r="U227" s="162">
        <v>3.306</v>
      </c>
      <c r="V227" s="153">
        <v>2595.0120000000002</v>
      </c>
      <c r="W227" s="153">
        <v>8579.11</v>
      </c>
      <c r="X227" s="164">
        <v>7.0000000000000001E-3</v>
      </c>
      <c r="Y227" s="164">
        <v>1.8748189850907301E-2</v>
      </c>
      <c r="Z227" s="164">
        <v>3.3571638298676401E-3</v>
      </c>
    </row>
    <row r="228" spans="1:26" hidden="1">
      <c r="A228" s="3">
        <v>424</v>
      </c>
      <c r="B228" s="3">
        <v>7228</v>
      </c>
      <c r="C228" s="3" t="s">
        <v>1963</v>
      </c>
      <c r="D228" s="3" t="s">
        <v>1964</v>
      </c>
      <c r="E228" s="3" t="s">
        <v>134</v>
      </c>
      <c r="F228" s="3" t="s">
        <v>1965</v>
      </c>
      <c r="G228" s="3">
        <v>62022439</v>
      </c>
      <c r="H228" s="3" t="s">
        <v>33</v>
      </c>
      <c r="I228" s="3" t="s">
        <v>1607</v>
      </c>
      <c r="J228" s="3" t="s">
        <v>1613</v>
      </c>
      <c r="K228" s="3" t="s">
        <v>572</v>
      </c>
      <c r="L228" s="3" t="s">
        <v>1315</v>
      </c>
      <c r="M228" s="3" t="s">
        <v>1315</v>
      </c>
      <c r="N228" s="3" t="s">
        <v>1120</v>
      </c>
      <c r="O228" s="3" t="s">
        <v>141</v>
      </c>
      <c r="P228" s="180" t="s">
        <v>1966</v>
      </c>
      <c r="Q228" s="3" t="s">
        <v>576</v>
      </c>
      <c r="R228" s="3" t="s">
        <v>498</v>
      </c>
      <c r="S228" s="3" t="s">
        <v>1393</v>
      </c>
      <c r="T228" s="178" t="s">
        <v>1394</v>
      </c>
      <c r="U228" s="162">
        <v>3.8807</v>
      </c>
      <c r="V228" s="153">
        <v>739.2</v>
      </c>
      <c r="W228" s="153">
        <v>2868.6129999999998</v>
      </c>
      <c r="X228" s="164">
        <v>0</v>
      </c>
      <c r="Y228" s="164">
        <v>6.2688683835704596E-3</v>
      </c>
      <c r="Z228" s="164">
        <v>1.1225413417981301E-3</v>
      </c>
    </row>
    <row r="229" spans="1:26" hidden="1">
      <c r="A229" s="3">
        <v>424</v>
      </c>
      <c r="B229" s="3">
        <v>7228</v>
      </c>
      <c r="C229" s="3" t="s">
        <v>1967</v>
      </c>
      <c r="D229" s="3" t="s">
        <v>1968</v>
      </c>
      <c r="E229" s="3" t="s">
        <v>651</v>
      </c>
      <c r="F229" s="3" t="s">
        <v>1969</v>
      </c>
      <c r="G229" s="3">
        <v>62022033</v>
      </c>
      <c r="H229" s="3" t="s">
        <v>33</v>
      </c>
      <c r="I229" s="3" t="s">
        <v>1607</v>
      </c>
      <c r="J229" s="3" t="s">
        <v>1613</v>
      </c>
      <c r="K229" s="3" t="s">
        <v>572</v>
      </c>
      <c r="L229" s="3" t="s">
        <v>1315</v>
      </c>
      <c r="M229" s="3" t="s">
        <v>1063</v>
      </c>
      <c r="N229" s="3" t="s">
        <v>224</v>
      </c>
      <c r="O229" s="3" t="s">
        <v>141</v>
      </c>
      <c r="P229" s="180" t="s">
        <v>1970</v>
      </c>
      <c r="Q229" s="3" t="s">
        <v>664</v>
      </c>
      <c r="R229" s="3" t="s">
        <v>498</v>
      </c>
      <c r="S229" s="3" t="s">
        <v>1393</v>
      </c>
      <c r="T229" s="178" t="s">
        <v>1394</v>
      </c>
      <c r="U229" s="162">
        <v>3.306</v>
      </c>
      <c r="V229" s="153">
        <v>520.90800000000002</v>
      </c>
      <c r="W229" s="153">
        <v>1722.123</v>
      </c>
      <c r="X229" s="164">
        <v>0</v>
      </c>
      <c r="Y229" s="164">
        <v>3.7634069044992801E-3</v>
      </c>
      <c r="Z229" s="164">
        <v>6.7389831430833796E-4</v>
      </c>
    </row>
    <row r="230" spans="1:26" hidden="1">
      <c r="A230" s="3">
        <v>424</v>
      </c>
      <c r="B230" s="3">
        <v>7228</v>
      </c>
      <c r="C230" s="3" t="s">
        <v>1967</v>
      </c>
      <c r="D230" s="3" t="s">
        <v>1968</v>
      </c>
      <c r="E230" s="3" t="s">
        <v>651</v>
      </c>
      <c r="F230" s="3" t="s">
        <v>1971</v>
      </c>
      <c r="G230" s="3">
        <v>62021852</v>
      </c>
      <c r="H230" s="3" t="s">
        <v>33</v>
      </c>
      <c r="I230" s="3" t="s">
        <v>1607</v>
      </c>
      <c r="J230" s="3" t="s">
        <v>1613</v>
      </c>
      <c r="K230" s="3" t="s">
        <v>572</v>
      </c>
      <c r="L230" s="3" t="s">
        <v>1315</v>
      </c>
      <c r="M230" s="3" t="s">
        <v>1063</v>
      </c>
      <c r="N230" s="3" t="s">
        <v>1120</v>
      </c>
      <c r="O230" s="3" t="s">
        <v>141</v>
      </c>
      <c r="P230" s="180" t="s">
        <v>1847</v>
      </c>
      <c r="Q230" s="3" t="s">
        <v>576</v>
      </c>
      <c r="R230" s="3" t="s">
        <v>498</v>
      </c>
      <c r="S230" s="3" t="s">
        <v>1393</v>
      </c>
      <c r="T230" s="178" t="s">
        <v>1394</v>
      </c>
      <c r="U230" s="162">
        <v>3.8807</v>
      </c>
      <c r="V230" s="153">
        <v>779.173</v>
      </c>
      <c r="W230" s="153">
        <v>3023.7370000000001</v>
      </c>
      <c r="X230" s="164">
        <v>0</v>
      </c>
      <c r="Y230" s="164">
        <v>6.6078641953290201E-3</v>
      </c>
      <c r="Z230" s="164">
        <v>1.1832439742529299E-3</v>
      </c>
    </row>
    <row r="231" spans="1:26" hidden="1">
      <c r="A231" s="3">
        <v>424</v>
      </c>
      <c r="B231" s="3">
        <v>7228</v>
      </c>
      <c r="C231" s="3" t="s">
        <v>1972</v>
      </c>
      <c r="D231" s="3" t="s">
        <v>1973</v>
      </c>
      <c r="E231" s="3" t="s">
        <v>498</v>
      </c>
      <c r="F231" s="3" t="s">
        <v>1974</v>
      </c>
      <c r="G231" s="3">
        <v>62020995</v>
      </c>
      <c r="H231" s="3" t="s">
        <v>33</v>
      </c>
      <c r="I231" s="3" t="s">
        <v>1607</v>
      </c>
      <c r="J231" s="3" t="s">
        <v>1684</v>
      </c>
      <c r="K231" s="3" t="s">
        <v>572</v>
      </c>
      <c r="L231" s="3" t="s">
        <v>224</v>
      </c>
      <c r="M231" s="3" t="s">
        <v>30</v>
      </c>
      <c r="N231" s="3" t="s">
        <v>224</v>
      </c>
      <c r="O231" s="3" t="s">
        <v>141</v>
      </c>
      <c r="P231" s="180" t="s">
        <v>1975</v>
      </c>
      <c r="Q231" s="3" t="s">
        <v>664</v>
      </c>
      <c r="R231" s="3" t="s">
        <v>1482</v>
      </c>
      <c r="S231" s="3" t="s">
        <v>1393</v>
      </c>
      <c r="T231" s="178" t="s">
        <v>1394</v>
      </c>
      <c r="U231" s="162">
        <v>3.306</v>
      </c>
      <c r="V231" s="153">
        <v>522.34799999999996</v>
      </c>
      <c r="W231" s="153">
        <v>1726.883</v>
      </c>
      <c r="X231" s="164">
        <v>2.7799999999999998E-4</v>
      </c>
      <c r="Y231" s="164">
        <v>3.7738106057932101E-3</v>
      </c>
      <c r="Z231" s="164">
        <v>6.75761263742842E-4</v>
      </c>
    </row>
    <row r="232" spans="1:26" hidden="1">
      <c r="A232" s="3">
        <v>424</v>
      </c>
      <c r="B232" s="3">
        <v>7229</v>
      </c>
      <c r="C232" s="3" t="s">
        <v>1630</v>
      </c>
      <c r="D232" s="3" t="s">
        <v>1631</v>
      </c>
      <c r="E232" s="3" t="s">
        <v>33</v>
      </c>
      <c r="F232" s="3" t="s">
        <v>1632</v>
      </c>
      <c r="G232" s="3">
        <v>62017538</v>
      </c>
      <c r="H232" s="3" t="s">
        <v>33</v>
      </c>
      <c r="I232" s="3" t="s">
        <v>1607</v>
      </c>
      <c r="J232" s="3" t="s">
        <v>1628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141</v>
      </c>
      <c r="P232" s="180" t="s">
        <v>1633</v>
      </c>
      <c r="Q232" s="3" t="s">
        <v>664</v>
      </c>
      <c r="R232" s="3" t="s">
        <v>498</v>
      </c>
      <c r="S232" s="3" t="s">
        <v>1393</v>
      </c>
      <c r="T232" s="178" t="s">
        <v>1394</v>
      </c>
      <c r="U232" s="162">
        <v>3.306</v>
      </c>
      <c r="V232" s="153">
        <v>257.721</v>
      </c>
      <c r="W232" s="153">
        <v>852.024</v>
      </c>
      <c r="X232" s="164">
        <v>8.5999999999999998E-4</v>
      </c>
      <c r="Y232" s="164">
        <v>6.3306706562120105E-2</v>
      </c>
      <c r="Z232" s="164">
        <v>5.6153361009244999E-3</v>
      </c>
    </row>
    <row r="233" spans="1:26" hidden="1">
      <c r="A233" s="3">
        <v>424</v>
      </c>
      <c r="B233" s="3">
        <v>7229</v>
      </c>
      <c r="C233" s="3" t="s">
        <v>1634</v>
      </c>
      <c r="D233" s="3" t="s">
        <v>1635</v>
      </c>
      <c r="E233" s="3" t="s">
        <v>33</v>
      </c>
      <c r="F233" s="3" t="s">
        <v>1636</v>
      </c>
      <c r="G233" s="3">
        <v>62001189</v>
      </c>
      <c r="H233" s="3" t="s">
        <v>33</v>
      </c>
      <c r="I233" s="3" t="s">
        <v>1607</v>
      </c>
      <c r="J233" s="3" t="s">
        <v>1637</v>
      </c>
      <c r="K233" s="3" t="s">
        <v>30</v>
      </c>
      <c r="L233" s="3" t="s">
        <v>1619</v>
      </c>
      <c r="M233" s="3" t="s">
        <v>30</v>
      </c>
      <c r="N233" s="3" t="s">
        <v>30</v>
      </c>
      <c r="O233" s="3" t="s">
        <v>141</v>
      </c>
      <c r="P233" s="180" t="s">
        <v>2039</v>
      </c>
      <c r="Q233" s="3" t="s">
        <v>664</v>
      </c>
      <c r="R233" s="3" t="s">
        <v>1482</v>
      </c>
      <c r="S233" s="3" t="s">
        <v>1393</v>
      </c>
      <c r="T233" s="178" t="s">
        <v>1394</v>
      </c>
      <c r="U233" s="162">
        <v>3.306</v>
      </c>
      <c r="V233" s="153">
        <v>55.69</v>
      </c>
      <c r="W233" s="153">
        <v>184.113</v>
      </c>
      <c r="X233" s="164">
        <v>6.6100000000000002E-4</v>
      </c>
      <c r="Y233" s="164">
        <v>1.3679860952006099E-2</v>
      </c>
      <c r="Z233" s="164">
        <v>1.21341041464619E-3</v>
      </c>
    </row>
    <row r="234" spans="1:26" hidden="1">
      <c r="A234" s="3">
        <v>424</v>
      </c>
      <c r="B234" s="3">
        <v>7229</v>
      </c>
      <c r="C234" s="3" t="s">
        <v>1643</v>
      </c>
      <c r="D234" s="3" t="s">
        <v>1644</v>
      </c>
      <c r="E234" s="3" t="s">
        <v>492</v>
      </c>
      <c r="F234" s="3" t="s">
        <v>1645</v>
      </c>
      <c r="G234" s="3">
        <v>50000983</v>
      </c>
      <c r="H234" s="3" t="s">
        <v>33</v>
      </c>
      <c r="I234" s="3" t="s">
        <v>1607</v>
      </c>
      <c r="J234" s="3" t="s">
        <v>1646</v>
      </c>
      <c r="K234" s="3" t="s">
        <v>572</v>
      </c>
      <c r="L234" s="3" t="s">
        <v>1619</v>
      </c>
      <c r="M234" s="3" t="s">
        <v>30</v>
      </c>
      <c r="N234" s="3" t="s">
        <v>797</v>
      </c>
      <c r="O234" s="3" t="s">
        <v>141</v>
      </c>
      <c r="P234" s="180" t="s">
        <v>1647</v>
      </c>
      <c r="Q234" s="3" t="s">
        <v>34</v>
      </c>
      <c r="R234" s="3" t="s">
        <v>1482</v>
      </c>
      <c r="S234" s="3" t="s">
        <v>1393</v>
      </c>
      <c r="T234" s="178" t="s">
        <v>1394</v>
      </c>
      <c r="U234" s="162">
        <v>1</v>
      </c>
      <c r="V234" s="153">
        <v>133.60300000000001</v>
      </c>
      <c r="W234" s="153">
        <v>133.60300000000001</v>
      </c>
      <c r="X234" s="164">
        <v>1.5200000000000001E-4</v>
      </c>
      <c r="Y234" s="164">
        <v>9.92688512349486E-3</v>
      </c>
      <c r="Z234" s="164">
        <v>8.8051960733406798E-4</v>
      </c>
    </row>
    <row r="235" spans="1:26" hidden="1">
      <c r="A235" s="3">
        <v>424</v>
      </c>
      <c r="B235" s="3">
        <v>7229</v>
      </c>
      <c r="C235" s="3" t="s">
        <v>1652</v>
      </c>
      <c r="D235" s="3" t="s">
        <v>1653</v>
      </c>
      <c r="E235" s="3" t="s">
        <v>498</v>
      </c>
      <c r="F235" s="3" t="s">
        <v>1652</v>
      </c>
      <c r="G235" s="3">
        <v>50008440</v>
      </c>
      <c r="H235" s="3" t="s">
        <v>33</v>
      </c>
      <c r="I235" s="3" t="s">
        <v>1654</v>
      </c>
      <c r="J235" s="3" t="s">
        <v>1613</v>
      </c>
      <c r="K235" s="3" t="s">
        <v>30</v>
      </c>
      <c r="L235" s="3" t="s">
        <v>1619</v>
      </c>
      <c r="M235" s="3" t="s">
        <v>30</v>
      </c>
      <c r="N235" s="3" t="s">
        <v>30</v>
      </c>
      <c r="O235" s="3" t="s">
        <v>141</v>
      </c>
      <c r="P235" s="180" t="s">
        <v>1655</v>
      </c>
      <c r="Q235" s="3" t="s">
        <v>34</v>
      </c>
      <c r="R235" s="3" t="s">
        <v>498</v>
      </c>
      <c r="S235" s="3" t="s">
        <v>1393</v>
      </c>
      <c r="T235" s="178" t="s">
        <v>1394</v>
      </c>
      <c r="U235" s="162">
        <v>1</v>
      </c>
      <c r="V235" s="153">
        <v>316.00599999999997</v>
      </c>
      <c r="W235" s="153">
        <v>316.00599999999997</v>
      </c>
      <c r="X235" s="164">
        <v>9.9999999999999995E-7</v>
      </c>
      <c r="Y235" s="164">
        <v>2.3479747535252501E-2</v>
      </c>
      <c r="Z235" s="164">
        <v>2.0826651888125099E-3</v>
      </c>
    </row>
    <row r="236" spans="1:26" hidden="1">
      <c r="A236" s="3">
        <v>424</v>
      </c>
      <c r="B236" s="3">
        <v>7229</v>
      </c>
      <c r="C236" s="3" t="s">
        <v>1656</v>
      </c>
      <c r="D236" s="3" t="s">
        <v>1657</v>
      </c>
      <c r="E236" s="3" t="s">
        <v>134</v>
      </c>
      <c r="F236" s="3" t="s">
        <v>1659</v>
      </c>
      <c r="G236" s="3">
        <v>62002785</v>
      </c>
      <c r="H236" s="3" t="s">
        <v>33</v>
      </c>
      <c r="I236" s="3" t="s">
        <v>1607</v>
      </c>
      <c r="J236" s="3" t="s">
        <v>1641</v>
      </c>
      <c r="K236" s="3" t="s">
        <v>30</v>
      </c>
      <c r="L236" s="3" t="s">
        <v>1619</v>
      </c>
      <c r="M236" s="3" t="s">
        <v>30</v>
      </c>
      <c r="N236" s="3" t="s">
        <v>30</v>
      </c>
      <c r="O236" s="3" t="s">
        <v>141</v>
      </c>
      <c r="P236" s="180" t="s">
        <v>2040</v>
      </c>
      <c r="Q236" s="3" t="s">
        <v>664</v>
      </c>
      <c r="R236" s="3" t="s">
        <v>1482</v>
      </c>
      <c r="S236" s="3" t="s">
        <v>1393</v>
      </c>
      <c r="T236" s="178" t="s">
        <v>1394</v>
      </c>
      <c r="U236" s="162">
        <v>3.306</v>
      </c>
      <c r="V236" s="153">
        <v>54.801000000000002</v>
      </c>
      <c r="W236" s="153">
        <v>181.17099999999999</v>
      </c>
      <c r="X236" s="164">
        <v>4.2499999999999998E-4</v>
      </c>
      <c r="Y236" s="164">
        <v>1.34612557727397E-2</v>
      </c>
      <c r="Z236" s="164">
        <v>1.19402002740849E-3</v>
      </c>
    </row>
    <row r="237" spans="1:26" hidden="1">
      <c r="A237" s="3">
        <v>424</v>
      </c>
      <c r="B237" s="3">
        <v>7229</v>
      </c>
      <c r="C237" s="3" t="s">
        <v>1665</v>
      </c>
      <c r="D237" s="3" t="s">
        <v>1666</v>
      </c>
      <c r="E237" s="3" t="s">
        <v>33</v>
      </c>
      <c r="F237" s="3" t="s">
        <v>1667</v>
      </c>
      <c r="G237" s="3">
        <v>62013487</v>
      </c>
      <c r="H237" s="3" t="s">
        <v>33</v>
      </c>
      <c r="I237" s="3" t="s">
        <v>1607</v>
      </c>
      <c r="J237" s="3" t="s">
        <v>1618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141</v>
      </c>
      <c r="P237" s="180" t="s">
        <v>1668</v>
      </c>
      <c r="Q237" s="3" t="s">
        <v>664</v>
      </c>
      <c r="R237" s="3" t="s">
        <v>1482</v>
      </c>
      <c r="S237" s="3" t="s">
        <v>1393</v>
      </c>
      <c r="T237" s="178" t="s">
        <v>1394</v>
      </c>
      <c r="U237" s="162">
        <v>3.306</v>
      </c>
      <c r="V237" s="153">
        <v>42.033000000000001</v>
      </c>
      <c r="W237" s="153">
        <v>138.96100000000001</v>
      </c>
      <c r="X237" s="164">
        <v>6.6670000000000002E-3</v>
      </c>
      <c r="Y237" s="164">
        <v>1.03250075588576E-2</v>
      </c>
      <c r="Z237" s="164">
        <v>9.15833263742436E-4</v>
      </c>
    </row>
    <row r="238" spans="1:26" hidden="1">
      <c r="A238" s="3">
        <v>424</v>
      </c>
      <c r="B238" s="3">
        <v>7229</v>
      </c>
      <c r="C238" s="3" t="s">
        <v>1720</v>
      </c>
      <c r="D238" s="3" t="s">
        <v>1721</v>
      </c>
      <c r="E238" s="3" t="s">
        <v>134</v>
      </c>
      <c r="F238" s="3" t="s">
        <v>1976</v>
      </c>
      <c r="G238" s="3">
        <v>50008432</v>
      </c>
      <c r="H238" s="3" t="s">
        <v>33</v>
      </c>
      <c r="I238" s="3" t="s">
        <v>1654</v>
      </c>
      <c r="J238" s="3" t="s">
        <v>1613</v>
      </c>
      <c r="K238" s="3" t="s">
        <v>30</v>
      </c>
      <c r="L238" s="3" t="s">
        <v>1619</v>
      </c>
      <c r="M238" s="3" t="s">
        <v>30</v>
      </c>
      <c r="N238" s="3" t="s">
        <v>30</v>
      </c>
      <c r="O238" s="3" t="s">
        <v>141</v>
      </c>
      <c r="P238" s="180" t="s">
        <v>1655</v>
      </c>
      <c r="Q238" s="3" t="s">
        <v>34</v>
      </c>
      <c r="R238" s="3" t="s">
        <v>498</v>
      </c>
      <c r="S238" s="3" t="s">
        <v>1393</v>
      </c>
      <c r="T238" s="178" t="s">
        <v>1394</v>
      </c>
      <c r="U238" s="162">
        <v>1</v>
      </c>
      <c r="V238" s="153">
        <v>448.59500000000003</v>
      </c>
      <c r="W238" s="153">
        <v>448.59500000000003</v>
      </c>
      <c r="X238" s="164">
        <v>3.9820000000000003E-3</v>
      </c>
      <c r="Y238" s="164">
        <v>3.3331302620850399E-2</v>
      </c>
      <c r="Z238" s="164">
        <v>2.9565029846252101E-3</v>
      </c>
    </row>
    <row r="239" spans="1:26" hidden="1">
      <c r="A239" s="3">
        <v>424</v>
      </c>
      <c r="B239" s="3">
        <v>7229</v>
      </c>
      <c r="C239" s="3" t="s">
        <v>1724</v>
      </c>
      <c r="D239" s="3" t="s">
        <v>1725</v>
      </c>
      <c r="E239" s="3" t="s">
        <v>134</v>
      </c>
      <c r="F239" s="3" t="s">
        <v>1726</v>
      </c>
      <c r="G239" s="3">
        <v>50007004</v>
      </c>
      <c r="H239" s="3" t="s">
        <v>33</v>
      </c>
      <c r="I239" s="3" t="s">
        <v>1607</v>
      </c>
      <c r="J239" s="3" t="s">
        <v>1727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141</v>
      </c>
      <c r="P239" s="180" t="s">
        <v>1728</v>
      </c>
      <c r="Q239" s="3" t="s">
        <v>34</v>
      </c>
      <c r="R239" s="3" t="s">
        <v>1482</v>
      </c>
      <c r="S239" s="3" t="s">
        <v>1393</v>
      </c>
      <c r="T239" s="178" t="s">
        <v>1394</v>
      </c>
      <c r="U239" s="162">
        <v>1</v>
      </c>
      <c r="V239" s="153">
        <v>634.25699999999995</v>
      </c>
      <c r="W239" s="153">
        <v>634.25699999999995</v>
      </c>
      <c r="X239" s="164">
        <v>0</v>
      </c>
      <c r="Y239" s="164">
        <v>4.7126295606253303E-2</v>
      </c>
      <c r="Z239" s="164">
        <v>4.1801256674277197E-3</v>
      </c>
    </row>
    <row r="240" spans="1:26" hidden="1">
      <c r="A240" s="3">
        <v>424</v>
      </c>
      <c r="B240" s="3">
        <v>7229</v>
      </c>
      <c r="C240" s="3" t="s">
        <v>1729</v>
      </c>
      <c r="D240" s="3" t="s">
        <v>1730</v>
      </c>
      <c r="E240" s="3" t="s">
        <v>134</v>
      </c>
      <c r="F240" s="3" t="s">
        <v>1729</v>
      </c>
      <c r="G240" s="3">
        <v>50007350</v>
      </c>
      <c r="H240" s="3" t="s">
        <v>33</v>
      </c>
      <c r="I240" s="3" t="s">
        <v>1607</v>
      </c>
      <c r="J240" s="3" t="s">
        <v>1731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141</v>
      </c>
      <c r="P240" s="180" t="s">
        <v>1732</v>
      </c>
      <c r="Q240" s="3" t="s">
        <v>34</v>
      </c>
      <c r="R240" s="3" t="s">
        <v>498</v>
      </c>
      <c r="S240" s="3" t="s">
        <v>1393</v>
      </c>
      <c r="T240" s="178" t="s">
        <v>1394</v>
      </c>
      <c r="U240" s="162">
        <v>1</v>
      </c>
      <c r="V240" s="153">
        <v>649.18100000000004</v>
      </c>
      <c r="W240" s="153">
        <v>649.18100000000004</v>
      </c>
      <c r="X240" s="164">
        <v>8.5400000000000005E-4</v>
      </c>
      <c r="Y240" s="164">
        <v>4.8235145015980502E-2</v>
      </c>
      <c r="Z240" s="164">
        <v>4.2784811570600999E-3</v>
      </c>
    </row>
    <row r="241" spans="1:26" hidden="1">
      <c r="A241" s="3">
        <v>424</v>
      </c>
      <c r="B241" s="3">
        <v>7229</v>
      </c>
      <c r="C241" s="3" t="s">
        <v>1724</v>
      </c>
      <c r="D241" s="3" t="s">
        <v>1725</v>
      </c>
      <c r="E241" s="3" t="s">
        <v>134</v>
      </c>
      <c r="F241" s="3" t="s">
        <v>1724</v>
      </c>
      <c r="G241" s="3">
        <v>18952</v>
      </c>
      <c r="H241" s="3" t="s">
        <v>33</v>
      </c>
      <c r="I241" s="3" t="s">
        <v>1607</v>
      </c>
      <c r="J241" s="3" t="s">
        <v>1727</v>
      </c>
      <c r="K241" s="3" t="s">
        <v>30</v>
      </c>
      <c r="L241" s="3" t="s">
        <v>30</v>
      </c>
      <c r="M241" s="3" t="s">
        <v>30</v>
      </c>
      <c r="N241" s="3" t="s">
        <v>30</v>
      </c>
      <c r="O241" s="3" t="s">
        <v>141</v>
      </c>
      <c r="P241" s="180" t="s">
        <v>1739</v>
      </c>
      <c r="Q241" s="3" t="s">
        <v>34</v>
      </c>
      <c r="R241" s="3" t="s">
        <v>1482</v>
      </c>
      <c r="S241" s="3" t="s">
        <v>1393</v>
      </c>
      <c r="T241" s="178" t="s">
        <v>1394</v>
      </c>
      <c r="U241" s="162">
        <v>1</v>
      </c>
      <c r="V241" s="153">
        <v>90.28</v>
      </c>
      <c r="W241" s="153">
        <v>90.28</v>
      </c>
      <c r="X241" s="164">
        <v>2.61E-4</v>
      </c>
      <c r="Y241" s="164">
        <v>6.7079449541506001E-3</v>
      </c>
      <c r="Z241" s="164">
        <v>5.9499802642702399E-4</v>
      </c>
    </row>
    <row r="242" spans="1:26" hidden="1">
      <c r="A242" s="3">
        <v>424</v>
      </c>
      <c r="B242" s="3">
        <v>7229</v>
      </c>
      <c r="C242" s="3" t="s">
        <v>1740</v>
      </c>
      <c r="D242" s="3" t="s">
        <v>1741</v>
      </c>
      <c r="E242" s="3" t="s">
        <v>498</v>
      </c>
      <c r="F242" s="3" t="s">
        <v>1742</v>
      </c>
      <c r="G242" s="3">
        <v>50007160</v>
      </c>
      <c r="H242" s="3" t="s">
        <v>33</v>
      </c>
      <c r="I242" s="3" t="s">
        <v>1607</v>
      </c>
      <c r="J242" s="3" t="s">
        <v>1613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141</v>
      </c>
      <c r="P242" s="180" t="s">
        <v>1743</v>
      </c>
      <c r="Q242" s="3" t="s">
        <v>34</v>
      </c>
      <c r="R242" s="3" t="s">
        <v>498</v>
      </c>
      <c r="S242" s="3" t="s">
        <v>1393</v>
      </c>
      <c r="T242" s="178" t="s">
        <v>1394</v>
      </c>
      <c r="U242" s="162">
        <v>1</v>
      </c>
      <c r="V242" s="153">
        <v>202.89</v>
      </c>
      <c r="W242" s="153">
        <v>202.89</v>
      </c>
      <c r="X242" s="164">
        <v>2.0899999999999998E-3</v>
      </c>
      <c r="Y242" s="164">
        <v>1.50750445474931E-2</v>
      </c>
      <c r="Z242" s="164">
        <v>1.3371638878026E-3</v>
      </c>
    </row>
    <row r="243" spans="1:26" hidden="1">
      <c r="A243" s="3">
        <v>424</v>
      </c>
      <c r="B243" s="3">
        <v>7229</v>
      </c>
      <c r="C243" s="3" t="s">
        <v>1753</v>
      </c>
      <c r="D243" s="3" t="s">
        <v>1754</v>
      </c>
      <c r="E243" s="3" t="s">
        <v>651</v>
      </c>
      <c r="F243" s="3" t="s">
        <v>1753</v>
      </c>
      <c r="G243" s="3">
        <v>62021365</v>
      </c>
      <c r="H243" s="3" t="s">
        <v>33</v>
      </c>
      <c r="I243" s="3" t="s">
        <v>1607</v>
      </c>
      <c r="J243" s="3" t="s">
        <v>1755</v>
      </c>
      <c r="K243" s="3" t="s">
        <v>572</v>
      </c>
      <c r="L243" s="3" t="s">
        <v>1315</v>
      </c>
      <c r="M243" s="3" t="s">
        <v>1315</v>
      </c>
      <c r="N243" s="3" t="s">
        <v>1120</v>
      </c>
      <c r="O243" s="3" t="s">
        <v>141</v>
      </c>
      <c r="P243" s="180" t="s">
        <v>1756</v>
      </c>
      <c r="Q243" s="3" t="s">
        <v>664</v>
      </c>
      <c r="R243" s="3" t="s">
        <v>1482</v>
      </c>
      <c r="S243" s="3" t="s">
        <v>1393</v>
      </c>
      <c r="T243" s="178" t="s">
        <v>1394</v>
      </c>
      <c r="U243" s="162">
        <v>3.306</v>
      </c>
      <c r="V243" s="153">
        <v>60.162999999999997</v>
      </c>
      <c r="W243" s="153">
        <v>198.898</v>
      </c>
      <c r="X243" s="164">
        <v>0</v>
      </c>
      <c r="Y243" s="164">
        <v>1.47783983214988E-2</v>
      </c>
      <c r="Z243" s="164">
        <v>1.3108512212228901E-3</v>
      </c>
    </row>
    <row r="244" spans="1:26" hidden="1">
      <c r="A244" s="3">
        <v>424</v>
      </c>
      <c r="B244" s="3">
        <v>7229</v>
      </c>
      <c r="C244" s="3" t="s">
        <v>1763</v>
      </c>
      <c r="D244" s="3" t="s">
        <v>1764</v>
      </c>
      <c r="E244" s="3" t="s">
        <v>651</v>
      </c>
      <c r="F244" s="3" t="s">
        <v>1763</v>
      </c>
      <c r="G244" s="3">
        <v>62019815</v>
      </c>
      <c r="H244" s="3" t="s">
        <v>33</v>
      </c>
      <c r="I244" s="3" t="s">
        <v>1607</v>
      </c>
      <c r="J244" s="3" t="s">
        <v>1637</v>
      </c>
      <c r="K244" s="3" t="s">
        <v>572</v>
      </c>
      <c r="L244" s="3" t="s">
        <v>566</v>
      </c>
      <c r="M244" s="3" t="s">
        <v>1759</v>
      </c>
      <c r="N244" s="3" t="s">
        <v>797</v>
      </c>
      <c r="O244" s="3" t="s">
        <v>141</v>
      </c>
      <c r="P244" s="180" t="s">
        <v>1765</v>
      </c>
      <c r="Q244" s="3" t="s">
        <v>664</v>
      </c>
      <c r="R244" s="3" t="s">
        <v>1482</v>
      </c>
      <c r="S244" s="3" t="s">
        <v>1393</v>
      </c>
      <c r="T244" s="178" t="s">
        <v>1394</v>
      </c>
      <c r="U244" s="162">
        <v>3.306</v>
      </c>
      <c r="V244" s="153">
        <v>202.13200000000001</v>
      </c>
      <c r="W244" s="153">
        <v>668.24900000000002</v>
      </c>
      <c r="X244" s="164">
        <v>7.7000000000000001E-5</v>
      </c>
      <c r="Y244" s="164">
        <v>4.9651904571138702E-2</v>
      </c>
      <c r="Z244" s="164">
        <v>4.4041484284826496E-3</v>
      </c>
    </row>
    <row r="245" spans="1:26" hidden="1">
      <c r="A245" s="3">
        <v>424</v>
      </c>
      <c r="B245" s="3">
        <v>7229</v>
      </c>
      <c r="C245" s="3" t="s">
        <v>1770</v>
      </c>
      <c r="D245" s="3" t="s">
        <v>1771</v>
      </c>
      <c r="E245" s="3" t="s">
        <v>492</v>
      </c>
      <c r="F245" s="3" t="s">
        <v>1772</v>
      </c>
      <c r="G245" s="3">
        <v>62013909</v>
      </c>
      <c r="H245" s="3" t="s">
        <v>33</v>
      </c>
      <c r="I245" s="3" t="s">
        <v>1607</v>
      </c>
      <c r="J245" s="3" t="s">
        <v>1773</v>
      </c>
      <c r="K245" s="3" t="s">
        <v>572</v>
      </c>
      <c r="L245" s="3" t="s">
        <v>1619</v>
      </c>
      <c r="M245" s="3" t="s">
        <v>224</v>
      </c>
      <c r="N245" s="3" t="s">
        <v>224</v>
      </c>
      <c r="O245" s="3" t="s">
        <v>141</v>
      </c>
      <c r="P245" s="180" t="s">
        <v>1774</v>
      </c>
      <c r="Q245" s="3" t="s">
        <v>664</v>
      </c>
      <c r="R245" s="3" t="s">
        <v>1482</v>
      </c>
      <c r="S245" s="3" t="s">
        <v>1393</v>
      </c>
      <c r="T245" s="178" t="s">
        <v>1394</v>
      </c>
      <c r="U245" s="162">
        <v>3.306</v>
      </c>
      <c r="V245" s="153">
        <v>82.802999999999997</v>
      </c>
      <c r="W245" s="153">
        <v>273.74799999999999</v>
      </c>
      <c r="X245" s="164">
        <v>2E-3</v>
      </c>
      <c r="Y245" s="164">
        <v>2.03398738798274E-2</v>
      </c>
      <c r="Z245" s="164">
        <v>1.8041568466931901E-3</v>
      </c>
    </row>
    <row r="246" spans="1:26" hidden="1">
      <c r="A246" s="3">
        <v>424</v>
      </c>
      <c r="B246" s="3">
        <v>7229</v>
      </c>
      <c r="C246" s="3" t="s">
        <v>1775</v>
      </c>
      <c r="D246" s="3" t="s">
        <v>1776</v>
      </c>
      <c r="E246" s="3" t="s">
        <v>492</v>
      </c>
      <c r="F246" s="3" t="s">
        <v>1777</v>
      </c>
      <c r="G246" s="3">
        <v>62011226</v>
      </c>
      <c r="H246" s="3" t="s">
        <v>33</v>
      </c>
      <c r="I246" s="3" t="s">
        <v>1607</v>
      </c>
      <c r="J246" s="3" t="s">
        <v>1778</v>
      </c>
      <c r="K246" s="3" t="s">
        <v>572</v>
      </c>
      <c r="L246" s="3" t="s">
        <v>1619</v>
      </c>
      <c r="M246" s="3" t="s">
        <v>224</v>
      </c>
      <c r="N246" s="3" t="s">
        <v>224</v>
      </c>
      <c r="O246" s="3" t="s">
        <v>141</v>
      </c>
      <c r="P246" s="180" t="s">
        <v>1779</v>
      </c>
      <c r="Q246" s="3" t="s">
        <v>664</v>
      </c>
      <c r="R246" s="3" t="s">
        <v>1482</v>
      </c>
      <c r="S246" s="3" t="s">
        <v>1393</v>
      </c>
      <c r="T246" s="178" t="s">
        <v>1394</v>
      </c>
      <c r="U246" s="162">
        <v>3.306</v>
      </c>
      <c r="V246" s="153">
        <v>2.5230000000000001</v>
      </c>
      <c r="W246" s="153">
        <v>8.3390000000000004</v>
      </c>
      <c r="X246" s="164">
        <v>0</v>
      </c>
      <c r="Y246" s="164">
        <v>6.1963282823185404E-4</v>
      </c>
      <c r="Z246" s="164">
        <v>5.4961737525771403E-5</v>
      </c>
    </row>
    <row r="247" spans="1:26" hidden="1">
      <c r="A247" s="3">
        <v>424</v>
      </c>
      <c r="B247" s="3">
        <v>7229</v>
      </c>
      <c r="C247" s="3" t="s">
        <v>1792</v>
      </c>
      <c r="D247" s="3" t="s">
        <v>1793</v>
      </c>
      <c r="E247" s="3" t="s">
        <v>492</v>
      </c>
      <c r="F247" s="3" t="s">
        <v>1794</v>
      </c>
      <c r="G247" s="3">
        <v>62016654</v>
      </c>
      <c r="H247" s="3" t="s">
        <v>33</v>
      </c>
      <c r="I247" s="3" t="s">
        <v>1607</v>
      </c>
      <c r="J247" s="3" t="s">
        <v>1637</v>
      </c>
      <c r="K247" s="3" t="s">
        <v>572</v>
      </c>
      <c r="L247" s="3" t="s">
        <v>1619</v>
      </c>
      <c r="M247" s="3" t="s">
        <v>224</v>
      </c>
      <c r="N247" s="3" t="s">
        <v>797</v>
      </c>
      <c r="O247" s="3" t="s">
        <v>141</v>
      </c>
      <c r="P247" s="180" t="s">
        <v>1795</v>
      </c>
      <c r="Q247" s="3" t="s">
        <v>664</v>
      </c>
      <c r="R247" s="3" t="s">
        <v>1482</v>
      </c>
      <c r="S247" s="3" t="s">
        <v>1393</v>
      </c>
      <c r="T247" s="178" t="s">
        <v>1394</v>
      </c>
      <c r="U247" s="162">
        <v>3.306</v>
      </c>
      <c r="V247" s="153">
        <v>159.18299999999999</v>
      </c>
      <c r="W247" s="153">
        <v>526.25900000000001</v>
      </c>
      <c r="X247" s="164">
        <v>2.5000000000000001E-5</v>
      </c>
      <c r="Y247" s="164">
        <v>3.9101880519839698E-2</v>
      </c>
      <c r="Z247" s="164">
        <v>3.4683560908612002E-3</v>
      </c>
    </row>
    <row r="248" spans="1:26" hidden="1">
      <c r="A248" s="3">
        <v>424</v>
      </c>
      <c r="B248" s="3">
        <v>7229</v>
      </c>
      <c r="C248" s="3" t="s">
        <v>1800</v>
      </c>
      <c r="D248" s="3" t="s">
        <v>1801</v>
      </c>
      <c r="E248" s="3" t="s">
        <v>651</v>
      </c>
      <c r="F248" s="3" t="s">
        <v>1802</v>
      </c>
      <c r="G248" s="3">
        <v>62018064</v>
      </c>
      <c r="H248" s="3" t="s">
        <v>33</v>
      </c>
      <c r="I248" s="3" t="s">
        <v>1607</v>
      </c>
      <c r="J248" s="3" t="s">
        <v>1628</v>
      </c>
      <c r="K248" s="3" t="s">
        <v>572</v>
      </c>
      <c r="L248" s="3" t="s">
        <v>1619</v>
      </c>
      <c r="M248" s="3" t="s">
        <v>224</v>
      </c>
      <c r="N248" s="3" t="s">
        <v>1803</v>
      </c>
      <c r="O248" s="3" t="s">
        <v>141</v>
      </c>
      <c r="P248" s="180" t="s">
        <v>1554</v>
      </c>
      <c r="Q248" s="3" t="s">
        <v>664</v>
      </c>
      <c r="R248" s="3" t="s">
        <v>498</v>
      </c>
      <c r="S248" s="3" t="s">
        <v>1393</v>
      </c>
      <c r="T248" s="178" t="s">
        <v>1394</v>
      </c>
      <c r="U248" s="162">
        <v>3.306</v>
      </c>
      <c r="V248" s="153">
        <v>1.7330000000000001</v>
      </c>
      <c r="W248" s="153">
        <v>5.7279999999999998</v>
      </c>
      <c r="X248" s="164">
        <v>8.7999999999999998E-5</v>
      </c>
      <c r="Y248" s="164">
        <v>4.2562708391362598E-4</v>
      </c>
      <c r="Z248" s="164">
        <v>3.7753332302734201E-5</v>
      </c>
    </row>
    <row r="249" spans="1:26" hidden="1">
      <c r="A249" s="3">
        <v>424</v>
      </c>
      <c r="B249" s="3">
        <v>7229</v>
      </c>
      <c r="C249" s="3" t="s">
        <v>1807</v>
      </c>
      <c r="D249" s="3" t="s">
        <v>1808</v>
      </c>
      <c r="E249" s="3" t="s">
        <v>492</v>
      </c>
      <c r="F249" s="3" t="s">
        <v>1809</v>
      </c>
      <c r="G249" s="3">
        <v>62018908</v>
      </c>
      <c r="H249" s="3" t="s">
        <v>33</v>
      </c>
      <c r="I249" s="3" t="s">
        <v>1607</v>
      </c>
      <c r="J249" s="3" t="s">
        <v>1628</v>
      </c>
      <c r="K249" s="3" t="s">
        <v>572</v>
      </c>
      <c r="L249" s="3" t="s">
        <v>1315</v>
      </c>
      <c r="M249" s="3" t="s">
        <v>1315</v>
      </c>
      <c r="N249" s="3" t="s">
        <v>797</v>
      </c>
      <c r="O249" s="3" t="s">
        <v>141</v>
      </c>
      <c r="P249" s="180" t="s">
        <v>1810</v>
      </c>
      <c r="Q249" s="3" t="s">
        <v>664</v>
      </c>
      <c r="R249" s="3" t="s">
        <v>1482</v>
      </c>
      <c r="S249" s="3" t="s">
        <v>1393</v>
      </c>
      <c r="T249" s="178" t="s">
        <v>1394</v>
      </c>
      <c r="U249" s="162">
        <v>3.306</v>
      </c>
      <c r="V249" s="153">
        <v>213.61199999999999</v>
      </c>
      <c r="W249" s="153">
        <v>706.20299999999997</v>
      </c>
      <c r="X249" s="164">
        <v>1.1E-5</v>
      </c>
      <c r="Y249" s="164">
        <v>5.2471953147720199E-2</v>
      </c>
      <c r="Z249" s="164">
        <v>4.6542881283405096E-3</v>
      </c>
    </row>
    <row r="250" spans="1:26" hidden="1">
      <c r="A250" s="3">
        <v>424</v>
      </c>
      <c r="B250" s="3">
        <v>7229</v>
      </c>
      <c r="C250" s="3" t="s">
        <v>1827</v>
      </c>
      <c r="D250" s="3" t="s">
        <v>1828</v>
      </c>
      <c r="E250" s="3" t="s">
        <v>651</v>
      </c>
      <c r="F250" s="3" t="s">
        <v>1829</v>
      </c>
      <c r="G250" s="3">
        <v>62003800</v>
      </c>
      <c r="H250" s="3" t="s">
        <v>33</v>
      </c>
      <c r="I250" s="3" t="s">
        <v>1607</v>
      </c>
      <c r="J250" s="3" t="s">
        <v>1830</v>
      </c>
      <c r="K250" s="3" t="s">
        <v>572</v>
      </c>
      <c r="L250" s="3" t="s">
        <v>1619</v>
      </c>
      <c r="M250" s="3" t="s">
        <v>224</v>
      </c>
      <c r="N250" s="3" t="s">
        <v>797</v>
      </c>
      <c r="O250" s="3" t="s">
        <v>141</v>
      </c>
      <c r="P250" s="180" t="s">
        <v>1940</v>
      </c>
      <c r="Q250" s="3" t="s">
        <v>664</v>
      </c>
      <c r="R250" s="3" t="s">
        <v>498</v>
      </c>
      <c r="S250" s="3" t="s">
        <v>1393</v>
      </c>
      <c r="T250" s="178" t="s">
        <v>1394</v>
      </c>
      <c r="U250" s="162">
        <v>3.306</v>
      </c>
      <c r="V250" s="153">
        <v>170.67699999999999</v>
      </c>
      <c r="W250" s="153">
        <v>564.25900000000001</v>
      </c>
      <c r="X250" s="164">
        <v>5.04E-4</v>
      </c>
      <c r="Y250" s="164">
        <v>4.1925289591556003E-2</v>
      </c>
      <c r="Z250" s="164">
        <v>3.7187938682952401E-3</v>
      </c>
    </row>
    <row r="251" spans="1:26" hidden="1">
      <c r="A251" s="3">
        <v>424</v>
      </c>
      <c r="B251" s="3">
        <v>7229</v>
      </c>
      <c r="C251" s="3" t="s">
        <v>1827</v>
      </c>
      <c r="D251" s="3" t="s">
        <v>1828</v>
      </c>
      <c r="E251" s="3" t="s">
        <v>651</v>
      </c>
      <c r="F251" s="3" t="s">
        <v>1832</v>
      </c>
      <c r="G251" s="3">
        <v>620101031</v>
      </c>
      <c r="H251" s="3" t="s">
        <v>33</v>
      </c>
      <c r="I251" s="3" t="s">
        <v>1607</v>
      </c>
      <c r="J251" s="3" t="s">
        <v>1613</v>
      </c>
      <c r="K251" s="3" t="s">
        <v>572</v>
      </c>
      <c r="L251" s="3" t="s">
        <v>1619</v>
      </c>
      <c r="M251" s="3" t="s">
        <v>224</v>
      </c>
      <c r="N251" s="3" t="s">
        <v>224</v>
      </c>
      <c r="O251" s="3" t="s">
        <v>141</v>
      </c>
      <c r="P251" s="180" t="s">
        <v>1668</v>
      </c>
      <c r="Q251" s="3" t="s">
        <v>664</v>
      </c>
      <c r="R251" s="3" t="s">
        <v>498</v>
      </c>
      <c r="S251" s="3" t="s">
        <v>1393</v>
      </c>
      <c r="T251" s="178" t="s">
        <v>1394</v>
      </c>
      <c r="U251" s="162">
        <v>3.306</v>
      </c>
      <c r="V251" s="153">
        <v>116.518</v>
      </c>
      <c r="W251" s="153">
        <v>385.209</v>
      </c>
      <c r="X251" s="164">
        <v>0</v>
      </c>
      <c r="Y251" s="164">
        <v>2.86215946772546E-2</v>
      </c>
      <c r="Z251" s="164">
        <v>2.5387495667541799E-3</v>
      </c>
    </row>
    <row r="252" spans="1:26" hidden="1">
      <c r="A252" s="3">
        <v>424</v>
      </c>
      <c r="B252" s="3">
        <v>7229</v>
      </c>
      <c r="C252" s="3" t="s">
        <v>1827</v>
      </c>
      <c r="D252" s="3" t="s">
        <v>1828</v>
      </c>
      <c r="E252" s="3" t="s">
        <v>651</v>
      </c>
      <c r="F252" s="3" t="s">
        <v>1833</v>
      </c>
      <c r="G252" s="3">
        <v>62014857</v>
      </c>
      <c r="H252" s="3" t="s">
        <v>33</v>
      </c>
      <c r="I252" s="3" t="s">
        <v>1607</v>
      </c>
      <c r="J252" s="3" t="s">
        <v>1830</v>
      </c>
      <c r="K252" s="3" t="s">
        <v>572</v>
      </c>
      <c r="L252" s="3" t="s">
        <v>1619</v>
      </c>
      <c r="M252" s="3" t="s">
        <v>224</v>
      </c>
      <c r="N252" s="3" t="s">
        <v>797</v>
      </c>
      <c r="O252" s="3" t="s">
        <v>141</v>
      </c>
      <c r="P252" s="180" t="s">
        <v>1834</v>
      </c>
      <c r="Q252" s="3" t="s">
        <v>664</v>
      </c>
      <c r="R252" s="3" t="s">
        <v>1482</v>
      </c>
      <c r="S252" s="3" t="s">
        <v>1393</v>
      </c>
      <c r="T252" s="178" t="s">
        <v>1394</v>
      </c>
      <c r="U252" s="162">
        <v>3.306</v>
      </c>
      <c r="V252" s="153">
        <v>123.655</v>
      </c>
      <c r="W252" s="153">
        <v>408.803</v>
      </c>
      <c r="X252" s="164">
        <v>1.4799999999999999E-4</v>
      </c>
      <c r="Y252" s="164">
        <v>3.0374675430487202E-2</v>
      </c>
      <c r="Z252" s="164">
        <v>2.69424869435139E-3</v>
      </c>
    </row>
    <row r="253" spans="1:26" hidden="1">
      <c r="A253" s="3">
        <v>424</v>
      </c>
      <c r="B253" s="3">
        <v>7229</v>
      </c>
      <c r="C253" s="3" t="s">
        <v>1827</v>
      </c>
      <c r="D253" s="3" t="s">
        <v>1828</v>
      </c>
      <c r="E253" s="3" t="s">
        <v>651</v>
      </c>
      <c r="F253" s="3" t="s">
        <v>1835</v>
      </c>
      <c r="G253" s="3">
        <v>62019476</v>
      </c>
      <c r="H253" s="3" t="s">
        <v>33</v>
      </c>
      <c r="I253" s="3" t="s">
        <v>1607</v>
      </c>
      <c r="J253" s="3" t="s">
        <v>1830</v>
      </c>
      <c r="K253" s="3" t="s">
        <v>572</v>
      </c>
      <c r="L253" s="3" t="s">
        <v>1619</v>
      </c>
      <c r="M253" s="3" t="s">
        <v>224</v>
      </c>
      <c r="N253" s="3" t="s">
        <v>797</v>
      </c>
      <c r="O253" s="3" t="s">
        <v>141</v>
      </c>
      <c r="P253" s="180" t="s">
        <v>1728</v>
      </c>
      <c r="Q253" s="3" t="s">
        <v>664</v>
      </c>
      <c r="R253" s="3" t="s">
        <v>498</v>
      </c>
      <c r="S253" s="3" t="s">
        <v>1393</v>
      </c>
      <c r="T253" s="178" t="s">
        <v>1394</v>
      </c>
      <c r="U253" s="162">
        <v>3.306</v>
      </c>
      <c r="V253" s="153">
        <v>96.694000000000003</v>
      </c>
      <c r="W253" s="153">
        <v>319.67</v>
      </c>
      <c r="X253" s="164">
        <v>8.7999999999999998E-5</v>
      </c>
      <c r="Y253" s="164">
        <v>2.37519406958656E-2</v>
      </c>
      <c r="Z253" s="164">
        <v>2.1068088564303502E-3</v>
      </c>
    </row>
    <row r="254" spans="1:26" hidden="1">
      <c r="A254" s="3">
        <v>424</v>
      </c>
      <c r="B254" s="3">
        <v>7229</v>
      </c>
      <c r="C254" s="3" t="s">
        <v>1827</v>
      </c>
      <c r="D254" s="3" t="s">
        <v>1828</v>
      </c>
      <c r="E254" s="3" t="s">
        <v>651</v>
      </c>
      <c r="F254" s="3" t="s">
        <v>1840</v>
      </c>
      <c r="G254" s="3">
        <v>62020458</v>
      </c>
      <c r="H254" s="3" t="s">
        <v>33</v>
      </c>
      <c r="I254" s="3" t="s">
        <v>1607</v>
      </c>
      <c r="J254" s="3" t="s">
        <v>1731</v>
      </c>
      <c r="K254" s="3" t="s">
        <v>572</v>
      </c>
      <c r="L254" s="3" t="s">
        <v>1619</v>
      </c>
      <c r="M254" s="3" t="s">
        <v>224</v>
      </c>
      <c r="N254" s="3" t="s">
        <v>797</v>
      </c>
      <c r="O254" s="3" t="s">
        <v>141</v>
      </c>
      <c r="P254" s="180" t="s">
        <v>1841</v>
      </c>
      <c r="Q254" s="3" t="s">
        <v>664</v>
      </c>
      <c r="R254" s="3" t="s">
        <v>498</v>
      </c>
      <c r="S254" s="3" t="s">
        <v>1393</v>
      </c>
      <c r="T254" s="178" t="s">
        <v>1394</v>
      </c>
      <c r="U254" s="162">
        <v>3.306</v>
      </c>
      <c r="V254" s="153">
        <v>114.139</v>
      </c>
      <c r="W254" s="153">
        <v>377.34199999999998</v>
      </c>
      <c r="X254" s="164">
        <v>5.0000000000000002E-5</v>
      </c>
      <c r="Y254" s="164">
        <v>2.8037081834074402E-2</v>
      </c>
      <c r="Z254" s="164">
        <v>2.4869029892269899E-3</v>
      </c>
    </row>
    <row r="255" spans="1:26" hidden="1">
      <c r="A255" s="3">
        <v>424</v>
      </c>
      <c r="B255" s="3">
        <v>7229</v>
      </c>
      <c r="C255" s="3" t="s">
        <v>1827</v>
      </c>
      <c r="D255" s="3" t="s">
        <v>1828</v>
      </c>
      <c r="E255" s="3" t="s">
        <v>651</v>
      </c>
      <c r="F255" s="3" t="s">
        <v>1842</v>
      </c>
      <c r="G255" s="3">
        <v>62017678</v>
      </c>
      <c r="H255" s="3" t="s">
        <v>33</v>
      </c>
      <c r="I255" s="3" t="s">
        <v>1607</v>
      </c>
      <c r="J255" s="3" t="s">
        <v>1731</v>
      </c>
      <c r="K255" s="3" t="s">
        <v>572</v>
      </c>
      <c r="L255" s="3" t="s">
        <v>1619</v>
      </c>
      <c r="M255" s="3" t="s">
        <v>224</v>
      </c>
      <c r="N255" s="3" t="s">
        <v>797</v>
      </c>
      <c r="O255" s="3" t="s">
        <v>141</v>
      </c>
      <c r="P255" s="180" t="s">
        <v>1843</v>
      </c>
      <c r="Q255" s="3" t="s">
        <v>664</v>
      </c>
      <c r="R255" s="3" t="s">
        <v>498</v>
      </c>
      <c r="S255" s="3" t="s">
        <v>1393</v>
      </c>
      <c r="T255" s="178" t="s">
        <v>1394</v>
      </c>
      <c r="U255" s="162">
        <v>3.306</v>
      </c>
      <c r="V255" s="153">
        <v>202.36199999999999</v>
      </c>
      <c r="W255" s="153">
        <v>669.00800000000004</v>
      </c>
      <c r="X255" s="164">
        <v>3.88E-4</v>
      </c>
      <c r="Y255" s="164">
        <v>4.9708285651271597E-2</v>
      </c>
      <c r="Z255" s="164">
        <v>4.4091494581029204E-3</v>
      </c>
    </row>
    <row r="256" spans="1:26" hidden="1">
      <c r="A256" s="3">
        <v>424</v>
      </c>
      <c r="B256" s="3">
        <v>7229</v>
      </c>
      <c r="C256" s="3" t="s">
        <v>1852</v>
      </c>
      <c r="D256" s="3" t="s">
        <v>1853</v>
      </c>
      <c r="E256" s="3" t="s">
        <v>651</v>
      </c>
      <c r="F256" s="3" t="s">
        <v>1854</v>
      </c>
      <c r="G256" s="3">
        <v>62020565</v>
      </c>
      <c r="H256" s="3" t="s">
        <v>33</v>
      </c>
      <c r="I256" s="3" t="s">
        <v>1607</v>
      </c>
      <c r="J256" s="3" t="s">
        <v>1613</v>
      </c>
      <c r="K256" s="3" t="s">
        <v>572</v>
      </c>
      <c r="L256" s="3" t="s">
        <v>566</v>
      </c>
      <c r="M256" s="3" t="s">
        <v>566</v>
      </c>
      <c r="N256" s="3" t="s">
        <v>1120</v>
      </c>
      <c r="O256" s="3" t="s">
        <v>141</v>
      </c>
      <c r="P256" s="180" t="s">
        <v>1609</v>
      </c>
      <c r="Q256" s="3" t="s">
        <v>576</v>
      </c>
      <c r="R256" s="3" t="s">
        <v>498</v>
      </c>
      <c r="S256" s="3" t="s">
        <v>1393</v>
      </c>
      <c r="T256" s="178" t="s">
        <v>1394</v>
      </c>
      <c r="U256" s="162">
        <v>3.8807</v>
      </c>
      <c r="V256" s="153">
        <v>97.575999999999993</v>
      </c>
      <c r="W256" s="153">
        <v>378.66300000000001</v>
      </c>
      <c r="X256" s="164">
        <v>9.7E-5</v>
      </c>
      <c r="Y256" s="164">
        <v>2.8135264120692699E-2</v>
      </c>
      <c r="Z256" s="164">
        <v>2.4956118064828302E-3</v>
      </c>
    </row>
    <row r="257" spans="1:26" hidden="1">
      <c r="A257" s="3">
        <v>424</v>
      </c>
      <c r="B257" s="3">
        <v>7229</v>
      </c>
      <c r="C257" s="3" t="s">
        <v>1864</v>
      </c>
      <c r="D257" s="3" t="s">
        <v>1865</v>
      </c>
      <c r="E257" s="3" t="s">
        <v>651</v>
      </c>
      <c r="F257" s="3" t="s">
        <v>1866</v>
      </c>
      <c r="G257" s="3">
        <v>77847846</v>
      </c>
      <c r="H257" s="3" t="s">
        <v>33</v>
      </c>
      <c r="I257" s="3" t="s">
        <v>1607</v>
      </c>
      <c r="J257" s="3" t="s">
        <v>1613</v>
      </c>
      <c r="K257" s="3" t="s">
        <v>572</v>
      </c>
      <c r="L257" s="3" t="s">
        <v>1315</v>
      </c>
      <c r="M257" s="3" t="s">
        <v>1315</v>
      </c>
      <c r="N257" s="3" t="s">
        <v>224</v>
      </c>
      <c r="O257" s="3" t="s">
        <v>141</v>
      </c>
      <c r="P257" s="180" t="s">
        <v>1867</v>
      </c>
      <c r="Q257" s="3" t="s">
        <v>664</v>
      </c>
      <c r="R257" s="3" t="s">
        <v>1482</v>
      </c>
      <c r="S257" s="3" t="s">
        <v>1393</v>
      </c>
      <c r="T257" s="178" t="s">
        <v>1394</v>
      </c>
      <c r="U257" s="162">
        <v>3.306</v>
      </c>
      <c r="V257" s="153">
        <v>274.74799999999999</v>
      </c>
      <c r="W257" s="153">
        <v>908.31500000000005</v>
      </c>
      <c r="X257" s="164">
        <v>0</v>
      </c>
      <c r="Y257" s="164">
        <v>6.7489217088249398E-2</v>
      </c>
      <c r="Z257" s="164">
        <v>5.9863268478025497E-3</v>
      </c>
    </row>
    <row r="258" spans="1:26" hidden="1">
      <c r="A258" s="3">
        <v>424</v>
      </c>
      <c r="B258" s="3">
        <v>7229</v>
      </c>
      <c r="C258" s="3" t="s">
        <v>1876</v>
      </c>
      <c r="D258" s="3" t="s">
        <v>1877</v>
      </c>
      <c r="E258" s="3" t="s">
        <v>492</v>
      </c>
      <c r="F258" s="3" t="s">
        <v>1878</v>
      </c>
      <c r="G258" s="3">
        <v>62017652</v>
      </c>
      <c r="H258" s="3" t="s">
        <v>33</v>
      </c>
      <c r="I258" s="3" t="s">
        <v>1607</v>
      </c>
      <c r="J258" s="3" t="s">
        <v>1879</v>
      </c>
      <c r="K258" s="3" t="s">
        <v>572</v>
      </c>
      <c r="L258" s="3" t="s">
        <v>1619</v>
      </c>
      <c r="M258" s="3" t="s">
        <v>224</v>
      </c>
      <c r="N258" s="3" t="s">
        <v>797</v>
      </c>
      <c r="O258" s="3" t="s">
        <v>141</v>
      </c>
      <c r="P258" s="180" t="s">
        <v>1880</v>
      </c>
      <c r="Q258" s="3" t="s">
        <v>664</v>
      </c>
      <c r="R258" s="3" t="s">
        <v>498</v>
      </c>
      <c r="S258" s="3" t="s">
        <v>1393</v>
      </c>
      <c r="T258" s="178" t="s">
        <v>1394</v>
      </c>
      <c r="U258" s="162">
        <v>3.306</v>
      </c>
      <c r="V258" s="153">
        <v>181.251</v>
      </c>
      <c r="W258" s="153">
        <v>599.21600000000001</v>
      </c>
      <c r="X258" s="164">
        <v>5.5000000000000002E-5</v>
      </c>
      <c r="Y258" s="164">
        <v>4.4522674464198803E-2</v>
      </c>
      <c r="Z258" s="164">
        <v>3.94918318777492E-3</v>
      </c>
    </row>
    <row r="259" spans="1:26" hidden="1">
      <c r="A259" s="3">
        <v>424</v>
      </c>
      <c r="B259" s="3">
        <v>7229</v>
      </c>
      <c r="C259" s="3" t="s">
        <v>1881</v>
      </c>
      <c r="D259" s="3" t="s">
        <v>1882</v>
      </c>
      <c r="E259" s="3" t="s">
        <v>492</v>
      </c>
      <c r="F259" s="3" t="s">
        <v>1883</v>
      </c>
      <c r="G259" s="3">
        <v>62021142</v>
      </c>
      <c r="H259" s="3" t="s">
        <v>33</v>
      </c>
      <c r="I259" s="3" t="s">
        <v>1607</v>
      </c>
      <c r="J259" s="3" t="s">
        <v>1879</v>
      </c>
      <c r="K259" s="3" t="s">
        <v>572</v>
      </c>
      <c r="L259" s="3" t="s">
        <v>1619</v>
      </c>
      <c r="M259" s="3" t="s">
        <v>224</v>
      </c>
      <c r="N259" s="3" t="s">
        <v>797</v>
      </c>
      <c r="O259" s="3" t="s">
        <v>141</v>
      </c>
      <c r="P259" s="180" t="s">
        <v>1884</v>
      </c>
      <c r="Q259" s="3" t="s">
        <v>664</v>
      </c>
      <c r="R259" s="3" t="s">
        <v>1482</v>
      </c>
      <c r="S259" s="3" t="s">
        <v>1393</v>
      </c>
      <c r="T259" s="178" t="s">
        <v>1394</v>
      </c>
      <c r="U259" s="162">
        <v>3.306</v>
      </c>
      <c r="V259" s="153">
        <v>187.38900000000001</v>
      </c>
      <c r="W259" s="153">
        <v>619.50699999999995</v>
      </c>
      <c r="X259" s="164">
        <v>5.0000000000000002E-5</v>
      </c>
      <c r="Y259" s="164">
        <v>4.6030355449691002E-2</v>
      </c>
      <c r="Z259" s="164">
        <v>4.0829152349191496E-3</v>
      </c>
    </row>
    <row r="260" spans="1:26" hidden="1">
      <c r="A260" s="3">
        <v>424</v>
      </c>
      <c r="B260" s="3">
        <v>7229</v>
      </c>
      <c r="C260" s="3" t="s">
        <v>1901</v>
      </c>
      <c r="D260" s="3" t="s">
        <v>1902</v>
      </c>
      <c r="E260" s="3" t="s">
        <v>492</v>
      </c>
      <c r="F260" s="3" t="s">
        <v>1903</v>
      </c>
      <c r="G260" s="3">
        <v>62021324</v>
      </c>
      <c r="H260" s="3" t="s">
        <v>33</v>
      </c>
      <c r="I260" s="3" t="s">
        <v>1607</v>
      </c>
      <c r="J260" s="3" t="s">
        <v>1778</v>
      </c>
      <c r="K260" s="3" t="s">
        <v>572</v>
      </c>
      <c r="L260" s="3" t="s">
        <v>1619</v>
      </c>
      <c r="M260" s="3" t="s">
        <v>224</v>
      </c>
      <c r="N260" s="3" t="s">
        <v>224</v>
      </c>
      <c r="O260" s="3" t="s">
        <v>141</v>
      </c>
      <c r="P260" s="180" t="s">
        <v>1900</v>
      </c>
      <c r="Q260" s="3" t="s">
        <v>664</v>
      </c>
      <c r="R260" s="3" t="s">
        <v>1482</v>
      </c>
      <c r="S260" s="3" t="s">
        <v>1393</v>
      </c>
      <c r="T260" s="178" t="s">
        <v>1394</v>
      </c>
      <c r="U260" s="162">
        <v>3.306</v>
      </c>
      <c r="V260" s="153">
        <v>17.38</v>
      </c>
      <c r="W260" s="153">
        <v>57.459000000000003</v>
      </c>
      <c r="X260" s="164">
        <v>0</v>
      </c>
      <c r="Y260" s="164">
        <v>4.2693068637834203E-3</v>
      </c>
      <c r="Z260" s="164">
        <v>3.78689624844147E-4</v>
      </c>
    </row>
    <row r="261" spans="1:26" hidden="1">
      <c r="A261" s="3">
        <v>424</v>
      </c>
      <c r="B261" s="3">
        <v>7229</v>
      </c>
      <c r="C261" s="3" t="s">
        <v>1908</v>
      </c>
      <c r="D261" s="3" t="s">
        <v>1909</v>
      </c>
      <c r="E261" s="3" t="s">
        <v>651</v>
      </c>
      <c r="F261" s="3" t="s">
        <v>1910</v>
      </c>
      <c r="G261" s="3">
        <v>62021571</v>
      </c>
      <c r="H261" s="3" t="s">
        <v>33</v>
      </c>
      <c r="I261" s="3" t="s">
        <v>1607</v>
      </c>
      <c r="J261" s="3" t="s">
        <v>1613</v>
      </c>
      <c r="K261" s="3" t="s">
        <v>572</v>
      </c>
      <c r="L261" s="3" t="s">
        <v>1315</v>
      </c>
      <c r="M261" s="3" t="s">
        <v>566</v>
      </c>
      <c r="N261" s="3" t="s">
        <v>1120</v>
      </c>
      <c r="O261" s="3" t="s">
        <v>141</v>
      </c>
      <c r="P261" s="180" t="s">
        <v>1911</v>
      </c>
      <c r="Q261" s="3" t="s">
        <v>576</v>
      </c>
      <c r="R261" s="3" t="s">
        <v>498</v>
      </c>
      <c r="S261" s="3" t="s">
        <v>1393</v>
      </c>
      <c r="T261" s="178" t="s">
        <v>1394</v>
      </c>
      <c r="U261" s="162">
        <v>3.8807</v>
      </c>
      <c r="V261" s="153">
        <v>72.138000000000005</v>
      </c>
      <c r="W261" s="153">
        <v>279.94400000000002</v>
      </c>
      <c r="X261" s="164">
        <v>2.81E-4</v>
      </c>
      <c r="Y261" s="164">
        <v>2.08003034867657E-2</v>
      </c>
      <c r="Z261" s="164">
        <v>1.84499717995612E-3</v>
      </c>
    </row>
    <row r="262" spans="1:26" hidden="1">
      <c r="A262" s="3">
        <v>424</v>
      </c>
      <c r="B262" s="3">
        <v>7229</v>
      </c>
      <c r="C262" s="3" t="s">
        <v>1920</v>
      </c>
      <c r="D262" s="3" t="s">
        <v>1921</v>
      </c>
      <c r="E262" s="3" t="s">
        <v>492</v>
      </c>
      <c r="F262" s="3" t="s">
        <v>1922</v>
      </c>
      <c r="G262" s="3">
        <v>62009204</v>
      </c>
      <c r="H262" s="3" t="s">
        <v>33</v>
      </c>
      <c r="I262" s="3" t="s">
        <v>1607</v>
      </c>
      <c r="J262" s="3" t="s">
        <v>1618</v>
      </c>
      <c r="K262" s="3" t="s">
        <v>572</v>
      </c>
      <c r="L262" s="3" t="s">
        <v>1315</v>
      </c>
      <c r="M262" s="3" t="s">
        <v>566</v>
      </c>
      <c r="N262" s="3" t="s">
        <v>797</v>
      </c>
      <c r="O262" s="3" t="s">
        <v>141</v>
      </c>
      <c r="P262" s="180" t="s">
        <v>1923</v>
      </c>
      <c r="Q262" s="3" t="s">
        <v>664</v>
      </c>
      <c r="R262" s="3" t="s">
        <v>498</v>
      </c>
      <c r="S262" s="3" t="s">
        <v>1393</v>
      </c>
      <c r="T262" s="178" t="s">
        <v>1394</v>
      </c>
      <c r="U262" s="162">
        <v>3.306</v>
      </c>
      <c r="V262" s="153">
        <v>136.363</v>
      </c>
      <c r="W262" s="153">
        <v>450.81799999999998</v>
      </c>
      <c r="X262" s="164">
        <v>1.46E-4</v>
      </c>
      <c r="Y262" s="164">
        <v>3.34964366277654E-2</v>
      </c>
      <c r="Z262" s="164">
        <v>2.9711504524983002E-3</v>
      </c>
    </row>
    <row r="263" spans="1:26" hidden="1">
      <c r="A263" s="3">
        <v>424</v>
      </c>
      <c r="B263" s="3">
        <v>7229</v>
      </c>
      <c r="C263" s="3" t="s">
        <v>1924</v>
      </c>
      <c r="D263" s="3" t="s">
        <v>1925</v>
      </c>
      <c r="E263" s="3" t="s">
        <v>492</v>
      </c>
      <c r="F263" s="3" t="s">
        <v>1926</v>
      </c>
      <c r="G263" s="3">
        <v>62019807</v>
      </c>
      <c r="H263" s="3" t="s">
        <v>33</v>
      </c>
      <c r="I263" s="3" t="s">
        <v>1607</v>
      </c>
      <c r="J263" s="3" t="s">
        <v>1618</v>
      </c>
      <c r="K263" s="3" t="s">
        <v>572</v>
      </c>
      <c r="L263" s="3" t="s">
        <v>1315</v>
      </c>
      <c r="M263" s="3" t="s">
        <v>566</v>
      </c>
      <c r="N263" s="3" t="s">
        <v>797</v>
      </c>
      <c r="O263" s="3" t="s">
        <v>141</v>
      </c>
      <c r="P263" s="180" t="s">
        <v>1765</v>
      </c>
      <c r="Q263" s="3" t="s">
        <v>664</v>
      </c>
      <c r="R263" s="3" t="s">
        <v>1482</v>
      </c>
      <c r="S263" s="3" t="s">
        <v>1393</v>
      </c>
      <c r="T263" s="178" t="s">
        <v>1394</v>
      </c>
      <c r="U263" s="162">
        <v>3.306</v>
      </c>
      <c r="V263" s="153">
        <v>273.08800000000002</v>
      </c>
      <c r="W263" s="153">
        <v>902.83</v>
      </c>
      <c r="X263" s="164">
        <v>1.4100000000000001E-4</v>
      </c>
      <c r="Y263" s="164">
        <v>6.7081626080134502E-2</v>
      </c>
      <c r="Z263" s="164">
        <v>5.9501733243202603E-3</v>
      </c>
    </row>
    <row r="264" spans="1:26" hidden="1">
      <c r="A264" s="3">
        <v>424</v>
      </c>
      <c r="B264" s="3">
        <v>7229</v>
      </c>
      <c r="C264" s="3" t="s">
        <v>1937</v>
      </c>
      <c r="D264" s="3" t="s">
        <v>1938</v>
      </c>
      <c r="E264" s="3" t="s">
        <v>492</v>
      </c>
      <c r="F264" s="3" t="s">
        <v>1939</v>
      </c>
      <c r="G264" s="3">
        <v>62010137</v>
      </c>
      <c r="H264" s="3" t="s">
        <v>33</v>
      </c>
      <c r="I264" s="3" t="s">
        <v>1607</v>
      </c>
      <c r="J264" s="3" t="s">
        <v>1637</v>
      </c>
      <c r="K264" s="3" t="s">
        <v>572</v>
      </c>
      <c r="L264" s="3" t="s">
        <v>1315</v>
      </c>
      <c r="M264" s="3" t="s">
        <v>566</v>
      </c>
      <c r="N264" s="3" t="s">
        <v>797</v>
      </c>
      <c r="O264" s="3" t="s">
        <v>141</v>
      </c>
      <c r="P264" s="180" t="s">
        <v>1940</v>
      </c>
      <c r="Q264" s="3" t="s">
        <v>664</v>
      </c>
      <c r="R264" s="3" t="s">
        <v>1482</v>
      </c>
      <c r="S264" s="3" t="s">
        <v>1393</v>
      </c>
      <c r="T264" s="178" t="s">
        <v>1394</v>
      </c>
      <c r="U264" s="162">
        <v>3.306</v>
      </c>
      <c r="V264" s="153">
        <v>96.528999999999996</v>
      </c>
      <c r="W264" s="153">
        <v>319.125</v>
      </c>
      <c r="X264" s="164">
        <v>4.3999999999999999E-5</v>
      </c>
      <c r="Y264" s="164">
        <v>2.37114813368406E-2</v>
      </c>
      <c r="Z264" s="164">
        <v>2.1032200913264402E-3</v>
      </c>
    </row>
    <row r="265" spans="1:26" hidden="1">
      <c r="A265" s="3">
        <v>969</v>
      </c>
      <c r="B265" s="3">
        <v>969</v>
      </c>
      <c r="C265" s="3" t="s">
        <v>1610</v>
      </c>
      <c r="D265" s="3" t="s">
        <v>1611</v>
      </c>
      <c r="E265" s="3" t="s">
        <v>366</v>
      </c>
      <c r="F265" s="3" t="s">
        <v>1612</v>
      </c>
      <c r="G265" s="3">
        <v>62018312</v>
      </c>
      <c r="H265" s="3" t="s">
        <v>33</v>
      </c>
      <c r="I265" s="3" t="s">
        <v>1607</v>
      </c>
      <c r="J265" s="3" t="s">
        <v>1613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141</v>
      </c>
      <c r="P265" s="180" t="s">
        <v>1614</v>
      </c>
      <c r="Q265" s="3" t="s">
        <v>664</v>
      </c>
      <c r="R265" s="3" t="s">
        <v>1482</v>
      </c>
      <c r="S265" s="3" t="s">
        <v>1393</v>
      </c>
      <c r="T265" s="178" t="s">
        <v>1394</v>
      </c>
      <c r="U265" s="162">
        <v>3.306</v>
      </c>
      <c r="V265" s="153">
        <v>170.67500000000001</v>
      </c>
      <c r="W265" s="153">
        <v>564.25099999999998</v>
      </c>
      <c r="X265" s="164">
        <v>9.2999999999999997E-5</v>
      </c>
      <c r="Y265" s="164">
        <v>6.4541551715473905E-2</v>
      </c>
      <c r="Z265" s="164">
        <v>7.4332996529403398E-3</v>
      </c>
    </row>
    <row r="266" spans="1:26" hidden="1">
      <c r="A266" s="3">
        <v>969</v>
      </c>
      <c r="B266" s="3">
        <v>969</v>
      </c>
      <c r="C266" s="3" t="s">
        <v>1625</v>
      </c>
      <c r="D266" s="3" t="s">
        <v>1626</v>
      </c>
      <c r="E266" s="3" t="s">
        <v>492</v>
      </c>
      <c r="F266" s="3" t="s">
        <v>1627</v>
      </c>
      <c r="G266" s="3">
        <v>60415775</v>
      </c>
      <c r="H266" s="3" t="s">
        <v>33</v>
      </c>
      <c r="I266" s="3" t="s">
        <v>1607</v>
      </c>
      <c r="J266" s="3" t="s">
        <v>1628</v>
      </c>
      <c r="K266" s="3" t="s">
        <v>572</v>
      </c>
      <c r="L266" s="3" t="s">
        <v>1619</v>
      </c>
      <c r="M266" s="3" t="s">
        <v>30</v>
      </c>
      <c r="N266" s="3" t="s">
        <v>30</v>
      </c>
      <c r="O266" s="3" t="s">
        <v>141</v>
      </c>
      <c r="P266" s="180" t="s">
        <v>2041</v>
      </c>
      <c r="Q266" s="3" t="s">
        <v>664</v>
      </c>
      <c r="R266" s="3" t="s">
        <v>1482</v>
      </c>
      <c r="S266" s="3" t="s">
        <v>1393</v>
      </c>
      <c r="T266" s="178" t="s">
        <v>1394</v>
      </c>
      <c r="U266" s="162">
        <v>3.306</v>
      </c>
      <c r="V266" s="153">
        <v>121.01</v>
      </c>
      <c r="W266" s="153">
        <v>400.06099999999998</v>
      </c>
      <c r="X266" s="164">
        <v>5.0000000000000001E-4</v>
      </c>
      <c r="Y266" s="164">
        <v>4.5760756751832901E-2</v>
      </c>
      <c r="Z266" s="164">
        <v>5.2703011973003798E-3</v>
      </c>
    </row>
    <row r="267" spans="1:26" hidden="1">
      <c r="A267" s="3">
        <v>969</v>
      </c>
      <c r="B267" s="3">
        <v>969</v>
      </c>
      <c r="C267" s="3" t="s">
        <v>1634</v>
      </c>
      <c r="D267" s="3" t="s">
        <v>1635</v>
      </c>
      <c r="E267" s="3" t="s">
        <v>33</v>
      </c>
      <c r="F267" s="3" t="s">
        <v>1636</v>
      </c>
      <c r="G267" s="3">
        <v>62001189</v>
      </c>
      <c r="H267" s="3" t="s">
        <v>33</v>
      </c>
      <c r="I267" s="3" t="s">
        <v>1607</v>
      </c>
      <c r="J267" s="3" t="s">
        <v>1637</v>
      </c>
      <c r="K267" s="3" t="s">
        <v>30</v>
      </c>
      <c r="L267" s="3" t="s">
        <v>1619</v>
      </c>
      <c r="M267" s="3" t="s">
        <v>30</v>
      </c>
      <c r="N267" s="3" t="s">
        <v>30</v>
      </c>
      <c r="O267" s="3" t="s">
        <v>141</v>
      </c>
      <c r="P267" s="180" t="s">
        <v>2039</v>
      </c>
      <c r="Q267" s="3" t="s">
        <v>664</v>
      </c>
      <c r="R267" s="3" t="s">
        <v>1482</v>
      </c>
      <c r="S267" s="3" t="s">
        <v>1393</v>
      </c>
      <c r="T267" s="178" t="s">
        <v>1394</v>
      </c>
      <c r="U267" s="162">
        <v>3.306</v>
      </c>
      <c r="V267" s="153">
        <v>39.779000000000003</v>
      </c>
      <c r="W267" s="153">
        <v>131.50899999999999</v>
      </c>
      <c r="X267" s="164">
        <v>4.7199999999999998E-4</v>
      </c>
      <c r="Y267" s="164">
        <v>1.5042609425578999E-2</v>
      </c>
      <c r="Z267" s="164">
        <v>1.7324687809708399E-3</v>
      </c>
    </row>
    <row r="268" spans="1:26" hidden="1">
      <c r="A268" s="3">
        <v>969</v>
      </c>
      <c r="B268" s="3">
        <v>969</v>
      </c>
      <c r="C268" s="3" t="s">
        <v>1639</v>
      </c>
      <c r="D268" s="3" t="s">
        <v>1640</v>
      </c>
      <c r="E268" s="3" t="s">
        <v>33</v>
      </c>
      <c r="F268" s="3" t="s">
        <v>1639</v>
      </c>
      <c r="G268" s="3">
        <v>60401809</v>
      </c>
      <c r="H268" s="3" t="s">
        <v>33</v>
      </c>
      <c r="I268" s="3" t="s">
        <v>1607</v>
      </c>
      <c r="J268" s="3" t="s">
        <v>1641</v>
      </c>
      <c r="K268" s="3" t="s">
        <v>572</v>
      </c>
      <c r="L268" s="3" t="s">
        <v>1619</v>
      </c>
      <c r="M268" s="3" t="s">
        <v>30</v>
      </c>
      <c r="N268" s="3" t="s">
        <v>224</v>
      </c>
      <c r="O268" s="3" t="s">
        <v>141</v>
      </c>
      <c r="P268" s="180" t="s">
        <v>2042</v>
      </c>
      <c r="Q268" s="3" t="s">
        <v>664</v>
      </c>
      <c r="R268" s="3" t="s">
        <v>1482</v>
      </c>
      <c r="S268" s="3" t="s">
        <v>1393</v>
      </c>
      <c r="T268" s="178" t="s">
        <v>1394</v>
      </c>
      <c r="U268" s="162">
        <v>3.306</v>
      </c>
      <c r="V268" s="153">
        <v>107.77200000000001</v>
      </c>
      <c r="W268" s="153">
        <v>356.29599999999999</v>
      </c>
      <c r="X268" s="164">
        <v>9.8999999999999999E-4</v>
      </c>
      <c r="Y268" s="164">
        <v>4.0754733297264201E-2</v>
      </c>
      <c r="Z268" s="164">
        <v>4.6937536644567398E-3</v>
      </c>
    </row>
    <row r="269" spans="1:26" hidden="1">
      <c r="A269" s="3">
        <v>969</v>
      </c>
      <c r="B269" s="3">
        <v>969</v>
      </c>
      <c r="C269" s="3" t="s">
        <v>1643</v>
      </c>
      <c r="D269" s="3" t="s">
        <v>1644</v>
      </c>
      <c r="E269" s="3" t="s">
        <v>492</v>
      </c>
      <c r="F269" s="3" t="s">
        <v>1645</v>
      </c>
      <c r="G269" s="3">
        <v>50000983</v>
      </c>
      <c r="H269" s="3" t="s">
        <v>33</v>
      </c>
      <c r="I269" s="3" t="s">
        <v>1607</v>
      </c>
      <c r="J269" s="3" t="s">
        <v>1646</v>
      </c>
      <c r="K269" s="3" t="s">
        <v>572</v>
      </c>
      <c r="L269" s="3" t="s">
        <v>1619</v>
      </c>
      <c r="M269" s="3" t="s">
        <v>30</v>
      </c>
      <c r="N269" s="3" t="s">
        <v>797</v>
      </c>
      <c r="O269" s="3" t="s">
        <v>141</v>
      </c>
      <c r="P269" s="180" t="s">
        <v>1647</v>
      </c>
      <c r="Q269" s="3" t="s">
        <v>34</v>
      </c>
      <c r="R269" s="3" t="s">
        <v>1482</v>
      </c>
      <c r="S269" s="3" t="s">
        <v>1393</v>
      </c>
      <c r="T269" s="178" t="s">
        <v>1394</v>
      </c>
      <c r="U269" s="162">
        <v>1</v>
      </c>
      <c r="V269" s="153">
        <v>80.162000000000006</v>
      </c>
      <c r="W269" s="153">
        <v>80.162000000000006</v>
      </c>
      <c r="X269" s="164">
        <v>9.1000000000000003E-5</v>
      </c>
      <c r="Y269" s="164">
        <v>9.1692492525574792E-3</v>
      </c>
      <c r="Z269" s="164">
        <v>1.05602941787373E-3</v>
      </c>
    </row>
    <row r="270" spans="1:26" hidden="1">
      <c r="A270" s="3">
        <v>969</v>
      </c>
      <c r="B270" s="3">
        <v>969</v>
      </c>
      <c r="C270" s="3" t="s">
        <v>1656</v>
      </c>
      <c r="D270" s="3" t="s">
        <v>1657</v>
      </c>
      <c r="E270" s="3" t="s">
        <v>134</v>
      </c>
      <c r="F270" s="3" t="s">
        <v>1658</v>
      </c>
      <c r="G270" s="3">
        <v>60364742</v>
      </c>
      <c r="H270" s="3" t="s">
        <v>33</v>
      </c>
      <c r="I270" s="3" t="s">
        <v>1607</v>
      </c>
      <c r="J270" s="3" t="s">
        <v>1641</v>
      </c>
      <c r="K270" s="3" t="s">
        <v>30</v>
      </c>
      <c r="L270" s="3" t="s">
        <v>1619</v>
      </c>
      <c r="M270" s="3" t="s">
        <v>30</v>
      </c>
      <c r="N270" s="3" t="s">
        <v>30</v>
      </c>
      <c r="O270" s="3" t="s">
        <v>141</v>
      </c>
      <c r="P270" s="180" t="s">
        <v>2043</v>
      </c>
      <c r="Q270" s="3" t="s">
        <v>664</v>
      </c>
      <c r="R270" s="3" t="s">
        <v>1482</v>
      </c>
      <c r="S270" s="3" t="s">
        <v>1393</v>
      </c>
      <c r="T270" s="178" t="s">
        <v>1394</v>
      </c>
      <c r="U270" s="162">
        <v>3.306</v>
      </c>
      <c r="V270" s="153">
        <v>95.361999999999995</v>
      </c>
      <c r="W270" s="153">
        <v>315.26600000000002</v>
      </c>
      <c r="X270" s="164">
        <v>2.2729999999999998E-3</v>
      </c>
      <c r="Y270" s="164">
        <v>3.6061566006395603E-2</v>
      </c>
      <c r="Z270" s="164">
        <v>4.1532380141947999E-3</v>
      </c>
    </row>
    <row r="271" spans="1:26" hidden="1">
      <c r="A271" s="3">
        <v>969</v>
      </c>
      <c r="B271" s="3">
        <v>969</v>
      </c>
      <c r="C271" s="3" t="s">
        <v>1656</v>
      </c>
      <c r="D271" s="3" t="s">
        <v>1657</v>
      </c>
      <c r="E271" s="3" t="s">
        <v>134</v>
      </c>
      <c r="F271" s="3" t="s">
        <v>1659</v>
      </c>
      <c r="G271" s="3">
        <v>62002785</v>
      </c>
      <c r="H271" s="3" t="s">
        <v>33</v>
      </c>
      <c r="I271" s="3" t="s">
        <v>1607</v>
      </c>
      <c r="J271" s="3" t="s">
        <v>1641</v>
      </c>
      <c r="K271" s="3" t="s">
        <v>30</v>
      </c>
      <c r="L271" s="3" t="s">
        <v>1619</v>
      </c>
      <c r="M271" s="3" t="s">
        <v>30</v>
      </c>
      <c r="N271" s="3" t="s">
        <v>30</v>
      </c>
      <c r="O271" s="3" t="s">
        <v>141</v>
      </c>
      <c r="P271" s="180" t="s">
        <v>2040</v>
      </c>
      <c r="Q271" s="3" t="s">
        <v>664</v>
      </c>
      <c r="R271" s="3" t="s">
        <v>1482</v>
      </c>
      <c r="S271" s="3" t="s">
        <v>1393</v>
      </c>
      <c r="T271" s="178" t="s">
        <v>1394</v>
      </c>
      <c r="U271" s="162">
        <v>3.306</v>
      </c>
      <c r="V271" s="153">
        <v>54.801000000000002</v>
      </c>
      <c r="W271" s="153">
        <v>181.17099999999999</v>
      </c>
      <c r="X271" s="164">
        <v>4.2499999999999998E-4</v>
      </c>
      <c r="Y271" s="164">
        <v>2.0723118396348199E-2</v>
      </c>
      <c r="Z271" s="164">
        <v>2.3866973242678501E-3</v>
      </c>
    </row>
    <row r="272" spans="1:26" hidden="1">
      <c r="A272" s="3">
        <v>969</v>
      </c>
      <c r="B272" s="3">
        <v>969</v>
      </c>
      <c r="C272" s="3" t="s">
        <v>1681</v>
      </c>
      <c r="D272" s="3" t="s">
        <v>1682</v>
      </c>
      <c r="E272" s="3" t="s">
        <v>498</v>
      </c>
      <c r="F272" s="3" t="s">
        <v>1683</v>
      </c>
      <c r="G272" s="3">
        <v>60406600</v>
      </c>
      <c r="H272" s="3" t="s">
        <v>33</v>
      </c>
      <c r="I272" s="3" t="s">
        <v>1607</v>
      </c>
      <c r="J272" s="3" t="s">
        <v>1684</v>
      </c>
      <c r="K272" s="3" t="s">
        <v>572</v>
      </c>
      <c r="L272" s="3" t="s">
        <v>1619</v>
      </c>
      <c r="M272" s="3" t="s">
        <v>30</v>
      </c>
      <c r="N272" s="3" t="s">
        <v>30</v>
      </c>
      <c r="O272" s="3" t="s">
        <v>141</v>
      </c>
      <c r="P272" s="180" t="s">
        <v>2044</v>
      </c>
      <c r="Q272" s="3" t="s">
        <v>664</v>
      </c>
      <c r="R272" s="3" t="s">
        <v>1482</v>
      </c>
      <c r="S272" s="3" t="s">
        <v>1393</v>
      </c>
      <c r="T272" s="178" t="s">
        <v>1394</v>
      </c>
      <c r="U272" s="162">
        <v>3.306</v>
      </c>
      <c r="V272" s="153">
        <v>212.30500000000001</v>
      </c>
      <c r="W272" s="153">
        <v>701.87900000000002</v>
      </c>
      <c r="X272" s="164">
        <v>0</v>
      </c>
      <c r="Y272" s="164">
        <v>8.0284151752655394E-2</v>
      </c>
      <c r="Z272" s="164">
        <v>9.2463868856215593E-3</v>
      </c>
    </row>
    <row r="273" spans="1:26" hidden="1">
      <c r="A273" s="3">
        <v>969</v>
      </c>
      <c r="B273" s="3">
        <v>969</v>
      </c>
      <c r="C273" s="3" t="s">
        <v>1713</v>
      </c>
      <c r="D273" s="3" t="s">
        <v>1714</v>
      </c>
      <c r="E273" s="3" t="s">
        <v>498</v>
      </c>
      <c r="F273" s="3" t="s">
        <v>1715</v>
      </c>
      <c r="G273" s="3">
        <v>62007349</v>
      </c>
      <c r="H273" s="3" t="s">
        <v>33</v>
      </c>
      <c r="I273" s="3" t="s">
        <v>1607</v>
      </c>
      <c r="J273" s="3" t="s">
        <v>1637</v>
      </c>
      <c r="K273" s="3" t="s">
        <v>572</v>
      </c>
      <c r="L273" s="3" t="s">
        <v>1619</v>
      </c>
      <c r="M273" s="3" t="s">
        <v>30</v>
      </c>
      <c r="N273" s="3" t="s">
        <v>30</v>
      </c>
      <c r="O273" s="3" t="s">
        <v>141</v>
      </c>
      <c r="P273" s="180" t="s">
        <v>1716</v>
      </c>
      <c r="Q273" s="3" t="s">
        <v>664</v>
      </c>
      <c r="R273" s="3" t="s">
        <v>1482</v>
      </c>
      <c r="S273" s="3" t="s">
        <v>1393</v>
      </c>
      <c r="T273" s="178" t="s">
        <v>1394</v>
      </c>
      <c r="U273" s="162">
        <v>3.306</v>
      </c>
      <c r="V273" s="153">
        <v>119.953</v>
      </c>
      <c r="W273" s="153">
        <v>396.56400000000002</v>
      </c>
      <c r="X273" s="164">
        <v>4.1899999999999999E-4</v>
      </c>
      <c r="Y273" s="164">
        <v>4.5360779211301903E-2</v>
      </c>
      <c r="Z273" s="164">
        <v>5.2242354794149503E-3</v>
      </c>
    </row>
    <row r="274" spans="1:26" hidden="1">
      <c r="A274" s="3">
        <v>969</v>
      </c>
      <c r="B274" s="3">
        <v>969</v>
      </c>
      <c r="C274" s="3" t="s">
        <v>1610</v>
      </c>
      <c r="D274" s="3" t="s">
        <v>1611</v>
      </c>
      <c r="E274" s="3" t="s">
        <v>366</v>
      </c>
      <c r="F274" s="3" t="s">
        <v>1737</v>
      </c>
      <c r="G274" s="3">
        <v>60400892</v>
      </c>
      <c r="H274" s="3" t="s">
        <v>33</v>
      </c>
      <c r="I274" s="3" t="s">
        <v>1607</v>
      </c>
      <c r="J274" s="3" t="s">
        <v>1613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141</v>
      </c>
      <c r="P274" s="180" t="s">
        <v>2045</v>
      </c>
      <c r="Q274" s="3" t="s">
        <v>664</v>
      </c>
      <c r="R274" s="3" t="s">
        <v>1482</v>
      </c>
      <c r="S274" s="3" t="s">
        <v>1393</v>
      </c>
      <c r="T274" s="178" t="s">
        <v>1394</v>
      </c>
      <c r="U274" s="162">
        <v>3.306</v>
      </c>
      <c r="V274" s="153">
        <v>522.80200000000002</v>
      </c>
      <c r="W274" s="153">
        <v>1728.3820000000001</v>
      </c>
      <c r="X274" s="164">
        <v>0</v>
      </c>
      <c r="Y274" s="164">
        <v>0.19770020047728701</v>
      </c>
      <c r="Z274" s="164">
        <v>2.2769282617692701E-2</v>
      </c>
    </row>
    <row r="275" spans="1:26" hidden="1">
      <c r="A275" s="3">
        <v>969</v>
      </c>
      <c r="B275" s="3">
        <v>969</v>
      </c>
      <c r="C275" s="3" t="s">
        <v>1724</v>
      </c>
      <c r="D275" s="3" t="s">
        <v>1725</v>
      </c>
      <c r="E275" s="3" t="s">
        <v>134</v>
      </c>
      <c r="F275" s="3" t="s">
        <v>1724</v>
      </c>
      <c r="G275" s="3">
        <v>18952</v>
      </c>
      <c r="H275" s="3" t="s">
        <v>33</v>
      </c>
      <c r="I275" s="3" t="s">
        <v>1607</v>
      </c>
      <c r="J275" s="3" t="s">
        <v>1727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141</v>
      </c>
      <c r="P275" s="180" t="s">
        <v>1739</v>
      </c>
      <c r="Q275" s="3" t="s">
        <v>34</v>
      </c>
      <c r="R275" s="3" t="s">
        <v>1482</v>
      </c>
      <c r="S275" s="3" t="s">
        <v>1393</v>
      </c>
      <c r="T275" s="178" t="s">
        <v>1394</v>
      </c>
      <c r="U275" s="162">
        <v>1</v>
      </c>
      <c r="V275" s="153">
        <v>62.5</v>
      </c>
      <c r="W275" s="153">
        <v>62.5</v>
      </c>
      <c r="X275" s="164">
        <v>1.8100000000000001E-4</v>
      </c>
      <c r="Y275" s="164">
        <v>7.1490870024211398E-3</v>
      </c>
      <c r="Z275" s="164">
        <v>8.2336579337612397E-4</v>
      </c>
    </row>
    <row r="276" spans="1:26" hidden="1">
      <c r="A276" s="3">
        <v>969</v>
      </c>
      <c r="B276" s="3">
        <v>969</v>
      </c>
      <c r="C276" s="3" t="s">
        <v>1770</v>
      </c>
      <c r="D276" s="3" t="s">
        <v>1771</v>
      </c>
      <c r="E276" s="3" t="s">
        <v>492</v>
      </c>
      <c r="F276" s="3" t="s">
        <v>1772</v>
      </c>
      <c r="G276" s="3">
        <v>62013909</v>
      </c>
      <c r="H276" s="3" t="s">
        <v>33</v>
      </c>
      <c r="I276" s="3" t="s">
        <v>1607</v>
      </c>
      <c r="J276" s="3" t="s">
        <v>1773</v>
      </c>
      <c r="K276" s="3" t="s">
        <v>572</v>
      </c>
      <c r="L276" s="3" t="s">
        <v>1619</v>
      </c>
      <c r="M276" s="3" t="s">
        <v>224</v>
      </c>
      <c r="N276" s="3" t="s">
        <v>224</v>
      </c>
      <c r="O276" s="3" t="s">
        <v>141</v>
      </c>
      <c r="P276" s="180" t="s">
        <v>1774</v>
      </c>
      <c r="Q276" s="3" t="s">
        <v>664</v>
      </c>
      <c r="R276" s="3" t="s">
        <v>1482</v>
      </c>
      <c r="S276" s="3" t="s">
        <v>1393</v>
      </c>
      <c r="T276" s="178" t="s">
        <v>1394</v>
      </c>
      <c r="U276" s="162">
        <v>3.306</v>
      </c>
      <c r="V276" s="153">
        <v>55.201999999999998</v>
      </c>
      <c r="W276" s="153">
        <v>182.49799999999999</v>
      </c>
      <c r="X276" s="164">
        <v>1.333E-3</v>
      </c>
      <c r="Y276" s="164">
        <v>2.0875002139203E-2</v>
      </c>
      <c r="Z276" s="164">
        <v>2.4041898905765601E-3</v>
      </c>
    </row>
    <row r="277" spans="1:26" hidden="1">
      <c r="A277" s="3">
        <v>969</v>
      </c>
      <c r="B277" s="3">
        <v>969</v>
      </c>
      <c r="C277" s="3" t="s">
        <v>1788</v>
      </c>
      <c r="D277" s="3" t="s">
        <v>1789</v>
      </c>
      <c r="E277" s="3" t="s">
        <v>492</v>
      </c>
      <c r="F277" s="3" t="s">
        <v>1790</v>
      </c>
      <c r="G277" s="3">
        <v>60419041</v>
      </c>
      <c r="H277" s="3" t="s">
        <v>33</v>
      </c>
      <c r="I277" s="3" t="s">
        <v>1607</v>
      </c>
      <c r="J277" s="3" t="s">
        <v>1637</v>
      </c>
      <c r="K277" s="3" t="s">
        <v>572</v>
      </c>
      <c r="L277" s="3" t="s">
        <v>1619</v>
      </c>
      <c r="M277" s="3" t="s">
        <v>224</v>
      </c>
      <c r="N277" s="3" t="s">
        <v>797</v>
      </c>
      <c r="O277" s="3" t="s">
        <v>141</v>
      </c>
      <c r="P277" s="180" t="s">
        <v>2046</v>
      </c>
      <c r="Q277" s="3" t="s">
        <v>664</v>
      </c>
      <c r="R277" s="3" t="s">
        <v>1482</v>
      </c>
      <c r="S277" s="3" t="s">
        <v>1393</v>
      </c>
      <c r="T277" s="178" t="s">
        <v>1394</v>
      </c>
      <c r="U277" s="162">
        <v>3.306</v>
      </c>
      <c r="V277" s="153">
        <v>41.661000000000001</v>
      </c>
      <c r="W277" s="153">
        <v>137.733</v>
      </c>
      <c r="X277" s="164">
        <v>2.5000000000000001E-5</v>
      </c>
      <c r="Y277" s="164">
        <v>1.5754491802360701E-2</v>
      </c>
      <c r="Z277" s="164">
        <v>1.81445681633127E-3</v>
      </c>
    </row>
    <row r="278" spans="1:26" hidden="1">
      <c r="A278" s="3">
        <v>969</v>
      </c>
      <c r="B278" s="3">
        <v>969</v>
      </c>
      <c r="C278" s="3" t="s">
        <v>1792</v>
      </c>
      <c r="D278" s="3" t="s">
        <v>1793</v>
      </c>
      <c r="E278" s="3" t="s">
        <v>492</v>
      </c>
      <c r="F278" s="3" t="s">
        <v>1794</v>
      </c>
      <c r="G278" s="3">
        <v>62016654</v>
      </c>
      <c r="H278" s="3" t="s">
        <v>33</v>
      </c>
      <c r="I278" s="3" t="s">
        <v>1607</v>
      </c>
      <c r="J278" s="3" t="s">
        <v>1637</v>
      </c>
      <c r="K278" s="3" t="s">
        <v>572</v>
      </c>
      <c r="L278" s="3" t="s">
        <v>1619</v>
      </c>
      <c r="M278" s="3" t="s">
        <v>224</v>
      </c>
      <c r="N278" s="3" t="s">
        <v>797</v>
      </c>
      <c r="O278" s="3" t="s">
        <v>141</v>
      </c>
      <c r="P278" s="180" t="s">
        <v>1795</v>
      </c>
      <c r="Q278" s="3" t="s">
        <v>664</v>
      </c>
      <c r="R278" s="3" t="s">
        <v>1482</v>
      </c>
      <c r="S278" s="3" t="s">
        <v>1393</v>
      </c>
      <c r="T278" s="178" t="s">
        <v>1394</v>
      </c>
      <c r="U278" s="162">
        <v>3.306</v>
      </c>
      <c r="V278" s="153">
        <v>106.122</v>
      </c>
      <c r="W278" s="153">
        <v>350.84</v>
      </c>
      <c r="X278" s="164">
        <v>1.7E-5</v>
      </c>
      <c r="Y278" s="164">
        <v>4.0130624423785399E-2</v>
      </c>
      <c r="Z278" s="164">
        <v>4.6218745703023598E-3</v>
      </c>
    </row>
    <row r="279" spans="1:26" hidden="1">
      <c r="A279" s="3">
        <v>969</v>
      </c>
      <c r="B279" s="3">
        <v>969</v>
      </c>
      <c r="C279" s="3" t="s">
        <v>1800</v>
      </c>
      <c r="D279" s="3" t="s">
        <v>1801</v>
      </c>
      <c r="E279" s="3" t="s">
        <v>651</v>
      </c>
      <c r="F279" s="3" t="s">
        <v>1802</v>
      </c>
      <c r="G279" s="3">
        <v>62018064</v>
      </c>
      <c r="H279" s="3" t="s">
        <v>33</v>
      </c>
      <c r="I279" s="3" t="s">
        <v>1607</v>
      </c>
      <c r="J279" s="3" t="s">
        <v>1628</v>
      </c>
      <c r="K279" s="3" t="s">
        <v>572</v>
      </c>
      <c r="L279" s="3" t="s">
        <v>1619</v>
      </c>
      <c r="M279" s="3" t="s">
        <v>224</v>
      </c>
      <c r="N279" s="3" t="s">
        <v>1803</v>
      </c>
      <c r="O279" s="3" t="s">
        <v>141</v>
      </c>
      <c r="P279" s="180" t="s">
        <v>1554</v>
      </c>
      <c r="Q279" s="3" t="s">
        <v>664</v>
      </c>
      <c r="R279" s="3" t="s">
        <v>498</v>
      </c>
      <c r="S279" s="3" t="s">
        <v>1393</v>
      </c>
      <c r="T279" s="178" t="s">
        <v>1394</v>
      </c>
      <c r="U279" s="162">
        <v>3.306</v>
      </c>
      <c r="V279" s="153">
        <v>1.7330000000000001</v>
      </c>
      <c r="W279" s="153">
        <v>5.7279999999999998</v>
      </c>
      <c r="X279" s="164">
        <v>8.7999999999999998E-5</v>
      </c>
      <c r="Y279" s="164">
        <v>6.5523756487091201E-4</v>
      </c>
      <c r="Z279" s="164">
        <v>7.5464209243371796E-5</v>
      </c>
    </row>
    <row r="280" spans="1:26" hidden="1">
      <c r="A280" s="3">
        <v>969</v>
      </c>
      <c r="B280" s="3">
        <v>969</v>
      </c>
      <c r="C280" s="3" t="s">
        <v>1827</v>
      </c>
      <c r="D280" s="3" t="s">
        <v>1828</v>
      </c>
      <c r="E280" s="3" t="s">
        <v>651</v>
      </c>
      <c r="F280" s="3" t="s">
        <v>1829</v>
      </c>
      <c r="G280" s="3">
        <v>62003800</v>
      </c>
      <c r="H280" s="3" t="s">
        <v>33</v>
      </c>
      <c r="I280" s="3" t="s">
        <v>1607</v>
      </c>
      <c r="J280" s="3" t="s">
        <v>1830</v>
      </c>
      <c r="K280" s="3" t="s">
        <v>572</v>
      </c>
      <c r="L280" s="3" t="s">
        <v>1619</v>
      </c>
      <c r="M280" s="3" t="s">
        <v>224</v>
      </c>
      <c r="N280" s="3" t="s">
        <v>797</v>
      </c>
      <c r="O280" s="3" t="s">
        <v>141</v>
      </c>
      <c r="P280" s="180" t="s">
        <v>1940</v>
      </c>
      <c r="Q280" s="3" t="s">
        <v>664</v>
      </c>
      <c r="R280" s="3" t="s">
        <v>498</v>
      </c>
      <c r="S280" s="3" t="s">
        <v>1393</v>
      </c>
      <c r="T280" s="178" t="s">
        <v>1394</v>
      </c>
      <c r="U280" s="162">
        <v>3.306</v>
      </c>
      <c r="V280" s="153">
        <v>113.785</v>
      </c>
      <c r="W280" s="153">
        <v>376.173</v>
      </c>
      <c r="X280" s="164">
        <v>3.3599999999999998E-4</v>
      </c>
      <c r="Y280" s="164">
        <v>4.3028315469469801E-2</v>
      </c>
      <c r="Z280" s="164">
        <v>4.9556038543327203E-3</v>
      </c>
    </row>
    <row r="281" spans="1:26" hidden="1">
      <c r="A281" s="3">
        <v>969</v>
      </c>
      <c r="B281" s="3">
        <v>969</v>
      </c>
      <c r="C281" s="3" t="s">
        <v>1827</v>
      </c>
      <c r="D281" s="3" t="s">
        <v>1828</v>
      </c>
      <c r="E281" s="3" t="s">
        <v>651</v>
      </c>
      <c r="F281" s="3" t="s">
        <v>1832</v>
      </c>
      <c r="G281" s="3">
        <v>620101031</v>
      </c>
      <c r="H281" s="3" t="s">
        <v>33</v>
      </c>
      <c r="I281" s="3" t="s">
        <v>1607</v>
      </c>
      <c r="J281" s="3" t="s">
        <v>1613</v>
      </c>
      <c r="K281" s="3" t="s">
        <v>572</v>
      </c>
      <c r="L281" s="3" t="s">
        <v>1619</v>
      </c>
      <c r="M281" s="3" t="s">
        <v>224</v>
      </c>
      <c r="N281" s="3" t="s">
        <v>224</v>
      </c>
      <c r="O281" s="3" t="s">
        <v>141</v>
      </c>
      <c r="P281" s="180" t="s">
        <v>1668</v>
      </c>
      <c r="Q281" s="3" t="s">
        <v>664</v>
      </c>
      <c r="R281" s="3" t="s">
        <v>498</v>
      </c>
      <c r="S281" s="3" t="s">
        <v>1393</v>
      </c>
      <c r="T281" s="178" t="s">
        <v>1394</v>
      </c>
      <c r="U281" s="162">
        <v>3.306</v>
      </c>
      <c r="V281" s="153">
        <v>77.679000000000002</v>
      </c>
      <c r="W281" s="153">
        <v>256.80599999999998</v>
      </c>
      <c r="X281" s="164">
        <v>0</v>
      </c>
      <c r="Y281" s="164">
        <v>2.93746093827876E-2</v>
      </c>
      <c r="Z281" s="164">
        <v>3.3830961284121602E-3</v>
      </c>
    </row>
    <row r="282" spans="1:26" hidden="1">
      <c r="A282" s="3">
        <v>969</v>
      </c>
      <c r="B282" s="3">
        <v>969</v>
      </c>
      <c r="C282" s="3" t="s">
        <v>1827</v>
      </c>
      <c r="D282" s="3" t="s">
        <v>1828</v>
      </c>
      <c r="E282" s="3" t="s">
        <v>651</v>
      </c>
      <c r="F282" s="3" t="s">
        <v>1833</v>
      </c>
      <c r="G282" s="3">
        <v>62014857</v>
      </c>
      <c r="H282" s="3" t="s">
        <v>33</v>
      </c>
      <c r="I282" s="3" t="s">
        <v>1607</v>
      </c>
      <c r="J282" s="3" t="s">
        <v>1830</v>
      </c>
      <c r="K282" s="3" t="s">
        <v>572</v>
      </c>
      <c r="L282" s="3" t="s">
        <v>1619</v>
      </c>
      <c r="M282" s="3" t="s">
        <v>224</v>
      </c>
      <c r="N282" s="3" t="s">
        <v>797</v>
      </c>
      <c r="O282" s="3" t="s">
        <v>141</v>
      </c>
      <c r="P282" s="180" t="s">
        <v>1834</v>
      </c>
      <c r="Q282" s="3" t="s">
        <v>664</v>
      </c>
      <c r="R282" s="3" t="s">
        <v>1482</v>
      </c>
      <c r="S282" s="3" t="s">
        <v>1393</v>
      </c>
      <c r="T282" s="178" t="s">
        <v>1394</v>
      </c>
      <c r="U282" s="162">
        <v>3.306</v>
      </c>
      <c r="V282" s="153">
        <v>82.436999999999998</v>
      </c>
      <c r="W282" s="153">
        <v>272.53500000000003</v>
      </c>
      <c r="X282" s="164">
        <v>9.7999999999999997E-5</v>
      </c>
      <c r="Y282" s="164">
        <v>3.1173812499293602E-2</v>
      </c>
      <c r="Z282" s="164">
        <v>3.59031172125151E-3</v>
      </c>
    </row>
    <row r="283" spans="1:26" hidden="1">
      <c r="A283" s="3">
        <v>969</v>
      </c>
      <c r="B283" s="3">
        <v>969</v>
      </c>
      <c r="C283" s="3" t="s">
        <v>1827</v>
      </c>
      <c r="D283" s="3" t="s">
        <v>1828</v>
      </c>
      <c r="E283" s="3" t="s">
        <v>651</v>
      </c>
      <c r="F283" s="3" t="s">
        <v>1842</v>
      </c>
      <c r="G283" s="3">
        <v>62017678</v>
      </c>
      <c r="H283" s="3" t="s">
        <v>33</v>
      </c>
      <c r="I283" s="3" t="s">
        <v>1607</v>
      </c>
      <c r="J283" s="3" t="s">
        <v>1731</v>
      </c>
      <c r="K283" s="3" t="s">
        <v>572</v>
      </c>
      <c r="L283" s="3" t="s">
        <v>1619</v>
      </c>
      <c r="M283" s="3" t="s">
        <v>224</v>
      </c>
      <c r="N283" s="3" t="s">
        <v>797</v>
      </c>
      <c r="O283" s="3" t="s">
        <v>141</v>
      </c>
      <c r="P283" s="180" t="s">
        <v>1843</v>
      </c>
      <c r="Q283" s="3" t="s">
        <v>664</v>
      </c>
      <c r="R283" s="3" t="s">
        <v>498</v>
      </c>
      <c r="S283" s="3" t="s">
        <v>1393</v>
      </c>
      <c r="T283" s="178" t="s">
        <v>1394</v>
      </c>
      <c r="U283" s="162">
        <v>3.306</v>
      </c>
      <c r="V283" s="153">
        <v>134.90799999999999</v>
      </c>
      <c r="W283" s="153">
        <v>446.005</v>
      </c>
      <c r="X283" s="164">
        <v>2.5900000000000001E-4</v>
      </c>
      <c r="Y283" s="164">
        <v>5.1016076866412602E-2</v>
      </c>
      <c r="Z283" s="164">
        <v>5.8755604162917001E-3</v>
      </c>
    </row>
    <row r="284" spans="1:26" hidden="1">
      <c r="A284" s="3">
        <v>969</v>
      </c>
      <c r="B284" s="3">
        <v>969</v>
      </c>
      <c r="C284" s="3" t="s">
        <v>1864</v>
      </c>
      <c r="D284" s="3" t="s">
        <v>1865</v>
      </c>
      <c r="E284" s="3" t="s">
        <v>651</v>
      </c>
      <c r="F284" s="3" t="s">
        <v>1866</v>
      </c>
      <c r="G284" s="3">
        <v>77847846</v>
      </c>
      <c r="H284" s="3" t="s">
        <v>33</v>
      </c>
      <c r="I284" s="3" t="s">
        <v>1607</v>
      </c>
      <c r="J284" s="3" t="s">
        <v>1613</v>
      </c>
      <c r="K284" s="3" t="s">
        <v>572</v>
      </c>
      <c r="L284" s="3" t="s">
        <v>1315</v>
      </c>
      <c r="M284" s="3" t="s">
        <v>1315</v>
      </c>
      <c r="N284" s="3" t="s">
        <v>224</v>
      </c>
      <c r="O284" s="3" t="s">
        <v>141</v>
      </c>
      <c r="P284" s="180" t="s">
        <v>1867</v>
      </c>
      <c r="Q284" s="3" t="s">
        <v>664</v>
      </c>
      <c r="R284" s="3" t="s">
        <v>1482</v>
      </c>
      <c r="S284" s="3" t="s">
        <v>1393</v>
      </c>
      <c r="T284" s="178" t="s">
        <v>1394</v>
      </c>
      <c r="U284" s="162">
        <v>3.306</v>
      </c>
      <c r="V284" s="153">
        <v>379.32100000000003</v>
      </c>
      <c r="W284" s="153">
        <v>1254.0360000000001</v>
      </c>
      <c r="X284" s="164">
        <v>0</v>
      </c>
      <c r="Y284" s="164">
        <v>0.14344234482312801</v>
      </c>
      <c r="Z284" s="164">
        <v>1.6520364070129301E-2</v>
      </c>
    </row>
    <row r="285" spans="1:26" hidden="1">
      <c r="A285" s="3">
        <v>969</v>
      </c>
      <c r="B285" s="3">
        <v>969</v>
      </c>
      <c r="C285" s="3" t="s">
        <v>1901</v>
      </c>
      <c r="D285" s="3" t="s">
        <v>1902</v>
      </c>
      <c r="E285" s="3" t="s">
        <v>492</v>
      </c>
      <c r="F285" s="3" t="s">
        <v>1903</v>
      </c>
      <c r="G285" s="3">
        <v>62021324</v>
      </c>
      <c r="H285" s="3" t="s">
        <v>33</v>
      </c>
      <c r="I285" s="3" t="s">
        <v>1607</v>
      </c>
      <c r="J285" s="3" t="s">
        <v>1778</v>
      </c>
      <c r="K285" s="3" t="s">
        <v>572</v>
      </c>
      <c r="L285" s="3" t="s">
        <v>1619</v>
      </c>
      <c r="M285" s="3" t="s">
        <v>224</v>
      </c>
      <c r="N285" s="3" t="s">
        <v>224</v>
      </c>
      <c r="O285" s="3" t="s">
        <v>141</v>
      </c>
      <c r="P285" s="180" t="s">
        <v>1900</v>
      </c>
      <c r="Q285" s="3" t="s">
        <v>664</v>
      </c>
      <c r="R285" s="3" t="s">
        <v>1482</v>
      </c>
      <c r="S285" s="3" t="s">
        <v>1393</v>
      </c>
      <c r="T285" s="178" t="s">
        <v>1394</v>
      </c>
      <c r="U285" s="162">
        <v>3.306</v>
      </c>
      <c r="V285" s="153">
        <v>8.6959999999999997</v>
      </c>
      <c r="W285" s="153">
        <v>28.748999999999999</v>
      </c>
      <c r="X285" s="164">
        <v>0</v>
      </c>
      <c r="Y285" s="164">
        <v>3.2884085113814702E-3</v>
      </c>
      <c r="Z285" s="164">
        <v>3.7872851204656601E-4</v>
      </c>
    </row>
    <row r="286" spans="1:26" hidden="1">
      <c r="A286" s="3">
        <v>969</v>
      </c>
      <c r="B286" s="3">
        <v>969</v>
      </c>
      <c r="C286" s="3" t="s">
        <v>1920</v>
      </c>
      <c r="D286" s="3" t="s">
        <v>1921</v>
      </c>
      <c r="E286" s="3" t="s">
        <v>492</v>
      </c>
      <c r="F286" s="3" t="s">
        <v>1922</v>
      </c>
      <c r="G286" s="3">
        <v>62009204</v>
      </c>
      <c r="H286" s="3" t="s">
        <v>33</v>
      </c>
      <c r="I286" s="3" t="s">
        <v>1607</v>
      </c>
      <c r="J286" s="3" t="s">
        <v>1618</v>
      </c>
      <c r="K286" s="3" t="s">
        <v>572</v>
      </c>
      <c r="L286" s="3" t="s">
        <v>1315</v>
      </c>
      <c r="M286" s="3" t="s">
        <v>566</v>
      </c>
      <c r="N286" s="3" t="s">
        <v>797</v>
      </c>
      <c r="O286" s="3" t="s">
        <v>141</v>
      </c>
      <c r="P286" s="180" t="s">
        <v>1923</v>
      </c>
      <c r="Q286" s="3" t="s">
        <v>664</v>
      </c>
      <c r="R286" s="3" t="s">
        <v>498</v>
      </c>
      <c r="S286" s="3" t="s">
        <v>1393</v>
      </c>
      <c r="T286" s="178" t="s">
        <v>1394</v>
      </c>
      <c r="U286" s="162">
        <v>3.306</v>
      </c>
      <c r="V286" s="153">
        <v>90.909000000000006</v>
      </c>
      <c r="W286" s="153">
        <v>300.54399999999998</v>
      </c>
      <c r="X286" s="164">
        <v>9.7E-5</v>
      </c>
      <c r="Y286" s="164">
        <v>3.4377548263873299E-2</v>
      </c>
      <c r="Z286" s="164">
        <v>3.9592884085791697E-3</v>
      </c>
    </row>
    <row r="287" spans="1:26" hidden="1">
      <c r="A287" s="3">
        <v>969</v>
      </c>
      <c r="B287" s="3">
        <v>969</v>
      </c>
      <c r="C287" s="3" t="s">
        <v>1937</v>
      </c>
      <c r="D287" s="3" t="s">
        <v>1938</v>
      </c>
      <c r="E287" s="3" t="s">
        <v>492</v>
      </c>
      <c r="F287" s="3" t="s">
        <v>1939</v>
      </c>
      <c r="G287" s="3">
        <v>62010137</v>
      </c>
      <c r="H287" s="3" t="s">
        <v>33</v>
      </c>
      <c r="I287" s="3" t="s">
        <v>1607</v>
      </c>
      <c r="J287" s="3" t="s">
        <v>1637</v>
      </c>
      <c r="K287" s="3" t="s">
        <v>572</v>
      </c>
      <c r="L287" s="3" t="s">
        <v>1315</v>
      </c>
      <c r="M287" s="3" t="s">
        <v>566</v>
      </c>
      <c r="N287" s="3" t="s">
        <v>797</v>
      </c>
      <c r="O287" s="3" t="s">
        <v>141</v>
      </c>
      <c r="P287" s="180" t="s">
        <v>1940</v>
      </c>
      <c r="Q287" s="3" t="s">
        <v>664</v>
      </c>
      <c r="R287" s="3" t="s">
        <v>1482</v>
      </c>
      <c r="S287" s="3" t="s">
        <v>1393</v>
      </c>
      <c r="T287" s="178" t="s">
        <v>1394</v>
      </c>
      <c r="U287" s="162">
        <v>3.306</v>
      </c>
      <c r="V287" s="153">
        <v>64.353999999999999</v>
      </c>
      <c r="W287" s="153">
        <v>212.75399999999999</v>
      </c>
      <c r="X287" s="164">
        <v>3.0000000000000001E-5</v>
      </c>
      <c r="Y287" s="164">
        <v>2.4335724964316699E-2</v>
      </c>
      <c r="Z287" s="164">
        <v>2.8027639733355998E-3</v>
      </c>
    </row>
  </sheetData>
  <sheetProtection formatColumns="0"/>
  <autoFilter ref="A1:Z287" xr:uid="{00000000-0001-0000-1300-000000000000}">
    <filterColumn colId="6">
      <filters>
        <filter val="62022447"/>
      </filters>
    </filterColumn>
  </autoFilter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6</v>
      </c>
      <c r="J1" s="19" t="s">
        <v>7</v>
      </c>
      <c r="K1" s="19" t="s">
        <v>131</v>
      </c>
      <c r="L1" s="19" t="s">
        <v>1318</v>
      </c>
      <c r="M1" s="19" t="s">
        <v>124</v>
      </c>
      <c r="N1" s="19" t="s">
        <v>1319</v>
      </c>
      <c r="O1" s="19" t="s">
        <v>125</v>
      </c>
      <c r="P1" s="19" t="s">
        <v>1343</v>
      </c>
      <c r="Q1" s="19" t="s">
        <v>11</v>
      </c>
      <c r="R1" s="19" t="s">
        <v>1349</v>
      </c>
      <c r="S1" s="19" t="s">
        <v>1350</v>
      </c>
      <c r="T1" s="19" t="s">
        <v>1352</v>
      </c>
      <c r="U1" s="19" t="s">
        <v>1320</v>
      </c>
      <c r="V1" s="19" t="s">
        <v>1321</v>
      </c>
      <c r="W1" s="19" t="s">
        <v>17</v>
      </c>
      <c r="X1" s="19" t="s">
        <v>19</v>
      </c>
      <c r="Y1" s="19" t="s">
        <v>18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18"/>
      <c r="J2" s="18"/>
      <c r="K2" s="20"/>
      <c r="L2" s="21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18"/>
      <c r="J3" s="18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18"/>
      <c r="J4" s="18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18"/>
      <c r="J5" s="18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3" spans="1:28">
      <c r="H23" s="39"/>
    </row>
    <row r="24" spans="1:28">
      <c r="H24" s="39"/>
      <c r="K24" s="3"/>
    </row>
    <row r="25" spans="1:28">
      <c r="H25" s="39"/>
    </row>
    <row r="26" spans="1:28">
      <c r="H26" s="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124</v>
      </c>
      <c r="M1" s="19" t="s">
        <v>1328</v>
      </c>
      <c r="N1" s="19" t="s">
        <v>1319</v>
      </c>
      <c r="O1" s="19" t="s">
        <v>125</v>
      </c>
      <c r="P1" s="19" t="s">
        <v>1343</v>
      </c>
      <c r="Q1" s="19" t="s">
        <v>11</v>
      </c>
      <c r="R1" s="19" t="s">
        <v>1349</v>
      </c>
      <c r="S1" s="19" t="s">
        <v>1350</v>
      </c>
      <c r="T1" s="19" t="s">
        <v>1352</v>
      </c>
      <c r="U1" s="19" t="s">
        <v>1320</v>
      </c>
      <c r="V1" s="19" t="s">
        <v>1321</v>
      </c>
      <c r="W1" s="19" t="s">
        <v>17</v>
      </c>
      <c r="X1" s="19" t="s">
        <v>19</v>
      </c>
      <c r="Y1" s="19" t="s">
        <v>18</v>
      </c>
      <c r="Z1" s="19" t="s">
        <v>2047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  <row r="21" spans="1:28" s="39" customFormat="1">
      <c r="H21" s="38"/>
    </row>
    <row r="23" spans="1:28">
      <c r="H23" s="39"/>
    </row>
    <row r="24" spans="1:28">
      <c r="H24" s="39"/>
    </row>
    <row r="25" spans="1:28">
      <c r="H25" s="39"/>
    </row>
    <row r="26" spans="1:28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19" t="s">
        <v>0</v>
      </c>
      <c r="B1" s="19" t="s">
        <v>1</v>
      </c>
      <c r="C1" s="19" t="s">
        <v>5</v>
      </c>
      <c r="D1" s="19" t="s">
        <v>2048</v>
      </c>
      <c r="E1" s="19" t="s">
        <v>2049</v>
      </c>
      <c r="F1" s="167" t="s">
        <v>18</v>
      </c>
      <c r="G1" s="19" t="s">
        <v>2050</v>
      </c>
      <c r="H1" s="19" t="s">
        <v>2051</v>
      </c>
      <c r="I1" s="163" t="s">
        <v>2052</v>
      </c>
      <c r="J1" s="163" t="s">
        <v>2053</v>
      </c>
      <c r="K1" s="19" t="s">
        <v>2054</v>
      </c>
      <c r="L1" s="19" t="s">
        <v>2055</v>
      </c>
      <c r="M1" s="167" t="s">
        <v>18</v>
      </c>
      <c r="N1" s="19" t="s">
        <v>2056</v>
      </c>
      <c r="O1" s="19" t="s">
        <v>2057</v>
      </c>
      <c r="P1" s="163" t="s">
        <v>2058</v>
      </c>
      <c r="Q1" s="163" t="s">
        <v>2059</v>
      </c>
      <c r="R1" s="19" t="s">
        <v>2060</v>
      </c>
      <c r="S1" s="19" t="s">
        <v>6</v>
      </c>
      <c r="T1" s="19" t="s">
        <v>7</v>
      </c>
      <c r="U1" s="19" t="s">
        <v>2061</v>
      </c>
      <c r="V1" s="19" t="s">
        <v>2062</v>
      </c>
      <c r="W1" s="19" t="s">
        <v>2063</v>
      </c>
      <c r="X1" s="19" t="s">
        <v>2064</v>
      </c>
      <c r="Y1" s="19" t="s">
        <v>125</v>
      </c>
      <c r="Z1" s="19" t="s">
        <v>2065</v>
      </c>
      <c r="AA1" s="19" t="s">
        <v>2066</v>
      </c>
      <c r="AB1" s="19" t="s">
        <v>2067</v>
      </c>
      <c r="AC1" s="19" t="s">
        <v>2068</v>
      </c>
      <c r="AD1" s="19" t="s">
        <v>2069</v>
      </c>
      <c r="AE1" s="19" t="s">
        <v>2070</v>
      </c>
      <c r="AF1" s="19" t="s">
        <v>127</v>
      </c>
      <c r="AG1" s="19" t="s">
        <v>2071</v>
      </c>
      <c r="AH1" s="19" t="s">
        <v>2072</v>
      </c>
      <c r="AI1" s="19" t="s">
        <v>2073</v>
      </c>
      <c r="AJ1" s="19" t="s">
        <v>2074</v>
      </c>
      <c r="AK1" s="19" t="s">
        <v>2075</v>
      </c>
      <c r="AL1" s="19" t="s">
        <v>2076</v>
      </c>
      <c r="AM1" s="19" t="s">
        <v>2077</v>
      </c>
      <c r="AN1" s="163" t="s">
        <v>24</v>
      </c>
      <c r="AO1" s="163" t="s">
        <v>25</v>
      </c>
    </row>
    <row r="2" spans="1:41">
      <c r="A2" s="11" t="s">
        <v>2078</v>
      </c>
      <c r="B2" s="11" t="s">
        <v>2078</v>
      </c>
      <c r="C2" s="11" t="s">
        <v>2079</v>
      </c>
      <c r="D2" s="2" t="s">
        <v>2080</v>
      </c>
      <c r="E2" s="11" t="s">
        <v>664</v>
      </c>
      <c r="F2" s="189">
        <v>3.306</v>
      </c>
      <c r="G2" s="159">
        <v>-3451647</v>
      </c>
      <c r="H2" s="152">
        <v>-11361.462</v>
      </c>
      <c r="I2" s="191">
        <v>9.8900000000000008E-4</v>
      </c>
      <c r="J2" s="192">
        <v>-1.76E-4</v>
      </c>
      <c r="K2" s="9" t="s">
        <v>2080</v>
      </c>
      <c r="L2" s="11" t="s">
        <v>34</v>
      </c>
      <c r="M2" s="190">
        <v>1</v>
      </c>
      <c r="N2" s="160">
        <v>11908182.15</v>
      </c>
      <c r="O2" s="158">
        <v>11858.305</v>
      </c>
      <c r="P2" s="191">
        <v>1.35E-4</v>
      </c>
      <c r="Q2" s="191">
        <v>9.9200000000000004E-4</v>
      </c>
      <c r="R2" s="159">
        <v>496.84300000000002</v>
      </c>
      <c r="S2" s="9" t="s">
        <v>30</v>
      </c>
      <c r="T2" s="18" t="s">
        <v>30</v>
      </c>
      <c r="U2" s="26" t="s">
        <v>2081</v>
      </c>
      <c r="V2" s="10" t="s">
        <v>2082</v>
      </c>
      <c r="W2" s="9" t="s">
        <v>2083</v>
      </c>
      <c r="X2" s="10" t="s">
        <v>2084</v>
      </c>
      <c r="Y2" s="10" t="s">
        <v>141</v>
      </c>
      <c r="Z2" s="1" t="s">
        <v>2085</v>
      </c>
      <c r="AA2" s="25" t="s">
        <v>2086</v>
      </c>
      <c r="AB2" s="10" t="s">
        <v>2087</v>
      </c>
      <c r="AC2" s="10" t="s">
        <v>2088</v>
      </c>
      <c r="AD2" s="10" t="s">
        <v>141</v>
      </c>
      <c r="AE2" s="26" t="s">
        <v>2089</v>
      </c>
      <c r="AF2" s="10" t="s">
        <v>2087</v>
      </c>
      <c r="AG2" s="11" t="s">
        <v>2090</v>
      </c>
      <c r="AH2" s="36" t="s">
        <v>2091</v>
      </c>
      <c r="AI2" s="159">
        <v>3.4350000000000001</v>
      </c>
      <c r="AJ2" s="36" t="s">
        <v>2092</v>
      </c>
      <c r="AK2" s="26" t="s">
        <v>141</v>
      </c>
      <c r="AL2" s="36" t="s">
        <v>2091</v>
      </c>
      <c r="AM2" s="9" t="s">
        <v>2093</v>
      </c>
      <c r="AN2" s="169">
        <v>1.073E-3</v>
      </c>
      <c r="AO2" s="169">
        <v>6.9999999999999999E-6</v>
      </c>
    </row>
    <row r="3" spans="1:41">
      <c r="A3" s="11" t="s">
        <v>2078</v>
      </c>
      <c r="B3" s="11" t="s">
        <v>2078</v>
      </c>
      <c r="C3" s="11" t="s">
        <v>2079</v>
      </c>
      <c r="D3" s="2" t="s">
        <v>2094</v>
      </c>
      <c r="E3" s="11" t="s">
        <v>576</v>
      </c>
      <c r="F3" s="189">
        <v>3.8807</v>
      </c>
      <c r="G3" s="159">
        <v>-306083</v>
      </c>
      <c r="H3" s="152">
        <v>-1185.2159999999999</v>
      </c>
      <c r="I3" s="191">
        <v>1.03E-4</v>
      </c>
      <c r="J3" s="192">
        <v>-1.8E-5</v>
      </c>
      <c r="K3" s="9" t="s">
        <v>2094</v>
      </c>
      <c r="L3" s="11" t="s">
        <v>34</v>
      </c>
      <c r="M3" s="190">
        <v>1</v>
      </c>
      <c r="N3" s="160">
        <v>1223444.3589999999</v>
      </c>
      <c r="O3" s="160">
        <v>1218.3209999999999</v>
      </c>
      <c r="P3" s="191">
        <v>1.4E-5</v>
      </c>
      <c r="Q3" s="191">
        <v>1.02E-4</v>
      </c>
      <c r="R3" s="159">
        <v>33.104999999999997</v>
      </c>
      <c r="S3" s="9" t="s">
        <v>30</v>
      </c>
      <c r="T3" s="18" t="s">
        <v>30</v>
      </c>
      <c r="U3" s="26" t="s">
        <v>2081</v>
      </c>
      <c r="V3" s="10" t="s">
        <v>2082</v>
      </c>
      <c r="W3" s="9" t="s">
        <v>2083</v>
      </c>
      <c r="X3" s="10" t="s">
        <v>2095</v>
      </c>
      <c r="Y3" s="10" t="s">
        <v>141</v>
      </c>
      <c r="Z3" s="1" t="s">
        <v>2085</v>
      </c>
      <c r="AA3" s="25" t="s">
        <v>2086</v>
      </c>
      <c r="AB3" s="10" t="s">
        <v>2087</v>
      </c>
      <c r="AC3" s="10" t="s">
        <v>2088</v>
      </c>
      <c r="AD3" s="10" t="s">
        <v>141</v>
      </c>
      <c r="AE3" s="10" t="s">
        <v>2089</v>
      </c>
      <c r="AF3" s="10" t="s">
        <v>2087</v>
      </c>
      <c r="AG3" s="11" t="s">
        <v>2090</v>
      </c>
      <c r="AH3" t="s">
        <v>2091</v>
      </c>
      <c r="AI3" s="159">
        <v>3.98</v>
      </c>
      <c r="AJ3" s="10" t="s">
        <v>2096</v>
      </c>
      <c r="AK3" s="10" t="s">
        <v>141</v>
      </c>
      <c r="AL3" s="9" t="s">
        <v>2091</v>
      </c>
      <c r="AM3" s="9" t="s">
        <v>2093</v>
      </c>
      <c r="AN3" s="169">
        <v>7.2000000000000002E-5</v>
      </c>
      <c r="AO3" s="169">
        <v>0</v>
      </c>
    </row>
    <row r="4" spans="1:41">
      <c r="A4" s="11" t="s">
        <v>2078</v>
      </c>
      <c r="B4" s="11" t="s">
        <v>2078</v>
      </c>
      <c r="C4" s="11" t="s">
        <v>2079</v>
      </c>
      <c r="D4" s="2" t="s">
        <v>2097</v>
      </c>
      <c r="E4" s="11" t="s">
        <v>664</v>
      </c>
      <c r="F4" s="189">
        <v>3.306</v>
      </c>
      <c r="G4" s="159">
        <v>502376</v>
      </c>
      <c r="H4" s="152">
        <v>1653.627</v>
      </c>
      <c r="I4" s="191">
        <v>-1.44E-4</v>
      </c>
      <c r="J4" s="192">
        <v>2.5999999999999998E-5</v>
      </c>
      <c r="K4" s="9" t="s">
        <v>2097</v>
      </c>
      <c r="L4" s="11" t="s">
        <v>34</v>
      </c>
      <c r="M4" s="190">
        <v>1</v>
      </c>
      <c r="N4" s="160">
        <v>-1715865.2279999999</v>
      </c>
      <c r="O4" s="160">
        <v>-1708.6790000000001</v>
      </c>
      <c r="P4" s="191">
        <v>-1.9000000000000001E-5</v>
      </c>
      <c r="Q4" s="191">
        <v>-1.4300000000000001E-4</v>
      </c>
      <c r="R4" s="159">
        <v>-55.052</v>
      </c>
      <c r="S4" s="9" t="s">
        <v>30</v>
      </c>
      <c r="T4" s="18" t="s">
        <v>30</v>
      </c>
      <c r="U4" s="26" t="s">
        <v>2081</v>
      </c>
      <c r="V4" s="10" t="s">
        <v>2082</v>
      </c>
      <c r="W4" s="9" t="s">
        <v>2083</v>
      </c>
      <c r="X4" s="10" t="s">
        <v>2084</v>
      </c>
      <c r="Y4" s="10" t="s">
        <v>141</v>
      </c>
      <c r="Z4" s="1" t="s">
        <v>2098</v>
      </c>
      <c r="AA4" s="25" t="s">
        <v>2086</v>
      </c>
      <c r="AB4" s="10" t="s">
        <v>2087</v>
      </c>
      <c r="AC4" s="10" t="s">
        <v>2088</v>
      </c>
      <c r="AD4" s="10" t="s">
        <v>141</v>
      </c>
      <c r="AE4" s="10" t="s">
        <v>2089</v>
      </c>
      <c r="AF4" s="10" t="s">
        <v>2087</v>
      </c>
      <c r="AG4" s="11" t="s">
        <v>2090</v>
      </c>
      <c r="AH4" t="s">
        <v>2091</v>
      </c>
      <c r="AI4" s="159">
        <v>3.4009999999999998</v>
      </c>
      <c r="AJ4" s="10" t="s">
        <v>2092</v>
      </c>
      <c r="AK4" s="10" t="s">
        <v>141</v>
      </c>
      <c r="AL4" s="9" t="s">
        <v>2091</v>
      </c>
      <c r="AM4" s="9" t="s">
        <v>2093</v>
      </c>
      <c r="AN4" s="169">
        <v>-1.1900000000000001E-4</v>
      </c>
      <c r="AO4" s="169">
        <v>-9.9999999999999995E-7</v>
      </c>
    </row>
    <row r="5" spans="1:41">
      <c r="A5" s="11" t="s">
        <v>2078</v>
      </c>
      <c r="B5" s="11" t="s">
        <v>2078</v>
      </c>
      <c r="C5" s="11" t="s">
        <v>2079</v>
      </c>
      <c r="D5" s="2" t="s">
        <v>2099</v>
      </c>
      <c r="E5" s="11" t="s">
        <v>664</v>
      </c>
      <c r="F5" s="189">
        <v>3.306</v>
      </c>
      <c r="G5" s="159">
        <v>100000</v>
      </c>
      <c r="H5" s="152">
        <v>329.161</v>
      </c>
      <c r="I5" s="191">
        <v>-2.9E-5</v>
      </c>
      <c r="J5" s="192">
        <v>5.0000000000000004E-6</v>
      </c>
      <c r="K5" s="9" t="s">
        <v>2099</v>
      </c>
      <c r="L5" s="11" t="s">
        <v>34</v>
      </c>
      <c r="M5" s="190">
        <v>1</v>
      </c>
      <c r="N5" s="160">
        <v>-341500</v>
      </c>
      <c r="O5" s="160">
        <v>-340.06900000000002</v>
      </c>
      <c r="P5" s="191">
        <v>-3.9999999999999998E-6</v>
      </c>
      <c r="Q5" s="191">
        <v>-2.8E-5</v>
      </c>
      <c r="R5" s="159">
        <v>-10.909000000000001</v>
      </c>
      <c r="S5" s="9" t="s">
        <v>30</v>
      </c>
      <c r="T5" s="18" t="s">
        <v>30</v>
      </c>
      <c r="U5" s="26" t="s">
        <v>2081</v>
      </c>
      <c r="V5" s="10" t="s">
        <v>2082</v>
      </c>
      <c r="W5" s="9" t="s">
        <v>2083</v>
      </c>
      <c r="X5" s="10" t="s">
        <v>2084</v>
      </c>
      <c r="Y5" s="10" t="s">
        <v>141</v>
      </c>
      <c r="Z5" s="1" t="s">
        <v>2100</v>
      </c>
      <c r="AA5" s="25" t="s">
        <v>2086</v>
      </c>
      <c r="AB5" s="10" t="s">
        <v>2087</v>
      </c>
      <c r="AC5" s="10" t="s">
        <v>2088</v>
      </c>
      <c r="AD5" s="10" t="s">
        <v>141</v>
      </c>
      <c r="AE5" s="10" t="s">
        <v>2089</v>
      </c>
      <c r="AF5" s="10" t="s">
        <v>2087</v>
      </c>
      <c r="AG5" s="11" t="s">
        <v>2090</v>
      </c>
      <c r="AH5" t="s">
        <v>2091</v>
      </c>
      <c r="AI5" s="159">
        <v>3.4</v>
      </c>
      <c r="AJ5" s="10" t="s">
        <v>2092</v>
      </c>
      <c r="AK5" s="10" t="s">
        <v>141</v>
      </c>
      <c r="AL5" s="9" t="s">
        <v>2091</v>
      </c>
      <c r="AM5" s="9" t="s">
        <v>2093</v>
      </c>
      <c r="AN5" s="169">
        <v>-2.4000000000000001E-5</v>
      </c>
      <c r="AO5" s="169">
        <v>0</v>
      </c>
    </row>
    <row r="6" spans="1:41">
      <c r="A6" s="11" t="s">
        <v>2078</v>
      </c>
      <c r="B6" s="11" t="s">
        <v>2078</v>
      </c>
      <c r="C6" s="11" t="s">
        <v>2079</v>
      </c>
      <c r="D6" s="2" t="s">
        <v>2101</v>
      </c>
      <c r="E6" s="11" t="s">
        <v>664</v>
      </c>
      <c r="F6" s="189">
        <v>3.306</v>
      </c>
      <c r="G6" s="159">
        <v>-280000</v>
      </c>
      <c r="H6" s="152">
        <v>-921.65700000000004</v>
      </c>
      <c r="I6" s="191">
        <v>8.0000000000000007E-5</v>
      </c>
      <c r="J6" s="192">
        <v>-1.4E-5</v>
      </c>
      <c r="K6" s="9" t="s">
        <v>2101</v>
      </c>
      <c r="L6" s="11" t="s">
        <v>34</v>
      </c>
      <c r="M6" s="190">
        <v>1</v>
      </c>
      <c r="N6" s="160">
        <v>924420</v>
      </c>
      <c r="O6" s="160">
        <v>920.55</v>
      </c>
      <c r="P6" s="191">
        <v>1.0000000000000001E-5</v>
      </c>
      <c r="Q6" s="191">
        <v>7.7000000000000001E-5</v>
      </c>
      <c r="R6" s="159">
        <v>-1.1080000000000001</v>
      </c>
      <c r="S6" s="9" t="s">
        <v>30</v>
      </c>
      <c r="T6" s="18" t="s">
        <v>30</v>
      </c>
      <c r="U6" s="26" t="s">
        <v>2081</v>
      </c>
      <c r="V6" s="10" t="s">
        <v>2082</v>
      </c>
      <c r="W6" s="9" t="s">
        <v>2083</v>
      </c>
      <c r="X6" s="10" t="s">
        <v>2084</v>
      </c>
      <c r="Y6" s="10" t="s">
        <v>141</v>
      </c>
      <c r="Z6" s="1" t="s">
        <v>2102</v>
      </c>
      <c r="AA6" s="25" t="s">
        <v>2086</v>
      </c>
      <c r="AB6" s="10" t="s">
        <v>2087</v>
      </c>
      <c r="AC6" s="10" t="s">
        <v>2088</v>
      </c>
      <c r="AD6" s="10" t="s">
        <v>141</v>
      </c>
      <c r="AE6" s="10" t="s">
        <v>2089</v>
      </c>
      <c r="AF6" s="10" t="s">
        <v>2087</v>
      </c>
      <c r="AG6" s="11" t="s">
        <v>2090</v>
      </c>
      <c r="AH6" t="s">
        <v>2091</v>
      </c>
      <c r="AI6" s="159">
        <v>3.2869999999999999</v>
      </c>
      <c r="AJ6" s="10" t="s">
        <v>2092</v>
      </c>
      <c r="AK6" s="10" t="s">
        <v>141</v>
      </c>
      <c r="AL6" s="9" t="s">
        <v>2091</v>
      </c>
      <c r="AM6" s="9" t="s">
        <v>2093</v>
      </c>
      <c r="AN6" s="169">
        <v>-1.9999999999999999E-6</v>
      </c>
      <c r="AO6" s="169">
        <v>0</v>
      </c>
    </row>
    <row r="7" spans="1:41">
      <c r="A7" s="11" t="s">
        <v>2103</v>
      </c>
      <c r="B7" s="11" t="s">
        <v>2103</v>
      </c>
      <c r="C7" s="11" t="s">
        <v>2079</v>
      </c>
      <c r="D7" s="2" t="s">
        <v>2080</v>
      </c>
      <c r="E7" s="11" t="s">
        <v>664</v>
      </c>
      <c r="F7" s="189">
        <v>3.306</v>
      </c>
      <c r="G7" s="159">
        <v>-16846013</v>
      </c>
      <c r="H7" s="152">
        <v>-55450.438000000002</v>
      </c>
      <c r="I7" s="191">
        <v>8.9899999999999995E-4</v>
      </c>
      <c r="J7" s="192">
        <v>-1.3899999999999999E-4</v>
      </c>
      <c r="K7" s="9" t="s">
        <v>2080</v>
      </c>
      <c r="L7" s="11" t="s">
        <v>34</v>
      </c>
      <c r="M7" s="190">
        <v>1</v>
      </c>
      <c r="N7" s="160">
        <v>58118744.850000001</v>
      </c>
      <c r="O7" s="160">
        <v>57875.317999999999</v>
      </c>
      <c r="P7" s="191">
        <v>1.1E-4</v>
      </c>
      <c r="Q7" s="191">
        <v>9.01E-4</v>
      </c>
      <c r="R7" s="159">
        <v>2424.88</v>
      </c>
      <c r="S7" s="9" t="s">
        <v>30</v>
      </c>
      <c r="T7" s="18" t="s">
        <v>30</v>
      </c>
      <c r="U7" s="26" t="s">
        <v>2081</v>
      </c>
      <c r="V7" s="10" t="s">
        <v>2082</v>
      </c>
      <c r="W7" s="9" t="s">
        <v>2083</v>
      </c>
      <c r="X7" s="10" t="s">
        <v>2084</v>
      </c>
      <c r="Y7" s="10" t="s">
        <v>141</v>
      </c>
      <c r="Z7" s="1" t="s">
        <v>2085</v>
      </c>
      <c r="AA7" s="25" t="s">
        <v>2086</v>
      </c>
      <c r="AB7" s="10" t="s">
        <v>2087</v>
      </c>
      <c r="AC7" s="10" t="s">
        <v>2088</v>
      </c>
      <c r="AD7" s="10" t="s">
        <v>141</v>
      </c>
      <c r="AE7" s="10" t="s">
        <v>2089</v>
      </c>
      <c r="AF7" s="10" t="s">
        <v>2087</v>
      </c>
      <c r="AG7" s="11" t="s">
        <v>2090</v>
      </c>
      <c r="AH7" t="s">
        <v>2091</v>
      </c>
      <c r="AI7" s="159">
        <v>3.4350000000000001</v>
      </c>
      <c r="AJ7" s="10" t="s">
        <v>2092</v>
      </c>
      <c r="AK7" s="10" t="s">
        <v>141</v>
      </c>
      <c r="AL7" s="9" t="s">
        <v>2091</v>
      </c>
      <c r="AM7" s="9" t="s">
        <v>2093</v>
      </c>
      <c r="AN7" s="169">
        <v>9.4300000000000004E-4</v>
      </c>
      <c r="AO7" s="169">
        <v>5.0000000000000004E-6</v>
      </c>
    </row>
    <row r="8" spans="1:41">
      <c r="A8" s="11" t="s">
        <v>2103</v>
      </c>
      <c r="B8" s="11" t="s">
        <v>2103</v>
      </c>
      <c r="C8" s="11" t="s">
        <v>2079</v>
      </c>
      <c r="D8" s="2" t="s">
        <v>2094</v>
      </c>
      <c r="E8" s="11" t="s">
        <v>576</v>
      </c>
      <c r="F8" s="189">
        <v>3.8807</v>
      </c>
      <c r="G8" s="159">
        <v>-2897912</v>
      </c>
      <c r="H8" s="152">
        <v>-11221.316000000001</v>
      </c>
      <c r="I8" s="191">
        <v>1.8200000000000001E-4</v>
      </c>
      <c r="J8" s="192">
        <v>-2.8E-5</v>
      </c>
      <c r="K8" s="9" t="s">
        <v>2094</v>
      </c>
      <c r="L8" s="11" t="s">
        <v>34</v>
      </c>
      <c r="M8" s="190">
        <v>1</v>
      </c>
      <c r="N8" s="160">
        <v>11583244.055</v>
      </c>
      <c r="O8" s="160">
        <v>11534.745000000001</v>
      </c>
      <c r="P8" s="191">
        <v>2.1999999999999999E-5</v>
      </c>
      <c r="Q8" s="191">
        <v>1.8000000000000001E-4</v>
      </c>
      <c r="R8" s="159">
        <v>313.42899999999997</v>
      </c>
      <c r="S8" s="9" t="s">
        <v>30</v>
      </c>
      <c r="T8" s="18" t="s">
        <v>30</v>
      </c>
      <c r="U8" s="26" t="s">
        <v>2081</v>
      </c>
      <c r="V8" s="10" t="s">
        <v>2082</v>
      </c>
      <c r="W8" s="9" t="s">
        <v>2083</v>
      </c>
      <c r="X8" s="10" t="s">
        <v>2095</v>
      </c>
      <c r="Y8" s="10" t="s">
        <v>141</v>
      </c>
      <c r="Z8" s="1" t="s">
        <v>2085</v>
      </c>
      <c r="AA8" s="25" t="s">
        <v>2086</v>
      </c>
      <c r="AB8" s="10" t="s">
        <v>2087</v>
      </c>
      <c r="AC8" s="10" t="s">
        <v>2088</v>
      </c>
      <c r="AD8" s="10" t="s">
        <v>141</v>
      </c>
      <c r="AE8" s="10" t="s">
        <v>2089</v>
      </c>
      <c r="AF8" s="10" t="s">
        <v>2087</v>
      </c>
      <c r="AG8" s="11" t="s">
        <v>2090</v>
      </c>
      <c r="AH8" t="s">
        <v>2091</v>
      </c>
      <c r="AI8" s="159">
        <v>3.98</v>
      </c>
      <c r="AJ8" s="10" t="s">
        <v>2096</v>
      </c>
      <c r="AK8" s="10" t="s">
        <v>141</v>
      </c>
      <c r="AL8" s="9" t="s">
        <v>2091</v>
      </c>
      <c r="AM8" s="9" t="s">
        <v>2093</v>
      </c>
      <c r="AN8" s="169">
        <v>1.22E-4</v>
      </c>
      <c r="AO8" s="169">
        <v>9.9999999999999995E-7</v>
      </c>
    </row>
    <row r="9" spans="1:41">
      <c r="A9" s="11" t="s">
        <v>2103</v>
      </c>
      <c r="B9" s="11" t="s">
        <v>2103</v>
      </c>
      <c r="C9" s="11" t="s">
        <v>2079</v>
      </c>
      <c r="D9" s="2" t="s">
        <v>2099</v>
      </c>
      <c r="E9" s="11" t="s">
        <v>664</v>
      </c>
      <c r="F9" s="189">
        <v>3.306</v>
      </c>
      <c r="G9" s="159">
        <v>1520000</v>
      </c>
      <c r="H9" s="152">
        <v>5003.2510000000002</v>
      </c>
      <c r="I9" s="191">
        <v>-8.1000000000000004E-5</v>
      </c>
      <c r="J9" s="192">
        <v>1.2999999999999999E-5</v>
      </c>
      <c r="K9" s="9" t="s">
        <v>2099</v>
      </c>
      <c r="L9" s="11" t="s">
        <v>34</v>
      </c>
      <c r="M9" s="190">
        <v>1</v>
      </c>
      <c r="N9" s="160">
        <v>-5190800</v>
      </c>
      <c r="O9" s="160">
        <v>-5169.0609999999997</v>
      </c>
      <c r="P9" s="191">
        <v>-1.0000000000000001E-5</v>
      </c>
      <c r="Q9" s="191">
        <v>-8.0000000000000007E-5</v>
      </c>
      <c r="R9" s="159">
        <v>-165.81</v>
      </c>
      <c r="S9" s="9" t="s">
        <v>30</v>
      </c>
      <c r="T9" s="18" t="s">
        <v>30</v>
      </c>
      <c r="U9" s="26" t="s">
        <v>2081</v>
      </c>
      <c r="V9" s="10" t="s">
        <v>2082</v>
      </c>
      <c r="W9" s="9" t="s">
        <v>2083</v>
      </c>
      <c r="X9" s="10" t="s">
        <v>2084</v>
      </c>
      <c r="Y9" s="10" t="s">
        <v>141</v>
      </c>
      <c r="Z9" s="1" t="s">
        <v>2100</v>
      </c>
      <c r="AA9" s="25" t="s">
        <v>2086</v>
      </c>
      <c r="AB9" s="10" t="s">
        <v>2087</v>
      </c>
      <c r="AC9" s="10" t="s">
        <v>2088</v>
      </c>
      <c r="AD9" s="10" t="s">
        <v>141</v>
      </c>
      <c r="AE9" s="10" t="s">
        <v>2089</v>
      </c>
      <c r="AF9" s="10" t="s">
        <v>2087</v>
      </c>
      <c r="AG9" s="11" t="s">
        <v>2090</v>
      </c>
      <c r="AH9" t="s">
        <v>2091</v>
      </c>
      <c r="AI9" s="159">
        <v>3.4</v>
      </c>
      <c r="AJ9" s="10" t="s">
        <v>2092</v>
      </c>
      <c r="AK9" s="10" t="s">
        <v>141</v>
      </c>
      <c r="AL9" s="9" t="s">
        <v>2091</v>
      </c>
      <c r="AM9" s="9" t="s">
        <v>2093</v>
      </c>
      <c r="AN9" s="169">
        <v>-6.3999999999999997E-5</v>
      </c>
      <c r="AO9" s="169">
        <v>0</v>
      </c>
    </row>
    <row r="10" spans="1:41">
      <c r="A10" s="11" t="s">
        <v>2104</v>
      </c>
      <c r="B10" s="11" t="s">
        <v>2105</v>
      </c>
      <c r="C10" s="11" t="s">
        <v>2079</v>
      </c>
      <c r="D10" s="2" t="s">
        <v>2080</v>
      </c>
      <c r="E10" s="11" t="s">
        <v>664</v>
      </c>
      <c r="F10" s="189">
        <v>3.306</v>
      </c>
      <c r="G10" s="159">
        <v>-84515905</v>
      </c>
      <c r="H10" s="152">
        <v>-278193.065</v>
      </c>
      <c r="I10" s="191">
        <v>8.7799999999999998E-4</v>
      </c>
      <c r="J10" s="192">
        <v>-1.2400000000000001E-4</v>
      </c>
      <c r="K10" s="9" t="s">
        <v>2080</v>
      </c>
      <c r="L10" s="11" t="s">
        <v>34</v>
      </c>
      <c r="M10" s="190">
        <v>1</v>
      </c>
      <c r="N10" s="160">
        <v>291579872.25</v>
      </c>
      <c r="O10" s="160">
        <v>290358.61200000002</v>
      </c>
      <c r="P10" s="191">
        <v>1.01E-4</v>
      </c>
      <c r="Q10" s="191">
        <v>8.8199999999999997E-4</v>
      </c>
      <c r="R10" s="159">
        <v>12165.547</v>
      </c>
      <c r="S10" s="9" t="s">
        <v>30</v>
      </c>
      <c r="T10" s="18" t="s">
        <v>30</v>
      </c>
      <c r="U10" s="26" t="s">
        <v>2081</v>
      </c>
      <c r="V10" s="10" t="s">
        <v>2082</v>
      </c>
      <c r="W10" s="9" t="s">
        <v>2083</v>
      </c>
      <c r="X10" s="10" t="s">
        <v>2084</v>
      </c>
      <c r="Y10" s="10" t="s">
        <v>141</v>
      </c>
      <c r="Z10" s="1" t="s">
        <v>2085</v>
      </c>
      <c r="AA10" s="25" t="s">
        <v>2086</v>
      </c>
      <c r="AB10" s="10" t="s">
        <v>2087</v>
      </c>
      <c r="AC10" s="10" t="s">
        <v>2088</v>
      </c>
      <c r="AD10" s="10" t="s">
        <v>141</v>
      </c>
      <c r="AE10" s="10" t="s">
        <v>2089</v>
      </c>
      <c r="AF10" s="10" t="s">
        <v>2087</v>
      </c>
      <c r="AG10" s="11" t="s">
        <v>2090</v>
      </c>
      <c r="AH10" t="s">
        <v>2091</v>
      </c>
      <c r="AI10" s="159">
        <v>3.4350000000000001</v>
      </c>
      <c r="AJ10" s="10" t="s">
        <v>2092</v>
      </c>
      <c r="AK10" s="10" t="s">
        <v>141</v>
      </c>
      <c r="AL10" s="9" t="s">
        <v>2091</v>
      </c>
      <c r="AM10" s="9" t="s">
        <v>2093</v>
      </c>
      <c r="AN10" s="169">
        <v>9.8200000000000002E-4</v>
      </c>
      <c r="AO10" s="169">
        <v>5.0000000000000004E-6</v>
      </c>
    </row>
    <row r="11" spans="1:41">
      <c r="A11" s="11" t="s">
        <v>2104</v>
      </c>
      <c r="B11" s="11" t="s">
        <v>2105</v>
      </c>
      <c r="C11" s="11" t="s">
        <v>2079</v>
      </c>
      <c r="D11" s="2" t="s">
        <v>2094</v>
      </c>
      <c r="E11" s="11" t="s">
        <v>576</v>
      </c>
      <c r="F11" s="189">
        <v>3.8807</v>
      </c>
      <c r="G11" s="159">
        <v>-14255000</v>
      </c>
      <c r="H11" s="152">
        <v>-55198.317999999999</v>
      </c>
      <c r="I11" s="191">
        <v>1.74E-4</v>
      </c>
      <c r="J11" s="192">
        <v>-2.5000000000000001E-5</v>
      </c>
      <c r="K11" s="9" t="s">
        <v>2094</v>
      </c>
      <c r="L11" s="11" t="s">
        <v>34</v>
      </c>
      <c r="M11" s="190">
        <v>1</v>
      </c>
      <c r="N11" s="160">
        <v>56978660.5</v>
      </c>
      <c r="O11" s="160">
        <v>56740.093999999997</v>
      </c>
      <c r="P11" s="191">
        <v>2.0000000000000002E-5</v>
      </c>
      <c r="Q11" s="191">
        <v>1.7200000000000001E-4</v>
      </c>
      <c r="R11" s="159">
        <v>1541.7760000000001</v>
      </c>
      <c r="S11" s="9" t="s">
        <v>30</v>
      </c>
      <c r="T11" s="18" t="s">
        <v>30</v>
      </c>
      <c r="U11" s="26" t="s">
        <v>2081</v>
      </c>
      <c r="V11" s="10" t="s">
        <v>2082</v>
      </c>
      <c r="W11" s="9" t="s">
        <v>2083</v>
      </c>
      <c r="X11" s="10" t="s">
        <v>2095</v>
      </c>
      <c r="Y11" s="10" t="s">
        <v>141</v>
      </c>
      <c r="Z11" s="1" t="s">
        <v>2085</v>
      </c>
      <c r="AA11" s="25" t="s">
        <v>2086</v>
      </c>
      <c r="AB11" s="10" t="s">
        <v>2087</v>
      </c>
      <c r="AC11" s="10" t="s">
        <v>2088</v>
      </c>
      <c r="AD11" s="10" t="s">
        <v>141</v>
      </c>
      <c r="AE11" s="10" t="s">
        <v>2089</v>
      </c>
      <c r="AF11" s="10" t="s">
        <v>2087</v>
      </c>
      <c r="AG11" s="11" t="s">
        <v>2090</v>
      </c>
      <c r="AH11" t="s">
        <v>2091</v>
      </c>
      <c r="AI11" s="159">
        <v>3.98</v>
      </c>
      <c r="AJ11" s="10" t="s">
        <v>2096</v>
      </c>
      <c r="AK11" s="10" t="s">
        <v>141</v>
      </c>
      <c r="AL11" s="9" t="s">
        <v>2091</v>
      </c>
      <c r="AM11" s="9" t="s">
        <v>2093</v>
      </c>
      <c r="AN11" s="169">
        <v>1.2400000000000001E-4</v>
      </c>
      <c r="AO11" s="169">
        <v>9.9999999999999995E-7</v>
      </c>
    </row>
    <row r="12" spans="1:41">
      <c r="A12" s="11" t="s">
        <v>2104</v>
      </c>
      <c r="B12" s="11" t="s">
        <v>2105</v>
      </c>
      <c r="C12" s="11" t="s">
        <v>2079</v>
      </c>
      <c r="D12" s="2" t="s">
        <v>2097</v>
      </c>
      <c r="E12" s="11" t="s">
        <v>664</v>
      </c>
      <c r="F12" s="189">
        <v>3.306</v>
      </c>
      <c r="G12" s="159">
        <v>5883865</v>
      </c>
      <c r="H12" s="152">
        <v>19367.404999999999</v>
      </c>
      <c r="I12" s="191">
        <v>-6.0999999999999999E-5</v>
      </c>
      <c r="J12" s="192">
        <v>9.0000000000000002E-6</v>
      </c>
      <c r="K12" s="9" t="s">
        <v>2097</v>
      </c>
      <c r="L12" s="11" t="s">
        <v>34</v>
      </c>
      <c r="M12" s="190">
        <v>1</v>
      </c>
      <c r="N12" s="160">
        <v>-20096340.907000002</v>
      </c>
      <c r="O12" s="160">
        <v>-20012.179</v>
      </c>
      <c r="P12" s="191">
        <v>-6.9999999999999999E-6</v>
      </c>
      <c r="Q12" s="191">
        <v>-6.0999999999999999E-5</v>
      </c>
      <c r="R12" s="159">
        <v>-644.774</v>
      </c>
      <c r="S12" s="9" t="s">
        <v>30</v>
      </c>
      <c r="T12" s="18" t="s">
        <v>30</v>
      </c>
      <c r="U12" s="26" t="s">
        <v>2081</v>
      </c>
      <c r="V12" s="10" t="s">
        <v>2082</v>
      </c>
      <c r="W12" s="9" t="s">
        <v>2083</v>
      </c>
      <c r="X12" s="10" t="s">
        <v>2084</v>
      </c>
      <c r="Y12" s="10" t="s">
        <v>141</v>
      </c>
      <c r="Z12" s="1" t="s">
        <v>2098</v>
      </c>
      <c r="AA12" s="25" t="s">
        <v>2086</v>
      </c>
      <c r="AB12" s="10" t="s">
        <v>2087</v>
      </c>
      <c r="AC12" s="10" t="s">
        <v>2088</v>
      </c>
      <c r="AD12" s="10" t="s">
        <v>141</v>
      </c>
      <c r="AE12" s="10" t="s">
        <v>2089</v>
      </c>
      <c r="AF12" s="10" t="s">
        <v>2087</v>
      </c>
      <c r="AG12" s="11" t="s">
        <v>2090</v>
      </c>
      <c r="AH12" t="s">
        <v>2091</v>
      </c>
      <c r="AI12" s="159">
        <v>3.4009999999999998</v>
      </c>
      <c r="AJ12" s="10" t="s">
        <v>2092</v>
      </c>
      <c r="AK12" s="10" t="s">
        <v>141</v>
      </c>
      <c r="AL12" s="9" t="s">
        <v>2091</v>
      </c>
      <c r="AM12" s="9" t="s">
        <v>2093</v>
      </c>
      <c r="AN12" s="169">
        <v>-5.1999999999999997E-5</v>
      </c>
      <c r="AO12" s="169">
        <v>0</v>
      </c>
    </row>
    <row r="13" spans="1:41">
      <c r="A13" s="11" t="s">
        <v>2104</v>
      </c>
      <c r="B13" s="11" t="s">
        <v>2105</v>
      </c>
      <c r="C13" s="11" t="s">
        <v>2079</v>
      </c>
      <c r="D13" s="2" t="s">
        <v>2099</v>
      </c>
      <c r="E13" s="11" t="s">
        <v>664</v>
      </c>
      <c r="F13" s="189">
        <v>3.306</v>
      </c>
      <c r="G13" s="159">
        <v>5800000</v>
      </c>
      <c r="H13" s="152">
        <v>19091.353999999999</v>
      </c>
      <c r="I13" s="191">
        <v>-6.0000000000000002E-5</v>
      </c>
      <c r="J13" s="192">
        <v>9.0000000000000002E-6</v>
      </c>
      <c r="K13" s="9" t="s">
        <v>2099</v>
      </c>
      <c r="L13" s="11" t="s">
        <v>34</v>
      </c>
      <c r="M13" s="190">
        <v>1</v>
      </c>
      <c r="N13" s="160">
        <v>-19807000</v>
      </c>
      <c r="O13" s="160">
        <v>-19724.048999999999</v>
      </c>
      <c r="P13" s="191">
        <v>-6.9999999999999999E-6</v>
      </c>
      <c r="Q13" s="191">
        <v>-6.0000000000000002E-5</v>
      </c>
      <c r="R13" s="159">
        <v>-632.69500000000005</v>
      </c>
      <c r="S13" s="9" t="s">
        <v>30</v>
      </c>
      <c r="T13" s="18" t="s">
        <v>30</v>
      </c>
      <c r="U13" s="26" t="s">
        <v>2081</v>
      </c>
      <c r="V13" s="10" t="s">
        <v>2082</v>
      </c>
      <c r="W13" s="9" t="s">
        <v>2083</v>
      </c>
      <c r="X13" s="10" t="s">
        <v>2084</v>
      </c>
      <c r="Y13" s="10" t="s">
        <v>141</v>
      </c>
      <c r="Z13" s="1" t="s">
        <v>2100</v>
      </c>
      <c r="AA13" s="25" t="s">
        <v>2086</v>
      </c>
      <c r="AB13" s="10" t="s">
        <v>2087</v>
      </c>
      <c r="AC13" s="10" t="s">
        <v>2088</v>
      </c>
      <c r="AD13" s="10" t="s">
        <v>141</v>
      </c>
      <c r="AE13" s="10" t="s">
        <v>2089</v>
      </c>
      <c r="AF13" s="10" t="s">
        <v>2087</v>
      </c>
      <c r="AG13" s="11" t="s">
        <v>2090</v>
      </c>
      <c r="AH13" t="s">
        <v>2091</v>
      </c>
      <c r="AI13" s="159">
        <v>3.4</v>
      </c>
      <c r="AJ13" s="10" t="s">
        <v>2092</v>
      </c>
      <c r="AK13" s="10" t="s">
        <v>141</v>
      </c>
      <c r="AL13" s="9" t="s">
        <v>2091</v>
      </c>
      <c r="AM13" s="9" t="s">
        <v>2093</v>
      </c>
      <c r="AN13" s="169">
        <v>-5.1E-5</v>
      </c>
      <c r="AO13" s="169">
        <v>0</v>
      </c>
    </row>
    <row r="14" spans="1:41">
      <c r="A14" s="11" t="s">
        <v>2104</v>
      </c>
      <c r="B14" s="11" t="s">
        <v>2105</v>
      </c>
      <c r="C14" s="11" t="s">
        <v>2079</v>
      </c>
      <c r="D14" s="2" t="s">
        <v>2106</v>
      </c>
      <c r="E14" s="11" t="s">
        <v>664</v>
      </c>
      <c r="F14" s="189">
        <v>3.306</v>
      </c>
      <c r="G14" s="159">
        <v>-6700000</v>
      </c>
      <c r="H14" s="152">
        <v>-22053.956999999999</v>
      </c>
      <c r="I14" s="191">
        <v>6.9999999999999994E-5</v>
      </c>
      <c r="J14" s="192">
        <v>-1.0000000000000001E-5</v>
      </c>
      <c r="K14" s="9" t="s">
        <v>2106</v>
      </c>
      <c r="L14" s="11" t="s">
        <v>34</v>
      </c>
      <c r="M14" s="190">
        <v>1</v>
      </c>
      <c r="N14" s="160">
        <v>22106650</v>
      </c>
      <c r="O14" s="160">
        <v>22014.107</v>
      </c>
      <c r="P14" s="191">
        <v>7.9999999999999996E-6</v>
      </c>
      <c r="Q14" s="191">
        <v>6.7000000000000002E-5</v>
      </c>
      <c r="R14" s="159">
        <v>-39.85</v>
      </c>
      <c r="S14" s="9" t="s">
        <v>30</v>
      </c>
      <c r="T14" s="18" t="s">
        <v>30</v>
      </c>
      <c r="U14" s="26" t="s">
        <v>2081</v>
      </c>
      <c r="V14" s="10" t="s">
        <v>2082</v>
      </c>
      <c r="W14" s="9" t="s">
        <v>2083</v>
      </c>
      <c r="X14" s="10" t="s">
        <v>2084</v>
      </c>
      <c r="Y14" s="10" t="s">
        <v>141</v>
      </c>
      <c r="Z14" s="1" t="s">
        <v>2102</v>
      </c>
      <c r="AA14" s="25" t="s">
        <v>2086</v>
      </c>
      <c r="AB14" s="10" t="s">
        <v>2087</v>
      </c>
      <c r="AC14" s="10" t="s">
        <v>2088</v>
      </c>
      <c r="AD14" s="10" t="s">
        <v>141</v>
      </c>
      <c r="AE14" s="10" t="s">
        <v>2089</v>
      </c>
      <c r="AF14" s="10" t="s">
        <v>2087</v>
      </c>
      <c r="AG14" s="11" t="s">
        <v>2090</v>
      </c>
      <c r="AH14" t="s">
        <v>2091</v>
      </c>
      <c r="AI14" s="159">
        <v>3.2850000000000001</v>
      </c>
      <c r="AJ14" s="10" t="s">
        <v>2092</v>
      </c>
      <c r="AK14" s="10" t="s">
        <v>141</v>
      </c>
      <c r="AL14" s="9" t="s">
        <v>2091</v>
      </c>
      <c r="AM14" s="9" t="s">
        <v>2093</v>
      </c>
      <c r="AN14" s="169">
        <v>-3.0000000000000001E-6</v>
      </c>
      <c r="AO14" s="169">
        <v>0</v>
      </c>
    </row>
    <row r="15" spans="1:41">
      <c r="A15" s="11" t="s">
        <v>2104</v>
      </c>
      <c r="B15" s="11" t="s">
        <v>2107</v>
      </c>
      <c r="C15" s="11" t="s">
        <v>2079</v>
      </c>
      <c r="D15" s="2" t="s">
        <v>2080</v>
      </c>
      <c r="E15" s="11" t="s">
        <v>664</v>
      </c>
      <c r="F15" s="189">
        <v>3.306</v>
      </c>
      <c r="G15" s="159">
        <v>-5174100.8</v>
      </c>
      <c r="H15" s="152">
        <v>-17031.100999999999</v>
      </c>
      <c r="I15" s="191">
        <v>9.859999999999999E-4</v>
      </c>
      <c r="J15" s="192">
        <v>-1.27E-4</v>
      </c>
      <c r="K15" s="9" t="s">
        <v>2080</v>
      </c>
      <c r="L15" s="11" t="s">
        <v>34</v>
      </c>
      <c r="M15" s="190">
        <v>1</v>
      </c>
      <c r="N15" s="160">
        <v>17850647.760000002</v>
      </c>
      <c r="O15" s="160">
        <v>17775.881000000001</v>
      </c>
      <c r="P15" s="191">
        <v>1.05E-4</v>
      </c>
      <c r="Q15" s="191">
        <v>9.8900000000000008E-4</v>
      </c>
      <c r="R15" s="159">
        <v>744.78</v>
      </c>
      <c r="S15" s="9" t="s">
        <v>30</v>
      </c>
      <c r="T15" s="18" t="s">
        <v>30</v>
      </c>
      <c r="U15" s="26" t="s">
        <v>2081</v>
      </c>
      <c r="V15" s="10" t="s">
        <v>2082</v>
      </c>
      <c r="W15" s="9" t="s">
        <v>2083</v>
      </c>
      <c r="X15" s="10" t="s">
        <v>2084</v>
      </c>
      <c r="Y15" s="10" t="s">
        <v>141</v>
      </c>
      <c r="Z15" s="1" t="s">
        <v>2085</v>
      </c>
      <c r="AA15" s="25" t="s">
        <v>2086</v>
      </c>
      <c r="AB15" s="10" t="s">
        <v>2087</v>
      </c>
      <c r="AC15" s="10" t="s">
        <v>2088</v>
      </c>
      <c r="AD15" s="10" t="s">
        <v>141</v>
      </c>
      <c r="AE15" s="10" t="s">
        <v>2089</v>
      </c>
      <c r="AF15" s="10" t="s">
        <v>2087</v>
      </c>
      <c r="AG15" s="11" t="s">
        <v>2090</v>
      </c>
      <c r="AH15" t="s">
        <v>2091</v>
      </c>
      <c r="AI15" s="159">
        <v>3.4350000000000001</v>
      </c>
      <c r="AJ15" s="10" t="s">
        <v>2092</v>
      </c>
      <c r="AK15" s="10" t="s">
        <v>141</v>
      </c>
      <c r="AL15" s="9" t="s">
        <v>2091</v>
      </c>
      <c r="AM15" s="9" t="s">
        <v>2093</v>
      </c>
      <c r="AN15" s="169">
        <v>1.0549999999999999E-3</v>
      </c>
      <c r="AO15" s="169">
        <v>5.0000000000000004E-6</v>
      </c>
    </row>
    <row r="16" spans="1:41">
      <c r="A16" s="11" t="s">
        <v>2104</v>
      </c>
      <c r="B16" s="11" t="s">
        <v>2107</v>
      </c>
      <c r="C16" s="11" t="s">
        <v>2079</v>
      </c>
      <c r="D16" s="2" t="s">
        <v>2094</v>
      </c>
      <c r="E16" s="11" t="s">
        <v>576</v>
      </c>
      <c r="F16" s="189">
        <v>3.8807</v>
      </c>
      <c r="G16" s="159">
        <v>-711000</v>
      </c>
      <c r="H16" s="152">
        <v>-2753.1390000000001</v>
      </c>
      <c r="I16" s="191">
        <v>1.5899999999999999E-4</v>
      </c>
      <c r="J16" s="192">
        <v>-2.0000000000000002E-5</v>
      </c>
      <c r="K16" s="9" t="s">
        <v>2094</v>
      </c>
      <c r="L16" s="11" t="s">
        <v>34</v>
      </c>
      <c r="M16" s="190">
        <v>1</v>
      </c>
      <c r="N16" s="160">
        <v>2841938.1</v>
      </c>
      <c r="O16" s="160">
        <v>2830.0390000000002</v>
      </c>
      <c r="P16" s="191">
        <v>1.7E-5</v>
      </c>
      <c r="Q16" s="191">
        <v>1.5699999999999999E-4</v>
      </c>
      <c r="R16" s="159">
        <v>76.900000000000006</v>
      </c>
      <c r="S16" s="9" t="s">
        <v>30</v>
      </c>
      <c r="T16" s="18" t="s">
        <v>30</v>
      </c>
      <c r="U16" s="26" t="s">
        <v>2081</v>
      </c>
      <c r="V16" s="10" t="s">
        <v>2082</v>
      </c>
      <c r="W16" s="9" t="s">
        <v>2083</v>
      </c>
      <c r="X16" s="10" t="s">
        <v>2095</v>
      </c>
      <c r="Y16" s="10" t="s">
        <v>141</v>
      </c>
      <c r="Z16" s="1" t="s">
        <v>2085</v>
      </c>
      <c r="AA16" s="25" t="s">
        <v>2086</v>
      </c>
      <c r="AB16" s="10" t="s">
        <v>2087</v>
      </c>
      <c r="AC16" s="10" t="s">
        <v>2088</v>
      </c>
      <c r="AD16" s="10" t="s">
        <v>141</v>
      </c>
      <c r="AE16" s="10" t="s">
        <v>2089</v>
      </c>
      <c r="AF16" s="10" t="s">
        <v>2087</v>
      </c>
      <c r="AG16" s="11" t="s">
        <v>2090</v>
      </c>
      <c r="AH16" t="s">
        <v>2091</v>
      </c>
      <c r="AI16" s="159">
        <v>3.98</v>
      </c>
      <c r="AJ16" s="10" t="s">
        <v>2096</v>
      </c>
      <c r="AK16" s="10" t="s">
        <v>141</v>
      </c>
      <c r="AL16" s="9" t="s">
        <v>2091</v>
      </c>
      <c r="AM16" s="9" t="s">
        <v>2093</v>
      </c>
      <c r="AN16" s="169">
        <v>1.0900000000000001E-4</v>
      </c>
      <c r="AO16" s="169">
        <v>9.9999999999999995E-7</v>
      </c>
    </row>
    <row r="17" spans="1:41">
      <c r="A17" s="11" t="s">
        <v>2104</v>
      </c>
      <c r="B17" s="11" t="s">
        <v>2107</v>
      </c>
      <c r="C17" s="11" t="s">
        <v>2079</v>
      </c>
      <c r="D17" s="2" t="s">
        <v>2097</v>
      </c>
      <c r="E17" s="11" t="s">
        <v>664</v>
      </c>
      <c r="F17" s="189">
        <v>3.306</v>
      </c>
      <c r="G17" s="159">
        <v>904768</v>
      </c>
      <c r="H17" s="152">
        <v>2978.145</v>
      </c>
      <c r="I17" s="191">
        <v>-1.7200000000000001E-4</v>
      </c>
      <c r="J17" s="192">
        <v>2.1999999999999999E-5</v>
      </c>
      <c r="K17" s="9" t="s">
        <v>2097</v>
      </c>
      <c r="L17" s="11" t="s">
        <v>34</v>
      </c>
      <c r="M17" s="190">
        <v>1</v>
      </c>
      <c r="N17" s="160">
        <v>-3090235.1039999998</v>
      </c>
      <c r="O17" s="160">
        <v>-3077.2930000000001</v>
      </c>
      <c r="P17" s="191">
        <v>-1.8E-5</v>
      </c>
      <c r="Q17" s="191">
        <v>-1.7100000000000001E-4</v>
      </c>
      <c r="R17" s="159">
        <v>-99.147999999999996</v>
      </c>
      <c r="S17" s="9" t="s">
        <v>30</v>
      </c>
      <c r="T17" s="18" t="s">
        <v>30</v>
      </c>
      <c r="U17" s="26" t="s">
        <v>2081</v>
      </c>
      <c r="V17" s="10" t="s">
        <v>2082</v>
      </c>
      <c r="W17" s="9" t="s">
        <v>2083</v>
      </c>
      <c r="X17" s="10" t="s">
        <v>2084</v>
      </c>
      <c r="Y17" s="10" t="s">
        <v>141</v>
      </c>
      <c r="Z17" s="1" t="s">
        <v>2098</v>
      </c>
      <c r="AA17" s="25" t="s">
        <v>2086</v>
      </c>
      <c r="AB17" s="10" t="s">
        <v>2087</v>
      </c>
      <c r="AC17" s="10" t="s">
        <v>2088</v>
      </c>
      <c r="AD17" s="10" t="s">
        <v>141</v>
      </c>
      <c r="AE17" s="10" t="s">
        <v>2089</v>
      </c>
      <c r="AF17" s="10" t="s">
        <v>2087</v>
      </c>
      <c r="AG17" s="11" t="s">
        <v>2090</v>
      </c>
      <c r="AH17" t="s">
        <v>2091</v>
      </c>
      <c r="AI17" s="159">
        <v>3.4009999999999998</v>
      </c>
      <c r="AJ17" s="10" t="s">
        <v>2092</v>
      </c>
      <c r="AK17" s="10" t="s">
        <v>141</v>
      </c>
      <c r="AL17" s="9" t="s">
        <v>2091</v>
      </c>
      <c r="AM17" s="9" t="s">
        <v>2093</v>
      </c>
      <c r="AN17" s="169">
        <v>-1.3999999999999999E-4</v>
      </c>
      <c r="AO17" s="169">
        <v>-9.9999999999999995E-7</v>
      </c>
    </row>
    <row r="18" spans="1:41">
      <c r="A18" s="11" t="s">
        <v>2104</v>
      </c>
      <c r="B18" s="11" t="s">
        <v>2107</v>
      </c>
      <c r="C18" s="11" t="s">
        <v>2079</v>
      </c>
      <c r="D18" s="2" t="s">
        <v>2099</v>
      </c>
      <c r="E18" s="11" t="s">
        <v>664</v>
      </c>
      <c r="F18" s="189">
        <v>3.306</v>
      </c>
      <c r="G18" s="159">
        <v>140000</v>
      </c>
      <c r="H18" s="152">
        <v>460.82499999999999</v>
      </c>
      <c r="I18" s="191">
        <v>-2.6999999999999999E-5</v>
      </c>
      <c r="J18" s="192">
        <v>3.0000000000000001E-6</v>
      </c>
      <c r="K18" s="9" t="s">
        <v>2099</v>
      </c>
      <c r="L18" s="11" t="s">
        <v>34</v>
      </c>
      <c r="M18" s="190">
        <v>1</v>
      </c>
      <c r="N18" s="160">
        <v>-478100</v>
      </c>
      <c r="O18" s="160">
        <v>-476.09699999999998</v>
      </c>
      <c r="P18" s="191">
        <v>-3.0000000000000001E-6</v>
      </c>
      <c r="Q18" s="191">
        <v>-2.5999999999999998E-5</v>
      </c>
      <c r="R18" s="159">
        <v>-15.272</v>
      </c>
      <c r="S18" s="9" t="s">
        <v>30</v>
      </c>
      <c r="T18" s="18" t="s">
        <v>30</v>
      </c>
      <c r="U18" s="26" t="s">
        <v>2081</v>
      </c>
      <c r="V18" s="10" t="s">
        <v>2082</v>
      </c>
      <c r="W18" s="9" t="s">
        <v>2083</v>
      </c>
      <c r="X18" s="10" t="s">
        <v>2084</v>
      </c>
      <c r="Y18" s="10" t="s">
        <v>141</v>
      </c>
      <c r="Z18" s="1" t="s">
        <v>2100</v>
      </c>
      <c r="AA18" s="25" t="s">
        <v>2086</v>
      </c>
      <c r="AB18" s="10" t="s">
        <v>2087</v>
      </c>
      <c r="AC18" s="10" t="s">
        <v>2088</v>
      </c>
      <c r="AD18" s="10" t="s">
        <v>141</v>
      </c>
      <c r="AE18" s="10" t="s">
        <v>2089</v>
      </c>
      <c r="AF18" s="10" t="s">
        <v>2087</v>
      </c>
      <c r="AG18" s="11" t="s">
        <v>2090</v>
      </c>
      <c r="AH18" t="s">
        <v>2091</v>
      </c>
      <c r="AI18" s="159">
        <v>3.4</v>
      </c>
      <c r="AJ18" s="10" t="s">
        <v>2092</v>
      </c>
      <c r="AK18" s="10" t="s">
        <v>141</v>
      </c>
      <c r="AL18" s="9" t="s">
        <v>2091</v>
      </c>
      <c r="AM18" s="9" t="s">
        <v>2093</v>
      </c>
      <c r="AN18" s="169">
        <v>-2.1999999999999999E-5</v>
      </c>
      <c r="AO18" s="169">
        <v>0</v>
      </c>
    </row>
    <row r="19" spans="1:41">
      <c r="A19" s="11" t="s">
        <v>2104</v>
      </c>
      <c r="B19" s="11" t="s">
        <v>2107</v>
      </c>
      <c r="C19" s="11" t="s">
        <v>2079</v>
      </c>
      <c r="D19" s="2" t="s">
        <v>2101</v>
      </c>
      <c r="E19" s="11" t="s">
        <v>664</v>
      </c>
      <c r="F19" s="189">
        <v>3.306</v>
      </c>
      <c r="G19" s="159">
        <v>-280000</v>
      </c>
      <c r="H19" s="152">
        <v>-921.65700000000004</v>
      </c>
      <c r="I19" s="191">
        <v>5.3000000000000001E-5</v>
      </c>
      <c r="J19" s="192">
        <v>-6.9999999999999999E-6</v>
      </c>
      <c r="K19" s="9" t="s">
        <v>2101</v>
      </c>
      <c r="L19" s="11" t="s">
        <v>34</v>
      </c>
      <c r="M19" s="190">
        <v>1</v>
      </c>
      <c r="N19" s="160">
        <v>924420</v>
      </c>
      <c r="O19" s="160">
        <v>920.55</v>
      </c>
      <c r="P19" s="191">
        <v>5.0000000000000004E-6</v>
      </c>
      <c r="Q19" s="191">
        <v>5.1E-5</v>
      </c>
      <c r="R19" s="159">
        <v>-1.1080000000000001</v>
      </c>
      <c r="S19" s="9" t="s">
        <v>30</v>
      </c>
      <c r="T19" s="18" t="s">
        <v>30</v>
      </c>
      <c r="U19" s="26" t="s">
        <v>2081</v>
      </c>
      <c r="V19" s="10" t="s">
        <v>2082</v>
      </c>
      <c r="W19" s="9" t="s">
        <v>2083</v>
      </c>
      <c r="X19" s="10" t="s">
        <v>2084</v>
      </c>
      <c r="Y19" s="10" t="s">
        <v>141</v>
      </c>
      <c r="Z19" s="1" t="s">
        <v>2102</v>
      </c>
      <c r="AA19" s="25" t="s">
        <v>2086</v>
      </c>
      <c r="AB19" s="10" t="s">
        <v>2087</v>
      </c>
      <c r="AC19" s="10" t="s">
        <v>2088</v>
      </c>
      <c r="AD19" s="10" t="s">
        <v>141</v>
      </c>
      <c r="AE19" s="10" t="s">
        <v>2089</v>
      </c>
      <c r="AF19" s="10" t="s">
        <v>2087</v>
      </c>
      <c r="AG19" s="11" t="s">
        <v>2090</v>
      </c>
      <c r="AH19" t="s">
        <v>2091</v>
      </c>
      <c r="AI19" s="159">
        <v>3.2869999999999999</v>
      </c>
      <c r="AJ19" s="10" t="s">
        <v>2092</v>
      </c>
      <c r="AK19" s="10" t="s">
        <v>141</v>
      </c>
      <c r="AL19" s="9" t="s">
        <v>2091</v>
      </c>
      <c r="AM19" s="9" t="s">
        <v>2093</v>
      </c>
      <c r="AN19" s="169">
        <v>-1.9999999999999999E-6</v>
      </c>
      <c r="AO19" s="169">
        <v>0</v>
      </c>
    </row>
    <row r="20" spans="1:41">
      <c r="A20" s="9" t="s">
        <v>2108</v>
      </c>
      <c r="B20" s="9" t="s">
        <v>2109</v>
      </c>
      <c r="C20" s="11" t="s">
        <v>2079</v>
      </c>
      <c r="D20" s="9" t="s">
        <v>2080</v>
      </c>
      <c r="E20" s="11" t="s">
        <v>664</v>
      </c>
      <c r="F20" s="190">
        <v>3.306</v>
      </c>
      <c r="G20" s="160">
        <v>-280227.46000000002</v>
      </c>
      <c r="H20" s="160">
        <v>-922.39800000000002</v>
      </c>
      <c r="I20" s="191">
        <v>3.6900000000000002E-4</v>
      </c>
      <c r="J20" s="191">
        <v>-2.0000000000000002E-5</v>
      </c>
      <c r="K20" s="9" t="s">
        <v>2080</v>
      </c>
      <c r="L20" s="9" t="s">
        <v>34</v>
      </c>
      <c r="M20" s="190">
        <v>1</v>
      </c>
      <c r="N20" s="160">
        <v>966784.73699999996</v>
      </c>
      <c r="O20" s="160">
        <v>962.73500000000001</v>
      </c>
      <c r="P20" s="191">
        <v>1.9000000000000001E-5</v>
      </c>
      <c r="Q20" s="191">
        <v>3.7599999999999998E-4</v>
      </c>
      <c r="R20" s="160">
        <v>40.337000000000003</v>
      </c>
      <c r="S20" s="9" t="s">
        <v>30</v>
      </c>
      <c r="T20" s="18" t="s">
        <v>30</v>
      </c>
      <c r="U20" s="26" t="s">
        <v>2081</v>
      </c>
      <c r="V20" s="10" t="s">
        <v>2082</v>
      </c>
      <c r="W20" s="9" t="s">
        <v>2083</v>
      </c>
      <c r="X20" s="9" t="s">
        <v>2084</v>
      </c>
      <c r="Y20" s="10" t="s">
        <v>141</v>
      </c>
      <c r="Z20" s="9" t="s">
        <v>2085</v>
      </c>
      <c r="AA20" s="9" t="s">
        <v>2086</v>
      </c>
      <c r="AB20" s="10" t="s">
        <v>2087</v>
      </c>
      <c r="AC20" s="10" t="s">
        <v>2088</v>
      </c>
      <c r="AD20" s="10" t="s">
        <v>141</v>
      </c>
      <c r="AE20" s="10" t="s">
        <v>2089</v>
      </c>
      <c r="AF20" s="10" t="s">
        <v>2087</v>
      </c>
      <c r="AG20" s="11" t="s">
        <v>2090</v>
      </c>
      <c r="AH20" t="s">
        <v>2091</v>
      </c>
      <c r="AI20" s="160">
        <v>3.4350000000000001</v>
      </c>
      <c r="AJ20" s="9" t="s">
        <v>2092</v>
      </c>
      <c r="AK20" s="10" t="s">
        <v>141</v>
      </c>
      <c r="AL20" s="9" t="s">
        <v>2091</v>
      </c>
      <c r="AM20" s="9" t="s">
        <v>2093</v>
      </c>
      <c r="AN20" s="164">
        <v>6.4499999999999996E-4</v>
      </c>
      <c r="AO20" s="164">
        <v>9.9999999999999995E-7</v>
      </c>
    </row>
    <row r="21" spans="1:41">
      <c r="A21" s="9" t="s">
        <v>2108</v>
      </c>
      <c r="B21" s="9" t="s">
        <v>2109</v>
      </c>
      <c r="C21" s="9" t="s">
        <v>2079</v>
      </c>
      <c r="D21" s="9" t="s">
        <v>2094</v>
      </c>
      <c r="E21" s="9" t="s">
        <v>576</v>
      </c>
      <c r="F21" s="190">
        <v>3.8807</v>
      </c>
      <c r="G21" s="160">
        <v>-314051</v>
      </c>
      <c r="H21" s="160">
        <v>-1216.07</v>
      </c>
      <c r="I21" s="191">
        <v>4.86E-4</v>
      </c>
      <c r="J21" s="191">
        <v>-2.6999999999999999E-5</v>
      </c>
      <c r="K21" s="9" t="s">
        <v>2094</v>
      </c>
      <c r="L21" s="9" t="s">
        <v>34</v>
      </c>
      <c r="M21" s="190">
        <v>1</v>
      </c>
      <c r="N21" s="160">
        <v>1255293.2520000001</v>
      </c>
      <c r="O21" s="160">
        <v>1250.037</v>
      </c>
      <c r="P21" s="191">
        <v>2.5000000000000001E-5</v>
      </c>
      <c r="Q21" s="191">
        <v>4.8799999999999999E-4</v>
      </c>
      <c r="R21" s="160">
        <v>33.966999999999999</v>
      </c>
      <c r="S21" s="9" t="s">
        <v>30</v>
      </c>
      <c r="T21" s="9" t="s">
        <v>30</v>
      </c>
      <c r="U21" s="9" t="s">
        <v>2081</v>
      </c>
      <c r="V21" s="9" t="s">
        <v>2082</v>
      </c>
      <c r="W21" s="9" t="s">
        <v>2083</v>
      </c>
      <c r="X21" s="9" t="s">
        <v>2095</v>
      </c>
      <c r="Y21" s="9" t="s">
        <v>141</v>
      </c>
      <c r="Z21" s="9" t="s">
        <v>2085</v>
      </c>
      <c r="AA21" s="9" t="s">
        <v>2086</v>
      </c>
      <c r="AB21" s="9" t="s">
        <v>2087</v>
      </c>
      <c r="AC21" s="9" t="s">
        <v>2088</v>
      </c>
      <c r="AD21" s="9" t="s">
        <v>141</v>
      </c>
      <c r="AE21" s="9" t="s">
        <v>2089</v>
      </c>
      <c r="AF21" s="9" t="s">
        <v>2087</v>
      </c>
      <c r="AG21" s="9" t="s">
        <v>2090</v>
      </c>
      <c r="AH21" t="s">
        <v>2091</v>
      </c>
      <c r="AI21" s="160">
        <v>3.98</v>
      </c>
      <c r="AJ21" s="9" t="s">
        <v>2096</v>
      </c>
      <c r="AK21" s="9" t="s">
        <v>141</v>
      </c>
      <c r="AL21" s="9" t="s">
        <v>2091</v>
      </c>
      <c r="AM21" s="9" t="s">
        <v>2093</v>
      </c>
      <c r="AN21" s="164">
        <v>5.4299999999999997E-4</v>
      </c>
      <c r="AO21" s="164">
        <v>9.9999999999999995E-7</v>
      </c>
    </row>
    <row r="22" spans="1:41">
      <c r="A22" s="9" t="s">
        <v>2108</v>
      </c>
      <c r="B22" s="9" t="s">
        <v>2109</v>
      </c>
      <c r="C22" s="11" t="s">
        <v>2079</v>
      </c>
      <c r="D22" s="9" t="s">
        <v>2099</v>
      </c>
      <c r="E22" s="11" t="s">
        <v>664</v>
      </c>
      <c r="F22" s="190">
        <v>3.306</v>
      </c>
      <c r="G22" s="160">
        <v>100000</v>
      </c>
      <c r="H22" s="160">
        <v>329.161</v>
      </c>
      <c r="I22" s="191">
        <v>-1.3200000000000001E-4</v>
      </c>
      <c r="J22" s="191">
        <v>6.9999999999999999E-6</v>
      </c>
      <c r="K22" s="9" t="s">
        <v>2099</v>
      </c>
      <c r="L22" s="9" t="s">
        <v>34</v>
      </c>
      <c r="M22" s="190">
        <v>1</v>
      </c>
      <c r="N22" s="160">
        <v>-341500</v>
      </c>
      <c r="O22" s="160">
        <v>-340.06900000000002</v>
      </c>
      <c r="P22" s="191">
        <v>-6.9999999999999999E-6</v>
      </c>
      <c r="Q22" s="191">
        <v>-1.3300000000000001E-4</v>
      </c>
      <c r="R22" s="160">
        <v>-10.909000000000001</v>
      </c>
      <c r="S22" s="9" t="s">
        <v>30</v>
      </c>
      <c r="T22" s="18" t="s">
        <v>30</v>
      </c>
      <c r="U22" s="9" t="s">
        <v>2081</v>
      </c>
      <c r="V22" s="9" t="s">
        <v>2082</v>
      </c>
      <c r="W22" s="9" t="s">
        <v>2083</v>
      </c>
      <c r="X22" s="9" t="s">
        <v>2084</v>
      </c>
      <c r="Y22" s="9" t="s">
        <v>141</v>
      </c>
      <c r="Z22" s="9" t="s">
        <v>2100</v>
      </c>
      <c r="AA22" s="9" t="s">
        <v>2086</v>
      </c>
      <c r="AB22" s="9" t="s">
        <v>2087</v>
      </c>
      <c r="AC22" s="9" t="s">
        <v>2088</v>
      </c>
      <c r="AD22" s="9" t="s">
        <v>141</v>
      </c>
      <c r="AE22" s="10" t="s">
        <v>2089</v>
      </c>
      <c r="AF22" s="10" t="s">
        <v>2087</v>
      </c>
      <c r="AG22" s="9" t="s">
        <v>2090</v>
      </c>
      <c r="AH22" t="s">
        <v>2091</v>
      </c>
      <c r="AI22" s="160">
        <v>3.4</v>
      </c>
      <c r="AJ22" s="9" t="s">
        <v>2092</v>
      </c>
      <c r="AK22" s="9" t="s">
        <v>141</v>
      </c>
      <c r="AL22" s="9" t="s">
        <v>2091</v>
      </c>
      <c r="AM22" s="9" t="s">
        <v>2093</v>
      </c>
      <c r="AN22" s="164">
        <v>-1.74E-4</v>
      </c>
      <c r="AO22" s="164">
        <v>0</v>
      </c>
    </row>
    <row r="23" spans="1:41">
      <c r="A23" s="9" t="s">
        <v>2108</v>
      </c>
      <c r="B23" s="9" t="s">
        <v>2109</v>
      </c>
      <c r="C23" s="11" t="s">
        <v>2079</v>
      </c>
      <c r="D23" s="9" t="s">
        <v>2101</v>
      </c>
      <c r="E23" s="11" t="s">
        <v>664</v>
      </c>
      <c r="F23" s="190">
        <v>3.306</v>
      </c>
      <c r="G23" s="160">
        <v>-210000</v>
      </c>
      <c r="H23" s="160">
        <v>-691.24300000000005</v>
      </c>
      <c r="I23" s="191">
        <v>2.7599999999999999E-4</v>
      </c>
      <c r="J23" s="191">
        <v>-1.5E-5</v>
      </c>
      <c r="K23" s="9" t="s">
        <v>2101</v>
      </c>
      <c r="L23" s="9" t="s">
        <v>34</v>
      </c>
      <c r="M23" s="190">
        <v>1</v>
      </c>
      <c r="N23" s="160">
        <v>693315</v>
      </c>
      <c r="O23" s="160">
        <v>690.41200000000003</v>
      </c>
      <c r="P23" s="191">
        <v>1.4E-5</v>
      </c>
      <c r="Q23" s="191">
        <v>2.6899999999999998E-4</v>
      </c>
      <c r="R23" s="160">
        <v>-0.83099999999999996</v>
      </c>
      <c r="S23" s="9" t="s">
        <v>30</v>
      </c>
      <c r="T23" s="18" t="s">
        <v>30</v>
      </c>
      <c r="U23" s="9" t="s">
        <v>2081</v>
      </c>
      <c r="V23" s="9" t="s">
        <v>2082</v>
      </c>
      <c r="W23" s="9" t="s">
        <v>2083</v>
      </c>
      <c r="X23" s="9" t="s">
        <v>2084</v>
      </c>
      <c r="Y23" s="9" t="s">
        <v>141</v>
      </c>
      <c r="Z23" s="9" t="s">
        <v>2102</v>
      </c>
      <c r="AA23" s="9" t="s">
        <v>2086</v>
      </c>
      <c r="AB23" s="9" t="s">
        <v>2087</v>
      </c>
      <c r="AC23" s="9" t="s">
        <v>2088</v>
      </c>
      <c r="AD23" s="9" t="s">
        <v>141</v>
      </c>
      <c r="AE23" s="10" t="s">
        <v>2089</v>
      </c>
      <c r="AF23" s="10" t="s">
        <v>2087</v>
      </c>
      <c r="AG23" s="9" t="s">
        <v>2090</v>
      </c>
      <c r="AH23" t="s">
        <v>2091</v>
      </c>
      <c r="AI23" s="160">
        <v>3.2869999999999999</v>
      </c>
      <c r="AJ23" s="9" t="s">
        <v>2092</v>
      </c>
      <c r="AK23" s="9" t="s">
        <v>141</v>
      </c>
      <c r="AL23" s="9" t="s">
        <v>2091</v>
      </c>
      <c r="AM23" s="9" t="s">
        <v>2093</v>
      </c>
      <c r="AN23" s="164">
        <v>-1.2999999999999999E-5</v>
      </c>
      <c r="AO23" s="164">
        <v>0</v>
      </c>
    </row>
    <row r="24" spans="1:41">
      <c r="A24" s="9" t="s">
        <v>2108</v>
      </c>
      <c r="B24" s="9" t="s">
        <v>2110</v>
      </c>
      <c r="C24" s="11" t="s">
        <v>2079</v>
      </c>
      <c r="D24" s="9" t="s">
        <v>2080</v>
      </c>
      <c r="E24" s="11" t="s">
        <v>664</v>
      </c>
      <c r="F24" s="190">
        <v>3.306</v>
      </c>
      <c r="G24" s="160">
        <v>-3900000</v>
      </c>
      <c r="H24" s="160">
        <v>-12837.263000000001</v>
      </c>
      <c r="I24" s="191">
        <v>1.0089999999999999E-3</v>
      </c>
      <c r="J24" s="191">
        <v>-3.1399999999999999E-4</v>
      </c>
      <c r="K24" s="9" t="s">
        <v>2080</v>
      </c>
      <c r="L24" s="9" t="s">
        <v>34</v>
      </c>
      <c r="M24" s="190">
        <v>1</v>
      </c>
      <c r="N24" s="160">
        <v>13455000</v>
      </c>
      <c r="O24" s="160">
        <v>13398.644</v>
      </c>
      <c r="P24" s="191">
        <v>2.0000000000000001E-4</v>
      </c>
      <c r="Q24" s="191">
        <v>1.01E-3</v>
      </c>
      <c r="R24" s="160">
        <v>561.38099999999997</v>
      </c>
      <c r="S24" s="9" t="s">
        <v>30</v>
      </c>
      <c r="T24" s="18" t="s">
        <v>30</v>
      </c>
      <c r="U24" s="9" t="s">
        <v>2081</v>
      </c>
      <c r="V24" s="9" t="s">
        <v>2082</v>
      </c>
      <c r="W24" s="9" t="s">
        <v>2083</v>
      </c>
      <c r="X24" s="9" t="s">
        <v>2084</v>
      </c>
      <c r="Y24" s="9" t="s">
        <v>141</v>
      </c>
      <c r="Z24" s="9" t="s">
        <v>2085</v>
      </c>
      <c r="AA24" s="9" t="s">
        <v>2086</v>
      </c>
      <c r="AB24" s="9" t="s">
        <v>2087</v>
      </c>
      <c r="AC24" s="9" t="s">
        <v>2088</v>
      </c>
      <c r="AD24" s="9" t="s">
        <v>141</v>
      </c>
      <c r="AE24" s="10" t="s">
        <v>2089</v>
      </c>
      <c r="AF24" s="10" t="s">
        <v>2087</v>
      </c>
      <c r="AG24" s="9" t="s">
        <v>2090</v>
      </c>
      <c r="AH24" t="s">
        <v>2091</v>
      </c>
      <c r="AI24" s="160">
        <v>3.4350000000000001</v>
      </c>
      <c r="AJ24" s="9" t="s">
        <v>2092</v>
      </c>
      <c r="AK24" s="9" t="s">
        <v>141</v>
      </c>
      <c r="AL24" s="9" t="s">
        <v>2091</v>
      </c>
      <c r="AM24" s="9" t="s">
        <v>2093</v>
      </c>
      <c r="AN24" s="164">
        <v>1.042E-3</v>
      </c>
      <c r="AO24" s="164">
        <v>1.0000000000000001E-5</v>
      </c>
    </row>
    <row r="25" spans="1:41">
      <c r="A25" s="9" t="s">
        <v>2108</v>
      </c>
      <c r="B25" s="9" t="s">
        <v>2110</v>
      </c>
      <c r="C25" s="11" t="s">
        <v>2079</v>
      </c>
      <c r="D25" s="9" t="s">
        <v>2099</v>
      </c>
      <c r="E25" s="11" t="s">
        <v>664</v>
      </c>
      <c r="F25" s="190">
        <v>3.306</v>
      </c>
      <c r="G25" s="160">
        <v>200000</v>
      </c>
      <c r="H25" s="160">
        <v>658.322</v>
      </c>
      <c r="I25" s="191">
        <v>-5.1999999999999997E-5</v>
      </c>
      <c r="J25" s="191">
        <v>1.5999999999999999E-5</v>
      </c>
      <c r="K25" s="9" t="s">
        <v>2099</v>
      </c>
      <c r="L25" s="9" t="s">
        <v>34</v>
      </c>
      <c r="M25" s="190">
        <v>1</v>
      </c>
      <c r="N25" s="160">
        <v>-683000</v>
      </c>
      <c r="O25" s="160">
        <v>-680.13900000000001</v>
      </c>
      <c r="P25" s="191">
        <v>-1.0000000000000001E-5</v>
      </c>
      <c r="Q25" s="191">
        <v>-5.1E-5</v>
      </c>
      <c r="R25" s="160">
        <v>-21.817</v>
      </c>
      <c r="S25" s="9" t="s">
        <v>30</v>
      </c>
      <c r="T25" s="18" t="s">
        <v>30</v>
      </c>
      <c r="U25" s="9" t="s">
        <v>2081</v>
      </c>
      <c r="V25" s="9" t="s">
        <v>2082</v>
      </c>
      <c r="W25" s="9" t="s">
        <v>2083</v>
      </c>
      <c r="X25" s="9" t="s">
        <v>2084</v>
      </c>
      <c r="Y25" s="9" t="s">
        <v>141</v>
      </c>
      <c r="Z25" s="9" t="s">
        <v>2100</v>
      </c>
      <c r="AA25" s="9" t="s">
        <v>2086</v>
      </c>
      <c r="AB25" s="9" t="s">
        <v>2087</v>
      </c>
      <c r="AC25" s="9" t="s">
        <v>2088</v>
      </c>
      <c r="AD25" s="9" t="s">
        <v>141</v>
      </c>
      <c r="AE25" s="10" t="s">
        <v>2089</v>
      </c>
      <c r="AF25" s="10" t="s">
        <v>2087</v>
      </c>
      <c r="AG25" s="9" t="s">
        <v>2090</v>
      </c>
      <c r="AH25" t="s">
        <v>2091</v>
      </c>
      <c r="AI25" s="160">
        <v>3.4</v>
      </c>
      <c r="AJ25" s="9" t="s">
        <v>2092</v>
      </c>
      <c r="AK25" s="9" t="s">
        <v>141</v>
      </c>
      <c r="AL25" s="9" t="s">
        <v>2091</v>
      </c>
      <c r="AM25" s="9" t="s">
        <v>2093</v>
      </c>
      <c r="AN25" s="164">
        <v>-4.0000000000000003E-5</v>
      </c>
      <c r="AO25" s="164">
        <v>0</v>
      </c>
    </row>
    <row r="26" spans="1:41">
      <c r="A26" s="9" t="s">
        <v>2108</v>
      </c>
      <c r="B26" s="9" t="s">
        <v>2110</v>
      </c>
      <c r="C26" s="11" t="s">
        <v>2079</v>
      </c>
      <c r="D26" s="9" t="s">
        <v>2101</v>
      </c>
      <c r="E26" s="11" t="s">
        <v>664</v>
      </c>
      <c r="F26" s="190">
        <v>3.306</v>
      </c>
      <c r="G26" s="160">
        <v>-165000</v>
      </c>
      <c r="H26" s="160">
        <v>-543.11900000000003</v>
      </c>
      <c r="I26" s="191">
        <v>4.3000000000000002E-5</v>
      </c>
      <c r="J26" s="191">
        <v>-1.2999999999999999E-5</v>
      </c>
      <c r="K26" s="9" t="s">
        <v>2101</v>
      </c>
      <c r="L26" s="9" t="s">
        <v>34</v>
      </c>
      <c r="M26" s="190">
        <v>1</v>
      </c>
      <c r="N26" s="160">
        <v>544747.5</v>
      </c>
      <c r="O26" s="160">
        <v>542.46699999999998</v>
      </c>
      <c r="P26" s="191">
        <v>7.9999999999999996E-6</v>
      </c>
      <c r="Q26" s="191">
        <v>4.1E-5</v>
      </c>
      <c r="R26" s="160">
        <v>-0.65300000000000002</v>
      </c>
      <c r="S26" s="9" t="s">
        <v>30</v>
      </c>
      <c r="T26" s="18" t="s">
        <v>30</v>
      </c>
      <c r="U26" s="9" t="s">
        <v>2081</v>
      </c>
      <c r="V26" s="9" t="s">
        <v>2082</v>
      </c>
      <c r="W26" s="9" t="s">
        <v>2083</v>
      </c>
      <c r="X26" s="9" t="s">
        <v>2084</v>
      </c>
      <c r="Y26" s="9" t="s">
        <v>141</v>
      </c>
      <c r="Z26" s="9" t="s">
        <v>2102</v>
      </c>
      <c r="AA26" s="9" t="s">
        <v>2086</v>
      </c>
      <c r="AB26" s="9" t="s">
        <v>2087</v>
      </c>
      <c r="AC26" s="9" t="s">
        <v>2088</v>
      </c>
      <c r="AD26" s="9" t="s">
        <v>141</v>
      </c>
      <c r="AE26" s="10" t="s">
        <v>2089</v>
      </c>
      <c r="AF26" s="10" t="s">
        <v>2087</v>
      </c>
      <c r="AG26" s="9" t="s">
        <v>2090</v>
      </c>
      <c r="AH26" t="s">
        <v>2091</v>
      </c>
      <c r="AI26" s="160">
        <v>3.2869999999999999</v>
      </c>
      <c r="AJ26" s="9" t="s">
        <v>2092</v>
      </c>
      <c r="AK26" s="9" t="s">
        <v>141</v>
      </c>
      <c r="AL26" s="9" t="s">
        <v>2091</v>
      </c>
      <c r="AM26" s="9" t="s">
        <v>2093</v>
      </c>
      <c r="AN26" s="164">
        <v>-9.9999999999999995E-7</v>
      </c>
      <c r="AO26" s="164">
        <v>0</v>
      </c>
    </row>
    <row r="27" spans="1:41">
      <c r="A27" s="9" t="s">
        <v>2103</v>
      </c>
      <c r="B27" s="9" t="s">
        <v>2111</v>
      </c>
      <c r="C27" s="11" t="s">
        <v>2079</v>
      </c>
      <c r="D27" s="9" t="s">
        <v>2080</v>
      </c>
      <c r="E27" s="11" t="s">
        <v>664</v>
      </c>
      <c r="F27" s="190">
        <v>3.306</v>
      </c>
      <c r="G27" s="160">
        <v>-1741000</v>
      </c>
      <c r="H27" s="160">
        <v>-5730.6859999999997</v>
      </c>
      <c r="I27" s="191">
        <v>1.024E-3</v>
      </c>
      <c r="J27" s="191">
        <v>-2.4699999999999999E-4</v>
      </c>
      <c r="K27" s="9" t="s">
        <v>2080</v>
      </c>
      <c r="L27" s="9" t="s">
        <v>34</v>
      </c>
      <c r="M27" s="190">
        <v>1</v>
      </c>
      <c r="N27" s="160">
        <v>6006450</v>
      </c>
      <c r="O27" s="160">
        <v>5981.2920000000004</v>
      </c>
      <c r="P27" s="191">
        <v>1.73E-4</v>
      </c>
      <c r="Q27" s="191">
        <v>1.024E-3</v>
      </c>
      <c r="R27" s="160">
        <v>250.60599999999999</v>
      </c>
      <c r="S27" s="9" t="s">
        <v>30</v>
      </c>
      <c r="T27" s="18" t="s">
        <v>30</v>
      </c>
      <c r="U27" s="9" t="s">
        <v>2081</v>
      </c>
      <c r="V27" s="9" t="s">
        <v>2082</v>
      </c>
      <c r="W27" s="9" t="s">
        <v>2083</v>
      </c>
      <c r="X27" s="9" t="s">
        <v>2084</v>
      </c>
      <c r="Y27" s="9" t="s">
        <v>141</v>
      </c>
      <c r="Z27" s="9" t="s">
        <v>2085</v>
      </c>
      <c r="AA27" s="9" t="s">
        <v>2086</v>
      </c>
      <c r="AB27" s="9" t="s">
        <v>2087</v>
      </c>
      <c r="AC27" s="9" t="s">
        <v>2088</v>
      </c>
      <c r="AD27" s="9" t="s">
        <v>141</v>
      </c>
      <c r="AE27" s="9" t="s">
        <v>2089</v>
      </c>
      <c r="AF27" s="9" t="s">
        <v>2087</v>
      </c>
      <c r="AG27" s="9" t="s">
        <v>2090</v>
      </c>
      <c r="AH27" t="s">
        <v>2091</v>
      </c>
      <c r="AI27" s="160">
        <v>3.4350000000000001</v>
      </c>
      <c r="AJ27" s="9" t="s">
        <v>2092</v>
      </c>
      <c r="AK27" s="9" t="s">
        <v>141</v>
      </c>
      <c r="AL27" s="9" t="s">
        <v>2091</v>
      </c>
      <c r="AM27" s="9" t="s">
        <v>2093</v>
      </c>
      <c r="AN27" s="164">
        <v>1.023E-3</v>
      </c>
      <c r="AO27" s="164">
        <v>9.0000000000000002E-6</v>
      </c>
    </row>
    <row r="28" spans="1:41">
      <c r="A28" s="9" t="s">
        <v>2103</v>
      </c>
      <c r="B28" s="9" t="s">
        <v>2111</v>
      </c>
      <c r="C28" s="11" t="s">
        <v>2079</v>
      </c>
      <c r="D28" s="9" t="s">
        <v>2094</v>
      </c>
      <c r="E28" s="11" t="s">
        <v>576</v>
      </c>
      <c r="F28" s="190">
        <v>3.8807</v>
      </c>
      <c r="G28" s="160">
        <v>-11367.26</v>
      </c>
      <c r="H28" s="160">
        <v>-44.015999999999998</v>
      </c>
      <c r="I28" s="191">
        <v>7.9999999999999996E-6</v>
      </c>
      <c r="J28" s="191">
        <v>-1.9999999999999999E-6</v>
      </c>
      <c r="K28" s="9" t="s">
        <v>2094</v>
      </c>
      <c r="L28" s="9" t="s">
        <v>34</v>
      </c>
      <c r="M28" s="190">
        <v>1</v>
      </c>
      <c r="N28" s="160">
        <v>45436.074000000001</v>
      </c>
      <c r="O28" s="160">
        <v>45.244999999999997</v>
      </c>
      <c r="P28" s="191">
        <v>9.9999999999999995E-7</v>
      </c>
      <c r="Q28" s="191">
        <v>7.9999999999999996E-6</v>
      </c>
      <c r="R28" s="160">
        <v>1.2290000000000001</v>
      </c>
      <c r="S28" s="9" t="s">
        <v>30</v>
      </c>
      <c r="T28" s="18" t="s">
        <v>30</v>
      </c>
      <c r="U28" s="9" t="s">
        <v>2081</v>
      </c>
      <c r="V28" s="9" t="s">
        <v>2082</v>
      </c>
      <c r="W28" s="9" t="s">
        <v>2083</v>
      </c>
      <c r="X28" s="9" t="s">
        <v>2095</v>
      </c>
      <c r="Y28" s="9" t="s">
        <v>141</v>
      </c>
      <c r="Z28" s="9" t="s">
        <v>2085</v>
      </c>
      <c r="AA28" s="9" t="s">
        <v>2086</v>
      </c>
      <c r="AB28" s="9" t="s">
        <v>2087</v>
      </c>
      <c r="AC28" s="9" t="s">
        <v>2088</v>
      </c>
      <c r="AD28" s="9" t="s">
        <v>141</v>
      </c>
      <c r="AE28" s="9" t="s">
        <v>2089</v>
      </c>
      <c r="AF28" s="9" t="s">
        <v>2087</v>
      </c>
      <c r="AG28" s="9" t="s">
        <v>2090</v>
      </c>
      <c r="AH28" t="s">
        <v>2091</v>
      </c>
      <c r="AI28" s="160">
        <v>3.98</v>
      </c>
      <c r="AJ28" s="9" t="s">
        <v>2096</v>
      </c>
      <c r="AK28" s="9" t="s">
        <v>141</v>
      </c>
      <c r="AL28" s="9" t="s">
        <v>2091</v>
      </c>
      <c r="AM28" s="9" t="s">
        <v>2093</v>
      </c>
      <c r="AN28" s="164">
        <v>5.0000000000000004E-6</v>
      </c>
      <c r="AO28" s="164">
        <v>0</v>
      </c>
    </row>
    <row r="29" spans="1:41">
      <c r="A29" s="9" t="s">
        <v>2103</v>
      </c>
      <c r="B29" s="9" t="s">
        <v>2111</v>
      </c>
      <c r="C29" s="11" t="s">
        <v>2079</v>
      </c>
      <c r="D29" s="9" t="s">
        <v>2099</v>
      </c>
      <c r="E29" s="11" t="s">
        <v>664</v>
      </c>
      <c r="F29" s="190">
        <v>3.306</v>
      </c>
      <c r="G29" s="160">
        <v>63000</v>
      </c>
      <c r="H29" s="160">
        <v>207.37100000000001</v>
      </c>
      <c r="I29" s="191">
        <v>-3.6999999999999998E-5</v>
      </c>
      <c r="J29" s="191">
        <v>9.0000000000000002E-6</v>
      </c>
      <c r="K29" s="9" t="s">
        <v>2099</v>
      </c>
      <c r="L29" s="9" t="s">
        <v>34</v>
      </c>
      <c r="M29" s="190">
        <v>1</v>
      </c>
      <c r="N29" s="160">
        <v>-215145</v>
      </c>
      <c r="O29" s="160">
        <v>-214.24299999999999</v>
      </c>
      <c r="P29" s="191">
        <v>-6.0000000000000002E-6</v>
      </c>
      <c r="Q29" s="191">
        <v>-3.6999999999999998E-5</v>
      </c>
      <c r="R29" s="160">
        <v>-6.8719999999999999</v>
      </c>
      <c r="S29" s="9" t="s">
        <v>30</v>
      </c>
      <c r="T29" s="18" t="s">
        <v>30</v>
      </c>
      <c r="U29" s="9" t="s">
        <v>2081</v>
      </c>
      <c r="V29" s="9" t="s">
        <v>2082</v>
      </c>
      <c r="W29" s="9" t="s">
        <v>2083</v>
      </c>
      <c r="X29" s="9" t="s">
        <v>2084</v>
      </c>
      <c r="Y29" s="9" t="s">
        <v>141</v>
      </c>
      <c r="Z29" s="9" t="s">
        <v>2100</v>
      </c>
      <c r="AA29" s="9" t="s">
        <v>2086</v>
      </c>
      <c r="AB29" s="9" t="s">
        <v>2087</v>
      </c>
      <c r="AC29" s="9" t="s">
        <v>2088</v>
      </c>
      <c r="AD29" s="9" t="s">
        <v>141</v>
      </c>
      <c r="AE29" s="9" t="s">
        <v>2089</v>
      </c>
      <c r="AF29" s="9" t="s">
        <v>2087</v>
      </c>
      <c r="AG29" s="9" t="s">
        <v>2090</v>
      </c>
      <c r="AH29" t="s">
        <v>2091</v>
      </c>
      <c r="AI29" s="160">
        <v>3.4</v>
      </c>
      <c r="AJ29" s="9" t="s">
        <v>2092</v>
      </c>
      <c r="AK29" s="9" t="s">
        <v>141</v>
      </c>
      <c r="AL29" s="9" t="s">
        <v>2091</v>
      </c>
      <c r="AM29" s="9" t="s">
        <v>2093</v>
      </c>
      <c r="AN29" s="164">
        <v>-2.8E-5</v>
      </c>
      <c r="AO29" s="164">
        <v>0</v>
      </c>
    </row>
    <row r="30" spans="1:41">
      <c r="A30" s="9" t="s">
        <v>2103</v>
      </c>
      <c r="B30" s="9" t="s">
        <v>2111</v>
      </c>
      <c r="C30" s="11" t="s">
        <v>2079</v>
      </c>
      <c r="D30" s="9" t="s">
        <v>2101</v>
      </c>
      <c r="E30" s="11" t="s">
        <v>664</v>
      </c>
      <c r="F30" s="190">
        <v>3.306</v>
      </c>
      <c r="G30" s="160">
        <v>-8400</v>
      </c>
      <c r="H30" s="160">
        <v>-27.649000000000001</v>
      </c>
      <c r="I30" s="191">
        <v>5.0000000000000004E-6</v>
      </c>
      <c r="J30" s="191">
        <v>-9.9999999999999995E-7</v>
      </c>
      <c r="K30" s="9" t="s">
        <v>2101</v>
      </c>
      <c r="L30" s="9" t="s">
        <v>34</v>
      </c>
      <c r="M30" s="190">
        <v>1</v>
      </c>
      <c r="N30" s="160">
        <v>27732.6</v>
      </c>
      <c r="O30" s="160">
        <v>27.616</v>
      </c>
      <c r="P30" s="191">
        <v>9.9999999999999995E-7</v>
      </c>
      <c r="Q30" s="191">
        <v>5.0000000000000004E-6</v>
      </c>
      <c r="R30" s="160">
        <v>-3.3000000000000002E-2</v>
      </c>
      <c r="S30" s="9" t="s">
        <v>30</v>
      </c>
      <c r="T30" s="18" t="s">
        <v>30</v>
      </c>
      <c r="U30" s="9" t="s">
        <v>2081</v>
      </c>
      <c r="V30" s="9" t="s">
        <v>2082</v>
      </c>
      <c r="W30" s="9" t="s">
        <v>2083</v>
      </c>
      <c r="X30" s="9" t="s">
        <v>2084</v>
      </c>
      <c r="Y30" s="9" t="s">
        <v>141</v>
      </c>
      <c r="Z30" s="9" t="s">
        <v>2102</v>
      </c>
      <c r="AA30" s="9" t="s">
        <v>2086</v>
      </c>
      <c r="AB30" s="9" t="s">
        <v>2087</v>
      </c>
      <c r="AC30" s="9" t="s">
        <v>2088</v>
      </c>
      <c r="AD30" s="9" t="s">
        <v>141</v>
      </c>
      <c r="AE30" s="9" t="s">
        <v>2089</v>
      </c>
      <c r="AF30" s="9" t="s">
        <v>2087</v>
      </c>
      <c r="AG30" s="9" t="s">
        <v>2090</v>
      </c>
      <c r="AH30" t="s">
        <v>2091</v>
      </c>
      <c r="AI30" s="160">
        <v>3.2869999999999999</v>
      </c>
      <c r="AJ30" s="9" t="s">
        <v>2092</v>
      </c>
      <c r="AK30" s="9" t="s">
        <v>141</v>
      </c>
      <c r="AL30" s="9" t="s">
        <v>2091</v>
      </c>
      <c r="AM30" s="9" t="s">
        <v>2093</v>
      </c>
      <c r="AN30" s="164">
        <v>0</v>
      </c>
      <c r="AO30" s="164">
        <v>0</v>
      </c>
    </row>
    <row r="31" spans="1:41">
      <c r="C31" s="11"/>
      <c r="E31" s="11"/>
      <c r="T31" s="18"/>
    </row>
    <row r="32" spans="1:41">
      <c r="C32" s="11"/>
      <c r="E32" s="11"/>
      <c r="T32" s="18"/>
    </row>
    <row r="33" spans="3:20">
      <c r="C33" s="11"/>
      <c r="T33" s="18"/>
    </row>
    <row r="34" spans="3:20">
      <c r="C34" s="11"/>
      <c r="T34" s="18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99"/>
  <sheetViews>
    <sheetView rightToLeft="1" topLeftCell="G1" zoomScale="70" zoomScaleNormal="70" workbookViewId="0">
      <selection activeCell="W48" sqref="W48:W198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19" t="s">
        <v>0</v>
      </c>
      <c r="B1" s="19" t="s">
        <v>1</v>
      </c>
      <c r="C1" s="19" t="s">
        <v>2112</v>
      </c>
      <c r="D1" s="19" t="s">
        <v>2113</v>
      </c>
      <c r="E1" s="19" t="s">
        <v>2114</v>
      </c>
      <c r="F1" s="19" t="s">
        <v>2115</v>
      </c>
      <c r="G1" s="19" t="s">
        <v>5</v>
      </c>
      <c r="H1" s="19" t="s">
        <v>2116</v>
      </c>
      <c r="I1" s="19" t="s">
        <v>6</v>
      </c>
      <c r="J1" s="19" t="s">
        <v>7</v>
      </c>
      <c r="K1" s="19" t="s">
        <v>124</v>
      </c>
      <c r="L1" s="19" t="s">
        <v>125</v>
      </c>
      <c r="M1" s="19" t="s">
        <v>2117</v>
      </c>
      <c r="N1" s="19" t="s">
        <v>2118</v>
      </c>
      <c r="O1" s="176" t="s">
        <v>2119</v>
      </c>
      <c r="P1" s="19" t="s">
        <v>9</v>
      </c>
      <c r="Q1" s="19" t="s">
        <v>10</v>
      </c>
      <c r="R1" s="19" t="s">
        <v>2120</v>
      </c>
      <c r="S1" s="19" t="s">
        <v>11</v>
      </c>
      <c r="T1" s="19" t="s">
        <v>12</v>
      </c>
      <c r="U1" s="19" t="s">
        <v>2121</v>
      </c>
      <c r="V1" s="163" t="s">
        <v>14</v>
      </c>
      <c r="W1" s="19" t="s">
        <v>1344</v>
      </c>
      <c r="X1" s="19" t="s">
        <v>127</v>
      </c>
      <c r="Y1" s="183" t="s">
        <v>2122</v>
      </c>
      <c r="Z1" s="163" t="s">
        <v>15</v>
      </c>
      <c r="AA1" s="19" t="s">
        <v>13</v>
      </c>
      <c r="AB1" s="19" t="s">
        <v>128</v>
      </c>
      <c r="AC1" s="19" t="s">
        <v>2123</v>
      </c>
      <c r="AD1" s="186" t="s">
        <v>2124</v>
      </c>
      <c r="AE1" s="163" t="s">
        <v>2125</v>
      </c>
      <c r="AF1" s="176" t="s">
        <v>2126</v>
      </c>
      <c r="AG1" s="19" t="s">
        <v>2127</v>
      </c>
      <c r="AH1" s="19" t="s">
        <v>2128</v>
      </c>
      <c r="AI1" s="19" t="s">
        <v>2129</v>
      </c>
      <c r="AJ1" s="19" t="s">
        <v>2130</v>
      </c>
      <c r="AK1" s="19" t="s">
        <v>1349</v>
      </c>
      <c r="AL1" s="19" t="s">
        <v>1351</v>
      </c>
      <c r="AM1" s="19" t="s">
        <v>1350</v>
      </c>
      <c r="AN1" s="176" t="s">
        <v>1352</v>
      </c>
      <c r="AO1" s="176" t="s">
        <v>1353</v>
      </c>
      <c r="AP1" s="163" t="s">
        <v>2131</v>
      </c>
      <c r="AQ1" s="19" t="s">
        <v>2132</v>
      </c>
      <c r="AR1" s="167" t="s">
        <v>2133</v>
      </c>
      <c r="AS1" s="161" t="s">
        <v>18</v>
      </c>
      <c r="AT1" s="19" t="s">
        <v>20</v>
      </c>
      <c r="AU1" s="19" t="s">
        <v>2134</v>
      </c>
      <c r="AV1" s="19" t="s">
        <v>21</v>
      </c>
      <c r="AW1" s="19" t="s">
        <v>130</v>
      </c>
      <c r="AX1" s="19" t="s">
        <v>129</v>
      </c>
      <c r="AY1" s="19" t="s">
        <v>22</v>
      </c>
      <c r="AZ1" s="163" t="s">
        <v>24</v>
      </c>
      <c r="BA1" s="163" t="s">
        <v>25</v>
      </c>
    </row>
    <row r="2" spans="1:53">
      <c r="A2" s="3">
        <v>1182</v>
      </c>
      <c r="B2" s="3">
        <v>1182</v>
      </c>
      <c r="C2" s="21" t="s">
        <v>2135</v>
      </c>
      <c r="D2" s="21" t="s">
        <v>134</v>
      </c>
      <c r="E2" s="21" t="s">
        <v>2136</v>
      </c>
      <c r="F2" s="21" t="s">
        <v>2137</v>
      </c>
      <c r="G2" s="20" t="s">
        <v>2138</v>
      </c>
      <c r="H2" s="39"/>
      <c r="I2" s="18" t="s">
        <v>30</v>
      </c>
      <c r="J2" s="28" t="s">
        <v>30</v>
      </c>
      <c r="K2" s="20" t="s">
        <v>151</v>
      </c>
      <c r="L2" s="20" t="s">
        <v>141</v>
      </c>
      <c r="M2" s="21" t="s">
        <v>318</v>
      </c>
      <c r="N2" s="21" t="s">
        <v>2139</v>
      </c>
      <c r="O2" s="177" t="s">
        <v>2140</v>
      </c>
      <c r="P2" s="41" t="s">
        <v>163</v>
      </c>
      <c r="Q2" s="20" t="s">
        <v>164</v>
      </c>
      <c r="R2" s="20" t="s">
        <v>2141</v>
      </c>
      <c r="S2" s="18" t="s">
        <v>34</v>
      </c>
      <c r="T2" s="155">
        <v>4.2300000000000004</v>
      </c>
      <c r="U2" s="20" t="s">
        <v>2142</v>
      </c>
      <c r="V2" s="169">
        <v>4.4999999999999998E-2</v>
      </c>
      <c r="W2" s="21" t="s">
        <v>138</v>
      </c>
      <c r="X2" s="21" t="s">
        <v>2143</v>
      </c>
      <c r="Y2" s="184">
        <v>4.4999999999999998E-2</v>
      </c>
      <c r="Z2" s="169">
        <v>4.2000000000000003E-2</v>
      </c>
      <c r="AA2" s="20" t="s">
        <v>330</v>
      </c>
      <c r="AB2" s="18" t="s">
        <v>146</v>
      </c>
      <c r="AC2" s="21" t="s">
        <v>1565</v>
      </c>
      <c r="AD2" s="187">
        <v>51249.677223684201</v>
      </c>
      <c r="AE2" s="169">
        <v>0.76</v>
      </c>
      <c r="AF2" s="177" t="s">
        <v>1394</v>
      </c>
      <c r="AG2" s="21" t="s">
        <v>318</v>
      </c>
      <c r="AH2" s="21" t="s">
        <v>2144</v>
      </c>
      <c r="AI2" s="39" t="s">
        <v>2145</v>
      </c>
      <c r="AJ2" s="3" t="s">
        <v>318</v>
      </c>
      <c r="AK2" s="20" t="s">
        <v>1392</v>
      </c>
      <c r="AL2" s="21" t="s">
        <v>2146</v>
      </c>
      <c r="AM2" s="20" t="s">
        <v>1393</v>
      </c>
      <c r="AN2" s="178" t="s">
        <v>1394</v>
      </c>
      <c r="AO2" s="178" t="s">
        <v>1394</v>
      </c>
      <c r="AP2" s="164">
        <v>0</v>
      </c>
      <c r="AQ2" s="153">
        <v>304043.75</v>
      </c>
      <c r="AR2" s="171">
        <v>110.52</v>
      </c>
      <c r="AS2" s="170">
        <v>1</v>
      </c>
      <c r="AT2" s="155">
        <v>336.029</v>
      </c>
      <c r="AU2" s="157">
        <v>336.029</v>
      </c>
      <c r="AV2" s="27"/>
      <c r="AW2" s="37"/>
      <c r="AX2" s="28" t="s">
        <v>141</v>
      </c>
      <c r="AY2" s="20" t="s">
        <v>36</v>
      </c>
      <c r="AZ2" s="169">
        <v>3.3262773562243303E-2</v>
      </c>
      <c r="BA2" s="169">
        <v>7.2779134494165498E-4</v>
      </c>
    </row>
    <row r="3" spans="1:53">
      <c r="A3" s="41">
        <v>1182</v>
      </c>
      <c r="B3" s="41">
        <v>1182</v>
      </c>
      <c r="C3" s="21" t="s">
        <v>2147</v>
      </c>
      <c r="D3" s="21" t="s">
        <v>134</v>
      </c>
      <c r="E3" s="21" t="s">
        <v>2148</v>
      </c>
      <c r="F3" s="21" t="s">
        <v>2149</v>
      </c>
      <c r="G3" s="21" t="s">
        <v>2138</v>
      </c>
      <c r="H3" s="41"/>
      <c r="I3" s="28" t="s">
        <v>30</v>
      </c>
      <c r="J3" s="28" t="s">
        <v>30</v>
      </c>
      <c r="K3" s="21" t="s">
        <v>151</v>
      </c>
      <c r="L3" s="21" t="s">
        <v>141</v>
      </c>
      <c r="M3" s="21" t="s">
        <v>318</v>
      </c>
      <c r="N3" s="21" t="s">
        <v>2150</v>
      </c>
      <c r="O3" s="177" t="s">
        <v>2151</v>
      </c>
      <c r="P3" s="202" t="s">
        <v>142</v>
      </c>
      <c r="Q3" s="21" t="s">
        <v>164</v>
      </c>
      <c r="R3" s="21" t="s">
        <v>2141</v>
      </c>
      <c r="S3" s="28" t="s">
        <v>34</v>
      </c>
      <c r="T3" s="155">
        <v>2.81</v>
      </c>
      <c r="U3" s="21" t="s">
        <v>2152</v>
      </c>
      <c r="V3" s="169">
        <v>5.5452000000000001E-2</v>
      </c>
      <c r="W3" s="21" t="s">
        <v>138</v>
      </c>
      <c r="X3" s="21" t="s">
        <v>2087</v>
      </c>
      <c r="Y3" s="184">
        <v>0</v>
      </c>
      <c r="Z3" s="169">
        <v>3.0599999999999999E-2</v>
      </c>
      <c r="AA3" s="21" t="s">
        <v>2153</v>
      </c>
      <c r="AB3" s="28" t="s">
        <v>146</v>
      </c>
      <c r="AC3" s="21" t="s">
        <v>1565</v>
      </c>
      <c r="AD3" s="187">
        <v>482000</v>
      </c>
      <c r="AE3" s="169">
        <v>0.73</v>
      </c>
      <c r="AF3" s="177" t="s">
        <v>1394</v>
      </c>
      <c r="AG3" s="21" t="s">
        <v>141</v>
      </c>
      <c r="AH3" s="21" t="s">
        <v>2144</v>
      </c>
      <c r="AI3" s="41" t="s">
        <v>2154</v>
      </c>
      <c r="AJ3" s="41" t="s">
        <v>318</v>
      </c>
      <c r="AK3" s="21" t="s">
        <v>1392</v>
      </c>
      <c r="AL3" s="21" t="s">
        <v>2146</v>
      </c>
      <c r="AM3" s="21" t="s">
        <v>1393</v>
      </c>
      <c r="AN3" s="178" t="s">
        <v>1394</v>
      </c>
      <c r="AO3" s="178" t="s">
        <v>1394</v>
      </c>
      <c r="AP3" s="164">
        <v>0</v>
      </c>
      <c r="AQ3" s="153">
        <v>5361.21</v>
      </c>
      <c r="AR3" s="171">
        <v>127.7</v>
      </c>
      <c r="AS3" s="170">
        <v>1</v>
      </c>
      <c r="AT3" s="155">
        <v>6.8460000000000001</v>
      </c>
      <c r="AU3" s="155">
        <v>6.8460000000000001</v>
      </c>
      <c r="AV3" s="21"/>
      <c r="AW3" s="21"/>
      <c r="AX3" s="28" t="s">
        <v>141</v>
      </c>
      <c r="AY3" s="21" t="s">
        <v>36</v>
      </c>
      <c r="AZ3" s="169">
        <v>6.7769646294835498E-4</v>
      </c>
      <c r="BA3" s="169">
        <v>1.48280364927609E-5</v>
      </c>
    </row>
    <row r="4" spans="1:53">
      <c r="A4" s="41">
        <v>1182</v>
      </c>
      <c r="B4" s="41">
        <v>1182</v>
      </c>
      <c r="C4" s="21" t="s">
        <v>2147</v>
      </c>
      <c r="D4" s="21" t="s">
        <v>134</v>
      </c>
      <c r="E4" s="21" t="s">
        <v>2155</v>
      </c>
      <c r="F4" s="21" t="s">
        <v>2156</v>
      </c>
      <c r="G4" s="21" t="s">
        <v>2138</v>
      </c>
      <c r="H4" s="41"/>
      <c r="I4" s="28" t="s">
        <v>30</v>
      </c>
      <c r="J4" s="28" t="s">
        <v>30</v>
      </c>
      <c r="K4" s="21" t="s">
        <v>151</v>
      </c>
      <c r="L4" s="21" t="s">
        <v>141</v>
      </c>
      <c r="M4" s="21" t="s">
        <v>318</v>
      </c>
      <c r="N4" s="21" t="s">
        <v>2157</v>
      </c>
      <c r="O4" s="177" t="s">
        <v>2151</v>
      </c>
      <c r="P4" s="202" t="s">
        <v>142</v>
      </c>
      <c r="Q4" s="21" t="s">
        <v>164</v>
      </c>
      <c r="R4" s="21" t="s">
        <v>2141</v>
      </c>
      <c r="S4" s="28" t="s">
        <v>34</v>
      </c>
      <c r="T4" s="155">
        <v>2.82</v>
      </c>
      <c r="U4" s="21" t="s">
        <v>2142</v>
      </c>
      <c r="V4" s="169">
        <v>5.5452000000000001E-2</v>
      </c>
      <c r="W4" s="21" t="s">
        <v>138</v>
      </c>
      <c r="X4" s="21" t="s">
        <v>2087</v>
      </c>
      <c r="Y4" s="184">
        <v>0</v>
      </c>
      <c r="Z4" s="169">
        <v>2.9100000000000001E-2</v>
      </c>
      <c r="AA4" s="21" t="s">
        <v>2153</v>
      </c>
      <c r="AB4" s="28" t="s">
        <v>146</v>
      </c>
      <c r="AC4" s="21" t="s">
        <v>1565</v>
      </c>
      <c r="AD4" s="187">
        <v>482000</v>
      </c>
      <c r="AE4" s="169">
        <v>0.73</v>
      </c>
      <c r="AF4" s="177" t="s">
        <v>1394</v>
      </c>
      <c r="AG4" s="21" t="s">
        <v>141</v>
      </c>
      <c r="AH4" s="21" t="s">
        <v>2144</v>
      </c>
      <c r="AI4" s="41" t="s">
        <v>2154</v>
      </c>
      <c r="AJ4" s="41" t="s">
        <v>318</v>
      </c>
      <c r="AK4" s="21" t="s">
        <v>1392</v>
      </c>
      <c r="AL4" s="21" t="s">
        <v>2146</v>
      </c>
      <c r="AM4" s="21" t="s">
        <v>1393</v>
      </c>
      <c r="AN4" s="178" t="s">
        <v>1394</v>
      </c>
      <c r="AO4" s="178" t="s">
        <v>1394</v>
      </c>
      <c r="AP4" s="164">
        <v>0</v>
      </c>
      <c r="AQ4" s="153">
        <v>7722.89</v>
      </c>
      <c r="AR4" s="171">
        <v>130.78</v>
      </c>
      <c r="AS4" s="170">
        <v>1</v>
      </c>
      <c r="AT4" s="155">
        <v>10.1</v>
      </c>
      <c r="AU4" s="157">
        <v>10.1</v>
      </c>
      <c r="AV4" s="37"/>
      <c r="AW4" s="37"/>
      <c r="AX4" s="28" t="s">
        <v>141</v>
      </c>
      <c r="AY4" s="21" t="s">
        <v>36</v>
      </c>
      <c r="AZ4" s="169">
        <v>9.9977594858592905E-4</v>
      </c>
      <c r="BA4" s="169">
        <v>2.18751536428581E-5</v>
      </c>
    </row>
    <row r="5" spans="1:53">
      <c r="A5" s="41">
        <v>1182</v>
      </c>
      <c r="B5" s="41">
        <v>1182</v>
      </c>
      <c r="C5" s="21" t="s">
        <v>2147</v>
      </c>
      <c r="D5" s="21" t="s">
        <v>134</v>
      </c>
      <c r="E5" s="21" t="s">
        <v>2158</v>
      </c>
      <c r="F5" s="21" t="s">
        <v>2159</v>
      </c>
      <c r="G5" s="21" t="s">
        <v>2138</v>
      </c>
      <c r="H5" s="41"/>
      <c r="I5" s="28" t="s">
        <v>30</v>
      </c>
      <c r="J5" s="28" t="s">
        <v>30</v>
      </c>
      <c r="K5" s="21" t="s">
        <v>151</v>
      </c>
      <c r="L5" s="21" t="s">
        <v>141</v>
      </c>
      <c r="M5" s="21" t="s">
        <v>318</v>
      </c>
      <c r="N5" s="21" t="s">
        <v>2157</v>
      </c>
      <c r="O5" s="177" t="s">
        <v>2151</v>
      </c>
      <c r="P5" s="202" t="s">
        <v>142</v>
      </c>
      <c r="Q5" s="21" t="s">
        <v>164</v>
      </c>
      <c r="R5" s="21" t="s">
        <v>2141</v>
      </c>
      <c r="S5" s="28" t="s">
        <v>34</v>
      </c>
      <c r="T5" s="155">
        <v>2.82</v>
      </c>
      <c r="U5" s="21" t="s">
        <v>2142</v>
      </c>
      <c r="V5" s="169">
        <v>5.5452000000000001E-2</v>
      </c>
      <c r="W5" s="21" t="s">
        <v>138</v>
      </c>
      <c r="X5" s="21" t="s">
        <v>2087</v>
      </c>
      <c r="Y5" s="184">
        <v>0</v>
      </c>
      <c r="Z5" s="169">
        <v>2.9100000000000001E-2</v>
      </c>
      <c r="AA5" s="21" t="s">
        <v>2153</v>
      </c>
      <c r="AB5" s="28" t="s">
        <v>146</v>
      </c>
      <c r="AC5" s="21" t="s">
        <v>1565</v>
      </c>
      <c r="AD5" s="187">
        <v>482000</v>
      </c>
      <c r="AE5" s="169">
        <v>0.73</v>
      </c>
      <c r="AF5" s="177" t="s">
        <v>1394</v>
      </c>
      <c r="AG5" s="21" t="s">
        <v>141</v>
      </c>
      <c r="AH5" s="21" t="s">
        <v>2144</v>
      </c>
      <c r="AI5" s="41" t="s">
        <v>2154</v>
      </c>
      <c r="AJ5" s="41" t="s">
        <v>318</v>
      </c>
      <c r="AK5" s="21" t="s">
        <v>1392</v>
      </c>
      <c r="AL5" s="21" t="s">
        <v>2146</v>
      </c>
      <c r="AM5" s="21" t="s">
        <v>1393</v>
      </c>
      <c r="AN5" s="178" t="s">
        <v>1394</v>
      </c>
      <c r="AO5" s="178" t="s">
        <v>1394</v>
      </c>
      <c r="AP5" s="164">
        <v>0</v>
      </c>
      <c r="AQ5" s="153">
        <v>850.9</v>
      </c>
      <c r="AR5" s="171">
        <v>130.78</v>
      </c>
      <c r="AS5" s="170">
        <v>1</v>
      </c>
      <c r="AT5" s="155">
        <v>1.113</v>
      </c>
      <c r="AU5" s="157">
        <v>1.113</v>
      </c>
      <c r="AV5" s="37"/>
      <c r="AW5" s="37"/>
      <c r="AX5" s="28" t="s">
        <v>141</v>
      </c>
      <c r="AY5" s="21" t="s">
        <v>36</v>
      </c>
      <c r="AZ5" s="169">
        <v>1.10154275750628E-4</v>
      </c>
      <c r="BA5" s="169">
        <v>2.4101817110832799E-6</v>
      </c>
    </row>
    <row r="6" spans="1:53">
      <c r="A6" s="41">
        <v>1182</v>
      </c>
      <c r="B6" s="41">
        <v>1182</v>
      </c>
      <c r="C6" s="21" t="s">
        <v>2147</v>
      </c>
      <c r="D6" s="21" t="s">
        <v>134</v>
      </c>
      <c r="E6" s="21" t="s">
        <v>2160</v>
      </c>
      <c r="F6" s="21" t="s">
        <v>2161</v>
      </c>
      <c r="G6" s="21" t="s">
        <v>2138</v>
      </c>
      <c r="H6" s="41"/>
      <c r="I6" s="28" t="s">
        <v>30</v>
      </c>
      <c r="J6" s="28" t="s">
        <v>30</v>
      </c>
      <c r="K6" s="21" t="s">
        <v>151</v>
      </c>
      <c r="L6" s="21" t="s">
        <v>141</v>
      </c>
      <c r="M6" s="21" t="s">
        <v>318</v>
      </c>
      <c r="N6" s="21" t="s">
        <v>2162</v>
      </c>
      <c r="O6" s="177" t="s">
        <v>2163</v>
      </c>
      <c r="P6" s="202" t="s">
        <v>142</v>
      </c>
      <c r="Q6" s="21" t="s">
        <v>164</v>
      </c>
      <c r="R6" s="21" t="s">
        <v>2141</v>
      </c>
      <c r="S6" s="28" t="s">
        <v>34</v>
      </c>
      <c r="T6" s="155">
        <v>2.82</v>
      </c>
      <c r="U6" s="21" t="s">
        <v>2152</v>
      </c>
      <c r="V6" s="169">
        <v>5.5452000000000001E-2</v>
      </c>
      <c r="W6" s="21" t="s">
        <v>138</v>
      </c>
      <c r="X6" s="21" t="s">
        <v>2087</v>
      </c>
      <c r="Y6" s="184">
        <v>0</v>
      </c>
      <c r="Z6" s="169">
        <v>2.9100000000000001E-2</v>
      </c>
      <c r="AA6" s="21" t="s">
        <v>2153</v>
      </c>
      <c r="AB6" s="28" t="s">
        <v>146</v>
      </c>
      <c r="AC6" s="21" t="s">
        <v>1565</v>
      </c>
      <c r="AD6" s="187">
        <v>482000</v>
      </c>
      <c r="AE6" s="169">
        <v>0.73</v>
      </c>
      <c r="AF6" s="177" t="s">
        <v>1394</v>
      </c>
      <c r="AG6" s="21" t="s">
        <v>141</v>
      </c>
      <c r="AH6" s="21" t="s">
        <v>2144</v>
      </c>
      <c r="AI6" s="41" t="s">
        <v>2154</v>
      </c>
      <c r="AJ6" s="41" t="s">
        <v>318</v>
      </c>
      <c r="AK6" s="21" t="s">
        <v>1392</v>
      </c>
      <c r="AL6" s="21" t="s">
        <v>2146</v>
      </c>
      <c r="AM6" s="21" t="s">
        <v>1393</v>
      </c>
      <c r="AN6" s="178" t="s">
        <v>1394</v>
      </c>
      <c r="AO6" s="178" t="s">
        <v>1394</v>
      </c>
      <c r="AP6" s="164">
        <v>0</v>
      </c>
      <c r="AQ6" s="153">
        <v>10634.2</v>
      </c>
      <c r="AR6" s="171">
        <v>132.41999999999999</v>
      </c>
      <c r="AS6" s="170">
        <v>1</v>
      </c>
      <c r="AT6" s="155">
        <v>14.082000000000001</v>
      </c>
      <c r="AU6" s="157">
        <v>14.082000000000001</v>
      </c>
      <c r="AV6" s="37"/>
      <c r="AW6" s="37"/>
      <c r="AX6" s="28" t="s">
        <v>141</v>
      </c>
      <c r="AY6" s="21" t="s">
        <v>36</v>
      </c>
      <c r="AZ6" s="169">
        <v>1.39392661437727E-3</v>
      </c>
      <c r="BA6" s="169">
        <v>3.0499192243521999E-5</v>
      </c>
    </row>
    <row r="7" spans="1:53">
      <c r="A7" s="41">
        <v>1182</v>
      </c>
      <c r="B7" s="41">
        <v>1182</v>
      </c>
      <c r="C7" s="21" t="s">
        <v>2147</v>
      </c>
      <c r="D7" s="21" t="s">
        <v>134</v>
      </c>
      <c r="E7" s="21" t="s">
        <v>2164</v>
      </c>
      <c r="F7" s="21" t="s">
        <v>2165</v>
      </c>
      <c r="G7" s="21" t="s">
        <v>2138</v>
      </c>
      <c r="H7" s="41"/>
      <c r="I7" s="28" t="s">
        <v>30</v>
      </c>
      <c r="J7" s="28" t="s">
        <v>30</v>
      </c>
      <c r="K7" s="21" t="s">
        <v>151</v>
      </c>
      <c r="L7" s="21" t="s">
        <v>141</v>
      </c>
      <c r="M7" s="21" t="s">
        <v>318</v>
      </c>
      <c r="N7" s="21" t="s">
        <v>2166</v>
      </c>
      <c r="O7" s="177" t="s">
        <v>2167</v>
      </c>
      <c r="P7" s="202" t="s">
        <v>142</v>
      </c>
      <c r="Q7" s="21" t="s">
        <v>164</v>
      </c>
      <c r="R7" s="21" t="s">
        <v>2141</v>
      </c>
      <c r="S7" s="28" t="s">
        <v>34</v>
      </c>
      <c r="T7" s="155">
        <v>2.82</v>
      </c>
      <c r="U7" s="21" t="s">
        <v>2152</v>
      </c>
      <c r="V7" s="169">
        <v>5.5452000000000001E-2</v>
      </c>
      <c r="W7" s="21" t="s">
        <v>138</v>
      </c>
      <c r="X7" s="21" t="s">
        <v>2087</v>
      </c>
      <c r="Y7" s="184">
        <v>0</v>
      </c>
      <c r="Z7" s="169">
        <v>2.9100000000000001E-2</v>
      </c>
      <c r="AA7" s="21" t="s">
        <v>2153</v>
      </c>
      <c r="AB7" s="28" t="s">
        <v>146</v>
      </c>
      <c r="AC7" s="21" t="s">
        <v>1565</v>
      </c>
      <c r="AD7" s="187">
        <v>482000</v>
      </c>
      <c r="AE7" s="169">
        <v>0.73</v>
      </c>
      <c r="AF7" s="177" t="s">
        <v>1394</v>
      </c>
      <c r="AG7" s="21" t="s">
        <v>141</v>
      </c>
      <c r="AH7" s="21" t="s">
        <v>2144</v>
      </c>
      <c r="AI7" s="41" t="s">
        <v>2154</v>
      </c>
      <c r="AJ7" s="41" t="s">
        <v>318</v>
      </c>
      <c r="AK7" s="21" t="s">
        <v>1392</v>
      </c>
      <c r="AL7" s="21" t="s">
        <v>2146</v>
      </c>
      <c r="AM7" s="21" t="s">
        <v>1393</v>
      </c>
      <c r="AN7" s="178" t="s">
        <v>1394</v>
      </c>
      <c r="AO7" s="178" t="s">
        <v>1394</v>
      </c>
      <c r="AP7" s="164">
        <v>0</v>
      </c>
      <c r="AQ7" s="153">
        <v>10202.56</v>
      </c>
      <c r="AR7" s="171">
        <v>132.41</v>
      </c>
      <c r="AS7" s="170">
        <v>1</v>
      </c>
      <c r="AT7" s="155">
        <v>13.509</v>
      </c>
      <c r="AU7" s="157">
        <v>13.509</v>
      </c>
      <c r="AV7" s="37"/>
      <c r="AW7" s="37"/>
      <c r="AX7" s="28" t="s">
        <v>141</v>
      </c>
      <c r="AY7" s="21" t="s">
        <v>36</v>
      </c>
      <c r="AZ7" s="169">
        <v>1.33724642573358E-3</v>
      </c>
      <c r="BA7" s="169">
        <v>2.92590265475573E-5</v>
      </c>
    </row>
    <row r="8" spans="1:53">
      <c r="A8" s="41">
        <v>1182</v>
      </c>
      <c r="B8" s="41">
        <v>1182</v>
      </c>
      <c r="C8" s="21" t="s">
        <v>2147</v>
      </c>
      <c r="D8" s="21" t="s">
        <v>134</v>
      </c>
      <c r="E8" s="21" t="s">
        <v>2168</v>
      </c>
      <c r="F8" s="21" t="s">
        <v>2169</v>
      </c>
      <c r="G8" s="21" t="s">
        <v>2138</v>
      </c>
      <c r="H8" s="41"/>
      <c r="I8" s="28" t="s">
        <v>30</v>
      </c>
      <c r="J8" s="28" t="s">
        <v>30</v>
      </c>
      <c r="K8" s="21" t="s">
        <v>151</v>
      </c>
      <c r="L8" s="21" t="s">
        <v>141</v>
      </c>
      <c r="M8" s="21" t="s">
        <v>318</v>
      </c>
      <c r="N8" s="21" t="s">
        <v>2170</v>
      </c>
      <c r="O8" s="177" t="s">
        <v>2171</v>
      </c>
      <c r="P8" s="202" t="s">
        <v>142</v>
      </c>
      <c r="Q8" s="21" t="s">
        <v>164</v>
      </c>
      <c r="R8" s="21" t="s">
        <v>2141</v>
      </c>
      <c r="S8" s="28" t="s">
        <v>34</v>
      </c>
      <c r="T8" s="155">
        <v>2.82</v>
      </c>
      <c r="U8" s="21" t="s">
        <v>2152</v>
      </c>
      <c r="V8" s="169">
        <v>5.5453000000000002E-2</v>
      </c>
      <c r="W8" s="21" t="s">
        <v>138</v>
      </c>
      <c r="X8" s="21" t="s">
        <v>2087</v>
      </c>
      <c r="Y8" s="184">
        <v>0</v>
      </c>
      <c r="Z8" s="169">
        <v>2.9100000000000001E-2</v>
      </c>
      <c r="AA8" s="21" t="s">
        <v>2153</v>
      </c>
      <c r="AB8" s="28" t="s">
        <v>146</v>
      </c>
      <c r="AC8" s="21" t="s">
        <v>1565</v>
      </c>
      <c r="AD8" s="187">
        <v>482000</v>
      </c>
      <c r="AE8" s="169">
        <v>0.73</v>
      </c>
      <c r="AF8" s="177" t="s">
        <v>1394</v>
      </c>
      <c r="AG8" s="21" t="s">
        <v>141</v>
      </c>
      <c r="AH8" s="21" t="s">
        <v>2144</v>
      </c>
      <c r="AI8" s="41" t="s">
        <v>2154</v>
      </c>
      <c r="AJ8" s="41" t="s">
        <v>318</v>
      </c>
      <c r="AK8" s="21" t="s">
        <v>1392</v>
      </c>
      <c r="AL8" s="21" t="s">
        <v>2146</v>
      </c>
      <c r="AM8" s="21" t="s">
        <v>1393</v>
      </c>
      <c r="AN8" s="178" t="s">
        <v>1394</v>
      </c>
      <c r="AO8" s="178" t="s">
        <v>1394</v>
      </c>
      <c r="AP8" s="164">
        <v>0</v>
      </c>
      <c r="AQ8" s="153">
        <v>10260.81</v>
      </c>
      <c r="AR8" s="171">
        <v>130.78</v>
      </c>
      <c r="AS8" s="170">
        <v>1</v>
      </c>
      <c r="AT8" s="155">
        <v>13.419</v>
      </c>
      <c r="AU8" s="155">
        <v>13.419</v>
      </c>
      <c r="AV8" s="21"/>
      <c r="AW8" s="21"/>
      <c r="AX8" s="28" t="s">
        <v>141</v>
      </c>
      <c r="AY8" s="21" t="s">
        <v>36</v>
      </c>
      <c r="AZ8" s="169">
        <v>1.3283254132856999E-3</v>
      </c>
      <c r="BA8" s="169">
        <v>2.9063834296510101E-5</v>
      </c>
    </row>
    <row r="9" spans="1:53">
      <c r="A9" s="41">
        <v>1182</v>
      </c>
      <c r="B9" s="41">
        <v>1182</v>
      </c>
      <c r="C9" s="21" t="s">
        <v>2147</v>
      </c>
      <c r="D9" s="21" t="s">
        <v>134</v>
      </c>
      <c r="E9" s="21" t="s">
        <v>2172</v>
      </c>
      <c r="F9" s="21" t="s">
        <v>2173</v>
      </c>
      <c r="G9" s="21" t="s">
        <v>2138</v>
      </c>
      <c r="H9" s="41"/>
      <c r="I9" s="28" t="s">
        <v>30</v>
      </c>
      <c r="J9" s="28" t="s">
        <v>30</v>
      </c>
      <c r="K9" s="21" t="s">
        <v>151</v>
      </c>
      <c r="L9" s="21" t="s">
        <v>141</v>
      </c>
      <c r="M9" s="21" t="s">
        <v>318</v>
      </c>
      <c r="N9" s="21" t="s">
        <v>2174</v>
      </c>
      <c r="O9" s="177" t="s">
        <v>2175</v>
      </c>
      <c r="P9" s="202" t="s">
        <v>142</v>
      </c>
      <c r="Q9" s="21" t="s">
        <v>164</v>
      </c>
      <c r="R9" s="21" t="s">
        <v>2141</v>
      </c>
      <c r="S9" s="28" t="s">
        <v>34</v>
      </c>
      <c r="T9" s="155">
        <v>2.82</v>
      </c>
      <c r="U9" s="21" t="s">
        <v>2152</v>
      </c>
      <c r="V9" s="169">
        <v>5.5452000000000001E-2</v>
      </c>
      <c r="W9" s="21" t="s">
        <v>138</v>
      </c>
      <c r="X9" s="21" t="s">
        <v>2087</v>
      </c>
      <c r="Y9" s="184">
        <v>0</v>
      </c>
      <c r="Z9" s="169">
        <v>2.9100000000000001E-2</v>
      </c>
      <c r="AA9" s="21" t="s">
        <v>2153</v>
      </c>
      <c r="AB9" s="28" t="s">
        <v>146</v>
      </c>
      <c r="AC9" s="21" t="s">
        <v>1565</v>
      </c>
      <c r="AD9" s="187">
        <v>482000</v>
      </c>
      <c r="AE9" s="169">
        <v>0.73</v>
      </c>
      <c r="AF9" s="177" t="s">
        <v>1394</v>
      </c>
      <c r="AG9" s="21" t="s">
        <v>141</v>
      </c>
      <c r="AH9" s="21" t="s">
        <v>2144</v>
      </c>
      <c r="AI9" s="41" t="s">
        <v>2154</v>
      </c>
      <c r="AJ9" s="41" t="s">
        <v>318</v>
      </c>
      <c r="AK9" s="21" t="s">
        <v>1392</v>
      </c>
      <c r="AL9" s="21" t="s">
        <v>2146</v>
      </c>
      <c r="AM9" s="21" t="s">
        <v>1393</v>
      </c>
      <c r="AN9" s="178" t="s">
        <v>1394</v>
      </c>
      <c r="AO9" s="178" t="s">
        <v>1394</v>
      </c>
      <c r="AP9" s="164">
        <v>0</v>
      </c>
      <c r="AQ9" s="153">
        <v>3240.24</v>
      </c>
      <c r="AR9" s="171">
        <v>130.25</v>
      </c>
      <c r="AS9" s="170">
        <v>1</v>
      </c>
      <c r="AT9" s="155">
        <v>4.22</v>
      </c>
      <c r="AU9" s="157">
        <v>4.22</v>
      </c>
      <c r="AV9" s="37"/>
      <c r="AW9" s="37"/>
      <c r="AX9" s="28" t="s">
        <v>141</v>
      </c>
      <c r="AY9" s="21" t="s">
        <v>36</v>
      </c>
      <c r="AZ9" s="169">
        <v>4.17769195346939E-4</v>
      </c>
      <c r="BA9" s="169">
        <v>9.1408133476237797E-6</v>
      </c>
    </row>
    <row r="10" spans="1:53">
      <c r="A10" s="41">
        <v>1182</v>
      </c>
      <c r="B10" s="41">
        <v>1182</v>
      </c>
      <c r="C10" s="21" t="s">
        <v>2147</v>
      </c>
      <c r="D10" s="21" t="s">
        <v>134</v>
      </c>
      <c r="E10" s="21" t="s">
        <v>2176</v>
      </c>
      <c r="F10" s="21" t="s">
        <v>2177</v>
      </c>
      <c r="G10" s="21" t="s">
        <v>2138</v>
      </c>
      <c r="H10" s="41"/>
      <c r="I10" s="28" t="s">
        <v>30</v>
      </c>
      <c r="J10" s="28" t="s">
        <v>30</v>
      </c>
      <c r="K10" s="21" t="s">
        <v>151</v>
      </c>
      <c r="L10" s="21" t="s">
        <v>141</v>
      </c>
      <c r="M10" s="21" t="s">
        <v>318</v>
      </c>
      <c r="N10" s="21" t="s">
        <v>2178</v>
      </c>
      <c r="O10" s="177" t="s">
        <v>2179</v>
      </c>
      <c r="P10" s="202" t="s">
        <v>142</v>
      </c>
      <c r="Q10" s="21" t="s">
        <v>164</v>
      </c>
      <c r="R10" s="21" t="s">
        <v>2141</v>
      </c>
      <c r="S10" s="28" t="s">
        <v>34</v>
      </c>
      <c r="T10" s="155">
        <v>2.81</v>
      </c>
      <c r="U10" s="21" t="s">
        <v>2142</v>
      </c>
      <c r="V10" s="169">
        <v>5.6285000000000002E-2</v>
      </c>
      <c r="W10" s="21" t="s">
        <v>138</v>
      </c>
      <c r="X10" s="21" t="s">
        <v>2087</v>
      </c>
      <c r="Y10" s="184">
        <v>0</v>
      </c>
      <c r="Z10" s="169">
        <v>2.9000000000000001E-2</v>
      </c>
      <c r="AA10" s="21" t="s">
        <v>2153</v>
      </c>
      <c r="AB10" s="28" t="s">
        <v>146</v>
      </c>
      <c r="AC10" s="21" t="s">
        <v>1565</v>
      </c>
      <c r="AD10" s="187">
        <v>482000</v>
      </c>
      <c r="AE10" s="169">
        <v>0.73</v>
      </c>
      <c r="AF10" s="177" t="s">
        <v>1394</v>
      </c>
      <c r="AG10" s="21" t="s">
        <v>141</v>
      </c>
      <c r="AH10" s="21" t="s">
        <v>2144</v>
      </c>
      <c r="AI10" s="41" t="s">
        <v>2154</v>
      </c>
      <c r="AJ10" s="41" t="s">
        <v>318</v>
      </c>
      <c r="AK10" s="21" t="s">
        <v>1392</v>
      </c>
      <c r="AL10" s="21" t="s">
        <v>2146</v>
      </c>
      <c r="AM10" s="21" t="s">
        <v>1393</v>
      </c>
      <c r="AN10" s="178" t="s">
        <v>1394</v>
      </c>
      <c r="AO10" s="178" t="s">
        <v>1394</v>
      </c>
      <c r="AP10" s="164">
        <v>0</v>
      </c>
      <c r="AQ10" s="153">
        <v>475.89</v>
      </c>
      <c r="AR10" s="171">
        <v>132.63999999999999</v>
      </c>
      <c r="AS10" s="170">
        <v>1</v>
      </c>
      <c r="AT10" s="155">
        <v>0.63100000000000001</v>
      </c>
      <c r="AU10" s="155">
        <v>0.63100000000000001</v>
      </c>
      <c r="AV10" s="21"/>
      <c r="AW10" s="21"/>
      <c r="AX10" s="28" t="s">
        <v>141</v>
      </c>
      <c r="AY10" s="21" t="s">
        <v>36</v>
      </c>
      <c r="AZ10" s="169">
        <v>6.2483103832173997E-5</v>
      </c>
      <c r="BA10" s="169">
        <v>1.3671338046736199E-6</v>
      </c>
    </row>
    <row r="11" spans="1:53">
      <c r="A11" s="41">
        <v>1182</v>
      </c>
      <c r="B11" s="41">
        <v>1182</v>
      </c>
      <c r="C11" s="21" t="s">
        <v>2147</v>
      </c>
      <c r="D11" s="21" t="s">
        <v>134</v>
      </c>
      <c r="E11" s="21" t="s">
        <v>2180</v>
      </c>
      <c r="F11" s="21" t="s">
        <v>2181</v>
      </c>
      <c r="G11" s="21" t="s">
        <v>2138</v>
      </c>
      <c r="H11" s="41"/>
      <c r="I11" s="28" t="s">
        <v>30</v>
      </c>
      <c r="J11" s="28" t="s">
        <v>30</v>
      </c>
      <c r="K11" s="21" t="s">
        <v>151</v>
      </c>
      <c r="L11" s="21" t="s">
        <v>141</v>
      </c>
      <c r="M11" s="21" t="s">
        <v>318</v>
      </c>
      <c r="N11" s="21" t="s">
        <v>2182</v>
      </c>
      <c r="O11" s="177" t="s">
        <v>2151</v>
      </c>
      <c r="P11" s="202" t="s">
        <v>142</v>
      </c>
      <c r="Q11" s="21" t="s">
        <v>164</v>
      </c>
      <c r="R11" s="21" t="s">
        <v>2141</v>
      </c>
      <c r="S11" s="28" t="s">
        <v>34</v>
      </c>
      <c r="T11" s="155">
        <v>2.81</v>
      </c>
      <c r="U11" s="21" t="s">
        <v>2142</v>
      </c>
      <c r="V11" s="169">
        <v>5.7277000000000002E-2</v>
      </c>
      <c r="W11" s="21" t="s">
        <v>138</v>
      </c>
      <c r="X11" s="21" t="s">
        <v>2087</v>
      </c>
      <c r="Y11" s="184">
        <v>0</v>
      </c>
      <c r="Z11" s="169">
        <v>2.9100000000000001E-2</v>
      </c>
      <c r="AA11" s="21" t="s">
        <v>2153</v>
      </c>
      <c r="AB11" s="28" t="s">
        <v>146</v>
      </c>
      <c r="AC11" s="21" t="s">
        <v>1565</v>
      </c>
      <c r="AD11" s="187">
        <v>482000</v>
      </c>
      <c r="AE11" s="169">
        <v>0.73</v>
      </c>
      <c r="AF11" s="177" t="s">
        <v>1394</v>
      </c>
      <c r="AG11" s="21" t="s">
        <v>141</v>
      </c>
      <c r="AH11" s="21" t="s">
        <v>2144</v>
      </c>
      <c r="AI11" s="41" t="s">
        <v>2154</v>
      </c>
      <c r="AJ11" s="41" t="s">
        <v>318</v>
      </c>
      <c r="AK11" s="21" t="s">
        <v>1392</v>
      </c>
      <c r="AL11" s="21" t="s">
        <v>2146</v>
      </c>
      <c r="AM11" s="21" t="s">
        <v>1393</v>
      </c>
      <c r="AN11" s="178" t="s">
        <v>1394</v>
      </c>
      <c r="AO11" s="178" t="s">
        <v>1394</v>
      </c>
      <c r="AP11" s="164">
        <v>0</v>
      </c>
      <c r="AQ11" s="153">
        <v>958.21</v>
      </c>
      <c r="AR11" s="171">
        <v>133.02000000000001</v>
      </c>
      <c r="AS11" s="170">
        <v>1</v>
      </c>
      <c r="AT11" s="155">
        <v>1.2749999999999999</v>
      </c>
      <c r="AU11" s="155">
        <v>1.2749999999999999</v>
      </c>
      <c r="AV11" s="21"/>
      <c r="AW11" s="21"/>
      <c r="AX11" s="28" t="s">
        <v>141</v>
      </c>
      <c r="AY11" s="21" t="s">
        <v>36</v>
      </c>
      <c r="AZ11" s="169">
        <v>1.26170883770877E-4</v>
      </c>
      <c r="BA11" s="169">
        <v>2.7606259898998802E-6</v>
      </c>
    </row>
    <row r="12" spans="1:53">
      <c r="A12" s="41">
        <v>1182</v>
      </c>
      <c r="B12" s="41">
        <v>1182</v>
      </c>
      <c r="C12" s="21" t="s">
        <v>2147</v>
      </c>
      <c r="D12" s="21" t="s">
        <v>134</v>
      </c>
      <c r="E12" s="21" t="s">
        <v>2183</v>
      </c>
      <c r="F12" s="21" t="s">
        <v>2184</v>
      </c>
      <c r="G12" s="21" t="s">
        <v>2138</v>
      </c>
      <c r="H12" s="41"/>
      <c r="I12" s="28" t="s">
        <v>30</v>
      </c>
      <c r="J12" s="28" t="s">
        <v>30</v>
      </c>
      <c r="K12" s="21" t="s">
        <v>151</v>
      </c>
      <c r="L12" s="21" t="s">
        <v>141</v>
      </c>
      <c r="M12" s="21" t="s">
        <v>318</v>
      </c>
      <c r="N12" s="21" t="s">
        <v>2185</v>
      </c>
      <c r="O12" s="177" t="s">
        <v>2186</v>
      </c>
      <c r="P12" s="202" t="s">
        <v>142</v>
      </c>
      <c r="Q12" s="21" t="s">
        <v>164</v>
      </c>
      <c r="R12" s="21" t="s">
        <v>2141</v>
      </c>
      <c r="S12" s="28" t="s">
        <v>34</v>
      </c>
      <c r="T12" s="155">
        <v>2.81</v>
      </c>
      <c r="U12" s="21" t="s">
        <v>2142</v>
      </c>
      <c r="V12" s="169">
        <v>5.6878999999999999E-2</v>
      </c>
      <c r="W12" s="21" t="s">
        <v>138</v>
      </c>
      <c r="X12" s="21" t="s">
        <v>2087</v>
      </c>
      <c r="Y12" s="184">
        <v>0</v>
      </c>
      <c r="Z12" s="169">
        <v>2.9100000000000001E-2</v>
      </c>
      <c r="AA12" s="21" t="s">
        <v>2153</v>
      </c>
      <c r="AB12" s="28" t="s">
        <v>146</v>
      </c>
      <c r="AC12" s="21" t="s">
        <v>1565</v>
      </c>
      <c r="AD12" s="187">
        <v>482000</v>
      </c>
      <c r="AE12" s="169">
        <v>0.73</v>
      </c>
      <c r="AF12" s="177" t="s">
        <v>1394</v>
      </c>
      <c r="AG12" s="21" t="s">
        <v>141</v>
      </c>
      <c r="AH12" s="21" t="s">
        <v>2144</v>
      </c>
      <c r="AI12" s="41" t="s">
        <v>2154</v>
      </c>
      <c r="AJ12" s="41" t="s">
        <v>318</v>
      </c>
      <c r="AK12" s="21" t="s">
        <v>1392</v>
      </c>
      <c r="AL12" s="21" t="s">
        <v>2146</v>
      </c>
      <c r="AM12" s="21" t="s">
        <v>1393</v>
      </c>
      <c r="AN12" s="178" t="s">
        <v>1394</v>
      </c>
      <c r="AO12" s="178" t="s">
        <v>1394</v>
      </c>
      <c r="AP12" s="164">
        <v>0</v>
      </c>
      <c r="AQ12" s="153">
        <v>574.96</v>
      </c>
      <c r="AR12" s="171">
        <v>132.99</v>
      </c>
      <c r="AS12" s="170">
        <v>1</v>
      </c>
      <c r="AT12" s="155">
        <v>0.76500000000000001</v>
      </c>
      <c r="AU12" s="155">
        <v>0.76500000000000001</v>
      </c>
      <c r="AV12" s="21"/>
      <c r="AW12" s="21"/>
      <c r="AX12" s="28" t="s">
        <v>141</v>
      </c>
      <c r="AY12" s="21" t="s">
        <v>36</v>
      </c>
      <c r="AZ12" s="169">
        <v>7.5689932961228306E-5</v>
      </c>
      <c r="BA12" s="169">
        <v>1.6560999642833399E-6</v>
      </c>
    </row>
    <row r="13" spans="1:53">
      <c r="A13" s="41">
        <v>1182</v>
      </c>
      <c r="B13" s="41">
        <v>1182</v>
      </c>
      <c r="C13" s="21" t="s">
        <v>2147</v>
      </c>
      <c r="D13" s="21" t="s">
        <v>134</v>
      </c>
      <c r="E13" s="21" t="s">
        <v>2187</v>
      </c>
      <c r="F13" s="21" t="s">
        <v>2188</v>
      </c>
      <c r="G13" s="21" t="s">
        <v>2138</v>
      </c>
      <c r="H13" s="41"/>
      <c r="I13" s="28" t="s">
        <v>30</v>
      </c>
      <c r="J13" s="28" t="s">
        <v>30</v>
      </c>
      <c r="K13" s="21" t="s">
        <v>151</v>
      </c>
      <c r="L13" s="21" t="s">
        <v>141</v>
      </c>
      <c r="M13" s="21" t="s">
        <v>318</v>
      </c>
      <c r="N13" s="21" t="s">
        <v>2189</v>
      </c>
      <c r="O13" s="177" t="s">
        <v>2190</v>
      </c>
      <c r="P13" s="202" t="s">
        <v>142</v>
      </c>
      <c r="Q13" s="21" t="s">
        <v>164</v>
      </c>
      <c r="R13" s="21" t="s">
        <v>2141</v>
      </c>
      <c r="S13" s="28" t="s">
        <v>34</v>
      </c>
      <c r="T13" s="155">
        <v>2.81</v>
      </c>
      <c r="U13" s="21" t="s">
        <v>2142</v>
      </c>
      <c r="V13" s="169">
        <v>5.7158E-2</v>
      </c>
      <c r="W13" s="21" t="s">
        <v>138</v>
      </c>
      <c r="X13" s="21" t="s">
        <v>2087</v>
      </c>
      <c r="Y13" s="184">
        <v>0</v>
      </c>
      <c r="Z13" s="169">
        <v>2.9100000000000001E-2</v>
      </c>
      <c r="AA13" s="21" t="s">
        <v>2153</v>
      </c>
      <c r="AB13" s="28" t="s">
        <v>146</v>
      </c>
      <c r="AC13" s="21" t="s">
        <v>1565</v>
      </c>
      <c r="AD13" s="187">
        <v>482000</v>
      </c>
      <c r="AE13" s="169">
        <v>0.73</v>
      </c>
      <c r="AF13" s="177" t="s">
        <v>1394</v>
      </c>
      <c r="AG13" s="21" t="s">
        <v>141</v>
      </c>
      <c r="AH13" s="21" t="s">
        <v>2144</v>
      </c>
      <c r="AI13" s="41" t="s">
        <v>2154</v>
      </c>
      <c r="AJ13" s="41" t="s">
        <v>318</v>
      </c>
      <c r="AK13" s="21" t="s">
        <v>1392</v>
      </c>
      <c r="AL13" s="21" t="s">
        <v>2146</v>
      </c>
      <c r="AM13" s="21" t="s">
        <v>1393</v>
      </c>
      <c r="AN13" s="178" t="s">
        <v>1394</v>
      </c>
      <c r="AO13" s="178" t="s">
        <v>1394</v>
      </c>
      <c r="AP13" s="164">
        <v>0</v>
      </c>
      <c r="AQ13" s="153">
        <v>10354.92</v>
      </c>
      <c r="AR13" s="171">
        <v>132.94999999999999</v>
      </c>
      <c r="AS13" s="170">
        <v>1</v>
      </c>
      <c r="AT13" s="155">
        <v>13.766999999999999</v>
      </c>
      <c r="AU13" s="155">
        <v>13.766999999999999</v>
      </c>
      <c r="AV13" s="21"/>
      <c r="AW13" s="21"/>
      <c r="AX13" s="28" t="s">
        <v>141</v>
      </c>
      <c r="AY13" s="21" t="s">
        <v>36</v>
      </c>
      <c r="AZ13" s="169">
        <v>1.3627512603286299E-3</v>
      </c>
      <c r="BA13" s="169">
        <v>2.9817073754225301E-5</v>
      </c>
    </row>
    <row r="14" spans="1:53">
      <c r="A14" s="41">
        <v>1182</v>
      </c>
      <c r="B14" s="41">
        <v>1182</v>
      </c>
      <c r="C14" s="21" t="s">
        <v>2147</v>
      </c>
      <c r="D14" s="21" t="s">
        <v>134</v>
      </c>
      <c r="E14" s="21" t="s">
        <v>2191</v>
      </c>
      <c r="F14" s="21" t="s">
        <v>2192</v>
      </c>
      <c r="G14" s="21" t="s">
        <v>2138</v>
      </c>
      <c r="H14" s="41"/>
      <c r="I14" s="28" t="s">
        <v>30</v>
      </c>
      <c r="J14" s="28" t="s">
        <v>30</v>
      </c>
      <c r="K14" s="21" t="s">
        <v>151</v>
      </c>
      <c r="L14" s="21" t="s">
        <v>141</v>
      </c>
      <c r="M14" s="21" t="s">
        <v>318</v>
      </c>
      <c r="N14" s="21" t="s">
        <v>2193</v>
      </c>
      <c r="O14" s="177" t="s">
        <v>2194</v>
      </c>
      <c r="P14" s="202" t="s">
        <v>142</v>
      </c>
      <c r="Q14" s="21" t="s">
        <v>164</v>
      </c>
      <c r="R14" s="21" t="s">
        <v>2141</v>
      </c>
      <c r="S14" s="28" t="s">
        <v>34</v>
      </c>
      <c r="T14" s="155">
        <v>2.82</v>
      </c>
      <c r="U14" s="21" t="s">
        <v>2142</v>
      </c>
      <c r="V14" s="169">
        <v>5.5451E-2</v>
      </c>
      <c r="W14" s="21" t="s">
        <v>138</v>
      </c>
      <c r="X14" s="21" t="s">
        <v>2087</v>
      </c>
      <c r="Y14" s="184">
        <v>0</v>
      </c>
      <c r="Z14" s="169">
        <v>2.9000000000000001E-2</v>
      </c>
      <c r="AA14" s="21" t="s">
        <v>2153</v>
      </c>
      <c r="AB14" s="28" t="s">
        <v>146</v>
      </c>
      <c r="AC14" s="21" t="s">
        <v>1565</v>
      </c>
      <c r="AD14" s="187">
        <v>482000</v>
      </c>
      <c r="AE14" s="169">
        <v>0.73</v>
      </c>
      <c r="AF14" s="177" t="s">
        <v>1394</v>
      </c>
      <c r="AG14" s="21" t="s">
        <v>141</v>
      </c>
      <c r="AH14" s="21" t="s">
        <v>2144</v>
      </c>
      <c r="AI14" s="41" t="s">
        <v>2154</v>
      </c>
      <c r="AJ14" s="41" t="s">
        <v>318</v>
      </c>
      <c r="AK14" s="21" t="s">
        <v>1392</v>
      </c>
      <c r="AL14" s="21" t="s">
        <v>2146</v>
      </c>
      <c r="AM14" s="21" t="s">
        <v>1393</v>
      </c>
      <c r="AN14" s="178" t="s">
        <v>1394</v>
      </c>
      <c r="AO14" s="178" t="s">
        <v>1394</v>
      </c>
      <c r="AP14" s="164">
        <v>0</v>
      </c>
      <c r="AQ14" s="153">
        <v>1185.44</v>
      </c>
      <c r="AR14" s="171">
        <v>129.76</v>
      </c>
      <c r="AS14" s="170">
        <v>1</v>
      </c>
      <c r="AT14" s="155">
        <v>1.538</v>
      </c>
      <c r="AU14" s="155">
        <v>1.538</v>
      </c>
      <c r="AV14" s="21"/>
      <c r="AW14" s="21"/>
      <c r="AX14" s="28" t="s">
        <v>141</v>
      </c>
      <c r="AY14" s="21" t="s">
        <v>36</v>
      </c>
      <c r="AZ14" s="169">
        <v>1.5226564167111501E-4</v>
      </c>
      <c r="BA14" s="169">
        <v>3.3315807514624802E-6</v>
      </c>
    </row>
    <row r="15" spans="1:53">
      <c r="A15" s="41">
        <v>1182</v>
      </c>
      <c r="B15" s="41">
        <v>1182</v>
      </c>
      <c r="C15" s="21" t="s">
        <v>2147</v>
      </c>
      <c r="D15" s="21" t="s">
        <v>134</v>
      </c>
      <c r="E15" s="21" t="s">
        <v>2195</v>
      </c>
      <c r="F15" s="21" t="s">
        <v>2196</v>
      </c>
      <c r="G15" s="21" t="s">
        <v>2138</v>
      </c>
      <c r="H15" s="41"/>
      <c r="I15" s="28" t="s">
        <v>30</v>
      </c>
      <c r="J15" s="28" t="s">
        <v>30</v>
      </c>
      <c r="K15" s="21" t="s">
        <v>151</v>
      </c>
      <c r="L15" s="21" t="s">
        <v>141</v>
      </c>
      <c r="M15" s="21" t="s">
        <v>318</v>
      </c>
      <c r="N15" s="21" t="s">
        <v>2197</v>
      </c>
      <c r="O15" s="177" t="s">
        <v>2151</v>
      </c>
      <c r="P15" s="202" t="s">
        <v>142</v>
      </c>
      <c r="Q15" s="21" t="s">
        <v>164</v>
      </c>
      <c r="R15" s="21" t="s">
        <v>2141</v>
      </c>
      <c r="S15" s="28" t="s">
        <v>34</v>
      </c>
      <c r="T15" s="155">
        <v>2.82</v>
      </c>
      <c r="U15" s="21" t="s">
        <v>2152</v>
      </c>
      <c r="V15" s="169">
        <v>5.5452000000000001E-2</v>
      </c>
      <c r="W15" s="21" t="s">
        <v>138</v>
      </c>
      <c r="X15" s="21" t="s">
        <v>2087</v>
      </c>
      <c r="Y15" s="184">
        <v>0</v>
      </c>
      <c r="Z15" s="169">
        <v>2.9000000000000001E-2</v>
      </c>
      <c r="AA15" s="21" t="s">
        <v>2153</v>
      </c>
      <c r="AB15" s="28" t="s">
        <v>146</v>
      </c>
      <c r="AC15" s="21" t="s">
        <v>1565</v>
      </c>
      <c r="AD15" s="187">
        <v>482000</v>
      </c>
      <c r="AE15" s="169">
        <v>0.73</v>
      </c>
      <c r="AF15" s="177" t="s">
        <v>1394</v>
      </c>
      <c r="AG15" s="21" t="s">
        <v>141</v>
      </c>
      <c r="AH15" s="21" t="s">
        <v>2144</v>
      </c>
      <c r="AI15" s="41" t="s">
        <v>2154</v>
      </c>
      <c r="AJ15" s="41" t="s">
        <v>318</v>
      </c>
      <c r="AK15" s="21" t="s">
        <v>1392</v>
      </c>
      <c r="AL15" s="21" t="s">
        <v>2146</v>
      </c>
      <c r="AM15" s="21" t="s">
        <v>1393</v>
      </c>
      <c r="AN15" s="178" t="s">
        <v>1394</v>
      </c>
      <c r="AO15" s="178" t="s">
        <v>1394</v>
      </c>
      <c r="AP15" s="164">
        <v>0</v>
      </c>
      <c r="AQ15" s="153">
        <v>981.88</v>
      </c>
      <c r="AR15" s="171">
        <v>129.69999999999999</v>
      </c>
      <c r="AS15" s="170">
        <v>1</v>
      </c>
      <c r="AT15" s="155">
        <v>1.2729999999999999</v>
      </c>
      <c r="AU15" s="155">
        <v>1.2729999999999999</v>
      </c>
      <c r="AV15" s="21"/>
      <c r="AW15" s="21"/>
      <c r="AX15" s="28" t="s">
        <v>141</v>
      </c>
      <c r="AY15" s="21" t="s">
        <v>36</v>
      </c>
      <c r="AZ15" s="169">
        <v>1.2606075176935201E-4</v>
      </c>
      <c r="BA15" s="169">
        <v>2.7582162955501098E-6</v>
      </c>
    </row>
    <row r="16" spans="1:53">
      <c r="A16" s="41">
        <v>1182</v>
      </c>
      <c r="B16" s="41">
        <v>1182</v>
      </c>
      <c r="C16" s="21" t="s">
        <v>2147</v>
      </c>
      <c r="D16" s="21" t="s">
        <v>134</v>
      </c>
      <c r="E16" s="21" t="s">
        <v>2198</v>
      </c>
      <c r="F16" s="21" t="s">
        <v>2199</v>
      </c>
      <c r="G16" s="21" t="s">
        <v>2138</v>
      </c>
      <c r="H16" s="41"/>
      <c r="I16" s="28" t="s">
        <v>30</v>
      </c>
      <c r="J16" s="28" t="s">
        <v>30</v>
      </c>
      <c r="K16" s="21" t="s">
        <v>151</v>
      </c>
      <c r="L16" s="21" t="s">
        <v>141</v>
      </c>
      <c r="M16" s="21" t="s">
        <v>318</v>
      </c>
      <c r="N16" s="21" t="s">
        <v>2200</v>
      </c>
      <c r="O16" s="177" t="s">
        <v>2201</v>
      </c>
      <c r="P16" s="202" t="s">
        <v>142</v>
      </c>
      <c r="Q16" s="21" t="s">
        <v>164</v>
      </c>
      <c r="R16" s="21" t="s">
        <v>2141</v>
      </c>
      <c r="S16" s="28" t="s">
        <v>34</v>
      </c>
      <c r="T16" s="155">
        <v>2.82</v>
      </c>
      <c r="U16" s="21" t="s">
        <v>2142</v>
      </c>
      <c r="V16" s="169">
        <v>5.5548E-2</v>
      </c>
      <c r="W16" s="21" t="s">
        <v>138</v>
      </c>
      <c r="X16" s="21" t="s">
        <v>2087</v>
      </c>
      <c r="Y16" s="184">
        <v>0</v>
      </c>
      <c r="Z16" s="169">
        <v>2.9000000000000001E-2</v>
      </c>
      <c r="AA16" s="21" t="s">
        <v>2153</v>
      </c>
      <c r="AB16" s="28" t="s">
        <v>146</v>
      </c>
      <c r="AC16" s="21" t="s">
        <v>1565</v>
      </c>
      <c r="AD16" s="187">
        <v>482000</v>
      </c>
      <c r="AE16" s="169">
        <v>0.73</v>
      </c>
      <c r="AF16" s="177" t="s">
        <v>1394</v>
      </c>
      <c r="AG16" s="21" t="s">
        <v>141</v>
      </c>
      <c r="AH16" s="21" t="s">
        <v>2144</v>
      </c>
      <c r="AI16" s="41" t="s">
        <v>2154</v>
      </c>
      <c r="AJ16" s="41" t="s">
        <v>318</v>
      </c>
      <c r="AK16" s="21" t="s">
        <v>1392</v>
      </c>
      <c r="AL16" s="21" t="s">
        <v>2146</v>
      </c>
      <c r="AM16" s="21" t="s">
        <v>1393</v>
      </c>
      <c r="AN16" s="178" t="s">
        <v>1394</v>
      </c>
      <c r="AO16" s="178" t="s">
        <v>1394</v>
      </c>
      <c r="AP16" s="164">
        <v>0</v>
      </c>
      <c r="AQ16" s="153">
        <v>2245.0300000000002</v>
      </c>
      <c r="AR16" s="171">
        <v>131.97</v>
      </c>
      <c r="AS16" s="170">
        <v>1</v>
      </c>
      <c r="AT16" s="155">
        <v>2.9630000000000001</v>
      </c>
      <c r="AU16" s="155">
        <v>2.9630000000000001</v>
      </c>
      <c r="AV16" s="21"/>
      <c r="AW16" s="21"/>
      <c r="AX16" s="28" t="s">
        <v>141</v>
      </c>
      <c r="AY16" s="21" t="s">
        <v>36</v>
      </c>
      <c r="AZ16" s="169">
        <v>2.9327758282170398E-4</v>
      </c>
      <c r="BA16" s="169">
        <v>6.41692990645036E-6</v>
      </c>
    </row>
    <row r="17" spans="1:53">
      <c r="A17" s="41">
        <v>1182</v>
      </c>
      <c r="B17" s="41">
        <v>1182</v>
      </c>
      <c r="C17" s="21" t="s">
        <v>2147</v>
      </c>
      <c r="D17" s="21" t="s">
        <v>134</v>
      </c>
      <c r="E17" s="21" t="s">
        <v>2202</v>
      </c>
      <c r="F17" s="21" t="s">
        <v>2203</v>
      </c>
      <c r="G17" s="21" t="s">
        <v>2138</v>
      </c>
      <c r="H17" s="41"/>
      <c r="I17" s="28" t="s">
        <v>30</v>
      </c>
      <c r="J17" s="28" t="s">
        <v>30</v>
      </c>
      <c r="K17" s="21" t="s">
        <v>151</v>
      </c>
      <c r="L17" s="21" t="s">
        <v>141</v>
      </c>
      <c r="M17" s="21" t="s">
        <v>318</v>
      </c>
      <c r="N17" s="21" t="s">
        <v>2204</v>
      </c>
      <c r="O17" s="177" t="s">
        <v>2205</v>
      </c>
      <c r="P17" s="202" t="s">
        <v>142</v>
      </c>
      <c r="Q17" s="21" t="s">
        <v>164</v>
      </c>
      <c r="R17" s="21" t="s">
        <v>2141</v>
      </c>
      <c r="S17" s="28" t="s">
        <v>34</v>
      </c>
      <c r="T17" s="155">
        <v>2.82</v>
      </c>
      <c r="U17" s="21" t="s">
        <v>2142</v>
      </c>
      <c r="V17" s="169">
        <v>5.5452000000000001E-2</v>
      </c>
      <c r="W17" s="21" t="s">
        <v>138</v>
      </c>
      <c r="X17" s="21" t="s">
        <v>2087</v>
      </c>
      <c r="Y17" s="184">
        <v>0</v>
      </c>
      <c r="Z17" s="169">
        <v>2.9100000000000001E-2</v>
      </c>
      <c r="AA17" s="21" t="s">
        <v>2153</v>
      </c>
      <c r="AB17" s="28" t="s">
        <v>146</v>
      </c>
      <c r="AC17" s="21" t="s">
        <v>1565</v>
      </c>
      <c r="AD17" s="187">
        <v>482000</v>
      </c>
      <c r="AE17" s="169">
        <v>0.73</v>
      </c>
      <c r="AF17" s="177" t="s">
        <v>1394</v>
      </c>
      <c r="AG17" s="21" t="s">
        <v>141</v>
      </c>
      <c r="AH17" s="21" t="s">
        <v>2144</v>
      </c>
      <c r="AI17" s="41" t="s">
        <v>2154</v>
      </c>
      <c r="AJ17" s="41" t="s">
        <v>318</v>
      </c>
      <c r="AK17" s="21" t="s">
        <v>1392</v>
      </c>
      <c r="AL17" s="21" t="s">
        <v>2146</v>
      </c>
      <c r="AM17" s="21" t="s">
        <v>1393</v>
      </c>
      <c r="AN17" s="178" t="s">
        <v>1394</v>
      </c>
      <c r="AO17" s="178" t="s">
        <v>1394</v>
      </c>
      <c r="AP17" s="164">
        <v>0</v>
      </c>
      <c r="AQ17" s="153">
        <v>8666.68</v>
      </c>
      <c r="AR17" s="171">
        <v>129.91999999999999</v>
      </c>
      <c r="AS17" s="170">
        <v>1</v>
      </c>
      <c r="AT17" s="155">
        <v>11.26</v>
      </c>
      <c r="AU17" s="155">
        <v>11.26</v>
      </c>
      <c r="AV17" s="21"/>
      <c r="AW17" s="21"/>
      <c r="AX17" s="28" t="s">
        <v>141</v>
      </c>
      <c r="AY17" s="21" t="s">
        <v>36</v>
      </c>
      <c r="AZ17" s="169">
        <v>1.11457751106237E-3</v>
      </c>
      <c r="BA17" s="169">
        <v>2.43870182472871E-5</v>
      </c>
    </row>
    <row r="18" spans="1:53">
      <c r="A18" s="41">
        <v>1182</v>
      </c>
      <c r="B18" s="41">
        <v>1182</v>
      </c>
      <c r="C18" s="21" t="s">
        <v>2147</v>
      </c>
      <c r="D18" s="21" t="s">
        <v>134</v>
      </c>
      <c r="E18" s="21" t="s">
        <v>2206</v>
      </c>
      <c r="F18" s="21" t="s">
        <v>2207</v>
      </c>
      <c r="G18" s="21" t="s">
        <v>2138</v>
      </c>
      <c r="H18" s="41"/>
      <c r="I18" s="28" t="s">
        <v>30</v>
      </c>
      <c r="J18" s="28" t="s">
        <v>30</v>
      </c>
      <c r="K18" s="21" t="s">
        <v>151</v>
      </c>
      <c r="L18" s="21" t="s">
        <v>141</v>
      </c>
      <c r="M18" s="21" t="s">
        <v>318</v>
      </c>
      <c r="N18" s="21" t="s">
        <v>2208</v>
      </c>
      <c r="O18" s="177" t="s">
        <v>2151</v>
      </c>
      <c r="P18" s="202" t="s">
        <v>142</v>
      </c>
      <c r="Q18" s="21" t="s">
        <v>164</v>
      </c>
      <c r="R18" s="21" t="s">
        <v>2141</v>
      </c>
      <c r="S18" s="28" t="s">
        <v>34</v>
      </c>
      <c r="T18" s="155">
        <v>2.82</v>
      </c>
      <c r="U18" s="21" t="s">
        <v>2142</v>
      </c>
      <c r="V18" s="169">
        <v>5.5514000000000001E-2</v>
      </c>
      <c r="W18" s="21" t="s">
        <v>138</v>
      </c>
      <c r="X18" s="21" t="s">
        <v>2087</v>
      </c>
      <c r="Y18" s="184">
        <v>0</v>
      </c>
      <c r="Z18" s="169">
        <v>2.9100000000000001E-2</v>
      </c>
      <c r="AA18" s="21" t="s">
        <v>2153</v>
      </c>
      <c r="AB18" s="28" t="s">
        <v>146</v>
      </c>
      <c r="AC18" s="21" t="s">
        <v>1565</v>
      </c>
      <c r="AD18" s="187">
        <v>482000</v>
      </c>
      <c r="AE18" s="169">
        <v>0.73</v>
      </c>
      <c r="AF18" s="177" t="s">
        <v>1394</v>
      </c>
      <c r="AG18" s="21" t="s">
        <v>141</v>
      </c>
      <c r="AH18" s="21" t="s">
        <v>2144</v>
      </c>
      <c r="AI18" s="41" t="s">
        <v>2154</v>
      </c>
      <c r="AJ18" s="41" t="s">
        <v>318</v>
      </c>
      <c r="AK18" s="21" t="s">
        <v>1392</v>
      </c>
      <c r="AL18" s="21" t="s">
        <v>2146</v>
      </c>
      <c r="AM18" s="21" t="s">
        <v>1393</v>
      </c>
      <c r="AN18" s="178" t="s">
        <v>1394</v>
      </c>
      <c r="AO18" s="178" t="s">
        <v>1394</v>
      </c>
      <c r="AP18" s="164">
        <v>0</v>
      </c>
      <c r="AQ18" s="153">
        <v>10526.99</v>
      </c>
      <c r="AR18" s="171">
        <v>131.93</v>
      </c>
      <c r="AS18" s="170">
        <v>1</v>
      </c>
      <c r="AT18" s="155">
        <v>13.888</v>
      </c>
      <c r="AU18" s="155">
        <v>13.888</v>
      </c>
      <c r="AV18" s="21"/>
      <c r="AW18" s="21"/>
      <c r="AX18" s="28" t="s">
        <v>141</v>
      </c>
      <c r="AY18" s="21" t="s">
        <v>36</v>
      </c>
      <c r="AZ18" s="169">
        <v>1.3747675595931401E-3</v>
      </c>
      <c r="BA18" s="169">
        <v>3.0079991053847899E-5</v>
      </c>
    </row>
    <row r="19" spans="1:53">
      <c r="A19" s="41">
        <v>1182</v>
      </c>
      <c r="B19" s="41">
        <v>1182</v>
      </c>
      <c r="C19" s="21" t="s">
        <v>2147</v>
      </c>
      <c r="D19" s="21" t="s">
        <v>134</v>
      </c>
      <c r="E19" s="21" t="s">
        <v>2209</v>
      </c>
      <c r="F19" s="21" t="s">
        <v>2210</v>
      </c>
      <c r="G19" s="21" t="s">
        <v>2138</v>
      </c>
      <c r="H19" s="41"/>
      <c r="I19" s="28" t="s">
        <v>30</v>
      </c>
      <c r="J19" s="28" t="s">
        <v>30</v>
      </c>
      <c r="K19" s="21" t="s">
        <v>151</v>
      </c>
      <c r="L19" s="21" t="s">
        <v>141</v>
      </c>
      <c r="M19" s="21" t="s">
        <v>318</v>
      </c>
      <c r="N19" s="223">
        <v>11898502</v>
      </c>
      <c r="O19" s="177" t="s">
        <v>2151</v>
      </c>
      <c r="P19" s="202" t="s">
        <v>142</v>
      </c>
      <c r="Q19" s="21" t="s">
        <v>164</v>
      </c>
      <c r="R19" s="21" t="s">
        <v>2141</v>
      </c>
      <c r="S19" s="28" t="s">
        <v>34</v>
      </c>
      <c r="T19" s="155">
        <v>2.81</v>
      </c>
      <c r="U19" s="21" t="s">
        <v>2142</v>
      </c>
      <c r="V19" s="169">
        <v>5.7402000000000002E-2</v>
      </c>
      <c r="W19" s="21" t="s">
        <v>138</v>
      </c>
      <c r="X19" s="21" t="s">
        <v>2087</v>
      </c>
      <c r="Y19" s="184">
        <v>0</v>
      </c>
      <c r="Z19" s="169">
        <v>2.9000000000000001E-2</v>
      </c>
      <c r="AA19" s="21" t="s">
        <v>2153</v>
      </c>
      <c r="AB19" s="28" t="s">
        <v>146</v>
      </c>
      <c r="AC19" s="21" t="s">
        <v>1565</v>
      </c>
      <c r="AD19" s="187">
        <v>482000</v>
      </c>
      <c r="AE19" s="169">
        <v>0.73</v>
      </c>
      <c r="AF19" s="177" t="s">
        <v>1394</v>
      </c>
      <c r="AG19" s="21" t="s">
        <v>141</v>
      </c>
      <c r="AH19" s="21" t="s">
        <v>2144</v>
      </c>
      <c r="AI19" s="41" t="s">
        <v>2154</v>
      </c>
      <c r="AJ19" s="41" t="s">
        <v>318</v>
      </c>
      <c r="AK19" s="21" t="s">
        <v>1392</v>
      </c>
      <c r="AL19" s="21" t="s">
        <v>2146</v>
      </c>
      <c r="AM19" s="21" t="s">
        <v>1393</v>
      </c>
      <c r="AN19" s="178" t="s">
        <v>1394</v>
      </c>
      <c r="AO19" s="178" t="s">
        <v>1394</v>
      </c>
      <c r="AP19" s="164">
        <v>0</v>
      </c>
      <c r="AQ19" s="153">
        <v>2203.81</v>
      </c>
      <c r="AR19" s="171">
        <v>133.19999999999999</v>
      </c>
      <c r="AS19" s="170">
        <v>1</v>
      </c>
      <c r="AT19" s="155">
        <v>2.9350000000000001</v>
      </c>
      <c r="AU19" s="155">
        <v>2.9350000000000001</v>
      </c>
      <c r="AV19" s="21"/>
      <c r="AW19" s="21"/>
      <c r="AX19" s="28" t="s">
        <v>141</v>
      </c>
      <c r="AY19" s="21" t="s">
        <v>36</v>
      </c>
      <c r="AZ19" s="169">
        <v>2.9057609089914999E-4</v>
      </c>
      <c r="BA19" s="169">
        <v>6.3578211121706101E-6</v>
      </c>
    </row>
    <row r="20" spans="1:53">
      <c r="A20" s="41">
        <v>1182</v>
      </c>
      <c r="B20" s="41">
        <v>1182</v>
      </c>
      <c r="C20" s="41" t="s">
        <v>2147</v>
      </c>
      <c r="D20" s="21" t="s">
        <v>134</v>
      </c>
      <c r="E20" s="41" t="s">
        <v>2211</v>
      </c>
      <c r="F20" s="41" t="s">
        <v>2212</v>
      </c>
      <c r="G20" s="21" t="s">
        <v>2138</v>
      </c>
      <c r="H20" s="41"/>
      <c r="I20" s="28" t="s">
        <v>30</v>
      </c>
      <c r="J20" s="28" t="s">
        <v>30</v>
      </c>
      <c r="K20" s="21" t="s">
        <v>151</v>
      </c>
      <c r="L20" s="21" t="s">
        <v>141</v>
      </c>
      <c r="M20" s="21" t="s">
        <v>318</v>
      </c>
      <c r="N20" s="41" t="s">
        <v>2213</v>
      </c>
      <c r="O20" s="178" t="s">
        <v>2214</v>
      </c>
      <c r="P20" s="202" t="s">
        <v>142</v>
      </c>
      <c r="Q20" s="21" t="s">
        <v>164</v>
      </c>
      <c r="R20" s="21" t="s">
        <v>2141</v>
      </c>
      <c r="S20" s="28" t="s">
        <v>34</v>
      </c>
      <c r="T20" s="153">
        <v>2.81</v>
      </c>
      <c r="U20" s="21" t="s">
        <v>2142</v>
      </c>
      <c r="V20" s="164">
        <v>5.6347000000000001E-2</v>
      </c>
      <c r="W20" s="21" t="s">
        <v>138</v>
      </c>
      <c r="X20" s="21" t="s">
        <v>2087</v>
      </c>
      <c r="Y20" s="185">
        <v>0</v>
      </c>
      <c r="Z20" s="164">
        <v>2.9100000000000001E-2</v>
      </c>
      <c r="AA20" s="41" t="s">
        <v>2153</v>
      </c>
      <c r="AB20" s="28" t="s">
        <v>146</v>
      </c>
      <c r="AC20" s="21" t="s">
        <v>1565</v>
      </c>
      <c r="AD20" s="188">
        <v>482000</v>
      </c>
      <c r="AE20" s="164">
        <v>0.73</v>
      </c>
      <c r="AF20" s="178" t="s">
        <v>1394</v>
      </c>
      <c r="AG20" s="21" t="s">
        <v>141</v>
      </c>
      <c r="AH20" s="21" t="s">
        <v>2144</v>
      </c>
      <c r="AI20" s="41" t="s">
        <v>2154</v>
      </c>
      <c r="AJ20" s="41" t="s">
        <v>318</v>
      </c>
      <c r="AK20" s="21" t="s">
        <v>1392</v>
      </c>
      <c r="AL20" s="41" t="s">
        <v>2146</v>
      </c>
      <c r="AM20" s="21" t="s">
        <v>1393</v>
      </c>
      <c r="AN20" s="178" t="s">
        <v>1394</v>
      </c>
      <c r="AO20" s="178" t="s">
        <v>1394</v>
      </c>
      <c r="AP20" s="164">
        <v>0</v>
      </c>
      <c r="AQ20" s="153">
        <v>3097.14</v>
      </c>
      <c r="AR20" s="172">
        <v>132.63999999999999</v>
      </c>
      <c r="AS20" s="162">
        <v>1</v>
      </c>
      <c r="AT20" s="153">
        <v>4.1079999999999997</v>
      </c>
      <c r="AU20" s="153">
        <v>4.1079999999999997</v>
      </c>
      <c r="AV20" s="41"/>
      <c r="AW20" s="41"/>
      <c r="AX20" s="28" t="s">
        <v>141</v>
      </c>
      <c r="AY20" s="21" t="s">
        <v>36</v>
      </c>
      <c r="AZ20" s="164">
        <v>4.0664632625770503E-4</v>
      </c>
      <c r="BA20" s="164">
        <v>8.8974443501793896E-6</v>
      </c>
    </row>
    <row r="21" spans="1:53" s="39" customFormat="1">
      <c r="A21" s="41">
        <v>1182</v>
      </c>
      <c r="B21" s="41">
        <v>1182</v>
      </c>
      <c r="C21" s="41" t="s">
        <v>2147</v>
      </c>
      <c r="D21" s="42" t="s">
        <v>134</v>
      </c>
      <c r="E21" s="41" t="s">
        <v>2215</v>
      </c>
      <c r="F21" s="41" t="s">
        <v>2216</v>
      </c>
      <c r="G21" s="41" t="s">
        <v>2138</v>
      </c>
      <c r="H21" s="41"/>
      <c r="I21" s="41" t="s">
        <v>30</v>
      </c>
      <c r="J21" s="41" t="s">
        <v>30</v>
      </c>
      <c r="K21" s="41" t="s">
        <v>151</v>
      </c>
      <c r="L21" s="41" t="s">
        <v>141</v>
      </c>
      <c r="M21" s="41" t="s">
        <v>318</v>
      </c>
      <c r="N21" s="41" t="s">
        <v>2217</v>
      </c>
      <c r="O21" s="178" t="s">
        <v>2151</v>
      </c>
      <c r="P21" s="202" t="s">
        <v>142</v>
      </c>
      <c r="Q21" s="21" t="s">
        <v>164</v>
      </c>
      <c r="R21" s="41" t="s">
        <v>2141</v>
      </c>
      <c r="S21" s="28" t="s">
        <v>34</v>
      </c>
      <c r="T21" s="153">
        <v>2.81</v>
      </c>
      <c r="U21" s="41" t="s">
        <v>2152</v>
      </c>
      <c r="V21" s="164">
        <v>5.5452000000000001E-2</v>
      </c>
      <c r="W21" s="41" t="s">
        <v>138</v>
      </c>
      <c r="X21" s="41" t="s">
        <v>2087</v>
      </c>
      <c r="Y21" s="185">
        <v>0</v>
      </c>
      <c r="Z21" s="164">
        <v>3.0599999999999999E-2</v>
      </c>
      <c r="AA21" s="41" t="s">
        <v>2153</v>
      </c>
      <c r="AB21" s="42" t="s">
        <v>146</v>
      </c>
      <c r="AC21" s="41" t="s">
        <v>1565</v>
      </c>
      <c r="AD21" s="188">
        <v>482000</v>
      </c>
      <c r="AE21" s="164">
        <v>0.73</v>
      </c>
      <c r="AF21" s="178" t="s">
        <v>1394</v>
      </c>
      <c r="AG21" s="41" t="s">
        <v>141</v>
      </c>
      <c r="AH21" s="41" t="s">
        <v>2144</v>
      </c>
      <c r="AI21" s="41" t="s">
        <v>2154</v>
      </c>
      <c r="AJ21" s="41" t="s">
        <v>318</v>
      </c>
      <c r="AK21" s="41" t="s">
        <v>1392</v>
      </c>
      <c r="AL21" s="41" t="s">
        <v>2146</v>
      </c>
      <c r="AM21" s="41" t="s">
        <v>1393</v>
      </c>
      <c r="AN21" s="178" t="s">
        <v>1394</v>
      </c>
      <c r="AO21" s="178" t="s">
        <v>1394</v>
      </c>
      <c r="AP21" s="164">
        <v>0</v>
      </c>
      <c r="AQ21" s="158">
        <v>3923.16</v>
      </c>
      <c r="AR21" s="172">
        <v>127.45</v>
      </c>
      <c r="AS21" s="162">
        <v>1</v>
      </c>
      <c r="AT21" s="153">
        <v>5</v>
      </c>
      <c r="AU21" s="153">
        <v>5</v>
      </c>
      <c r="AV21" s="41"/>
      <c r="AW21" s="41"/>
      <c r="AX21" s="42" t="s">
        <v>141</v>
      </c>
      <c r="AY21" s="41" t="s">
        <v>36</v>
      </c>
      <c r="AZ21" s="164">
        <v>4.9494548062287602E-4</v>
      </c>
      <c r="BA21" s="164">
        <v>1.08294347836405E-5</v>
      </c>
    </row>
    <row r="22" spans="1:53">
      <c r="A22" s="41">
        <v>1182</v>
      </c>
      <c r="B22" s="41">
        <v>1182</v>
      </c>
      <c r="C22" s="41" t="s">
        <v>2147</v>
      </c>
      <c r="D22" s="42" t="s">
        <v>134</v>
      </c>
      <c r="E22" s="41" t="s">
        <v>2218</v>
      </c>
      <c r="F22" s="41" t="s">
        <v>2219</v>
      </c>
      <c r="G22" s="41" t="s">
        <v>2138</v>
      </c>
      <c r="H22" s="41"/>
      <c r="I22" s="41" t="s">
        <v>30</v>
      </c>
      <c r="J22" s="41" t="s">
        <v>30</v>
      </c>
      <c r="K22" s="41" t="s">
        <v>151</v>
      </c>
      <c r="L22" s="41" t="s">
        <v>141</v>
      </c>
      <c r="M22" s="41" t="s">
        <v>318</v>
      </c>
      <c r="N22" s="41" t="s">
        <v>2220</v>
      </c>
      <c r="O22" s="178" t="s">
        <v>2151</v>
      </c>
      <c r="P22" s="202" t="s">
        <v>142</v>
      </c>
      <c r="Q22" s="21" t="s">
        <v>164</v>
      </c>
      <c r="R22" s="41" t="s">
        <v>2141</v>
      </c>
      <c r="S22" s="28" t="s">
        <v>34</v>
      </c>
      <c r="T22" s="153">
        <v>2.82</v>
      </c>
      <c r="U22" s="41" t="s">
        <v>2152</v>
      </c>
      <c r="V22" s="164">
        <v>5.5451E-2</v>
      </c>
      <c r="W22" s="41" t="s">
        <v>138</v>
      </c>
      <c r="X22" s="41" t="s">
        <v>2087</v>
      </c>
      <c r="Y22" s="185">
        <v>0</v>
      </c>
      <c r="Z22" s="164">
        <v>2.9000000000000001E-2</v>
      </c>
      <c r="AA22" s="41" t="s">
        <v>2153</v>
      </c>
      <c r="AB22" s="42" t="s">
        <v>146</v>
      </c>
      <c r="AC22" s="41" t="s">
        <v>1565</v>
      </c>
      <c r="AD22" s="188">
        <v>482000</v>
      </c>
      <c r="AE22" s="164">
        <v>0.73</v>
      </c>
      <c r="AF22" s="178" t="s">
        <v>1394</v>
      </c>
      <c r="AG22" s="41" t="s">
        <v>141</v>
      </c>
      <c r="AH22" s="41" t="s">
        <v>2144</v>
      </c>
      <c r="AI22" s="41" t="s">
        <v>2154</v>
      </c>
      <c r="AJ22" s="41" t="s">
        <v>318</v>
      </c>
      <c r="AK22" s="41" t="s">
        <v>1392</v>
      </c>
      <c r="AL22" s="41" t="s">
        <v>2146</v>
      </c>
      <c r="AM22" s="41" t="s">
        <v>1393</v>
      </c>
      <c r="AN22" s="178" t="s">
        <v>1394</v>
      </c>
      <c r="AO22" s="178" t="s">
        <v>1394</v>
      </c>
      <c r="AP22" s="164">
        <v>0</v>
      </c>
      <c r="AQ22" s="153">
        <v>487.47</v>
      </c>
      <c r="AR22" s="172">
        <v>127.61</v>
      </c>
      <c r="AS22" s="162">
        <v>1</v>
      </c>
      <c r="AT22" s="153">
        <v>0.622</v>
      </c>
      <c r="AU22" s="153">
        <v>0.622</v>
      </c>
      <c r="AV22" s="41"/>
      <c r="AW22" s="41"/>
      <c r="AX22" s="42" t="s">
        <v>141</v>
      </c>
      <c r="AY22" s="41" t="s">
        <v>36</v>
      </c>
      <c r="AZ22" s="164">
        <v>6.1576373067346798E-5</v>
      </c>
      <c r="BA22" s="164">
        <v>1.3472944848526599E-6</v>
      </c>
    </row>
    <row r="23" spans="1:53">
      <c r="A23" s="41">
        <v>1182</v>
      </c>
      <c r="B23" s="41">
        <v>1182</v>
      </c>
      <c r="C23" s="41" t="s">
        <v>2147</v>
      </c>
      <c r="D23" s="42" t="s">
        <v>134</v>
      </c>
      <c r="E23" s="41" t="s">
        <v>2221</v>
      </c>
      <c r="F23" s="41" t="s">
        <v>2222</v>
      </c>
      <c r="G23" s="41" t="s">
        <v>2138</v>
      </c>
      <c r="H23" s="41"/>
      <c r="I23" s="41" t="s">
        <v>30</v>
      </c>
      <c r="J23" s="41" t="s">
        <v>30</v>
      </c>
      <c r="K23" s="41" t="s">
        <v>151</v>
      </c>
      <c r="L23" s="41" t="s">
        <v>141</v>
      </c>
      <c r="M23" s="41" t="s">
        <v>318</v>
      </c>
      <c r="N23" s="41" t="s">
        <v>2223</v>
      </c>
      <c r="O23" s="178" t="s">
        <v>2151</v>
      </c>
      <c r="P23" s="202" t="s">
        <v>142</v>
      </c>
      <c r="Q23" s="21" t="s">
        <v>164</v>
      </c>
      <c r="R23" s="41" t="s">
        <v>2141</v>
      </c>
      <c r="S23" s="41" t="s">
        <v>34</v>
      </c>
      <c r="T23" s="153">
        <v>2.82</v>
      </c>
      <c r="U23" s="41" t="s">
        <v>2152</v>
      </c>
      <c r="V23" s="164">
        <v>5.5432000000000002E-2</v>
      </c>
      <c r="W23" s="41" t="s">
        <v>138</v>
      </c>
      <c r="X23" s="41" t="s">
        <v>2087</v>
      </c>
      <c r="Y23" s="185">
        <v>0</v>
      </c>
      <c r="Z23" s="164">
        <v>2.9100000000000001E-2</v>
      </c>
      <c r="AA23" s="41" t="s">
        <v>2153</v>
      </c>
      <c r="AB23" s="42" t="s">
        <v>146</v>
      </c>
      <c r="AC23" s="41" t="s">
        <v>1565</v>
      </c>
      <c r="AD23" s="188">
        <v>482000</v>
      </c>
      <c r="AE23" s="164">
        <v>0.73</v>
      </c>
      <c r="AF23" s="178" t="s">
        <v>1394</v>
      </c>
      <c r="AG23" s="41" t="s">
        <v>141</v>
      </c>
      <c r="AH23" s="41" t="s">
        <v>2144</v>
      </c>
      <c r="AI23" s="41" t="s">
        <v>2154</v>
      </c>
      <c r="AJ23" s="41" t="s">
        <v>318</v>
      </c>
      <c r="AK23" s="41" t="s">
        <v>1392</v>
      </c>
      <c r="AL23" s="41" t="s">
        <v>2146</v>
      </c>
      <c r="AM23" s="41" t="s">
        <v>1393</v>
      </c>
      <c r="AN23" s="178" t="s">
        <v>1394</v>
      </c>
      <c r="AO23" s="178" t="s">
        <v>1394</v>
      </c>
      <c r="AP23" s="164">
        <v>0</v>
      </c>
      <c r="AQ23" s="153">
        <v>1082.58</v>
      </c>
      <c r="AR23" s="172">
        <v>127.96</v>
      </c>
      <c r="AS23" s="162">
        <v>1</v>
      </c>
      <c r="AT23" s="153">
        <v>1.385</v>
      </c>
      <c r="AU23" s="153">
        <v>1.385</v>
      </c>
      <c r="AV23" s="41"/>
      <c r="AW23" s="41"/>
      <c r="AX23" s="42" t="s">
        <v>141</v>
      </c>
      <c r="AY23" s="41" t="s">
        <v>36</v>
      </c>
      <c r="AZ23" s="164">
        <v>1.37124713637743E-4</v>
      </c>
      <c r="BA23" s="164">
        <v>3.0002963997095401E-6</v>
      </c>
    </row>
    <row r="24" spans="1:53">
      <c r="A24" s="41">
        <v>1182</v>
      </c>
      <c r="B24" s="41">
        <v>1182</v>
      </c>
      <c r="C24" s="41" t="s">
        <v>2147</v>
      </c>
      <c r="D24" s="41" t="s">
        <v>134</v>
      </c>
      <c r="E24" s="41" t="s">
        <v>2224</v>
      </c>
      <c r="F24" s="41" t="s">
        <v>2225</v>
      </c>
      <c r="G24" s="41" t="s">
        <v>2138</v>
      </c>
      <c r="H24" s="41"/>
      <c r="I24" s="41" t="s">
        <v>30</v>
      </c>
      <c r="J24" s="41" t="s">
        <v>30</v>
      </c>
      <c r="K24" s="41" t="s">
        <v>151</v>
      </c>
      <c r="L24" s="41" t="s">
        <v>141</v>
      </c>
      <c r="M24" s="41" t="s">
        <v>318</v>
      </c>
      <c r="N24" s="41" t="s">
        <v>2226</v>
      </c>
      <c r="O24" s="178" t="s">
        <v>2227</v>
      </c>
      <c r="P24" s="202" t="s">
        <v>142</v>
      </c>
      <c r="Q24" s="21" t="s">
        <v>164</v>
      </c>
      <c r="R24" s="41" t="s">
        <v>2141</v>
      </c>
      <c r="S24" s="41" t="s">
        <v>34</v>
      </c>
      <c r="T24" s="153">
        <v>2.81</v>
      </c>
      <c r="U24" s="41" t="s">
        <v>2152</v>
      </c>
      <c r="V24" s="164">
        <v>5.7388000000000002E-2</v>
      </c>
      <c r="W24" s="41" t="s">
        <v>138</v>
      </c>
      <c r="X24" s="41" t="s">
        <v>2087</v>
      </c>
      <c r="Y24" s="185">
        <v>0</v>
      </c>
      <c r="Z24" s="164">
        <v>2.9100000000000001E-2</v>
      </c>
      <c r="AA24" s="41" t="s">
        <v>2153</v>
      </c>
      <c r="AB24" s="42" t="s">
        <v>146</v>
      </c>
      <c r="AC24" s="41" t="s">
        <v>1565</v>
      </c>
      <c r="AD24" s="188">
        <v>482000</v>
      </c>
      <c r="AE24" s="164">
        <v>0.73</v>
      </c>
      <c r="AF24" s="178" t="s">
        <v>1394</v>
      </c>
      <c r="AG24" s="41" t="s">
        <v>141</v>
      </c>
      <c r="AH24" s="41" t="s">
        <v>2144</v>
      </c>
      <c r="AI24" s="41" t="s">
        <v>2154</v>
      </c>
      <c r="AJ24" s="41" t="s">
        <v>318</v>
      </c>
      <c r="AK24" s="41" t="s">
        <v>1392</v>
      </c>
      <c r="AL24" s="41" t="s">
        <v>2146</v>
      </c>
      <c r="AM24" s="41" t="s">
        <v>1393</v>
      </c>
      <c r="AN24" s="178" t="s">
        <v>1394</v>
      </c>
      <c r="AO24" s="178" t="s">
        <v>1394</v>
      </c>
      <c r="AP24" s="164">
        <v>0</v>
      </c>
      <c r="AQ24" s="153">
        <v>10399.870000000001</v>
      </c>
      <c r="AR24" s="172">
        <v>133.16999999999999</v>
      </c>
      <c r="AS24" s="162">
        <v>1</v>
      </c>
      <c r="AT24" s="153">
        <v>13.85</v>
      </c>
      <c r="AU24" s="153">
        <v>13.85</v>
      </c>
      <c r="AV24" s="41"/>
      <c r="AW24" s="41"/>
      <c r="AX24" s="42" t="s">
        <v>141</v>
      </c>
      <c r="AY24" s="41" t="s">
        <v>36</v>
      </c>
      <c r="AZ24" s="164">
        <v>1.3709316820805001E-3</v>
      </c>
      <c r="BA24" s="164">
        <v>2.99960618394445E-5</v>
      </c>
    </row>
    <row r="25" spans="1:53">
      <c r="A25" s="41">
        <v>1182</v>
      </c>
      <c r="B25" s="41">
        <v>1182</v>
      </c>
      <c r="C25" s="41" t="s">
        <v>2147</v>
      </c>
      <c r="D25" s="41" t="s">
        <v>134</v>
      </c>
      <c r="E25" s="41" t="s">
        <v>2228</v>
      </c>
      <c r="F25" s="41" t="s">
        <v>2229</v>
      </c>
      <c r="G25" s="41" t="s">
        <v>2138</v>
      </c>
      <c r="H25" s="41"/>
      <c r="I25" s="41" t="s">
        <v>30</v>
      </c>
      <c r="J25" s="41" t="s">
        <v>30</v>
      </c>
      <c r="K25" s="41" t="s">
        <v>151</v>
      </c>
      <c r="L25" s="41" t="s">
        <v>141</v>
      </c>
      <c r="M25" s="41" t="s">
        <v>318</v>
      </c>
      <c r="N25" s="41" t="s">
        <v>2230</v>
      </c>
      <c r="O25" s="178" t="s">
        <v>2151</v>
      </c>
      <c r="P25" s="202" t="s">
        <v>142</v>
      </c>
      <c r="Q25" s="21" t="s">
        <v>164</v>
      </c>
      <c r="R25" s="41" t="s">
        <v>2141</v>
      </c>
      <c r="S25" s="41" t="s">
        <v>34</v>
      </c>
      <c r="T25" s="153">
        <v>2.81</v>
      </c>
      <c r="U25" s="41" t="s">
        <v>2142</v>
      </c>
      <c r="V25" s="164">
        <v>5.7084999999999997E-2</v>
      </c>
      <c r="W25" s="41" t="s">
        <v>138</v>
      </c>
      <c r="X25" s="41" t="s">
        <v>2087</v>
      </c>
      <c r="Y25" s="185">
        <v>0</v>
      </c>
      <c r="Z25" s="164">
        <v>3.0499999999999999E-2</v>
      </c>
      <c r="AA25" s="41" t="s">
        <v>2153</v>
      </c>
      <c r="AB25" s="42" t="s">
        <v>146</v>
      </c>
      <c r="AC25" s="41" t="s">
        <v>1565</v>
      </c>
      <c r="AD25" s="188">
        <v>482000</v>
      </c>
      <c r="AE25" s="164">
        <v>0.73</v>
      </c>
      <c r="AF25" s="178" t="s">
        <v>1394</v>
      </c>
      <c r="AG25" s="41" t="s">
        <v>141</v>
      </c>
      <c r="AH25" s="41" t="s">
        <v>2144</v>
      </c>
      <c r="AI25" s="41" t="s">
        <v>2154</v>
      </c>
      <c r="AJ25" s="41" t="s">
        <v>318</v>
      </c>
      <c r="AK25" s="41" t="s">
        <v>1392</v>
      </c>
      <c r="AL25" s="41" t="s">
        <v>2146</v>
      </c>
      <c r="AM25" s="41" t="s">
        <v>1393</v>
      </c>
      <c r="AN25" s="178" t="s">
        <v>1394</v>
      </c>
      <c r="AO25" s="178" t="s">
        <v>1394</v>
      </c>
      <c r="AP25" s="164">
        <v>0</v>
      </c>
      <c r="AQ25" s="153">
        <v>2338.6</v>
      </c>
      <c r="AR25" s="172">
        <v>132.53</v>
      </c>
      <c r="AS25" s="162">
        <v>1</v>
      </c>
      <c r="AT25" s="153">
        <v>3.0990000000000002</v>
      </c>
      <c r="AU25" s="153">
        <v>3.0990000000000002</v>
      </c>
      <c r="AV25" s="41"/>
      <c r="AW25" s="41"/>
      <c r="AX25" s="42" t="s">
        <v>141</v>
      </c>
      <c r="AY25" s="41" t="s">
        <v>36</v>
      </c>
      <c r="AZ25" s="164">
        <v>3.0679737967512601E-4</v>
      </c>
      <c r="BA25" s="164">
        <v>6.7127438173642404E-6</v>
      </c>
    </row>
    <row r="26" spans="1:53">
      <c r="A26" s="41">
        <v>1182</v>
      </c>
      <c r="B26" s="41">
        <v>1182</v>
      </c>
      <c r="C26" s="41" t="s">
        <v>2147</v>
      </c>
      <c r="D26" s="41" t="s">
        <v>134</v>
      </c>
      <c r="E26" s="41" t="s">
        <v>2231</v>
      </c>
      <c r="F26" s="41" t="s">
        <v>2232</v>
      </c>
      <c r="G26" s="41" t="s">
        <v>2138</v>
      </c>
      <c r="H26" s="41"/>
      <c r="I26" s="41" t="s">
        <v>30</v>
      </c>
      <c r="J26" s="41" t="s">
        <v>30</v>
      </c>
      <c r="K26" s="41" t="s">
        <v>151</v>
      </c>
      <c r="L26" s="41" t="s">
        <v>141</v>
      </c>
      <c r="M26" s="41" t="s">
        <v>318</v>
      </c>
      <c r="N26" s="41" t="s">
        <v>2233</v>
      </c>
      <c r="O26" s="178" t="s">
        <v>2234</v>
      </c>
      <c r="P26" s="202" t="s">
        <v>142</v>
      </c>
      <c r="Q26" s="21" t="s">
        <v>164</v>
      </c>
      <c r="R26" s="41" t="s">
        <v>2141</v>
      </c>
      <c r="S26" s="41" t="s">
        <v>34</v>
      </c>
      <c r="T26" s="153">
        <v>2.81</v>
      </c>
      <c r="U26" s="41" t="s">
        <v>2142</v>
      </c>
      <c r="V26" s="164">
        <v>5.5453000000000002E-2</v>
      </c>
      <c r="W26" s="41" t="s">
        <v>138</v>
      </c>
      <c r="X26" s="41" t="s">
        <v>2087</v>
      </c>
      <c r="Y26" s="185">
        <v>0</v>
      </c>
      <c r="Z26" s="164">
        <v>2.9100000000000001E-2</v>
      </c>
      <c r="AA26" s="41" t="s">
        <v>2153</v>
      </c>
      <c r="AB26" s="42" t="s">
        <v>146</v>
      </c>
      <c r="AC26" s="41" t="s">
        <v>1565</v>
      </c>
      <c r="AD26" s="188">
        <v>482000</v>
      </c>
      <c r="AE26" s="164">
        <v>0.73</v>
      </c>
      <c r="AF26" s="178" t="s">
        <v>1394</v>
      </c>
      <c r="AG26" s="41" t="s">
        <v>141</v>
      </c>
      <c r="AH26" s="41" t="s">
        <v>2144</v>
      </c>
      <c r="AI26" s="41" t="s">
        <v>2154</v>
      </c>
      <c r="AJ26" s="41" t="s">
        <v>318</v>
      </c>
      <c r="AK26" s="41" t="s">
        <v>1392</v>
      </c>
      <c r="AL26" s="41" t="s">
        <v>2146</v>
      </c>
      <c r="AM26" s="41" t="s">
        <v>1393</v>
      </c>
      <c r="AN26" s="178" t="s">
        <v>1394</v>
      </c>
      <c r="AO26" s="178" t="s">
        <v>1394</v>
      </c>
      <c r="AP26" s="164">
        <v>0</v>
      </c>
      <c r="AQ26" s="153">
        <v>13676.36</v>
      </c>
      <c r="AR26" s="172">
        <v>129.88999999999999</v>
      </c>
      <c r="AS26" s="162">
        <v>1</v>
      </c>
      <c r="AT26" s="153">
        <v>17.763999999999999</v>
      </c>
      <c r="AU26" s="153">
        <v>17.763999999999999</v>
      </c>
      <c r="AV26" s="41"/>
      <c r="AW26" s="41"/>
      <c r="AX26" s="42" t="s">
        <v>141</v>
      </c>
      <c r="AY26" s="41" t="s">
        <v>36</v>
      </c>
      <c r="AZ26" s="164">
        <v>1.7584407666951501E-3</v>
      </c>
      <c r="BA26" s="164">
        <v>3.8474782272695797E-5</v>
      </c>
    </row>
    <row r="27" spans="1:53">
      <c r="A27" s="41">
        <v>1182</v>
      </c>
      <c r="B27" s="41">
        <v>1182</v>
      </c>
      <c r="C27" s="41" t="s">
        <v>2147</v>
      </c>
      <c r="D27" s="41" t="s">
        <v>134</v>
      </c>
      <c r="E27" s="41" t="s">
        <v>2235</v>
      </c>
      <c r="F27" s="41" t="s">
        <v>2236</v>
      </c>
      <c r="G27" s="41" t="s">
        <v>2138</v>
      </c>
      <c r="H27" s="41"/>
      <c r="I27" s="41" t="s">
        <v>30</v>
      </c>
      <c r="J27" s="41" t="s">
        <v>30</v>
      </c>
      <c r="K27" s="41" t="s">
        <v>151</v>
      </c>
      <c r="L27" s="41" t="s">
        <v>141</v>
      </c>
      <c r="M27" s="41" t="s">
        <v>318</v>
      </c>
      <c r="N27" s="41" t="s">
        <v>2237</v>
      </c>
      <c r="O27" s="178" t="s">
        <v>2238</v>
      </c>
      <c r="P27" s="202" t="s">
        <v>142</v>
      </c>
      <c r="Q27" s="21" t="s">
        <v>164</v>
      </c>
      <c r="R27" s="41" t="s">
        <v>2141</v>
      </c>
      <c r="S27" s="41" t="s">
        <v>34</v>
      </c>
      <c r="T27" s="153">
        <v>2.81</v>
      </c>
      <c r="U27" s="41" t="s">
        <v>2142</v>
      </c>
      <c r="V27" s="164">
        <v>5.5764000000000001E-2</v>
      </c>
      <c r="W27" s="41" t="s">
        <v>138</v>
      </c>
      <c r="X27" s="41" t="s">
        <v>2087</v>
      </c>
      <c r="Y27" s="185">
        <v>0</v>
      </c>
      <c r="Z27" s="164">
        <v>2.9100000000000001E-2</v>
      </c>
      <c r="AA27" s="41" t="s">
        <v>2153</v>
      </c>
      <c r="AB27" s="42" t="s">
        <v>146</v>
      </c>
      <c r="AC27" s="41" t="s">
        <v>1565</v>
      </c>
      <c r="AD27" s="188">
        <v>482000</v>
      </c>
      <c r="AE27" s="164">
        <v>0.73</v>
      </c>
      <c r="AF27" s="178" t="s">
        <v>1394</v>
      </c>
      <c r="AG27" s="41" t="s">
        <v>141</v>
      </c>
      <c r="AH27" s="41" t="s">
        <v>2144</v>
      </c>
      <c r="AI27" s="41" t="s">
        <v>2154</v>
      </c>
      <c r="AJ27" s="41" t="s">
        <v>318</v>
      </c>
      <c r="AK27" s="41" t="s">
        <v>1392</v>
      </c>
      <c r="AL27" s="41" t="s">
        <v>2146</v>
      </c>
      <c r="AM27" s="41" t="s">
        <v>1393</v>
      </c>
      <c r="AN27" s="178" t="s">
        <v>1394</v>
      </c>
      <c r="AO27" s="178" t="s">
        <v>1394</v>
      </c>
      <c r="AP27" s="164">
        <v>0</v>
      </c>
      <c r="AQ27" s="153">
        <v>9904.75</v>
      </c>
      <c r="AR27" s="172">
        <v>132.54</v>
      </c>
      <c r="AS27" s="162">
        <v>1</v>
      </c>
      <c r="AT27" s="153">
        <v>13.128</v>
      </c>
      <c r="AU27" s="153">
        <v>13.128</v>
      </c>
      <c r="AV27" s="41"/>
      <c r="AW27" s="41"/>
      <c r="AX27" s="42" t="s">
        <v>141</v>
      </c>
      <c r="AY27" s="41" t="s">
        <v>36</v>
      </c>
      <c r="AZ27" s="164">
        <v>1.2994871436531399E-3</v>
      </c>
      <c r="BA27" s="164">
        <v>2.84328513448812E-5</v>
      </c>
    </row>
    <row r="28" spans="1:53">
      <c r="A28" s="41">
        <v>1182</v>
      </c>
      <c r="B28" s="41">
        <v>1182</v>
      </c>
      <c r="C28" s="41" t="s">
        <v>2147</v>
      </c>
      <c r="D28" s="41" t="s">
        <v>134</v>
      </c>
      <c r="E28" s="41" t="s">
        <v>2239</v>
      </c>
      <c r="F28" s="41" t="s">
        <v>2240</v>
      </c>
      <c r="G28" s="41" t="s">
        <v>2138</v>
      </c>
      <c r="H28" s="41"/>
      <c r="I28" s="41" t="s">
        <v>30</v>
      </c>
      <c r="J28" s="41" t="s">
        <v>30</v>
      </c>
      <c r="K28" s="41" t="s">
        <v>151</v>
      </c>
      <c r="L28" s="41" t="s">
        <v>141</v>
      </c>
      <c r="M28" s="41" t="s">
        <v>318</v>
      </c>
      <c r="N28" s="41" t="s">
        <v>2241</v>
      </c>
      <c r="O28" s="178" t="s">
        <v>2242</v>
      </c>
      <c r="P28" s="202" t="s">
        <v>142</v>
      </c>
      <c r="Q28" s="21" t="s">
        <v>164</v>
      </c>
      <c r="R28" s="41" t="s">
        <v>2141</v>
      </c>
      <c r="S28" s="41" t="s">
        <v>34</v>
      </c>
      <c r="T28" s="153">
        <v>2.82</v>
      </c>
      <c r="U28" s="41" t="s">
        <v>2152</v>
      </c>
      <c r="V28" s="164">
        <v>5.5453000000000002E-2</v>
      </c>
      <c r="W28" s="41" t="s">
        <v>138</v>
      </c>
      <c r="X28" s="41" t="s">
        <v>2087</v>
      </c>
      <c r="Y28" s="185">
        <v>0</v>
      </c>
      <c r="Z28" s="164">
        <v>2.9000000000000001E-2</v>
      </c>
      <c r="AA28" s="41" t="s">
        <v>2153</v>
      </c>
      <c r="AB28" s="42" t="s">
        <v>146</v>
      </c>
      <c r="AC28" s="41" t="s">
        <v>1565</v>
      </c>
      <c r="AD28" s="188">
        <v>482000</v>
      </c>
      <c r="AE28" s="164">
        <v>0.73</v>
      </c>
      <c r="AF28" s="178" t="s">
        <v>1394</v>
      </c>
      <c r="AG28" s="41" t="s">
        <v>141</v>
      </c>
      <c r="AH28" s="41" t="s">
        <v>2144</v>
      </c>
      <c r="AI28" s="41" t="s">
        <v>2154</v>
      </c>
      <c r="AJ28" s="41" t="s">
        <v>318</v>
      </c>
      <c r="AK28" s="41" t="s">
        <v>1392</v>
      </c>
      <c r="AL28" s="41" t="s">
        <v>2146</v>
      </c>
      <c r="AM28" s="41" t="s">
        <v>1393</v>
      </c>
      <c r="AN28" s="178" t="s">
        <v>1394</v>
      </c>
      <c r="AO28" s="178" t="s">
        <v>1394</v>
      </c>
      <c r="AP28" s="164">
        <v>0</v>
      </c>
      <c r="AQ28" s="153">
        <v>2362.48</v>
      </c>
      <c r="AR28" s="172">
        <v>130.56</v>
      </c>
      <c r="AS28" s="162">
        <v>1</v>
      </c>
      <c r="AT28" s="153">
        <v>3.0840000000000001</v>
      </c>
      <c r="AU28" s="153">
        <v>3.0840000000000001</v>
      </c>
      <c r="AV28" s="41"/>
      <c r="AW28" s="41"/>
      <c r="AX28" s="42" t="s">
        <v>141</v>
      </c>
      <c r="AY28" s="41" t="s">
        <v>36</v>
      </c>
      <c r="AZ28" s="164">
        <v>3.0532318543322003E-4</v>
      </c>
      <c r="BA28" s="164">
        <v>6.6804883649433901E-6</v>
      </c>
    </row>
    <row r="29" spans="1:53">
      <c r="A29" s="41">
        <v>1182</v>
      </c>
      <c r="B29" s="41">
        <v>1182</v>
      </c>
      <c r="C29" s="41" t="s">
        <v>2147</v>
      </c>
      <c r="D29" s="41" t="s">
        <v>134</v>
      </c>
      <c r="E29" s="41" t="s">
        <v>2243</v>
      </c>
      <c r="F29" s="41" t="s">
        <v>2244</v>
      </c>
      <c r="G29" s="41" t="s">
        <v>2138</v>
      </c>
      <c r="H29" s="41"/>
      <c r="I29" s="41" t="s">
        <v>30</v>
      </c>
      <c r="J29" s="41" t="s">
        <v>30</v>
      </c>
      <c r="K29" s="41" t="s">
        <v>151</v>
      </c>
      <c r="L29" s="41" t="s">
        <v>141</v>
      </c>
      <c r="M29" s="41" t="s">
        <v>318</v>
      </c>
      <c r="N29" s="41" t="s">
        <v>2245</v>
      </c>
      <c r="O29" s="178" t="s">
        <v>2246</v>
      </c>
      <c r="P29" s="202" t="s">
        <v>142</v>
      </c>
      <c r="Q29" s="21" t="s">
        <v>164</v>
      </c>
      <c r="R29" s="41" t="s">
        <v>2141</v>
      </c>
      <c r="S29" s="41" t="s">
        <v>34</v>
      </c>
      <c r="T29" s="153">
        <v>2.82</v>
      </c>
      <c r="U29" s="41" t="s">
        <v>2142</v>
      </c>
      <c r="V29" s="164">
        <v>5.5451E-2</v>
      </c>
      <c r="W29" s="41" t="s">
        <v>138</v>
      </c>
      <c r="X29" s="41" t="s">
        <v>2087</v>
      </c>
      <c r="Y29" s="185">
        <v>0</v>
      </c>
      <c r="Z29" s="164">
        <v>2.9100000000000001E-2</v>
      </c>
      <c r="AA29" s="41" t="s">
        <v>2153</v>
      </c>
      <c r="AB29" s="42" t="s">
        <v>146</v>
      </c>
      <c r="AC29" s="41" t="s">
        <v>1565</v>
      </c>
      <c r="AD29" s="188">
        <v>482000</v>
      </c>
      <c r="AE29" s="164">
        <v>0.73</v>
      </c>
      <c r="AF29" s="178" t="s">
        <v>1394</v>
      </c>
      <c r="AG29" s="41" t="s">
        <v>141</v>
      </c>
      <c r="AH29" s="41" t="s">
        <v>2144</v>
      </c>
      <c r="AI29" s="41" t="s">
        <v>2154</v>
      </c>
      <c r="AJ29" s="41" t="s">
        <v>318</v>
      </c>
      <c r="AK29" s="41" t="s">
        <v>1392</v>
      </c>
      <c r="AL29" s="41" t="s">
        <v>2146</v>
      </c>
      <c r="AM29" s="41" t="s">
        <v>1393</v>
      </c>
      <c r="AN29" s="178" t="s">
        <v>1394</v>
      </c>
      <c r="AO29" s="178" t="s">
        <v>1394</v>
      </c>
      <c r="AP29" s="164">
        <v>0</v>
      </c>
      <c r="AQ29" s="153">
        <v>4782.63</v>
      </c>
      <c r="AR29" s="172">
        <v>130.28</v>
      </c>
      <c r="AS29" s="162">
        <v>1</v>
      </c>
      <c r="AT29" s="153">
        <v>6.2309999999999999</v>
      </c>
      <c r="AU29" s="153">
        <v>6.2309999999999999</v>
      </c>
      <c r="AV29" s="41"/>
      <c r="AW29" s="41"/>
      <c r="AX29" s="42" t="s">
        <v>141</v>
      </c>
      <c r="AY29" s="41" t="s">
        <v>36</v>
      </c>
      <c r="AZ29" s="164">
        <v>6.16773969475792E-4</v>
      </c>
      <c r="BA29" s="164">
        <v>1.34950489299941E-5</v>
      </c>
    </row>
    <row r="30" spans="1:53">
      <c r="A30" s="41">
        <v>1182</v>
      </c>
      <c r="B30" s="41">
        <v>1182</v>
      </c>
      <c r="C30" s="41" t="s">
        <v>2147</v>
      </c>
      <c r="D30" s="41" t="s">
        <v>134</v>
      </c>
      <c r="E30" s="41" t="s">
        <v>2247</v>
      </c>
      <c r="F30" s="41" t="s">
        <v>2248</v>
      </c>
      <c r="G30" s="41" t="s">
        <v>2138</v>
      </c>
      <c r="H30" s="41"/>
      <c r="I30" s="41" t="s">
        <v>30</v>
      </c>
      <c r="J30" s="41" t="s">
        <v>30</v>
      </c>
      <c r="K30" s="41" t="s">
        <v>151</v>
      </c>
      <c r="L30" s="41" t="s">
        <v>141</v>
      </c>
      <c r="M30" s="41" t="s">
        <v>318</v>
      </c>
      <c r="N30" s="41" t="s">
        <v>2249</v>
      </c>
      <c r="O30" s="178" t="s">
        <v>2250</v>
      </c>
      <c r="P30" s="202" t="s">
        <v>142</v>
      </c>
      <c r="Q30" s="21" t="s">
        <v>164</v>
      </c>
      <c r="R30" s="41" t="s">
        <v>2141</v>
      </c>
      <c r="S30" s="41" t="s">
        <v>34</v>
      </c>
      <c r="T30" s="153">
        <v>2.82</v>
      </c>
      <c r="U30" s="41" t="s">
        <v>2142</v>
      </c>
      <c r="V30" s="164">
        <v>5.5451E-2</v>
      </c>
      <c r="W30" s="41" t="s">
        <v>138</v>
      </c>
      <c r="X30" s="41" t="s">
        <v>2087</v>
      </c>
      <c r="Y30" s="185">
        <v>0</v>
      </c>
      <c r="Z30" s="164">
        <v>2.9100000000000001E-2</v>
      </c>
      <c r="AA30" s="41" t="s">
        <v>2153</v>
      </c>
      <c r="AB30" s="42" t="s">
        <v>146</v>
      </c>
      <c r="AC30" s="41" t="s">
        <v>1565</v>
      </c>
      <c r="AD30" s="188">
        <v>482000</v>
      </c>
      <c r="AE30" s="164">
        <v>0.73</v>
      </c>
      <c r="AF30" s="178" t="s">
        <v>1394</v>
      </c>
      <c r="AG30" s="41" t="s">
        <v>141</v>
      </c>
      <c r="AH30" s="41" t="s">
        <v>2144</v>
      </c>
      <c r="AI30" s="41" t="s">
        <v>2154</v>
      </c>
      <c r="AJ30" s="41" t="s">
        <v>318</v>
      </c>
      <c r="AK30" s="41" t="s">
        <v>1392</v>
      </c>
      <c r="AL30" s="41" t="s">
        <v>2146</v>
      </c>
      <c r="AM30" s="41" t="s">
        <v>1393</v>
      </c>
      <c r="AN30" s="178" t="s">
        <v>1394</v>
      </c>
      <c r="AO30" s="178" t="s">
        <v>1394</v>
      </c>
      <c r="AP30" s="164">
        <v>0</v>
      </c>
      <c r="AQ30" s="153">
        <v>7415.9</v>
      </c>
      <c r="AR30" s="172">
        <v>130.51</v>
      </c>
      <c r="AS30" s="162">
        <v>1</v>
      </c>
      <c r="AT30" s="153">
        <v>9.6780000000000008</v>
      </c>
      <c r="AU30" s="153">
        <v>9.6780000000000008</v>
      </c>
      <c r="AV30" s="41"/>
      <c r="AW30" s="41"/>
      <c r="AX30" s="42" t="s">
        <v>141</v>
      </c>
      <c r="AY30" s="41" t="s">
        <v>36</v>
      </c>
      <c r="AZ30" s="164">
        <v>9.5805216647344303E-4</v>
      </c>
      <c r="BA30" s="164">
        <v>2.0962234957864E-5</v>
      </c>
    </row>
    <row r="31" spans="1:53">
      <c r="A31" s="41">
        <v>1182</v>
      </c>
      <c r="B31" s="41">
        <v>1182</v>
      </c>
      <c r="C31" s="41" t="s">
        <v>2147</v>
      </c>
      <c r="D31" s="41" t="s">
        <v>134</v>
      </c>
      <c r="E31" s="41" t="s">
        <v>2251</v>
      </c>
      <c r="F31" s="41" t="s">
        <v>2252</v>
      </c>
      <c r="G31" s="41" t="s">
        <v>2138</v>
      </c>
      <c r="H31" s="41"/>
      <c r="I31" s="41" t="s">
        <v>30</v>
      </c>
      <c r="J31" s="41" t="s">
        <v>30</v>
      </c>
      <c r="K31" s="41" t="s">
        <v>151</v>
      </c>
      <c r="L31" s="41" t="s">
        <v>141</v>
      </c>
      <c r="M31" s="41" t="s">
        <v>318</v>
      </c>
      <c r="N31" s="41" t="s">
        <v>2253</v>
      </c>
      <c r="O31" s="178" t="s">
        <v>2242</v>
      </c>
      <c r="P31" s="202" t="s">
        <v>142</v>
      </c>
      <c r="Q31" s="21" t="s">
        <v>164</v>
      </c>
      <c r="R31" s="41" t="s">
        <v>2141</v>
      </c>
      <c r="S31" s="41" t="s">
        <v>34</v>
      </c>
      <c r="T31" s="153">
        <v>2.82</v>
      </c>
      <c r="U31" s="41" t="s">
        <v>2152</v>
      </c>
      <c r="V31" s="164">
        <v>5.5453000000000002E-2</v>
      </c>
      <c r="W31" s="41" t="s">
        <v>138</v>
      </c>
      <c r="X31" s="41" t="s">
        <v>2087</v>
      </c>
      <c r="Y31" s="185">
        <v>0</v>
      </c>
      <c r="Z31" s="164">
        <v>2.9000000000000001E-2</v>
      </c>
      <c r="AA31" s="41" t="s">
        <v>2153</v>
      </c>
      <c r="AB31" s="42" t="s">
        <v>146</v>
      </c>
      <c r="AC31" s="41" t="s">
        <v>1565</v>
      </c>
      <c r="AD31" s="188">
        <v>482000</v>
      </c>
      <c r="AE31" s="164">
        <v>0.73</v>
      </c>
      <c r="AF31" s="178" t="s">
        <v>1394</v>
      </c>
      <c r="AG31" s="41" t="s">
        <v>141</v>
      </c>
      <c r="AH31" s="41" t="s">
        <v>2144</v>
      </c>
      <c r="AI31" s="41" t="s">
        <v>2154</v>
      </c>
      <c r="AJ31" s="41" t="s">
        <v>318</v>
      </c>
      <c r="AK31" s="41" t="s">
        <v>1392</v>
      </c>
      <c r="AL31" s="41" t="s">
        <v>2146</v>
      </c>
      <c r="AM31" s="41" t="s">
        <v>1393</v>
      </c>
      <c r="AN31" s="178" t="s">
        <v>1394</v>
      </c>
      <c r="AO31" s="178" t="s">
        <v>1394</v>
      </c>
      <c r="AP31" s="164">
        <v>0</v>
      </c>
      <c r="AQ31" s="153">
        <v>1956.35</v>
      </c>
      <c r="AR31" s="172">
        <v>129.63</v>
      </c>
      <c r="AS31" s="162">
        <v>1</v>
      </c>
      <c r="AT31" s="153">
        <v>2.536</v>
      </c>
      <c r="AU31" s="153">
        <v>2.536</v>
      </c>
      <c r="AV31" s="41"/>
      <c r="AW31" s="41"/>
      <c r="AX31" s="42" t="s">
        <v>141</v>
      </c>
      <c r="AY31" s="41" t="s">
        <v>36</v>
      </c>
      <c r="AZ31" s="164">
        <v>2.5103459663645299E-4</v>
      </c>
      <c r="BA31" s="164">
        <v>5.4926510073205196E-6</v>
      </c>
    </row>
    <row r="32" spans="1:53">
      <c r="A32" s="41">
        <v>1182</v>
      </c>
      <c r="B32" s="41">
        <v>1182</v>
      </c>
      <c r="C32" s="41" t="s">
        <v>2147</v>
      </c>
      <c r="D32" s="41" t="s">
        <v>134</v>
      </c>
      <c r="E32" s="41" t="s">
        <v>2254</v>
      </c>
      <c r="F32" s="41" t="s">
        <v>2255</v>
      </c>
      <c r="G32" s="41" t="s">
        <v>2138</v>
      </c>
      <c r="H32" s="41"/>
      <c r="I32" s="41" t="s">
        <v>30</v>
      </c>
      <c r="J32" s="41" t="s">
        <v>30</v>
      </c>
      <c r="K32" s="41" t="s">
        <v>151</v>
      </c>
      <c r="L32" s="41" t="s">
        <v>141</v>
      </c>
      <c r="M32" s="41" t="s">
        <v>318</v>
      </c>
      <c r="N32" s="41" t="s">
        <v>2256</v>
      </c>
      <c r="O32" s="178" t="s">
        <v>2257</v>
      </c>
      <c r="P32" s="202" t="s">
        <v>142</v>
      </c>
      <c r="Q32" s="21" t="s">
        <v>164</v>
      </c>
      <c r="R32" s="41" t="s">
        <v>2141</v>
      </c>
      <c r="S32" s="41" t="s">
        <v>34</v>
      </c>
      <c r="T32" s="153">
        <v>2.82</v>
      </c>
      <c r="U32" s="41" t="s">
        <v>2142</v>
      </c>
      <c r="V32" s="164">
        <v>5.5453000000000002E-2</v>
      </c>
      <c r="W32" s="41" t="s">
        <v>138</v>
      </c>
      <c r="X32" s="41" t="s">
        <v>2087</v>
      </c>
      <c r="Y32" s="185">
        <v>0</v>
      </c>
      <c r="Z32" s="164">
        <v>2.9100000000000001E-2</v>
      </c>
      <c r="AA32" s="41" t="s">
        <v>2153</v>
      </c>
      <c r="AB32" s="42" t="s">
        <v>146</v>
      </c>
      <c r="AC32" s="41" t="s">
        <v>1565</v>
      </c>
      <c r="AD32" s="188">
        <v>482000</v>
      </c>
      <c r="AE32" s="164">
        <v>0.73</v>
      </c>
      <c r="AF32" s="178" t="s">
        <v>1394</v>
      </c>
      <c r="AG32" s="41" t="s">
        <v>141</v>
      </c>
      <c r="AH32" s="41" t="s">
        <v>2144</v>
      </c>
      <c r="AI32" s="41" t="s">
        <v>2154</v>
      </c>
      <c r="AJ32" s="41" t="s">
        <v>318</v>
      </c>
      <c r="AK32" s="41" t="s">
        <v>1392</v>
      </c>
      <c r="AL32" s="41" t="s">
        <v>2146</v>
      </c>
      <c r="AM32" s="41" t="s">
        <v>1393</v>
      </c>
      <c r="AN32" s="178" t="s">
        <v>1394</v>
      </c>
      <c r="AO32" s="178" t="s">
        <v>1394</v>
      </c>
      <c r="AP32" s="164">
        <v>0</v>
      </c>
      <c r="AQ32" s="153">
        <v>1717.21</v>
      </c>
      <c r="AR32" s="172">
        <v>128.61000000000001</v>
      </c>
      <c r="AS32" s="162">
        <v>1</v>
      </c>
      <c r="AT32" s="153">
        <v>2.2090000000000001</v>
      </c>
      <c r="AU32" s="153">
        <v>2.2090000000000001</v>
      </c>
      <c r="AV32" s="41"/>
      <c r="AW32" s="41"/>
      <c r="AX32" s="42" t="s">
        <v>141</v>
      </c>
      <c r="AY32" s="41" t="s">
        <v>36</v>
      </c>
      <c r="AZ32" s="164">
        <v>2.18614845266323E-4</v>
      </c>
      <c r="BA32" s="164">
        <v>4.7833050350675197E-6</v>
      </c>
    </row>
    <row r="33" spans="1:53">
      <c r="A33" s="41">
        <v>1182</v>
      </c>
      <c r="B33" s="41">
        <v>1182</v>
      </c>
      <c r="C33" s="41" t="s">
        <v>2147</v>
      </c>
      <c r="D33" s="41" t="s">
        <v>134</v>
      </c>
      <c r="E33" s="41" t="s">
        <v>2258</v>
      </c>
      <c r="F33" s="41" t="s">
        <v>2259</v>
      </c>
      <c r="G33" s="41" t="s">
        <v>2138</v>
      </c>
      <c r="H33" s="41"/>
      <c r="I33" s="41" t="s">
        <v>30</v>
      </c>
      <c r="J33" s="41" t="s">
        <v>30</v>
      </c>
      <c r="K33" s="41" t="s">
        <v>151</v>
      </c>
      <c r="L33" s="41" t="s">
        <v>141</v>
      </c>
      <c r="M33" s="41" t="s">
        <v>318</v>
      </c>
      <c r="N33" s="41" t="s">
        <v>2260</v>
      </c>
      <c r="O33" s="178" t="s">
        <v>2261</v>
      </c>
      <c r="P33" s="202" t="s">
        <v>142</v>
      </c>
      <c r="Q33" s="21" t="s">
        <v>164</v>
      </c>
      <c r="R33" s="41" t="s">
        <v>2141</v>
      </c>
      <c r="S33" s="41" t="s">
        <v>34</v>
      </c>
      <c r="T33" s="153">
        <v>2.82</v>
      </c>
      <c r="U33" s="41" t="s">
        <v>2142</v>
      </c>
      <c r="V33" s="164">
        <v>5.5452000000000001E-2</v>
      </c>
      <c r="W33" s="41" t="s">
        <v>138</v>
      </c>
      <c r="X33" s="41" t="s">
        <v>2087</v>
      </c>
      <c r="Y33" s="185">
        <v>0</v>
      </c>
      <c r="Z33" s="164">
        <v>2.9100000000000001E-2</v>
      </c>
      <c r="AA33" s="41" t="s">
        <v>2153</v>
      </c>
      <c r="AB33" s="42" t="s">
        <v>146</v>
      </c>
      <c r="AC33" s="41" t="s">
        <v>1565</v>
      </c>
      <c r="AD33" s="188">
        <v>482000</v>
      </c>
      <c r="AE33" s="164">
        <v>0.73</v>
      </c>
      <c r="AF33" s="178" t="s">
        <v>1394</v>
      </c>
      <c r="AG33" s="41" t="s">
        <v>141</v>
      </c>
      <c r="AH33" s="41" t="s">
        <v>2144</v>
      </c>
      <c r="AI33" s="41" t="s">
        <v>2154</v>
      </c>
      <c r="AJ33" s="41" t="s">
        <v>318</v>
      </c>
      <c r="AK33" s="41" t="s">
        <v>1392</v>
      </c>
      <c r="AL33" s="41" t="s">
        <v>2146</v>
      </c>
      <c r="AM33" s="41" t="s">
        <v>1393</v>
      </c>
      <c r="AN33" s="178" t="s">
        <v>1394</v>
      </c>
      <c r="AO33" s="178" t="s">
        <v>1394</v>
      </c>
      <c r="AP33" s="164">
        <v>0</v>
      </c>
      <c r="AQ33" s="153">
        <v>1914.22</v>
      </c>
      <c r="AR33" s="172">
        <v>127.98</v>
      </c>
      <c r="AS33" s="162">
        <v>1</v>
      </c>
      <c r="AT33" s="153">
        <v>2.4500000000000002</v>
      </c>
      <c r="AU33" s="153">
        <v>2.4500000000000002</v>
      </c>
      <c r="AV33" s="41"/>
      <c r="AW33" s="41"/>
      <c r="AX33" s="42" t="s">
        <v>141</v>
      </c>
      <c r="AY33" s="41" t="s">
        <v>36</v>
      </c>
      <c r="AZ33" s="164">
        <v>2.4250207442749999E-4</v>
      </c>
      <c r="BA33" s="164">
        <v>5.30595894441787E-6</v>
      </c>
    </row>
    <row r="34" spans="1:53">
      <c r="A34" s="41">
        <v>1182</v>
      </c>
      <c r="B34" s="41">
        <v>1182</v>
      </c>
      <c r="C34" s="41" t="s">
        <v>2147</v>
      </c>
      <c r="D34" s="41" t="s">
        <v>134</v>
      </c>
      <c r="E34" s="41" t="s">
        <v>2262</v>
      </c>
      <c r="F34" s="41" t="s">
        <v>2263</v>
      </c>
      <c r="G34" s="41" t="s">
        <v>2138</v>
      </c>
      <c r="H34" s="41"/>
      <c r="I34" s="41" t="s">
        <v>30</v>
      </c>
      <c r="J34" s="41" t="s">
        <v>30</v>
      </c>
      <c r="K34" s="41" t="s">
        <v>151</v>
      </c>
      <c r="L34" s="41" t="s">
        <v>141</v>
      </c>
      <c r="M34" s="41" t="s">
        <v>318</v>
      </c>
      <c r="N34" s="41" t="s">
        <v>2264</v>
      </c>
      <c r="O34" s="178" t="s">
        <v>2265</v>
      </c>
      <c r="P34" s="202" t="s">
        <v>142</v>
      </c>
      <c r="Q34" s="21" t="s">
        <v>164</v>
      </c>
      <c r="R34" s="41" t="s">
        <v>2141</v>
      </c>
      <c r="S34" s="41" t="s">
        <v>34</v>
      </c>
      <c r="T34" s="153">
        <v>2.82</v>
      </c>
      <c r="U34" s="41" t="s">
        <v>2142</v>
      </c>
      <c r="V34" s="164">
        <v>5.5452000000000001E-2</v>
      </c>
      <c r="W34" s="41" t="s">
        <v>138</v>
      </c>
      <c r="X34" s="41" t="s">
        <v>2087</v>
      </c>
      <c r="Y34" s="185">
        <v>0</v>
      </c>
      <c r="Z34" s="164">
        <v>2.9100000000000001E-2</v>
      </c>
      <c r="AA34" s="41" t="s">
        <v>2153</v>
      </c>
      <c r="AB34" s="42" t="s">
        <v>146</v>
      </c>
      <c r="AC34" s="41" t="s">
        <v>1565</v>
      </c>
      <c r="AD34" s="188">
        <v>482000</v>
      </c>
      <c r="AE34" s="164">
        <v>0.73</v>
      </c>
      <c r="AF34" s="178" t="s">
        <v>1394</v>
      </c>
      <c r="AG34" s="41" t="s">
        <v>141</v>
      </c>
      <c r="AH34" s="41" t="s">
        <v>2144</v>
      </c>
      <c r="AI34" s="41" t="s">
        <v>2154</v>
      </c>
      <c r="AJ34" s="41" t="s">
        <v>318</v>
      </c>
      <c r="AK34" s="41" t="s">
        <v>1392</v>
      </c>
      <c r="AL34" s="41" t="s">
        <v>2146</v>
      </c>
      <c r="AM34" s="41" t="s">
        <v>1393</v>
      </c>
      <c r="AN34" s="178" t="s">
        <v>1394</v>
      </c>
      <c r="AO34" s="178" t="s">
        <v>1394</v>
      </c>
      <c r="AP34" s="164">
        <v>0</v>
      </c>
      <c r="AQ34" s="153">
        <v>5620.52</v>
      </c>
      <c r="AR34" s="172">
        <v>128.09</v>
      </c>
      <c r="AS34" s="162">
        <v>1</v>
      </c>
      <c r="AT34" s="153">
        <v>7.1989999999999998</v>
      </c>
      <c r="AU34" s="153">
        <v>7.1989999999999998</v>
      </c>
      <c r="AV34" s="41"/>
      <c r="AW34" s="41"/>
      <c r="AX34" s="42" t="s">
        <v>141</v>
      </c>
      <c r="AY34" s="41" t="s">
        <v>36</v>
      </c>
      <c r="AZ34" s="164">
        <v>7.12644972894406E-4</v>
      </c>
      <c r="BA34" s="164">
        <v>1.5592711844013401E-5</v>
      </c>
    </row>
    <row r="35" spans="1:53">
      <c r="A35" s="41">
        <v>1182</v>
      </c>
      <c r="B35" s="41">
        <v>1182</v>
      </c>
      <c r="C35" s="41" t="s">
        <v>2147</v>
      </c>
      <c r="D35" s="41" t="s">
        <v>134</v>
      </c>
      <c r="E35" s="41" t="s">
        <v>2266</v>
      </c>
      <c r="F35" s="41" t="s">
        <v>2267</v>
      </c>
      <c r="G35" s="41" t="s">
        <v>2138</v>
      </c>
      <c r="H35" s="41"/>
      <c r="I35" s="41" t="s">
        <v>30</v>
      </c>
      <c r="J35" s="41" t="s">
        <v>30</v>
      </c>
      <c r="K35" s="41" t="s">
        <v>151</v>
      </c>
      <c r="L35" s="41" t="s">
        <v>141</v>
      </c>
      <c r="M35" s="41" t="s">
        <v>318</v>
      </c>
      <c r="N35" s="41" t="s">
        <v>2268</v>
      </c>
      <c r="O35" s="178" t="s">
        <v>2269</v>
      </c>
      <c r="P35" s="202" t="s">
        <v>142</v>
      </c>
      <c r="Q35" s="21" t="s">
        <v>164</v>
      </c>
      <c r="R35" s="41" t="s">
        <v>2141</v>
      </c>
      <c r="S35" s="41" t="s">
        <v>34</v>
      </c>
      <c r="T35" s="153">
        <v>2.82</v>
      </c>
      <c r="U35" s="41" t="s">
        <v>2142</v>
      </c>
      <c r="V35" s="164">
        <v>5.5453000000000002E-2</v>
      </c>
      <c r="W35" s="41" t="s">
        <v>138</v>
      </c>
      <c r="X35" s="41" t="s">
        <v>2087</v>
      </c>
      <c r="Y35" s="185">
        <v>0</v>
      </c>
      <c r="Z35" s="164">
        <v>2.9100000000000001E-2</v>
      </c>
      <c r="AA35" s="41" t="s">
        <v>2153</v>
      </c>
      <c r="AB35" s="42" t="s">
        <v>146</v>
      </c>
      <c r="AC35" s="41" t="s">
        <v>1565</v>
      </c>
      <c r="AD35" s="188">
        <v>482000</v>
      </c>
      <c r="AE35" s="164">
        <v>0.73</v>
      </c>
      <c r="AF35" s="178" t="s">
        <v>1394</v>
      </c>
      <c r="AG35" s="41" t="s">
        <v>141</v>
      </c>
      <c r="AH35" s="41" t="s">
        <v>2144</v>
      </c>
      <c r="AI35" s="41" t="s">
        <v>2154</v>
      </c>
      <c r="AJ35" s="41" t="s">
        <v>318</v>
      </c>
      <c r="AK35" s="41" t="s">
        <v>1392</v>
      </c>
      <c r="AL35" s="41" t="s">
        <v>2146</v>
      </c>
      <c r="AM35" s="41" t="s">
        <v>1393</v>
      </c>
      <c r="AN35" s="178" t="s">
        <v>1394</v>
      </c>
      <c r="AO35" s="178" t="s">
        <v>1394</v>
      </c>
      <c r="AP35" s="164">
        <v>0</v>
      </c>
      <c r="AQ35" s="153">
        <v>1043.3</v>
      </c>
      <c r="AR35" s="172">
        <v>128.72</v>
      </c>
      <c r="AS35" s="162">
        <v>1</v>
      </c>
      <c r="AT35" s="153">
        <v>1.343</v>
      </c>
      <c r="AU35" s="153">
        <v>1.343</v>
      </c>
      <c r="AV35" s="41"/>
      <c r="AW35" s="41"/>
      <c r="AX35" s="42" t="s">
        <v>141</v>
      </c>
      <c r="AY35" s="41" t="s">
        <v>36</v>
      </c>
      <c r="AZ35" s="164">
        <v>1.32934204550955E-4</v>
      </c>
      <c r="BA35" s="164">
        <v>2.9086078266398099E-6</v>
      </c>
    </row>
    <row r="36" spans="1:53">
      <c r="A36" s="41">
        <v>1182</v>
      </c>
      <c r="B36" s="41">
        <v>1182</v>
      </c>
      <c r="C36" s="41" t="s">
        <v>2147</v>
      </c>
      <c r="D36" s="41" t="s">
        <v>134</v>
      </c>
      <c r="E36" s="41" t="s">
        <v>2270</v>
      </c>
      <c r="F36" s="41" t="s">
        <v>2271</v>
      </c>
      <c r="G36" s="41" t="s">
        <v>2138</v>
      </c>
      <c r="H36" s="41"/>
      <c r="I36" s="41" t="s">
        <v>30</v>
      </c>
      <c r="J36" s="41" t="s">
        <v>30</v>
      </c>
      <c r="K36" s="41" t="s">
        <v>151</v>
      </c>
      <c r="L36" s="41" t="s">
        <v>141</v>
      </c>
      <c r="M36" s="41" t="s">
        <v>318</v>
      </c>
      <c r="N36" s="41" t="s">
        <v>2272</v>
      </c>
      <c r="O36" s="178" t="s">
        <v>2273</v>
      </c>
      <c r="P36" s="202" t="s">
        <v>142</v>
      </c>
      <c r="Q36" s="21" t="s">
        <v>164</v>
      </c>
      <c r="R36" s="41" t="s">
        <v>2141</v>
      </c>
      <c r="S36" s="41" t="s">
        <v>34</v>
      </c>
      <c r="T36" s="153">
        <v>2.82</v>
      </c>
      <c r="U36" s="41" t="s">
        <v>2142</v>
      </c>
      <c r="V36" s="164">
        <v>5.5452000000000001E-2</v>
      </c>
      <c r="W36" s="41" t="s">
        <v>138</v>
      </c>
      <c r="X36" s="41" t="s">
        <v>2087</v>
      </c>
      <c r="Y36" s="185">
        <v>0</v>
      </c>
      <c r="Z36" s="164">
        <v>2.9100000000000001E-2</v>
      </c>
      <c r="AA36" s="41" t="s">
        <v>2153</v>
      </c>
      <c r="AB36" s="42" t="s">
        <v>146</v>
      </c>
      <c r="AC36" s="41" t="s">
        <v>1565</v>
      </c>
      <c r="AD36" s="188">
        <v>482000</v>
      </c>
      <c r="AE36" s="164">
        <v>0.73</v>
      </c>
      <c r="AF36" s="178" t="s">
        <v>1394</v>
      </c>
      <c r="AG36" s="41" t="s">
        <v>141</v>
      </c>
      <c r="AH36" s="41" t="s">
        <v>2144</v>
      </c>
      <c r="AI36" s="41" t="s">
        <v>2154</v>
      </c>
      <c r="AJ36" s="41" t="s">
        <v>318</v>
      </c>
      <c r="AK36" s="41" t="s">
        <v>1392</v>
      </c>
      <c r="AL36" s="41" t="s">
        <v>2146</v>
      </c>
      <c r="AM36" s="41" t="s">
        <v>1393</v>
      </c>
      <c r="AN36" s="178" t="s">
        <v>1394</v>
      </c>
      <c r="AO36" s="178" t="s">
        <v>1394</v>
      </c>
      <c r="AP36" s="164">
        <v>0</v>
      </c>
      <c r="AQ36" s="153">
        <v>2081.9899999999998</v>
      </c>
      <c r="AR36" s="172">
        <v>128.97</v>
      </c>
      <c r="AS36" s="162">
        <v>1</v>
      </c>
      <c r="AT36" s="153">
        <v>2.6850000000000001</v>
      </c>
      <c r="AU36" s="153">
        <v>2.6850000000000001</v>
      </c>
      <c r="AV36" s="41"/>
      <c r="AW36" s="41"/>
      <c r="AX36" s="42" t="s">
        <v>141</v>
      </c>
      <c r="AY36" s="41" t="s">
        <v>36</v>
      </c>
      <c r="AZ36" s="164">
        <v>2.6579624534107699E-4</v>
      </c>
      <c r="BA36" s="164">
        <v>5.8156367061586203E-6</v>
      </c>
    </row>
    <row r="37" spans="1:53">
      <c r="A37" s="41">
        <v>1182</v>
      </c>
      <c r="B37" s="41">
        <v>1182</v>
      </c>
      <c r="C37" s="41" t="s">
        <v>2147</v>
      </c>
      <c r="D37" s="41" t="s">
        <v>134</v>
      </c>
      <c r="E37" s="41" t="s">
        <v>2274</v>
      </c>
      <c r="F37" s="41" t="s">
        <v>2275</v>
      </c>
      <c r="G37" s="41" t="s">
        <v>2138</v>
      </c>
      <c r="H37" s="41"/>
      <c r="I37" s="41" t="s">
        <v>30</v>
      </c>
      <c r="J37" s="41" t="s">
        <v>30</v>
      </c>
      <c r="K37" s="41" t="s">
        <v>151</v>
      </c>
      <c r="L37" s="41" t="s">
        <v>141</v>
      </c>
      <c r="M37" s="41" t="s">
        <v>318</v>
      </c>
      <c r="N37" s="41" t="s">
        <v>2276</v>
      </c>
      <c r="O37" s="178" t="s">
        <v>2277</v>
      </c>
      <c r="P37" s="202" t="s">
        <v>142</v>
      </c>
      <c r="Q37" s="21" t="s">
        <v>164</v>
      </c>
      <c r="R37" s="41" t="s">
        <v>2141</v>
      </c>
      <c r="S37" s="41" t="s">
        <v>34</v>
      </c>
      <c r="T37" s="153">
        <v>2.82</v>
      </c>
      <c r="U37" s="41" t="s">
        <v>2142</v>
      </c>
      <c r="V37" s="164">
        <v>5.5451E-2</v>
      </c>
      <c r="W37" s="41" t="s">
        <v>138</v>
      </c>
      <c r="X37" s="41" t="s">
        <v>2087</v>
      </c>
      <c r="Y37" s="185">
        <v>0</v>
      </c>
      <c r="Z37" s="164">
        <v>2.9100000000000001E-2</v>
      </c>
      <c r="AA37" s="41" t="s">
        <v>2153</v>
      </c>
      <c r="AB37" s="42" t="s">
        <v>146</v>
      </c>
      <c r="AC37" s="41" t="s">
        <v>1565</v>
      </c>
      <c r="AD37" s="188">
        <v>482000</v>
      </c>
      <c r="AE37" s="164">
        <v>0.73</v>
      </c>
      <c r="AF37" s="178" t="s">
        <v>1394</v>
      </c>
      <c r="AG37" s="41" t="s">
        <v>141</v>
      </c>
      <c r="AH37" s="41" t="s">
        <v>2144</v>
      </c>
      <c r="AI37" s="41" t="s">
        <v>2154</v>
      </c>
      <c r="AJ37" s="41" t="s">
        <v>318</v>
      </c>
      <c r="AK37" s="41" t="s">
        <v>1392</v>
      </c>
      <c r="AL37" s="41" t="s">
        <v>2146</v>
      </c>
      <c r="AM37" s="41" t="s">
        <v>1393</v>
      </c>
      <c r="AN37" s="178" t="s">
        <v>1394</v>
      </c>
      <c r="AO37" s="178" t="s">
        <v>1394</v>
      </c>
      <c r="AP37" s="164">
        <v>0</v>
      </c>
      <c r="AQ37" s="153">
        <v>1304.6099999999999</v>
      </c>
      <c r="AR37" s="172">
        <v>128.46</v>
      </c>
      <c r="AS37" s="162">
        <v>1</v>
      </c>
      <c r="AT37" s="153">
        <v>1.6759999999999999</v>
      </c>
      <c r="AU37" s="153">
        <v>1.6759999999999999</v>
      </c>
      <c r="AV37" s="41"/>
      <c r="AW37" s="41"/>
      <c r="AX37" s="42" t="s">
        <v>141</v>
      </c>
      <c r="AY37" s="41" t="s">
        <v>36</v>
      </c>
      <c r="AZ37" s="164">
        <v>1.65893787855467E-4</v>
      </c>
      <c r="BA37" s="164">
        <v>3.6297653517938699E-6</v>
      </c>
    </row>
    <row r="38" spans="1:53">
      <c r="A38" s="41">
        <v>1182</v>
      </c>
      <c r="B38" s="41">
        <v>1182</v>
      </c>
      <c r="C38" s="41" t="s">
        <v>2147</v>
      </c>
      <c r="D38" s="41" t="s">
        <v>134</v>
      </c>
      <c r="E38" s="41" t="s">
        <v>2278</v>
      </c>
      <c r="F38" s="41" t="s">
        <v>2279</v>
      </c>
      <c r="G38" s="41" t="s">
        <v>2138</v>
      </c>
      <c r="H38" s="41"/>
      <c r="I38" s="41" t="s">
        <v>30</v>
      </c>
      <c r="J38" s="41" t="s">
        <v>30</v>
      </c>
      <c r="K38" s="41" t="s">
        <v>151</v>
      </c>
      <c r="L38" s="41" t="s">
        <v>141</v>
      </c>
      <c r="M38" s="41" t="s">
        <v>318</v>
      </c>
      <c r="N38" s="41" t="s">
        <v>2280</v>
      </c>
      <c r="O38" s="178" t="s">
        <v>2281</v>
      </c>
      <c r="P38" s="202" t="s">
        <v>142</v>
      </c>
      <c r="Q38" s="21" t="s">
        <v>164</v>
      </c>
      <c r="R38" s="41" t="s">
        <v>2141</v>
      </c>
      <c r="S38" s="41" t="s">
        <v>34</v>
      </c>
      <c r="T38" s="153">
        <v>2.82</v>
      </c>
      <c r="U38" s="41" t="s">
        <v>2142</v>
      </c>
      <c r="V38" s="164">
        <v>5.5451E-2</v>
      </c>
      <c r="W38" s="41" t="s">
        <v>138</v>
      </c>
      <c r="X38" s="41" t="s">
        <v>2087</v>
      </c>
      <c r="Y38" s="185">
        <v>0</v>
      </c>
      <c r="Z38" s="164">
        <v>2.9100000000000001E-2</v>
      </c>
      <c r="AA38" s="41" t="s">
        <v>2153</v>
      </c>
      <c r="AB38" s="42" t="s">
        <v>146</v>
      </c>
      <c r="AC38" s="41" t="s">
        <v>1565</v>
      </c>
      <c r="AD38" s="188">
        <v>482000</v>
      </c>
      <c r="AE38" s="164">
        <v>0.73</v>
      </c>
      <c r="AF38" s="178" t="s">
        <v>1394</v>
      </c>
      <c r="AG38" s="41" t="s">
        <v>141</v>
      </c>
      <c r="AH38" s="41" t="s">
        <v>2144</v>
      </c>
      <c r="AI38" s="41" t="s">
        <v>2154</v>
      </c>
      <c r="AJ38" s="41" t="s">
        <v>318</v>
      </c>
      <c r="AK38" s="41" t="s">
        <v>1392</v>
      </c>
      <c r="AL38" s="41" t="s">
        <v>2146</v>
      </c>
      <c r="AM38" s="41" t="s">
        <v>1393</v>
      </c>
      <c r="AN38" s="178" t="s">
        <v>1394</v>
      </c>
      <c r="AO38" s="178" t="s">
        <v>1394</v>
      </c>
      <c r="AP38" s="164">
        <v>0</v>
      </c>
      <c r="AQ38" s="153">
        <v>734.64</v>
      </c>
      <c r="AR38" s="172">
        <v>128.34</v>
      </c>
      <c r="AS38" s="162">
        <v>1</v>
      </c>
      <c r="AT38" s="153">
        <v>0.94299999999999995</v>
      </c>
      <c r="AU38" s="153">
        <v>0.94299999999999995</v>
      </c>
      <c r="AV38" s="41"/>
      <c r="AW38" s="41"/>
      <c r="AX38" s="42" t="s">
        <v>141</v>
      </c>
      <c r="AY38" s="41" t="s">
        <v>36</v>
      </c>
      <c r="AZ38" s="164">
        <v>9.33293215944955E-5</v>
      </c>
      <c r="BA38" s="164">
        <v>2.0420507736267399E-6</v>
      </c>
    </row>
    <row r="39" spans="1:53">
      <c r="A39" s="41">
        <v>1182</v>
      </c>
      <c r="B39" s="41">
        <v>1182</v>
      </c>
      <c r="C39" s="41" t="s">
        <v>2147</v>
      </c>
      <c r="D39" s="41" t="s">
        <v>134</v>
      </c>
      <c r="E39" s="41" t="s">
        <v>2282</v>
      </c>
      <c r="F39" s="41" t="s">
        <v>2283</v>
      </c>
      <c r="G39" s="41" t="s">
        <v>2138</v>
      </c>
      <c r="H39" s="41"/>
      <c r="I39" s="41" t="s">
        <v>30</v>
      </c>
      <c r="J39" s="41" t="s">
        <v>30</v>
      </c>
      <c r="K39" s="41" t="s">
        <v>151</v>
      </c>
      <c r="L39" s="41" t="s">
        <v>141</v>
      </c>
      <c r="M39" s="41" t="s">
        <v>318</v>
      </c>
      <c r="N39" s="41" t="s">
        <v>2284</v>
      </c>
      <c r="O39" s="178" t="s">
        <v>2285</v>
      </c>
      <c r="P39" s="202" t="s">
        <v>142</v>
      </c>
      <c r="Q39" s="21" t="s">
        <v>164</v>
      </c>
      <c r="R39" s="41" t="s">
        <v>2141</v>
      </c>
      <c r="S39" s="41" t="s">
        <v>34</v>
      </c>
      <c r="T39" s="153">
        <v>2.82</v>
      </c>
      <c r="U39" s="41" t="s">
        <v>2142</v>
      </c>
      <c r="V39" s="164">
        <v>5.5451E-2</v>
      </c>
      <c r="W39" s="41" t="s">
        <v>138</v>
      </c>
      <c r="X39" s="41" t="s">
        <v>2087</v>
      </c>
      <c r="Y39" s="185">
        <v>0</v>
      </c>
      <c r="Z39" s="164">
        <v>2.9100000000000001E-2</v>
      </c>
      <c r="AA39" s="41" t="s">
        <v>2153</v>
      </c>
      <c r="AB39" s="42" t="s">
        <v>146</v>
      </c>
      <c r="AC39" s="41" t="s">
        <v>1565</v>
      </c>
      <c r="AD39" s="188">
        <v>482000</v>
      </c>
      <c r="AE39" s="164">
        <v>0.73</v>
      </c>
      <c r="AF39" s="178" t="s">
        <v>1394</v>
      </c>
      <c r="AG39" s="41" t="s">
        <v>141</v>
      </c>
      <c r="AH39" s="41" t="s">
        <v>2144</v>
      </c>
      <c r="AI39" s="41" t="s">
        <v>2154</v>
      </c>
      <c r="AJ39" s="41" t="s">
        <v>318</v>
      </c>
      <c r="AK39" s="41" t="s">
        <v>1392</v>
      </c>
      <c r="AL39" s="41" t="s">
        <v>2146</v>
      </c>
      <c r="AM39" s="41" t="s">
        <v>1393</v>
      </c>
      <c r="AN39" s="178" t="s">
        <v>1394</v>
      </c>
      <c r="AO39" s="178" t="s">
        <v>1394</v>
      </c>
      <c r="AP39" s="164">
        <v>0</v>
      </c>
      <c r="AQ39" s="153">
        <v>2191.39</v>
      </c>
      <c r="AR39" s="172">
        <v>127.96</v>
      </c>
      <c r="AS39" s="162">
        <v>1</v>
      </c>
      <c r="AT39" s="153">
        <v>2.8039999999999998</v>
      </c>
      <c r="AU39" s="153">
        <v>2.8039999999999998</v>
      </c>
      <c r="AV39" s="41"/>
      <c r="AW39" s="41"/>
      <c r="AX39" s="42" t="s">
        <v>141</v>
      </c>
      <c r="AY39" s="41" t="s">
        <v>36</v>
      </c>
      <c r="AZ39" s="164">
        <v>2.7757184339135502E-4</v>
      </c>
      <c r="BA39" s="164">
        <v>6.0732874497584304E-6</v>
      </c>
    </row>
    <row r="40" spans="1:53">
      <c r="A40" s="41">
        <v>1182</v>
      </c>
      <c r="B40" s="41">
        <v>1182</v>
      </c>
      <c r="C40" s="41" t="s">
        <v>2147</v>
      </c>
      <c r="D40" s="41" t="s">
        <v>134</v>
      </c>
      <c r="E40" s="41" t="s">
        <v>2286</v>
      </c>
      <c r="F40" s="41" t="s">
        <v>2287</v>
      </c>
      <c r="G40" s="41" t="s">
        <v>2138</v>
      </c>
      <c r="H40" s="41"/>
      <c r="I40" s="41" t="s">
        <v>30</v>
      </c>
      <c r="J40" s="41" t="s">
        <v>30</v>
      </c>
      <c r="K40" s="41" t="s">
        <v>151</v>
      </c>
      <c r="L40" s="41" t="s">
        <v>141</v>
      </c>
      <c r="M40" s="41" t="s">
        <v>318</v>
      </c>
      <c r="N40" s="41" t="s">
        <v>2288</v>
      </c>
      <c r="O40" s="178" t="s">
        <v>2242</v>
      </c>
      <c r="P40" s="202" t="s">
        <v>142</v>
      </c>
      <c r="Q40" s="21" t="s">
        <v>164</v>
      </c>
      <c r="R40" s="41" t="s">
        <v>2141</v>
      </c>
      <c r="S40" s="41" t="s">
        <v>34</v>
      </c>
      <c r="T40" s="153">
        <v>2.82</v>
      </c>
      <c r="U40" s="41" t="s">
        <v>2152</v>
      </c>
      <c r="V40" s="164">
        <v>5.5451E-2</v>
      </c>
      <c r="W40" s="41" t="s">
        <v>138</v>
      </c>
      <c r="X40" s="41" t="s">
        <v>2087</v>
      </c>
      <c r="Y40" s="185">
        <v>0</v>
      </c>
      <c r="Z40" s="164">
        <v>2.9100000000000001E-2</v>
      </c>
      <c r="AA40" s="41" t="s">
        <v>2153</v>
      </c>
      <c r="AB40" s="42" t="s">
        <v>146</v>
      </c>
      <c r="AC40" s="41" t="s">
        <v>1565</v>
      </c>
      <c r="AD40" s="188">
        <v>482000</v>
      </c>
      <c r="AE40" s="164">
        <v>0.73</v>
      </c>
      <c r="AF40" s="178" t="s">
        <v>1394</v>
      </c>
      <c r="AG40" s="41" t="s">
        <v>141</v>
      </c>
      <c r="AH40" s="41" t="s">
        <v>2144</v>
      </c>
      <c r="AI40" s="41" t="s">
        <v>2154</v>
      </c>
      <c r="AJ40" s="41" t="s">
        <v>318</v>
      </c>
      <c r="AK40" s="41" t="s">
        <v>1392</v>
      </c>
      <c r="AL40" s="41" t="s">
        <v>2146</v>
      </c>
      <c r="AM40" s="41" t="s">
        <v>1393</v>
      </c>
      <c r="AN40" s="178" t="s">
        <v>1394</v>
      </c>
      <c r="AO40" s="178" t="s">
        <v>1394</v>
      </c>
      <c r="AP40" s="164">
        <v>0</v>
      </c>
      <c r="AQ40" s="153">
        <v>853.09</v>
      </c>
      <c r="AR40" s="172">
        <v>127.96</v>
      </c>
      <c r="AS40" s="162">
        <v>1</v>
      </c>
      <c r="AT40" s="153">
        <v>1.0920000000000001</v>
      </c>
      <c r="AU40" s="153">
        <v>1.0920000000000001</v>
      </c>
      <c r="AV40" s="41"/>
      <c r="AW40" s="41"/>
      <c r="AX40" s="42" t="s">
        <v>141</v>
      </c>
      <c r="AY40" s="41" t="s">
        <v>36</v>
      </c>
      <c r="AZ40" s="164">
        <v>1.0805642258052299E-4</v>
      </c>
      <c r="BA40" s="164">
        <v>2.36428056645071E-6</v>
      </c>
    </row>
    <row r="41" spans="1:53">
      <c r="A41" s="41">
        <v>1182</v>
      </c>
      <c r="B41" s="41">
        <v>1182</v>
      </c>
      <c r="C41" s="41" t="s">
        <v>2147</v>
      </c>
      <c r="D41" s="41" t="s">
        <v>134</v>
      </c>
      <c r="E41" s="41" t="s">
        <v>2289</v>
      </c>
      <c r="F41" s="41" t="s">
        <v>2290</v>
      </c>
      <c r="G41" s="41" t="s">
        <v>2138</v>
      </c>
      <c r="H41" s="41"/>
      <c r="I41" s="41" t="s">
        <v>30</v>
      </c>
      <c r="J41" s="41" t="s">
        <v>30</v>
      </c>
      <c r="K41" s="41" t="s">
        <v>151</v>
      </c>
      <c r="L41" s="41" t="s">
        <v>141</v>
      </c>
      <c r="M41" s="41" t="s">
        <v>318</v>
      </c>
      <c r="N41" s="41" t="s">
        <v>2291</v>
      </c>
      <c r="O41" s="178" t="s">
        <v>2292</v>
      </c>
      <c r="P41" s="202" t="s">
        <v>142</v>
      </c>
      <c r="Q41" s="21" t="s">
        <v>164</v>
      </c>
      <c r="R41" s="41" t="s">
        <v>2141</v>
      </c>
      <c r="S41" s="41" t="s">
        <v>34</v>
      </c>
      <c r="T41" s="153">
        <v>2.82</v>
      </c>
      <c r="U41" s="41" t="s">
        <v>2142</v>
      </c>
      <c r="V41" s="164">
        <v>5.5453000000000002E-2</v>
      </c>
      <c r="W41" s="41" t="s">
        <v>138</v>
      </c>
      <c r="X41" s="41" t="s">
        <v>2087</v>
      </c>
      <c r="Y41" s="185">
        <v>0</v>
      </c>
      <c r="Z41" s="164">
        <v>2.9100000000000001E-2</v>
      </c>
      <c r="AA41" s="41" t="s">
        <v>2153</v>
      </c>
      <c r="AB41" s="42" t="s">
        <v>146</v>
      </c>
      <c r="AC41" s="41" t="s">
        <v>1565</v>
      </c>
      <c r="AD41" s="188">
        <v>482000</v>
      </c>
      <c r="AE41" s="164">
        <v>0.73</v>
      </c>
      <c r="AF41" s="178" t="s">
        <v>1394</v>
      </c>
      <c r="AG41" s="41" t="s">
        <v>141</v>
      </c>
      <c r="AH41" s="41" t="s">
        <v>2144</v>
      </c>
      <c r="AI41" s="41" t="s">
        <v>2154</v>
      </c>
      <c r="AJ41" s="41" t="s">
        <v>318</v>
      </c>
      <c r="AK41" s="41" t="s">
        <v>1392</v>
      </c>
      <c r="AL41" s="41" t="s">
        <v>2146</v>
      </c>
      <c r="AM41" s="41" t="s">
        <v>1393</v>
      </c>
      <c r="AN41" s="178" t="s">
        <v>1394</v>
      </c>
      <c r="AO41" s="178" t="s">
        <v>1394</v>
      </c>
      <c r="AP41" s="164">
        <v>0</v>
      </c>
      <c r="AQ41" s="153">
        <v>5733.19</v>
      </c>
      <c r="AR41" s="172">
        <v>128.21</v>
      </c>
      <c r="AS41" s="162">
        <v>1</v>
      </c>
      <c r="AT41" s="153">
        <v>7.351</v>
      </c>
      <c r="AU41" s="153">
        <v>7.351</v>
      </c>
      <c r="AV41" s="41"/>
      <c r="AW41" s="41"/>
      <c r="AX41" s="42" t="s">
        <v>141</v>
      </c>
      <c r="AY41" s="41" t="s">
        <v>36</v>
      </c>
      <c r="AZ41" s="164">
        <v>7.2761180669740101E-4</v>
      </c>
      <c r="BA41" s="164">
        <v>1.5920187004273801E-5</v>
      </c>
    </row>
    <row r="42" spans="1:53">
      <c r="A42" s="41">
        <v>1182</v>
      </c>
      <c r="B42" s="41">
        <v>1182</v>
      </c>
      <c r="C42" s="41" t="s">
        <v>2147</v>
      </c>
      <c r="D42" s="41" t="s">
        <v>134</v>
      </c>
      <c r="E42" s="41" t="s">
        <v>2293</v>
      </c>
      <c r="F42" s="41" t="s">
        <v>2294</v>
      </c>
      <c r="G42" s="41" t="s">
        <v>2138</v>
      </c>
      <c r="H42" s="41"/>
      <c r="I42" s="41" t="s">
        <v>30</v>
      </c>
      <c r="J42" s="41" t="s">
        <v>30</v>
      </c>
      <c r="K42" s="41" t="s">
        <v>151</v>
      </c>
      <c r="L42" s="41" t="s">
        <v>141</v>
      </c>
      <c r="M42" s="41" t="s">
        <v>318</v>
      </c>
      <c r="N42" s="41" t="s">
        <v>2295</v>
      </c>
      <c r="O42" s="178" t="s">
        <v>2296</v>
      </c>
      <c r="P42" s="202" t="s">
        <v>142</v>
      </c>
      <c r="Q42" s="21" t="s">
        <v>164</v>
      </c>
      <c r="R42" s="41" t="s">
        <v>2141</v>
      </c>
      <c r="S42" s="41" t="s">
        <v>34</v>
      </c>
      <c r="T42" s="153">
        <v>2.82</v>
      </c>
      <c r="U42" s="41" t="s">
        <v>2142</v>
      </c>
      <c r="V42" s="164">
        <v>5.5453000000000002E-2</v>
      </c>
      <c r="W42" s="41" t="s">
        <v>138</v>
      </c>
      <c r="X42" s="41" t="s">
        <v>2087</v>
      </c>
      <c r="Y42" s="185">
        <v>0</v>
      </c>
      <c r="Z42" s="164">
        <v>2.9100000000000001E-2</v>
      </c>
      <c r="AA42" s="41" t="s">
        <v>2153</v>
      </c>
      <c r="AB42" s="42" t="s">
        <v>146</v>
      </c>
      <c r="AC42" s="41" t="s">
        <v>1565</v>
      </c>
      <c r="AD42" s="188">
        <v>482000</v>
      </c>
      <c r="AE42" s="164">
        <v>0.73</v>
      </c>
      <c r="AF42" s="178" t="s">
        <v>1394</v>
      </c>
      <c r="AG42" s="41" t="s">
        <v>141</v>
      </c>
      <c r="AH42" s="41" t="s">
        <v>2144</v>
      </c>
      <c r="AI42" s="41" t="s">
        <v>2154</v>
      </c>
      <c r="AJ42" s="41" t="s">
        <v>318</v>
      </c>
      <c r="AK42" s="41" t="s">
        <v>1392</v>
      </c>
      <c r="AL42" s="41" t="s">
        <v>2146</v>
      </c>
      <c r="AM42" s="41" t="s">
        <v>1393</v>
      </c>
      <c r="AN42" s="178" t="s">
        <v>1394</v>
      </c>
      <c r="AO42" s="178" t="s">
        <v>1394</v>
      </c>
      <c r="AP42" s="164">
        <v>0</v>
      </c>
      <c r="AQ42" s="153">
        <v>11199.2</v>
      </c>
      <c r="AR42" s="172">
        <v>129.37</v>
      </c>
      <c r="AS42" s="162">
        <v>1</v>
      </c>
      <c r="AT42" s="153">
        <v>14.488</v>
      </c>
      <c r="AU42" s="153">
        <v>14.488</v>
      </c>
      <c r="AV42" s="41"/>
      <c r="AW42" s="41"/>
      <c r="AX42" s="42" t="s">
        <v>141</v>
      </c>
      <c r="AY42" s="41" t="s">
        <v>36</v>
      </c>
      <c r="AZ42" s="164">
        <v>1.4341747807836E-3</v>
      </c>
      <c r="BA42" s="164">
        <v>3.1379824374377903E-5</v>
      </c>
    </row>
    <row r="43" spans="1:53">
      <c r="A43" s="41">
        <v>1182</v>
      </c>
      <c r="B43" s="41">
        <v>1182</v>
      </c>
      <c r="C43" s="41" t="s">
        <v>2147</v>
      </c>
      <c r="D43" s="41" t="s">
        <v>134</v>
      </c>
      <c r="E43" s="41" t="s">
        <v>2297</v>
      </c>
      <c r="F43" s="41" t="s">
        <v>2298</v>
      </c>
      <c r="G43" s="41" t="s">
        <v>2138</v>
      </c>
      <c r="H43" s="41"/>
      <c r="I43" s="41" t="s">
        <v>30</v>
      </c>
      <c r="J43" s="41" t="s">
        <v>30</v>
      </c>
      <c r="K43" s="41" t="s">
        <v>151</v>
      </c>
      <c r="L43" s="41" t="s">
        <v>141</v>
      </c>
      <c r="M43" s="41" t="s">
        <v>318</v>
      </c>
      <c r="N43" s="41" t="s">
        <v>2299</v>
      </c>
      <c r="O43" s="178" t="s">
        <v>2242</v>
      </c>
      <c r="P43" s="202" t="s">
        <v>142</v>
      </c>
      <c r="Q43" s="21" t="s">
        <v>164</v>
      </c>
      <c r="R43" s="41" t="s">
        <v>2141</v>
      </c>
      <c r="S43" s="41" t="s">
        <v>34</v>
      </c>
      <c r="T43" s="153">
        <v>2.81</v>
      </c>
      <c r="U43" s="41" t="s">
        <v>2152</v>
      </c>
      <c r="V43" s="164">
        <v>5.5905999999999997E-2</v>
      </c>
      <c r="W43" s="41" t="s">
        <v>138</v>
      </c>
      <c r="X43" s="41" t="s">
        <v>2087</v>
      </c>
      <c r="Y43" s="185">
        <v>0</v>
      </c>
      <c r="Z43" s="164">
        <v>2.9100000000000001E-2</v>
      </c>
      <c r="AA43" s="41" t="s">
        <v>2153</v>
      </c>
      <c r="AB43" s="42" t="s">
        <v>146</v>
      </c>
      <c r="AC43" s="41" t="s">
        <v>1565</v>
      </c>
      <c r="AD43" s="188">
        <v>482000</v>
      </c>
      <c r="AE43" s="164">
        <v>0.73</v>
      </c>
      <c r="AF43" s="178" t="s">
        <v>1394</v>
      </c>
      <c r="AG43" s="41" t="s">
        <v>141</v>
      </c>
      <c r="AH43" s="41" t="s">
        <v>2144</v>
      </c>
      <c r="AI43" s="41" t="s">
        <v>2154</v>
      </c>
      <c r="AJ43" s="41" t="s">
        <v>318</v>
      </c>
      <c r="AK43" s="41" t="s">
        <v>1392</v>
      </c>
      <c r="AL43" s="41" t="s">
        <v>2146</v>
      </c>
      <c r="AM43" s="41" t="s">
        <v>1393</v>
      </c>
      <c r="AN43" s="178" t="s">
        <v>1394</v>
      </c>
      <c r="AO43" s="178" t="s">
        <v>1394</v>
      </c>
      <c r="AP43" s="164">
        <v>0</v>
      </c>
      <c r="AQ43" s="153">
        <v>8257.67</v>
      </c>
      <c r="AR43" s="172">
        <v>132.59</v>
      </c>
      <c r="AS43" s="162">
        <v>1</v>
      </c>
      <c r="AT43" s="153">
        <v>10.949</v>
      </c>
      <c r="AU43" s="153">
        <v>10.949</v>
      </c>
      <c r="AV43" s="41"/>
      <c r="AW43" s="41"/>
      <c r="AX43" s="42" t="s">
        <v>141</v>
      </c>
      <c r="AY43" s="41" t="s">
        <v>36</v>
      </c>
      <c r="AZ43" s="164">
        <v>1.0838016218277899E-3</v>
      </c>
      <c r="BA43" s="164">
        <v>2.37136400704523E-5</v>
      </c>
    </row>
    <row r="44" spans="1:53">
      <c r="A44" s="41">
        <v>1182</v>
      </c>
      <c r="B44" s="41">
        <v>1182</v>
      </c>
      <c r="C44" s="41" t="s">
        <v>2147</v>
      </c>
      <c r="D44" s="41" t="s">
        <v>134</v>
      </c>
      <c r="E44" s="41" t="s">
        <v>2300</v>
      </c>
      <c r="F44" s="41" t="s">
        <v>2301</v>
      </c>
      <c r="G44" s="41" t="s">
        <v>2138</v>
      </c>
      <c r="H44" s="41"/>
      <c r="I44" s="41" t="s">
        <v>30</v>
      </c>
      <c r="J44" s="41" t="s">
        <v>30</v>
      </c>
      <c r="K44" s="41" t="s">
        <v>151</v>
      </c>
      <c r="L44" s="41" t="s">
        <v>141</v>
      </c>
      <c r="M44" s="41" t="s">
        <v>318</v>
      </c>
      <c r="N44" s="41" t="s">
        <v>2302</v>
      </c>
      <c r="O44" s="178" t="s">
        <v>2303</v>
      </c>
      <c r="P44" s="202" t="s">
        <v>142</v>
      </c>
      <c r="Q44" s="21" t="s">
        <v>164</v>
      </c>
      <c r="R44" s="41" t="s">
        <v>2141</v>
      </c>
      <c r="S44" s="41" t="s">
        <v>34</v>
      </c>
      <c r="T44" s="153">
        <v>2.82</v>
      </c>
      <c r="U44" s="41" t="s">
        <v>2142</v>
      </c>
      <c r="V44" s="164">
        <v>5.5452000000000001E-2</v>
      </c>
      <c r="W44" s="41" t="s">
        <v>138</v>
      </c>
      <c r="X44" s="41" t="s">
        <v>2087</v>
      </c>
      <c r="Y44" s="185">
        <v>0</v>
      </c>
      <c r="Z44" s="164">
        <v>2.9100000000000001E-2</v>
      </c>
      <c r="AA44" s="41" t="s">
        <v>2153</v>
      </c>
      <c r="AB44" s="42" t="s">
        <v>146</v>
      </c>
      <c r="AC44" s="41" t="s">
        <v>1565</v>
      </c>
      <c r="AD44" s="188">
        <v>482000</v>
      </c>
      <c r="AE44" s="164">
        <v>0.73</v>
      </c>
      <c r="AF44" s="178" t="s">
        <v>1394</v>
      </c>
      <c r="AG44" s="41" t="s">
        <v>141</v>
      </c>
      <c r="AH44" s="41" t="s">
        <v>2144</v>
      </c>
      <c r="AI44" s="41" t="s">
        <v>2154</v>
      </c>
      <c r="AJ44" s="41" t="s">
        <v>318</v>
      </c>
      <c r="AK44" s="41" t="s">
        <v>1392</v>
      </c>
      <c r="AL44" s="41" t="s">
        <v>2146</v>
      </c>
      <c r="AM44" s="41" t="s">
        <v>1393</v>
      </c>
      <c r="AN44" s="178" t="s">
        <v>1394</v>
      </c>
      <c r="AO44" s="178" t="s">
        <v>1394</v>
      </c>
      <c r="AP44" s="164">
        <v>0</v>
      </c>
      <c r="AQ44" s="153">
        <v>3624.11</v>
      </c>
      <c r="AR44" s="172">
        <v>130.78</v>
      </c>
      <c r="AS44" s="162">
        <v>1</v>
      </c>
      <c r="AT44" s="153">
        <v>4.74</v>
      </c>
      <c r="AU44" s="153">
        <v>4.74</v>
      </c>
      <c r="AV44" s="41"/>
      <c r="AW44" s="41"/>
      <c r="AX44" s="42" t="s">
        <v>141</v>
      </c>
      <c r="AY44" s="41" t="s">
        <v>36</v>
      </c>
      <c r="AZ44" s="164">
        <v>4.6916348841298397E-4</v>
      </c>
      <c r="BA44" s="164">
        <v>1.02653233528664E-5</v>
      </c>
    </row>
    <row r="45" spans="1:53">
      <c r="A45" s="41">
        <v>1182</v>
      </c>
      <c r="B45" s="41">
        <v>1182</v>
      </c>
      <c r="C45" s="41" t="s">
        <v>2147</v>
      </c>
      <c r="D45" s="41" t="s">
        <v>134</v>
      </c>
      <c r="E45" s="41" t="s">
        <v>2304</v>
      </c>
      <c r="F45" s="41" t="s">
        <v>2305</v>
      </c>
      <c r="G45" s="41" t="s">
        <v>2138</v>
      </c>
      <c r="H45" s="41"/>
      <c r="I45" s="41" t="s">
        <v>30</v>
      </c>
      <c r="J45" s="41" t="s">
        <v>30</v>
      </c>
      <c r="K45" s="41" t="s">
        <v>151</v>
      </c>
      <c r="L45" s="41" t="s">
        <v>141</v>
      </c>
      <c r="M45" s="41" t="s">
        <v>318</v>
      </c>
      <c r="N45" s="41" t="s">
        <v>2306</v>
      </c>
      <c r="O45" s="178" t="s">
        <v>2307</v>
      </c>
      <c r="P45" s="202" t="s">
        <v>142</v>
      </c>
      <c r="Q45" s="21" t="s">
        <v>164</v>
      </c>
      <c r="R45" s="41" t="s">
        <v>2141</v>
      </c>
      <c r="S45" s="41" t="s">
        <v>34</v>
      </c>
      <c r="T45" s="153">
        <v>2.82</v>
      </c>
      <c r="U45" s="41" t="s">
        <v>2142</v>
      </c>
      <c r="V45" s="164">
        <v>5.5452000000000001E-2</v>
      </c>
      <c r="W45" s="41" t="s">
        <v>138</v>
      </c>
      <c r="X45" s="41" t="s">
        <v>2087</v>
      </c>
      <c r="Y45" s="185">
        <v>0</v>
      </c>
      <c r="Z45" s="164">
        <v>2.9100000000000001E-2</v>
      </c>
      <c r="AA45" s="41" t="s">
        <v>2153</v>
      </c>
      <c r="AB45" s="42" t="s">
        <v>146</v>
      </c>
      <c r="AC45" s="41" t="s">
        <v>1565</v>
      </c>
      <c r="AD45" s="188">
        <v>482000</v>
      </c>
      <c r="AE45" s="164">
        <v>0.73</v>
      </c>
      <c r="AF45" s="178" t="s">
        <v>1394</v>
      </c>
      <c r="AG45" s="41" t="s">
        <v>141</v>
      </c>
      <c r="AH45" s="41" t="s">
        <v>2144</v>
      </c>
      <c r="AI45" s="41" t="s">
        <v>2154</v>
      </c>
      <c r="AJ45" s="41" t="s">
        <v>318</v>
      </c>
      <c r="AK45" s="41" t="s">
        <v>1392</v>
      </c>
      <c r="AL45" s="41" t="s">
        <v>2146</v>
      </c>
      <c r="AM45" s="41" t="s">
        <v>1393</v>
      </c>
      <c r="AN45" s="178" t="s">
        <v>1394</v>
      </c>
      <c r="AO45" s="178" t="s">
        <v>1394</v>
      </c>
      <c r="AP45" s="164">
        <v>0</v>
      </c>
      <c r="AQ45" s="153">
        <v>3383.18</v>
      </c>
      <c r="AR45" s="172">
        <v>131.15</v>
      </c>
      <c r="AS45" s="162">
        <v>1</v>
      </c>
      <c r="AT45" s="153">
        <v>4.4370000000000003</v>
      </c>
      <c r="AU45" s="153">
        <v>4.4370000000000003</v>
      </c>
      <c r="AV45" s="41"/>
      <c r="AW45" s="41"/>
      <c r="AX45" s="42" t="s">
        <v>141</v>
      </c>
      <c r="AY45" s="41" t="s">
        <v>36</v>
      </c>
      <c r="AZ45" s="164">
        <v>4.3921271314814597E-4</v>
      </c>
      <c r="BA45" s="164">
        <v>9.6099987158137598E-6</v>
      </c>
    </row>
    <row r="46" spans="1:53">
      <c r="A46" s="41">
        <v>1182</v>
      </c>
      <c r="B46" s="41">
        <v>1182</v>
      </c>
      <c r="C46" s="41" t="s">
        <v>2147</v>
      </c>
      <c r="D46" s="41" t="s">
        <v>134</v>
      </c>
      <c r="E46" s="41" t="s">
        <v>2308</v>
      </c>
      <c r="F46" s="41" t="s">
        <v>2309</v>
      </c>
      <c r="G46" s="41" t="s">
        <v>2138</v>
      </c>
      <c r="H46" s="41"/>
      <c r="I46" s="41" t="s">
        <v>30</v>
      </c>
      <c r="J46" s="41" t="s">
        <v>30</v>
      </c>
      <c r="K46" s="41" t="s">
        <v>151</v>
      </c>
      <c r="L46" s="41" t="s">
        <v>141</v>
      </c>
      <c r="M46" s="41" t="s">
        <v>318</v>
      </c>
      <c r="N46" s="41" t="s">
        <v>2310</v>
      </c>
      <c r="O46" s="178" t="s">
        <v>2242</v>
      </c>
      <c r="P46" s="202" t="s">
        <v>142</v>
      </c>
      <c r="Q46" s="21" t="s">
        <v>164</v>
      </c>
      <c r="R46" s="41" t="s">
        <v>2141</v>
      </c>
      <c r="S46" s="41" t="s">
        <v>34</v>
      </c>
      <c r="T46" s="153">
        <v>2.82</v>
      </c>
      <c r="U46" s="41" t="s">
        <v>2152</v>
      </c>
      <c r="V46" s="164">
        <v>5.5452000000000001E-2</v>
      </c>
      <c r="W46" s="41" t="s">
        <v>138</v>
      </c>
      <c r="X46" s="41" t="s">
        <v>2087</v>
      </c>
      <c r="Y46" s="185">
        <v>0</v>
      </c>
      <c r="Z46" s="164">
        <v>2.9100000000000001E-2</v>
      </c>
      <c r="AA46" s="41" t="s">
        <v>2153</v>
      </c>
      <c r="AB46" s="42" t="s">
        <v>146</v>
      </c>
      <c r="AC46" s="41" t="s">
        <v>1565</v>
      </c>
      <c r="AD46" s="188">
        <v>482000</v>
      </c>
      <c r="AE46" s="164">
        <v>0.73</v>
      </c>
      <c r="AF46" s="178" t="s">
        <v>1394</v>
      </c>
      <c r="AG46" s="41" t="s">
        <v>141</v>
      </c>
      <c r="AH46" s="41" t="s">
        <v>2144</v>
      </c>
      <c r="AI46" s="41" t="s">
        <v>2154</v>
      </c>
      <c r="AJ46" s="41" t="s">
        <v>318</v>
      </c>
      <c r="AK46" s="41" t="s">
        <v>1392</v>
      </c>
      <c r="AL46" s="41" t="s">
        <v>2146</v>
      </c>
      <c r="AM46" s="41" t="s">
        <v>1393</v>
      </c>
      <c r="AN46" s="178" t="s">
        <v>1394</v>
      </c>
      <c r="AO46" s="178" t="s">
        <v>1394</v>
      </c>
      <c r="AP46" s="164">
        <v>0</v>
      </c>
      <c r="AQ46" s="153">
        <v>4331.05</v>
      </c>
      <c r="AR46" s="172">
        <v>129.66999999999999</v>
      </c>
      <c r="AS46" s="162">
        <v>1</v>
      </c>
      <c r="AT46" s="153">
        <v>5.6159999999999997</v>
      </c>
      <c r="AU46" s="153">
        <v>5.6159999999999997</v>
      </c>
      <c r="AV46" s="41"/>
      <c r="AW46" s="41"/>
      <c r="AX46" s="42" t="s">
        <v>141</v>
      </c>
      <c r="AY46" s="41" t="s">
        <v>36</v>
      </c>
      <c r="AZ46" s="164">
        <v>5.5592244795141395E-4</v>
      </c>
      <c r="BA46" s="164">
        <v>1.21636142374211E-5</v>
      </c>
    </row>
    <row r="47" spans="1:53">
      <c r="A47" s="3">
        <v>1182</v>
      </c>
      <c r="B47" s="3">
        <v>1182</v>
      </c>
      <c r="C47" s="3" t="s">
        <v>2311</v>
      </c>
      <c r="D47" s="3" t="s">
        <v>134</v>
      </c>
      <c r="E47" s="3" t="s">
        <v>2312</v>
      </c>
      <c r="F47" s="3" t="s">
        <v>2313</v>
      </c>
      <c r="G47" s="3" t="s">
        <v>2138</v>
      </c>
      <c r="I47" s="3" t="s">
        <v>30</v>
      </c>
      <c r="J47" s="3" t="s">
        <v>30</v>
      </c>
      <c r="K47" s="3" t="s">
        <v>1565</v>
      </c>
      <c r="L47" s="3" t="s">
        <v>141</v>
      </c>
      <c r="M47" s="3" t="s">
        <v>318</v>
      </c>
      <c r="N47" s="3" t="s">
        <v>2314</v>
      </c>
      <c r="O47" s="178" t="s">
        <v>2315</v>
      </c>
      <c r="P47" s="3" t="s">
        <v>142</v>
      </c>
      <c r="Q47" s="3" t="s">
        <v>143</v>
      </c>
      <c r="R47" s="3" t="s">
        <v>2141</v>
      </c>
      <c r="S47" s="3" t="s">
        <v>34</v>
      </c>
      <c r="T47" s="153">
        <v>1.43</v>
      </c>
      <c r="U47" s="3" t="s">
        <v>2142</v>
      </c>
      <c r="V47" s="164">
        <v>2.562E-2</v>
      </c>
      <c r="W47" s="3" t="s">
        <v>138</v>
      </c>
      <c r="X47" s="3" t="s">
        <v>2143</v>
      </c>
      <c r="Y47" s="185">
        <v>0</v>
      </c>
      <c r="Z47" s="164">
        <v>2.8199999999999999E-2</v>
      </c>
      <c r="AA47" s="3" t="s">
        <v>511</v>
      </c>
      <c r="AB47" s="5" t="s">
        <v>146</v>
      </c>
      <c r="AC47" s="3" t="s">
        <v>1565</v>
      </c>
      <c r="AD47" s="188">
        <v>60116.983060975603</v>
      </c>
      <c r="AE47" s="164">
        <v>0.82</v>
      </c>
      <c r="AF47" s="178" t="s">
        <v>1394</v>
      </c>
      <c r="AG47" s="3" t="s">
        <v>141</v>
      </c>
      <c r="AH47" s="3" t="s">
        <v>2144</v>
      </c>
      <c r="AI47" s="3" t="s">
        <v>2316</v>
      </c>
      <c r="AJ47" s="3" t="s">
        <v>318</v>
      </c>
      <c r="AK47" s="3" t="s">
        <v>1392</v>
      </c>
      <c r="AL47" s="3" t="s">
        <v>2146</v>
      </c>
      <c r="AM47" s="3" t="s">
        <v>1393</v>
      </c>
      <c r="AN47" s="178" t="s">
        <v>1394</v>
      </c>
      <c r="AO47" s="178" t="s">
        <v>1394</v>
      </c>
      <c r="AP47" s="164">
        <v>0</v>
      </c>
      <c r="AQ47" s="153">
        <v>120449.12</v>
      </c>
      <c r="AR47" s="172">
        <v>118.73</v>
      </c>
      <c r="AS47" s="162">
        <v>1</v>
      </c>
      <c r="AT47" s="153">
        <v>143.00899999999999</v>
      </c>
      <c r="AU47" s="153">
        <v>143.00899999999999</v>
      </c>
      <c r="AX47" s="5" t="s">
        <v>141</v>
      </c>
      <c r="AY47" s="3" t="s">
        <v>36</v>
      </c>
      <c r="AZ47" s="164">
        <v>1.4156164540761899E-2</v>
      </c>
      <c r="BA47" s="164">
        <v>3.0973767148603299E-4</v>
      </c>
    </row>
    <row r="48" spans="1:53">
      <c r="A48" s="3">
        <v>1182</v>
      </c>
      <c r="B48" s="3">
        <v>1182</v>
      </c>
      <c r="C48" s="3" t="s">
        <v>2317</v>
      </c>
      <c r="D48" s="3" t="s">
        <v>134</v>
      </c>
      <c r="E48" s="3" t="s">
        <v>2318</v>
      </c>
      <c r="F48" s="3" t="s">
        <v>2319</v>
      </c>
      <c r="G48" s="3" t="s">
        <v>2138</v>
      </c>
      <c r="H48" s="3" t="s">
        <v>2320</v>
      </c>
      <c r="I48" s="3" t="s">
        <v>30</v>
      </c>
      <c r="J48" s="3" t="s">
        <v>30</v>
      </c>
      <c r="K48" s="3" t="s">
        <v>465</v>
      </c>
      <c r="L48" s="3" t="s">
        <v>141</v>
      </c>
      <c r="M48" s="3" t="s">
        <v>318</v>
      </c>
      <c r="N48" s="3" t="s">
        <v>2321</v>
      </c>
      <c r="O48" s="178" t="s">
        <v>2322</v>
      </c>
      <c r="P48" s="147" t="s">
        <v>3307</v>
      </c>
      <c r="Q48" s="147" t="s">
        <v>3306</v>
      </c>
      <c r="R48" s="3" t="s">
        <v>2141</v>
      </c>
      <c r="S48" s="3" t="s">
        <v>34</v>
      </c>
      <c r="T48" s="153">
        <v>0.08</v>
      </c>
      <c r="U48" s="3" t="s">
        <v>2142</v>
      </c>
      <c r="V48" s="164">
        <v>8.6499999999999994E-2</v>
      </c>
      <c r="W48" s="3" t="s">
        <v>2323</v>
      </c>
      <c r="X48" s="3" t="s">
        <v>2087</v>
      </c>
      <c r="Y48" s="185">
        <v>0</v>
      </c>
      <c r="Z48" s="164">
        <v>8.0399999999999999E-2</v>
      </c>
      <c r="AA48" s="3" t="s">
        <v>102</v>
      </c>
      <c r="AB48" s="5" t="s">
        <v>146</v>
      </c>
      <c r="AC48" s="3" t="s">
        <v>2324</v>
      </c>
      <c r="AD48" s="188">
        <v>782791</v>
      </c>
      <c r="AE48" s="164">
        <v>0.43</v>
      </c>
      <c r="AF48" s="178" t="s">
        <v>1394</v>
      </c>
      <c r="AG48" s="3" t="s">
        <v>318</v>
      </c>
      <c r="AH48" s="3" t="s">
        <v>2325</v>
      </c>
      <c r="AI48" s="3" t="s">
        <v>2326</v>
      </c>
      <c r="AJ48" s="3" t="s">
        <v>318</v>
      </c>
      <c r="AK48" s="3" t="s">
        <v>1392</v>
      </c>
      <c r="AL48" s="3" t="s">
        <v>2146</v>
      </c>
      <c r="AM48" s="3" t="s">
        <v>1393</v>
      </c>
      <c r="AN48" s="178" t="s">
        <v>1394</v>
      </c>
      <c r="AO48" s="178" t="s">
        <v>1394</v>
      </c>
      <c r="AP48" s="164">
        <v>0</v>
      </c>
      <c r="AQ48" s="153">
        <v>485000</v>
      </c>
      <c r="AR48" s="172">
        <v>106.22</v>
      </c>
      <c r="AS48" s="162">
        <v>1</v>
      </c>
      <c r="AT48" s="153">
        <v>515.16700000000003</v>
      </c>
      <c r="AU48" s="153">
        <v>515.16700000000003</v>
      </c>
      <c r="AX48" s="5" t="s">
        <v>141</v>
      </c>
      <c r="AY48" s="3" t="s">
        <v>36</v>
      </c>
      <c r="AZ48" s="164">
        <v>5.0995228063553902E-2</v>
      </c>
      <c r="BA48" s="164">
        <v>1.1157784406802601E-3</v>
      </c>
    </row>
    <row r="49" spans="1:53">
      <c r="A49" s="3">
        <v>1182</v>
      </c>
      <c r="B49" s="3">
        <v>1182</v>
      </c>
      <c r="C49" s="3" t="s">
        <v>1396</v>
      </c>
      <c r="D49" s="3" t="s">
        <v>134</v>
      </c>
      <c r="E49" s="3" t="s">
        <v>2327</v>
      </c>
      <c r="F49" s="3" t="s">
        <v>2328</v>
      </c>
      <c r="G49" s="3" t="s">
        <v>2138</v>
      </c>
      <c r="I49" s="3" t="s">
        <v>30</v>
      </c>
      <c r="J49" s="3" t="s">
        <v>30</v>
      </c>
      <c r="K49" s="3" t="s">
        <v>447</v>
      </c>
      <c r="L49" s="3" t="s">
        <v>141</v>
      </c>
      <c r="M49" s="3" t="s">
        <v>318</v>
      </c>
      <c r="N49" s="3" t="s">
        <v>2329</v>
      </c>
      <c r="O49" s="178" t="s">
        <v>2330</v>
      </c>
      <c r="P49" s="3" t="s">
        <v>481</v>
      </c>
      <c r="Q49" s="3" t="s">
        <v>481</v>
      </c>
      <c r="R49" s="3" t="s">
        <v>2141</v>
      </c>
      <c r="S49" s="3" t="s">
        <v>34</v>
      </c>
      <c r="T49" s="153">
        <v>0.17</v>
      </c>
      <c r="U49" s="3" t="s">
        <v>2142</v>
      </c>
      <c r="V49" s="164">
        <v>2.8000000000000001E-2</v>
      </c>
      <c r="W49" s="3" t="s">
        <v>2323</v>
      </c>
      <c r="X49" s="3" t="s">
        <v>2331</v>
      </c>
      <c r="Y49" s="185">
        <v>2.8000000000000001E-2</v>
      </c>
      <c r="Z49" s="164">
        <v>5.1299999999999998E-2</v>
      </c>
      <c r="AA49" s="3" t="s">
        <v>2332</v>
      </c>
      <c r="AB49" s="5" t="s">
        <v>146</v>
      </c>
      <c r="AE49" s="164">
        <v>0</v>
      </c>
      <c r="AG49" s="3" t="s">
        <v>141</v>
      </c>
      <c r="AJ49" s="3" t="s">
        <v>141</v>
      </c>
      <c r="AK49" s="3" t="s">
        <v>498</v>
      </c>
      <c r="AN49" s="178" t="s">
        <v>1394</v>
      </c>
      <c r="AP49" s="164">
        <v>0</v>
      </c>
      <c r="AQ49" s="153">
        <v>250000</v>
      </c>
      <c r="AR49" s="172">
        <v>100.22</v>
      </c>
      <c r="AS49" s="162">
        <v>1</v>
      </c>
      <c r="AT49" s="153">
        <v>250.55</v>
      </c>
      <c r="AU49" s="153">
        <v>250.55</v>
      </c>
      <c r="AX49" s="5" t="s">
        <v>141</v>
      </c>
      <c r="AY49" s="3" t="s">
        <v>36</v>
      </c>
      <c r="AZ49" s="164">
        <v>2.4801383612155701E-2</v>
      </c>
      <c r="BA49" s="164">
        <v>5.4265565983931E-4</v>
      </c>
    </row>
    <row r="50" spans="1:53">
      <c r="A50" s="3">
        <v>1182</v>
      </c>
      <c r="B50" s="3">
        <v>1182</v>
      </c>
      <c r="C50" s="3" t="s">
        <v>2333</v>
      </c>
      <c r="D50" s="3" t="s">
        <v>134</v>
      </c>
      <c r="E50" s="3" t="s">
        <v>2334</v>
      </c>
      <c r="F50" s="3" t="s">
        <v>2335</v>
      </c>
      <c r="G50" s="3" t="s">
        <v>2138</v>
      </c>
      <c r="I50" s="3" t="s">
        <v>30</v>
      </c>
      <c r="J50" s="3" t="s">
        <v>30</v>
      </c>
      <c r="K50" s="3" t="s">
        <v>151</v>
      </c>
      <c r="L50" s="3" t="s">
        <v>141</v>
      </c>
      <c r="M50" s="3" t="s">
        <v>318</v>
      </c>
      <c r="N50" s="3" t="s">
        <v>2336</v>
      </c>
      <c r="O50" s="178" t="s">
        <v>2140</v>
      </c>
      <c r="P50" s="3" t="s">
        <v>163</v>
      </c>
      <c r="Q50" s="3" t="s">
        <v>164</v>
      </c>
      <c r="R50" s="3" t="s">
        <v>2141</v>
      </c>
      <c r="S50" s="3" t="s">
        <v>34</v>
      </c>
      <c r="T50" s="153">
        <v>4.3499999999999996</v>
      </c>
      <c r="U50" s="3" t="s">
        <v>2142</v>
      </c>
      <c r="V50" s="164">
        <v>4.55E-4</v>
      </c>
      <c r="W50" s="3" t="s">
        <v>138</v>
      </c>
      <c r="X50" s="3" t="s">
        <v>2143</v>
      </c>
      <c r="Y50" s="185">
        <v>0</v>
      </c>
      <c r="Z50" s="164">
        <v>4.2099999999999999E-2</v>
      </c>
      <c r="AA50" s="3" t="s">
        <v>2337</v>
      </c>
      <c r="AB50" s="5" t="s">
        <v>146</v>
      </c>
      <c r="AC50" s="3" t="s">
        <v>1565</v>
      </c>
      <c r="AD50" s="153">
        <v>104760.857253165</v>
      </c>
      <c r="AE50" s="164">
        <v>0.79</v>
      </c>
      <c r="AF50" s="3" t="s">
        <v>1394</v>
      </c>
      <c r="AG50" s="3" t="s">
        <v>318</v>
      </c>
      <c r="AH50" s="3" t="s">
        <v>2144</v>
      </c>
      <c r="AI50" s="3" t="s">
        <v>2145</v>
      </c>
      <c r="AJ50" s="3" t="s">
        <v>318</v>
      </c>
      <c r="AK50" s="3" t="s">
        <v>1392</v>
      </c>
      <c r="AL50" s="3" t="s">
        <v>2146</v>
      </c>
      <c r="AM50" s="3" t="s">
        <v>1393</v>
      </c>
      <c r="AN50" s="178" t="s">
        <v>1394</v>
      </c>
      <c r="AO50" s="3" t="s">
        <v>1394</v>
      </c>
      <c r="AP50" s="164">
        <v>0</v>
      </c>
      <c r="AQ50" s="153">
        <v>651939.88</v>
      </c>
      <c r="AR50" s="172">
        <v>110.77</v>
      </c>
      <c r="AS50" s="162">
        <v>1</v>
      </c>
      <c r="AT50" s="153">
        <v>722.154</v>
      </c>
      <c r="AU50" s="153">
        <v>722.154</v>
      </c>
      <c r="AX50" s="5" t="s">
        <v>141</v>
      </c>
      <c r="AY50" s="3" t="s">
        <v>36</v>
      </c>
      <c r="AZ50" s="164">
        <v>7.1484388531901005E-2</v>
      </c>
      <c r="BA50" s="164">
        <v>1.5640824170783699E-3</v>
      </c>
    </row>
    <row r="51" spans="1:53">
      <c r="A51" s="3">
        <v>1182</v>
      </c>
      <c r="B51" s="3">
        <v>1182</v>
      </c>
      <c r="C51" s="3" t="s">
        <v>2338</v>
      </c>
      <c r="D51" s="3" t="s">
        <v>33</v>
      </c>
      <c r="E51" s="3" t="s">
        <v>2339</v>
      </c>
      <c r="F51" s="3" t="s">
        <v>2340</v>
      </c>
      <c r="G51" s="3" t="s">
        <v>2341</v>
      </c>
      <c r="I51" s="3" t="s">
        <v>30</v>
      </c>
      <c r="J51" s="3" t="s">
        <v>30</v>
      </c>
      <c r="K51" s="3" t="s">
        <v>378</v>
      </c>
      <c r="L51" s="3" t="s">
        <v>141</v>
      </c>
      <c r="M51" s="3" t="s">
        <v>141</v>
      </c>
      <c r="O51" s="178" t="s">
        <v>2342</v>
      </c>
      <c r="P51" s="3" t="s">
        <v>514</v>
      </c>
      <c r="Q51" s="3" t="s">
        <v>33</v>
      </c>
      <c r="R51" s="3" t="s">
        <v>2141</v>
      </c>
      <c r="S51" s="3" t="s">
        <v>34</v>
      </c>
      <c r="T51" s="153">
        <v>2.7050000000000001</v>
      </c>
      <c r="U51" s="3" t="s">
        <v>498</v>
      </c>
      <c r="V51" s="164">
        <v>5.4852499999999998E-2</v>
      </c>
      <c r="W51" s="3" t="s">
        <v>2323</v>
      </c>
      <c r="X51" s="3" t="s">
        <v>2331</v>
      </c>
      <c r="Y51" s="185">
        <v>0</v>
      </c>
      <c r="Z51" s="164">
        <v>5.04E-2</v>
      </c>
      <c r="AB51" s="5" t="s">
        <v>146</v>
      </c>
      <c r="AE51" s="164">
        <v>0</v>
      </c>
      <c r="AG51" s="3" t="s">
        <v>141</v>
      </c>
      <c r="AJ51" s="3" t="s">
        <v>141</v>
      </c>
      <c r="AK51" s="3" t="s">
        <v>498</v>
      </c>
      <c r="AN51" s="178" t="s">
        <v>1394</v>
      </c>
      <c r="AP51" s="164">
        <v>0</v>
      </c>
      <c r="AQ51" s="153">
        <v>7740242.6799999997</v>
      </c>
      <c r="AR51" s="172">
        <v>101.693</v>
      </c>
      <c r="AS51" s="162">
        <v>1</v>
      </c>
      <c r="AT51" s="153">
        <v>7871.2979999999998</v>
      </c>
      <c r="AU51" s="153">
        <v>7871.2979999999998</v>
      </c>
      <c r="AX51" s="5" t="s">
        <v>141</v>
      </c>
      <c r="AY51" s="3" t="s">
        <v>36</v>
      </c>
      <c r="AZ51" s="164">
        <v>0.779162182674214</v>
      </c>
      <c r="BA51" s="164">
        <v>1.7048112112329102E-2</v>
      </c>
    </row>
    <row r="52" spans="1:53">
      <c r="A52" s="3">
        <v>12904</v>
      </c>
      <c r="B52" s="3">
        <v>12905</v>
      </c>
      <c r="C52" s="3" t="s">
        <v>2317</v>
      </c>
      <c r="D52" s="3" t="s">
        <v>134</v>
      </c>
      <c r="E52" s="3" t="s">
        <v>2318</v>
      </c>
      <c r="F52" s="3" t="s">
        <v>2319</v>
      </c>
      <c r="G52" s="3" t="s">
        <v>2138</v>
      </c>
      <c r="H52" s="3" t="s">
        <v>2320</v>
      </c>
      <c r="I52" s="3" t="s">
        <v>30</v>
      </c>
      <c r="J52" s="3" t="s">
        <v>30</v>
      </c>
      <c r="K52" s="3" t="s">
        <v>465</v>
      </c>
      <c r="L52" s="3" t="s">
        <v>141</v>
      </c>
      <c r="M52" s="3" t="s">
        <v>318</v>
      </c>
      <c r="N52" s="3" t="s">
        <v>2321</v>
      </c>
      <c r="O52" s="178" t="s">
        <v>2322</v>
      </c>
      <c r="P52" s="147" t="s">
        <v>3307</v>
      </c>
      <c r="Q52" s="147" t="s">
        <v>3306</v>
      </c>
      <c r="R52" s="3" t="s">
        <v>2141</v>
      </c>
      <c r="S52" s="3" t="s">
        <v>34</v>
      </c>
      <c r="T52" s="153">
        <v>0.08</v>
      </c>
      <c r="U52" s="3" t="s">
        <v>2142</v>
      </c>
      <c r="V52" s="164">
        <v>8.6499999999999994E-2</v>
      </c>
      <c r="W52" s="3" t="s">
        <v>2323</v>
      </c>
      <c r="X52" s="3" t="s">
        <v>2087</v>
      </c>
      <c r="Y52" s="185">
        <v>0</v>
      </c>
      <c r="Z52" s="164">
        <v>8.0399999999999999E-2</v>
      </c>
      <c r="AA52" s="3" t="s">
        <v>102</v>
      </c>
      <c r="AB52" s="5" t="s">
        <v>146</v>
      </c>
      <c r="AC52" s="3" t="s">
        <v>2324</v>
      </c>
      <c r="AD52" s="153">
        <v>782791</v>
      </c>
      <c r="AE52" s="164">
        <v>0.43</v>
      </c>
      <c r="AF52" s="3" t="s">
        <v>1394</v>
      </c>
      <c r="AG52" s="3" t="s">
        <v>318</v>
      </c>
      <c r="AH52" s="3" t="s">
        <v>2325</v>
      </c>
      <c r="AI52" s="3" t="s">
        <v>2326</v>
      </c>
      <c r="AJ52" s="3" t="s">
        <v>318</v>
      </c>
      <c r="AK52" s="3" t="s">
        <v>1392</v>
      </c>
      <c r="AL52" s="3" t="s">
        <v>2146</v>
      </c>
      <c r="AM52" s="3" t="s">
        <v>1393</v>
      </c>
      <c r="AN52" s="178" t="s">
        <v>1394</v>
      </c>
      <c r="AO52" s="3" t="s">
        <v>1394</v>
      </c>
      <c r="AP52" s="164">
        <v>0</v>
      </c>
      <c r="AQ52" s="153">
        <v>25000</v>
      </c>
      <c r="AR52" s="172">
        <v>106.22</v>
      </c>
      <c r="AS52" s="162">
        <v>1</v>
      </c>
      <c r="AT52" s="153">
        <v>26.555</v>
      </c>
      <c r="AU52" s="153">
        <v>26.555</v>
      </c>
      <c r="AX52" s="5" t="s">
        <v>141</v>
      </c>
      <c r="AY52" s="3" t="s">
        <v>36</v>
      </c>
      <c r="AZ52" s="164">
        <v>8.1224168281828296E-2</v>
      </c>
      <c r="BA52" s="164">
        <v>5.5081621785366803E-4</v>
      </c>
    </row>
    <row r="53" spans="1:53">
      <c r="A53" s="3">
        <v>12904</v>
      </c>
      <c r="B53" s="3">
        <v>12905</v>
      </c>
      <c r="C53" s="3" t="s">
        <v>2338</v>
      </c>
      <c r="D53" s="3" t="s">
        <v>33</v>
      </c>
      <c r="E53" s="3" t="s">
        <v>2343</v>
      </c>
      <c r="F53" s="3" t="s">
        <v>2344</v>
      </c>
      <c r="G53" s="3" t="s">
        <v>2341</v>
      </c>
      <c r="I53" s="3" t="s">
        <v>30</v>
      </c>
      <c r="J53" s="3" t="s">
        <v>30</v>
      </c>
      <c r="K53" s="3" t="s">
        <v>378</v>
      </c>
      <c r="L53" s="3" t="s">
        <v>141</v>
      </c>
      <c r="M53" s="3" t="s">
        <v>141</v>
      </c>
      <c r="O53" s="178" t="s">
        <v>2345</v>
      </c>
      <c r="P53" s="3" t="s">
        <v>514</v>
      </c>
      <c r="Q53" s="3" t="s">
        <v>33</v>
      </c>
      <c r="R53" s="3" t="s">
        <v>2141</v>
      </c>
      <c r="S53" s="3" t="s">
        <v>34</v>
      </c>
      <c r="T53" s="153">
        <v>2.4729999999999999</v>
      </c>
      <c r="U53" s="3" t="s">
        <v>498</v>
      </c>
      <c r="V53" s="164">
        <v>5.4420299999999998E-2</v>
      </c>
      <c r="W53" s="3" t="s">
        <v>2323</v>
      </c>
      <c r="X53" s="3" t="s">
        <v>2331</v>
      </c>
      <c r="Y53" s="185">
        <v>0</v>
      </c>
      <c r="Z53" s="164">
        <v>4.4999999999999998E-2</v>
      </c>
      <c r="AB53" s="5" t="s">
        <v>146</v>
      </c>
      <c r="AE53" s="164">
        <v>0</v>
      </c>
      <c r="AG53" s="3" t="s">
        <v>141</v>
      </c>
      <c r="AJ53" s="3" t="s">
        <v>141</v>
      </c>
      <c r="AK53" s="3" t="s">
        <v>498</v>
      </c>
      <c r="AN53" s="178" t="s">
        <v>1394</v>
      </c>
      <c r="AP53" s="164">
        <v>0</v>
      </c>
      <c r="AQ53" s="153">
        <v>294028.49</v>
      </c>
      <c r="AR53" s="172">
        <v>102.16</v>
      </c>
      <c r="AS53" s="162">
        <v>1</v>
      </c>
      <c r="AT53" s="153">
        <v>300.38</v>
      </c>
      <c r="AU53" s="153">
        <v>300.38</v>
      </c>
      <c r="AX53" s="5" t="s">
        <v>141</v>
      </c>
      <c r="AY53" s="3" t="s">
        <v>36</v>
      </c>
      <c r="AZ53" s="164">
        <v>0.91877583171817201</v>
      </c>
      <c r="BA53" s="164">
        <v>6.2306163225506698E-3</v>
      </c>
    </row>
    <row r="54" spans="1:53">
      <c r="A54" s="3">
        <v>424</v>
      </c>
      <c r="B54" s="3">
        <v>7228</v>
      </c>
      <c r="C54" s="3" t="s">
        <v>2135</v>
      </c>
      <c r="D54" s="3" t="s">
        <v>134</v>
      </c>
      <c r="E54" s="3" t="s">
        <v>2136</v>
      </c>
      <c r="F54" s="3" t="s">
        <v>2137</v>
      </c>
      <c r="G54" s="3" t="s">
        <v>2138</v>
      </c>
      <c r="I54" s="3" t="s">
        <v>30</v>
      </c>
      <c r="J54" s="3" t="s">
        <v>30</v>
      </c>
      <c r="K54" s="3" t="s">
        <v>151</v>
      </c>
      <c r="L54" s="3" t="s">
        <v>141</v>
      </c>
      <c r="M54" s="3" t="s">
        <v>318</v>
      </c>
      <c r="N54" s="3" t="s">
        <v>2139</v>
      </c>
      <c r="O54" s="178" t="s">
        <v>2140</v>
      </c>
      <c r="P54" s="41" t="s">
        <v>163</v>
      </c>
      <c r="Q54" s="3" t="s">
        <v>164</v>
      </c>
      <c r="R54" s="3" t="s">
        <v>2141</v>
      </c>
      <c r="S54" s="3" t="s">
        <v>34</v>
      </c>
      <c r="T54" s="153">
        <v>4.2300000000000004</v>
      </c>
      <c r="U54" s="3" t="s">
        <v>2142</v>
      </c>
      <c r="V54" s="164">
        <v>4.4999999999999998E-2</v>
      </c>
      <c r="W54" s="3" t="s">
        <v>138</v>
      </c>
      <c r="X54" s="3" t="s">
        <v>2143</v>
      </c>
      <c r="Y54" s="185">
        <v>4.4999999999999998E-2</v>
      </c>
      <c r="Z54" s="164">
        <v>4.2000000000000003E-2</v>
      </c>
      <c r="AA54" s="3" t="s">
        <v>330</v>
      </c>
      <c r="AB54" s="5" t="s">
        <v>146</v>
      </c>
      <c r="AC54" s="3" t="s">
        <v>1565</v>
      </c>
      <c r="AD54" s="153">
        <v>51249.677223684201</v>
      </c>
      <c r="AE54" s="164">
        <v>0.76</v>
      </c>
      <c r="AF54" s="3" t="s">
        <v>1394</v>
      </c>
      <c r="AG54" s="3" t="s">
        <v>318</v>
      </c>
      <c r="AH54" s="3" t="s">
        <v>2144</v>
      </c>
      <c r="AI54" s="3" t="s">
        <v>2145</v>
      </c>
      <c r="AJ54" s="3" t="s">
        <v>318</v>
      </c>
      <c r="AK54" s="3" t="s">
        <v>1392</v>
      </c>
      <c r="AL54" s="3" t="s">
        <v>2146</v>
      </c>
      <c r="AM54" s="3" t="s">
        <v>1393</v>
      </c>
      <c r="AN54" s="178" t="s">
        <v>1394</v>
      </c>
      <c r="AO54" s="3" t="s">
        <v>1394</v>
      </c>
      <c r="AP54" s="164">
        <v>0</v>
      </c>
      <c r="AQ54" s="153">
        <v>1540486.44</v>
      </c>
      <c r="AR54" s="172">
        <v>110.52</v>
      </c>
      <c r="AS54" s="162">
        <v>1</v>
      </c>
      <c r="AT54" s="153">
        <v>1702.546</v>
      </c>
      <c r="AU54" s="153">
        <v>1702.546</v>
      </c>
      <c r="AX54" s="5" t="s">
        <v>141</v>
      </c>
      <c r="AY54" s="3" t="s">
        <v>36</v>
      </c>
      <c r="AZ54" s="164">
        <v>3.9638401178336197E-2</v>
      </c>
      <c r="BA54" s="164">
        <v>6.6623749675987702E-4</v>
      </c>
    </row>
    <row r="55" spans="1:53">
      <c r="A55" s="41">
        <v>424</v>
      </c>
      <c r="B55" s="41">
        <v>7228</v>
      </c>
      <c r="C55" s="41" t="s">
        <v>2147</v>
      </c>
      <c r="D55" s="41" t="s">
        <v>134</v>
      </c>
      <c r="E55" s="41" t="s">
        <v>2148</v>
      </c>
      <c r="F55" s="41" t="s">
        <v>2149</v>
      </c>
      <c r="G55" s="41" t="s">
        <v>2138</v>
      </c>
      <c r="H55" s="41"/>
      <c r="I55" s="41" t="s">
        <v>30</v>
      </c>
      <c r="J55" s="41" t="s">
        <v>30</v>
      </c>
      <c r="K55" s="41" t="s">
        <v>151</v>
      </c>
      <c r="L55" s="41" t="s">
        <v>141</v>
      </c>
      <c r="M55" s="41" t="s">
        <v>318</v>
      </c>
      <c r="N55" s="41" t="s">
        <v>2150</v>
      </c>
      <c r="O55" s="178" t="s">
        <v>2151</v>
      </c>
      <c r="P55" s="202" t="s">
        <v>142</v>
      </c>
      <c r="Q55" s="21" t="s">
        <v>164</v>
      </c>
      <c r="R55" s="41" t="s">
        <v>2141</v>
      </c>
      <c r="S55" s="41" t="s">
        <v>34</v>
      </c>
      <c r="T55" s="153">
        <v>2.81</v>
      </c>
      <c r="U55" s="41" t="s">
        <v>2152</v>
      </c>
      <c r="V55" s="164">
        <v>5.5452000000000001E-2</v>
      </c>
      <c r="W55" s="41" t="s">
        <v>138</v>
      </c>
      <c r="X55" s="41" t="s">
        <v>2087</v>
      </c>
      <c r="Y55" s="185">
        <v>0</v>
      </c>
      <c r="Z55" s="164">
        <v>3.0599999999999999E-2</v>
      </c>
      <c r="AA55" s="41" t="s">
        <v>2153</v>
      </c>
      <c r="AB55" s="42" t="s">
        <v>146</v>
      </c>
      <c r="AC55" s="41" t="s">
        <v>1565</v>
      </c>
      <c r="AD55" s="153">
        <v>482000</v>
      </c>
      <c r="AE55" s="164">
        <v>0.73</v>
      </c>
      <c r="AF55" s="41" t="s">
        <v>1394</v>
      </c>
      <c r="AG55" s="41" t="s">
        <v>141</v>
      </c>
      <c r="AH55" s="41" t="s">
        <v>2144</v>
      </c>
      <c r="AI55" s="41" t="s">
        <v>2154</v>
      </c>
      <c r="AJ55" s="41" t="s">
        <v>318</v>
      </c>
      <c r="AK55" s="41" t="s">
        <v>1392</v>
      </c>
      <c r="AL55" s="41" t="s">
        <v>2146</v>
      </c>
      <c r="AM55" s="41" t="s">
        <v>1393</v>
      </c>
      <c r="AN55" s="178" t="s">
        <v>1394</v>
      </c>
      <c r="AO55" s="41" t="s">
        <v>1394</v>
      </c>
      <c r="AP55" s="164">
        <v>0</v>
      </c>
      <c r="AQ55" s="153">
        <v>41978.239999999998</v>
      </c>
      <c r="AR55" s="172">
        <v>127.7</v>
      </c>
      <c r="AS55" s="162">
        <v>1</v>
      </c>
      <c r="AT55" s="153">
        <v>53.606000000000002</v>
      </c>
      <c r="AU55" s="153">
        <v>53.606000000000002</v>
      </c>
      <c r="AV55" s="41"/>
      <c r="AW55" s="41"/>
      <c r="AX55" s="42" t="s">
        <v>141</v>
      </c>
      <c r="AY55" s="41" t="s">
        <v>36</v>
      </c>
      <c r="AZ55" s="164">
        <v>1.24805147016306E-3</v>
      </c>
      <c r="BA55" s="164">
        <v>2.0977099544654901E-5</v>
      </c>
    </row>
    <row r="56" spans="1:53">
      <c r="A56" s="41">
        <v>424</v>
      </c>
      <c r="B56" s="41">
        <v>7228</v>
      </c>
      <c r="C56" s="41" t="s">
        <v>2147</v>
      </c>
      <c r="D56" s="41" t="s">
        <v>134</v>
      </c>
      <c r="E56" s="41" t="s">
        <v>2155</v>
      </c>
      <c r="F56" s="41" t="s">
        <v>2156</v>
      </c>
      <c r="G56" s="41" t="s">
        <v>2138</v>
      </c>
      <c r="H56" s="41"/>
      <c r="I56" s="41" t="s">
        <v>30</v>
      </c>
      <c r="J56" s="41" t="s">
        <v>30</v>
      </c>
      <c r="K56" s="41" t="s">
        <v>151</v>
      </c>
      <c r="L56" s="41" t="s">
        <v>141</v>
      </c>
      <c r="M56" s="41" t="s">
        <v>318</v>
      </c>
      <c r="N56" s="41" t="s">
        <v>2157</v>
      </c>
      <c r="O56" s="178" t="s">
        <v>2151</v>
      </c>
      <c r="P56" s="202" t="s">
        <v>142</v>
      </c>
      <c r="Q56" s="21" t="s">
        <v>164</v>
      </c>
      <c r="R56" s="41" t="s">
        <v>2141</v>
      </c>
      <c r="S56" s="41" t="s">
        <v>34</v>
      </c>
      <c r="T56" s="153">
        <v>2.82</v>
      </c>
      <c r="U56" s="41" t="s">
        <v>2142</v>
      </c>
      <c r="V56" s="164">
        <v>5.5452000000000001E-2</v>
      </c>
      <c r="W56" s="41" t="s">
        <v>138</v>
      </c>
      <c r="X56" s="41" t="s">
        <v>2087</v>
      </c>
      <c r="Y56" s="185">
        <v>0</v>
      </c>
      <c r="Z56" s="164">
        <v>2.9100000000000001E-2</v>
      </c>
      <c r="AA56" s="41" t="s">
        <v>2153</v>
      </c>
      <c r="AB56" s="42" t="s">
        <v>146</v>
      </c>
      <c r="AC56" s="41" t="s">
        <v>1565</v>
      </c>
      <c r="AD56" s="153">
        <v>482000</v>
      </c>
      <c r="AE56" s="164">
        <v>0.73</v>
      </c>
      <c r="AF56" s="41" t="s">
        <v>1394</v>
      </c>
      <c r="AG56" s="41" t="s">
        <v>141</v>
      </c>
      <c r="AH56" s="41" t="s">
        <v>2144</v>
      </c>
      <c r="AI56" s="41" t="s">
        <v>2154</v>
      </c>
      <c r="AJ56" s="41" t="s">
        <v>318</v>
      </c>
      <c r="AK56" s="41" t="s">
        <v>1392</v>
      </c>
      <c r="AL56" s="41" t="s">
        <v>2146</v>
      </c>
      <c r="AM56" s="41" t="s">
        <v>1393</v>
      </c>
      <c r="AN56" s="178" t="s">
        <v>1394</v>
      </c>
      <c r="AO56" s="41" t="s">
        <v>1394</v>
      </c>
      <c r="AP56" s="164">
        <v>0</v>
      </c>
      <c r="AQ56" s="153">
        <v>60470.22</v>
      </c>
      <c r="AR56" s="172">
        <v>130.78</v>
      </c>
      <c r="AS56" s="162">
        <v>1</v>
      </c>
      <c r="AT56" s="153">
        <v>79.082999999999998</v>
      </c>
      <c r="AU56" s="153">
        <v>79.082999999999998</v>
      </c>
      <c r="AV56" s="41"/>
      <c r="AW56" s="41"/>
      <c r="AX56" s="42" t="s">
        <v>141</v>
      </c>
      <c r="AY56" s="41" t="s">
        <v>36</v>
      </c>
      <c r="AZ56" s="164">
        <v>1.8411969822884899E-3</v>
      </c>
      <c r="BA56" s="164">
        <v>3.0946618230206E-5</v>
      </c>
    </row>
    <row r="57" spans="1:53">
      <c r="A57" s="41">
        <v>424</v>
      </c>
      <c r="B57" s="41">
        <v>7228</v>
      </c>
      <c r="C57" s="41" t="s">
        <v>2147</v>
      </c>
      <c r="D57" s="41" t="s">
        <v>134</v>
      </c>
      <c r="E57" s="41" t="s">
        <v>2158</v>
      </c>
      <c r="F57" s="41" t="s">
        <v>2159</v>
      </c>
      <c r="G57" s="41" t="s">
        <v>2138</v>
      </c>
      <c r="H57" s="41"/>
      <c r="I57" s="41" t="s">
        <v>30</v>
      </c>
      <c r="J57" s="41" t="s">
        <v>30</v>
      </c>
      <c r="K57" s="41" t="s">
        <v>151</v>
      </c>
      <c r="L57" s="41" t="s">
        <v>141</v>
      </c>
      <c r="M57" s="41" t="s">
        <v>318</v>
      </c>
      <c r="N57" s="41" t="s">
        <v>2157</v>
      </c>
      <c r="O57" s="178" t="s">
        <v>2151</v>
      </c>
      <c r="P57" s="202" t="s">
        <v>142</v>
      </c>
      <c r="Q57" s="21" t="s">
        <v>164</v>
      </c>
      <c r="R57" s="41" t="s">
        <v>2141</v>
      </c>
      <c r="S57" s="41" t="s">
        <v>34</v>
      </c>
      <c r="T57" s="153">
        <v>2.82</v>
      </c>
      <c r="U57" s="41" t="s">
        <v>2142</v>
      </c>
      <c r="V57" s="164">
        <v>5.5452000000000001E-2</v>
      </c>
      <c r="W57" s="41" t="s">
        <v>138</v>
      </c>
      <c r="X57" s="41" t="s">
        <v>2087</v>
      </c>
      <c r="Y57" s="185">
        <v>0</v>
      </c>
      <c r="Z57" s="164">
        <v>2.9100000000000001E-2</v>
      </c>
      <c r="AA57" s="41" t="s">
        <v>2153</v>
      </c>
      <c r="AB57" s="42" t="s">
        <v>146</v>
      </c>
      <c r="AC57" s="41" t="s">
        <v>1565</v>
      </c>
      <c r="AD57" s="153">
        <v>482000</v>
      </c>
      <c r="AE57" s="164">
        <v>0.73</v>
      </c>
      <c r="AF57" s="41" t="s">
        <v>1394</v>
      </c>
      <c r="AG57" s="41" t="s">
        <v>141</v>
      </c>
      <c r="AH57" s="41" t="s">
        <v>2144</v>
      </c>
      <c r="AI57" s="41" t="s">
        <v>2154</v>
      </c>
      <c r="AJ57" s="41" t="s">
        <v>318</v>
      </c>
      <c r="AK57" s="41" t="s">
        <v>1392</v>
      </c>
      <c r="AL57" s="41" t="s">
        <v>2146</v>
      </c>
      <c r="AM57" s="41" t="s">
        <v>1393</v>
      </c>
      <c r="AN57" s="178" t="s">
        <v>1394</v>
      </c>
      <c r="AO57" s="41" t="s">
        <v>1394</v>
      </c>
      <c r="AP57" s="164">
        <v>0</v>
      </c>
      <c r="AQ57" s="153">
        <v>6662.57</v>
      </c>
      <c r="AR57" s="172">
        <v>130.78</v>
      </c>
      <c r="AS57" s="162">
        <v>1</v>
      </c>
      <c r="AT57" s="153">
        <v>8.7129999999999992</v>
      </c>
      <c r="AU57" s="153">
        <v>8.7129999999999992</v>
      </c>
      <c r="AV57" s="41"/>
      <c r="AW57" s="41"/>
      <c r="AX57" s="42" t="s">
        <v>141</v>
      </c>
      <c r="AY57" s="41" t="s">
        <v>36</v>
      </c>
      <c r="AZ57" s="164">
        <v>2.0286190092058199E-4</v>
      </c>
      <c r="BA57" s="164">
        <v>3.4096785198073298E-6</v>
      </c>
    </row>
    <row r="58" spans="1:53">
      <c r="A58" s="41">
        <v>424</v>
      </c>
      <c r="B58" s="41">
        <v>7228</v>
      </c>
      <c r="C58" s="41" t="s">
        <v>2147</v>
      </c>
      <c r="D58" s="41" t="s">
        <v>134</v>
      </c>
      <c r="E58" s="41" t="s">
        <v>2160</v>
      </c>
      <c r="F58" s="41" t="s">
        <v>2161</v>
      </c>
      <c r="G58" s="41" t="s">
        <v>2138</v>
      </c>
      <c r="H58" s="41"/>
      <c r="I58" s="41" t="s">
        <v>30</v>
      </c>
      <c r="J58" s="41" t="s">
        <v>30</v>
      </c>
      <c r="K58" s="41" t="s">
        <v>151</v>
      </c>
      <c r="L58" s="41" t="s">
        <v>141</v>
      </c>
      <c r="M58" s="41" t="s">
        <v>318</v>
      </c>
      <c r="N58" s="41" t="s">
        <v>2162</v>
      </c>
      <c r="O58" s="178" t="s">
        <v>2163</v>
      </c>
      <c r="P58" s="202" t="s">
        <v>142</v>
      </c>
      <c r="Q58" s="21" t="s">
        <v>164</v>
      </c>
      <c r="R58" s="41" t="s">
        <v>2141</v>
      </c>
      <c r="S58" s="41" t="s">
        <v>34</v>
      </c>
      <c r="T58" s="153">
        <v>2.82</v>
      </c>
      <c r="U58" s="41" t="s">
        <v>2152</v>
      </c>
      <c r="V58" s="164">
        <v>5.5452000000000001E-2</v>
      </c>
      <c r="W58" s="41" t="s">
        <v>138</v>
      </c>
      <c r="X58" s="41" t="s">
        <v>2087</v>
      </c>
      <c r="Y58" s="185">
        <v>0</v>
      </c>
      <c r="Z58" s="164">
        <v>2.9100000000000001E-2</v>
      </c>
      <c r="AA58" s="41" t="s">
        <v>2153</v>
      </c>
      <c r="AB58" s="42" t="s">
        <v>146</v>
      </c>
      <c r="AC58" s="41" t="s">
        <v>1565</v>
      </c>
      <c r="AD58" s="153">
        <v>482000</v>
      </c>
      <c r="AE58" s="164">
        <v>0.73</v>
      </c>
      <c r="AF58" s="41" t="s">
        <v>1394</v>
      </c>
      <c r="AG58" s="41" t="s">
        <v>141</v>
      </c>
      <c r="AH58" s="41" t="s">
        <v>2144</v>
      </c>
      <c r="AI58" s="41" t="s">
        <v>2154</v>
      </c>
      <c r="AJ58" s="41" t="s">
        <v>318</v>
      </c>
      <c r="AK58" s="41" t="s">
        <v>1392</v>
      </c>
      <c r="AL58" s="41" t="s">
        <v>2146</v>
      </c>
      <c r="AM58" s="41" t="s">
        <v>1393</v>
      </c>
      <c r="AN58" s="178" t="s">
        <v>1394</v>
      </c>
      <c r="AO58" s="41" t="s">
        <v>1394</v>
      </c>
      <c r="AP58" s="164">
        <v>0</v>
      </c>
      <c r="AQ58" s="153">
        <v>83265.67</v>
      </c>
      <c r="AR58" s="172">
        <v>132.41999999999999</v>
      </c>
      <c r="AS58" s="162">
        <v>1</v>
      </c>
      <c r="AT58" s="153">
        <v>110.26</v>
      </c>
      <c r="AU58" s="153">
        <v>110.26</v>
      </c>
      <c r="AV58" s="41"/>
      <c r="AW58" s="41"/>
      <c r="AX58" s="42" t="s">
        <v>141</v>
      </c>
      <c r="AY58" s="41" t="s">
        <v>36</v>
      </c>
      <c r="AZ58" s="164">
        <v>2.5670654243515499E-3</v>
      </c>
      <c r="BA58" s="164">
        <v>4.3146928016701398E-5</v>
      </c>
    </row>
    <row r="59" spans="1:53">
      <c r="A59" s="41">
        <v>424</v>
      </c>
      <c r="B59" s="41">
        <v>7228</v>
      </c>
      <c r="C59" s="41" t="s">
        <v>2147</v>
      </c>
      <c r="D59" s="41" t="s">
        <v>134</v>
      </c>
      <c r="E59" s="41" t="s">
        <v>2164</v>
      </c>
      <c r="F59" s="41" t="s">
        <v>2165</v>
      </c>
      <c r="G59" s="41" t="s">
        <v>2138</v>
      </c>
      <c r="H59" s="41"/>
      <c r="I59" s="41" t="s">
        <v>30</v>
      </c>
      <c r="J59" s="41" t="s">
        <v>30</v>
      </c>
      <c r="K59" s="41" t="s">
        <v>151</v>
      </c>
      <c r="L59" s="41" t="s">
        <v>141</v>
      </c>
      <c r="M59" s="41" t="s">
        <v>318</v>
      </c>
      <c r="N59" s="41" t="s">
        <v>2166</v>
      </c>
      <c r="O59" s="178" t="s">
        <v>2167</v>
      </c>
      <c r="P59" s="202" t="s">
        <v>142</v>
      </c>
      <c r="Q59" s="21" t="s">
        <v>164</v>
      </c>
      <c r="R59" s="41" t="s">
        <v>2141</v>
      </c>
      <c r="S59" s="41" t="s">
        <v>34</v>
      </c>
      <c r="T59" s="153">
        <v>2.82</v>
      </c>
      <c r="U59" s="41" t="s">
        <v>2152</v>
      </c>
      <c r="V59" s="164">
        <v>5.5452000000000001E-2</v>
      </c>
      <c r="W59" s="41" t="s">
        <v>138</v>
      </c>
      <c r="X59" s="41" t="s">
        <v>2087</v>
      </c>
      <c r="Y59" s="185">
        <v>0</v>
      </c>
      <c r="Z59" s="164">
        <v>2.9100000000000001E-2</v>
      </c>
      <c r="AA59" s="41" t="s">
        <v>2153</v>
      </c>
      <c r="AB59" s="42" t="s">
        <v>146</v>
      </c>
      <c r="AC59" s="41" t="s">
        <v>1565</v>
      </c>
      <c r="AD59" s="153">
        <v>482000</v>
      </c>
      <c r="AE59" s="164">
        <v>0.73</v>
      </c>
      <c r="AF59" s="41" t="s">
        <v>1394</v>
      </c>
      <c r="AG59" s="41" t="s">
        <v>141</v>
      </c>
      <c r="AH59" s="41" t="s">
        <v>2144</v>
      </c>
      <c r="AI59" s="41" t="s">
        <v>2154</v>
      </c>
      <c r="AJ59" s="41" t="s">
        <v>318</v>
      </c>
      <c r="AK59" s="41" t="s">
        <v>1392</v>
      </c>
      <c r="AL59" s="41" t="s">
        <v>2146</v>
      </c>
      <c r="AM59" s="41" t="s">
        <v>1393</v>
      </c>
      <c r="AN59" s="178" t="s">
        <v>1394</v>
      </c>
      <c r="AO59" s="41" t="s">
        <v>1394</v>
      </c>
      <c r="AP59" s="164">
        <v>0</v>
      </c>
      <c r="AQ59" s="153">
        <v>79885.990000000005</v>
      </c>
      <c r="AR59" s="172">
        <v>132.41</v>
      </c>
      <c r="AS59" s="162">
        <v>1</v>
      </c>
      <c r="AT59" s="153">
        <v>105.777</v>
      </c>
      <c r="AU59" s="153">
        <v>105.777</v>
      </c>
      <c r="AV59" s="41"/>
      <c r="AW59" s="41"/>
      <c r="AX59" s="42" t="s">
        <v>141</v>
      </c>
      <c r="AY59" s="41" t="s">
        <v>36</v>
      </c>
      <c r="AZ59" s="164">
        <v>2.4626845168505399E-3</v>
      </c>
      <c r="BA59" s="164">
        <v>4.1392506232378702E-5</v>
      </c>
    </row>
    <row r="60" spans="1:53">
      <c r="A60" s="41">
        <v>424</v>
      </c>
      <c r="B60" s="41">
        <v>7228</v>
      </c>
      <c r="C60" s="41" t="s">
        <v>2147</v>
      </c>
      <c r="D60" s="41" t="s">
        <v>134</v>
      </c>
      <c r="E60" s="41" t="s">
        <v>2168</v>
      </c>
      <c r="F60" s="41" t="s">
        <v>2169</v>
      </c>
      <c r="G60" s="41" t="s">
        <v>2138</v>
      </c>
      <c r="H60" s="41"/>
      <c r="I60" s="41" t="s">
        <v>30</v>
      </c>
      <c r="J60" s="41" t="s">
        <v>30</v>
      </c>
      <c r="K60" s="41" t="s">
        <v>151</v>
      </c>
      <c r="L60" s="41" t="s">
        <v>141</v>
      </c>
      <c r="M60" s="41" t="s">
        <v>318</v>
      </c>
      <c r="N60" s="41" t="s">
        <v>2170</v>
      </c>
      <c r="O60" s="178" t="s">
        <v>2171</v>
      </c>
      <c r="P60" s="202" t="s">
        <v>142</v>
      </c>
      <c r="Q60" s="21" t="s">
        <v>164</v>
      </c>
      <c r="R60" s="41" t="s">
        <v>2141</v>
      </c>
      <c r="S60" s="41" t="s">
        <v>34</v>
      </c>
      <c r="T60" s="153">
        <v>2.82</v>
      </c>
      <c r="U60" s="41" t="s">
        <v>2152</v>
      </c>
      <c r="V60" s="164">
        <v>5.5453000000000002E-2</v>
      </c>
      <c r="W60" s="41" t="s">
        <v>138</v>
      </c>
      <c r="X60" s="41" t="s">
        <v>2087</v>
      </c>
      <c r="Y60" s="185">
        <v>0</v>
      </c>
      <c r="Z60" s="164">
        <v>2.9100000000000001E-2</v>
      </c>
      <c r="AA60" s="41" t="s">
        <v>2153</v>
      </c>
      <c r="AB60" s="42" t="s">
        <v>146</v>
      </c>
      <c r="AC60" s="41" t="s">
        <v>1565</v>
      </c>
      <c r="AD60" s="153">
        <v>482000</v>
      </c>
      <c r="AE60" s="164">
        <v>0.73</v>
      </c>
      <c r="AF60" s="41" t="s">
        <v>1394</v>
      </c>
      <c r="AG60" s="41" t="s">
        <v>141</v>
      </c>
      <c r="AH60" s="41" t="s">
        <v>2144</v>
      </c>
      <c r="AI60" s="41" t="s">
        <v>2154</v>
      </c>
      <c r="AJ60" s="41" t="s">
        <v>318</v>
      </c>
      <c r="AK60" s="41" t="s">
        <v>1392</v>
      </c>
      <c r="AL60" s="41" t="s">
        <v>2146</v>
      </c>
      <c r="AM60" s="41" t="s">
        <v>1393</v>
      </c>
      <c r="AN60" s="178" t="s">
        <v>1394</v>
      </c>
      <c r="AO60" s="41" t="s">
        <v>1394</v>
      </c>
      <c r="AP60" s="164">
        <v>0</v>
      </c>
      <c r="AQ60" s="153">
        <v>80342.13</v>
      </c>
      <c r="AR60" s="172">
        <v>130.78</v>
      </c>
      <c r="AS60" s="162">
        <v>1</v>
      </c>
      <c r="AT60" s="153">
        <v>105.071</v>
      </c>
      <c r="AU60" s="153">
        <v>105.071</v>
      </c>
      <c r="AV60" s="41"/>
      <c r="AW60" s="41"/>
      <c r="AX60" s="42" t="s">
        <v>141</v>
      </c>
      <c r="AY60" s="41" t="s">
        <v>36</v>
      </c>
      <c r="AZ60" s="164">
        <v>2.4462568071792899E-3</v>
      </c>
      <c r="BA60" s="164">
        <v>4.1116391256912601E-5</v>
      </c>
    </row>
    <row r="61" spans="1:53">
      <c r="A61" s="41">
        <v>424</v>
      </c>
      <c r="B61" s="41">
        <v>7228</v>
      </c>
      <c r="C61" s="41" t="s">
        <v>2147</v>
      </c>
      <c r="D61" s="41" t="s">
        <v>134</v>
      </c>
      <c r="E61" s="41" t="s">
        <v>2172</v>
      </c>
      <c r="F61" s="41" t="s">
        <v>2173</v>
      </c>
      <c r="G61" s="41" t="s">
        <v>2138</v>
      </c>
      <c r="H61" s="41"/>
      <c r="I61" s="41" t="s">
        <v>30</v>
      </c>
      <c r="J61" s="41" t="s">
        <v>30</v>
      </c>
      <c r="K61" s="41" t="s">
        <v>151</v>
      </c>
      <c r="L61" s="41" t="s">
        <v>141</v>
      </c>
      <c r="M61" s="41" t="s">
        <v>318</v>
      </c>
      <c r="N61" s="41" t="s">
        <v>2174</v>
      </c>
      <c r="O61" s="178" t="s">
        <v>2175</v>
      </c>
      <c r="P61" s="202" t="s">
        <v>142</v>
      </c>
      <c r="Q61" s="21" t="s">
        <v>164</v>
      </c>
      <c r="R61" s="41" t="s">
        <v>2141</v>
      </c>
      <c r="S61" s="41" t="s">
        <v>34</v>
      </c>
      <c r="T61" s="153">
        <v>2.82</v>
      </c>
      <c r="U61" s="41" t="s">
        <v>2152</v>
      </c>
      <c r="V61" s="164">
        <v>5.5452000000000001E-2</v>
      </c>
      <c r="W61" s="41" t="s">
        <v>138</v>
      </c>
      <c r="X61" s="41" t="s">
        <v>2087</v>
      </c>
      <c r="Y61" s="185">
        <v>0</v>
      </c>
      <c r="Z61" s="164">
        <v>2.9100000000000001E-2</v>
      </c>
      <c r="AA61" s="41" t="s">
        <v>2153</v>
      </c>
      <c r="AB61" s="42" t="s">
        <v>146</v>
      </c>
      <c r="AC61" s="41" t="s">
        <v>1565</v>
      </c>
      <c r="AD61" s="153">
        <v>482000</v>
      </c>
      <c r="AE61" s="164">
        <v>0.73</v>
      </c>
      <c r="AF61" s="41" t="s">
        <v>1394</v>
      </c>
      <c r="AG61" s="41" t="s">
        <v>141</v>
      </c>
      <c r="AH61" s="41" t="s">
        <v>2144</v>
      </c>
      <c r="AI61" s="41" t="s">
        <v>2154</v>
      </c>
      <c r="AJ61" s="41" t="s">
        <v>318</v>
      </c>
      <c r="AK61" s="41" t="s">
        <v>1392</v>
      </c>
      <c r="AL61" s="41" t="s">
        <v>2146</v>
      </c>
      <c r="AM61" s="41" t="s">
        <v>1393</v>
      </c>
      <c r="AN61" s="178" t="s">
        <v>1394</v>
      </c>
      <c r="AO61" s="41" t="s">
        <v>1394</v>
      </c>
      <c r="AP61" s="164">
        <v>0</v>
      </c>
      <c r="AQ61" s="153">
        <v>25371.119999999999</v>
      </c>
      <c r="AR61" s="172">
        <v>130.25</v>
      </c>
      <c r="AS61" s="162">
        <v>1</v>
      </c>
      <c r="AT61" s="153">
        <v>33.045999999999999</v>
      </c>
      <c r="AU61" s="153">
        <v>33.045999999999999</v>
      </c>
      <c r="AV61" s="41"/>
      <c r="AW61" s="41"/>
      <c r="AX61" s="42" t="s">
        <v>141</v>
      </c>
      <c r="AY61" s="41" t="s">
        <v>36</v>
      </c>
      <c r="AZ61" s="164">
        <v>7.6936910763496301E-4</v>
      </c>
      <c r="BA61" s="164">
        <v>1.2931463760330501E-5</v>
      </c>
    </row>
    <row r="62" spans="1:53">
      <c r="A62" s="41">
        <v>424</v>
      </c>
      <c r="B62" s="41">
        <v>7228</v>
      </c>
      <c r="C62" s="41" t="s">
        <v>2147</v>
      </c>
      <c r="D62" s="41" t="s">
        <v>134</v>
      </c>
      <c r="E62" s="41" t="s">
        <v>2176</v>
      </c>
      <c r="F62" s="41" t="s">
        <v>2177</v>
      </c>
      <c r="G62" s="41" t="s">
        <v>2138</v>
      </c>
      <c r="H62" s="41"/>
      <c r="I62" s="41" t="s">
        <v>30</v>
      </c>
      <c r="J62" s="41" t="s">
        <v>30</v>
      </c>
      <c r="K62" s="41" t="s">
        <v>151</v>
      </c>
      <c r="L62" s="41" t="s">
        <v>141</v>
      </c>
      <c r="M62" s="41" t="s">
        <v>318</v>
      </c>
      <c r="N62" s="41" t="s">
        <v>2178</v>
      </c>
      <c r="O62" s="178" t="s">
        <v>2179</v>
      </c>
      <c r="P62" s="202" t="s">
        <v>142</v>
      </c>
      <c r="Q62" s="21" t="s">
        <v>164</v>
      </c>
      <c r="R62" s="41" t="s">
        <v>2141</v>
      </c>
      <c r="S62" s="41" t="s">
        <v>34</v>
      </c>
      <c r="T62" s="153">
        <v>2.81</v>
      </c>
      <c r="U62" s="41" t="s">
        <v>2142</v>
      </c>
      <c r="V62" s="164">
        <v>5.6285000000000002E-2</v>
      </c>
      <c r="W62" s="41" t="s">
        <v>138</v>
      </c>
      <c r="X62" s="41" t="s">
        <v>2087</v>
      </c>
      <c r="Y62" s="185">
        <v>0</v>
      </c>
      <c r="Z62" s="164">
        <v>2.9000000000000001E-2</v>
      </c>
      <c r="AA62" s="41" t="s">
        <v>2153</v>
      </c>
      <c r="AB62" s="42" t="s">
        <v>146</v>
      </c>
      <c r="AC62" s="41" t="s">
        <v>1565</v>
      </c>
      <c r="AD62" s="153">
        <v>482000</v>
      </c>
      <c r="AE62" s="164">
        <v>0.73</v>
      </c>
      <c r="AF62" s="41" t="s">
        <v>1394</v>
      </c>
      <c r="AG62" s="41" t="s">
        <v>141</v>
      </c>
      <c r="AH62" s="41" t="s">
        <v>2144</v>
      </c>
      <c r="AI62" s="41" t="s">
        <v>2154</v>
      </c>
      <c r="AJ62" s="41" t="s">
        <v>318</v>
      </c>
      <c r="AK62" s="41" t="s">
        <v>1392</v>
      </c>
      <c r="AL62" s="41" t="s">
        <v>2146</v>
      </c>
      <c r="AM62" s="41" t="s">
        <v>1393</v>
      </c>
      <c r="AN62" s="178" t="s">
        <v>1394</v>
      </c>
      <c r="AO62" s="41" t="s">
        <v>1394</v>
      </c>
      <c r="AP62" s="164">
        <v>0</v>
      </c>
      <c r="AQ62" s="153">
        <v>3726.19</v>
      </c>
      <c r="AR62" s="172">
        <v>132.63999999999999</v>
      </c>
      <c r="AS62" s="162">
        <v>1</v>
      </c>
      <c r="AT62" s="153">
        <v>4.9420000000000002</v>
      </c>
      <c r="AU62" s="153">
        <v>4.9420000000000002</v>
      </c>
      <c r="AV62" s="41"/>
      <c r="AW62" s="41"/>
      <c r="AX62" s="42" t="s">
        <v>141</v>
      </c>
      <c r="AY62" s="41" t="s">
        <v>36</v>
      </c>
      <c r="AZ62" s="164">
        <v>1.15068613969905E-4</v>
      </c>
      <c r="BA62" s="164">
        <v>1.9340594738426801E-6</v>
      </c>
    </row>
    <row r="63" spans="1:53">
      <c r="A63" s="41">
        <v>424</v>
      </c>
      <c r="B63" s="41">
        <v>7228</v>
      </c>
      <c r="C63" s="41" t="s">
        <v>2147</v>
      </c>
      <c r="D63" s="41" t="s">
        <v>134</v>
      </c>
      <c r="E63" s="41" t="s">
        <v>2180</v>
      </c>
      <c r="F63" s="41" t="s">
        <v>2181</v>
      </c>
      <c r="G63" s="41" t="s">
        <v>2138</v>
      </c>
      <c r="H63" s="41"/>
      <c r="I63" s="41" t="s">
        <v>30</v>
      </c>
      <c r="J63" s="41" t="s">
        <v>30</v>
      </c>
      <c r="K63" s="41" t="s">
        <v>151</v>
      </c>
      <c r="L63" s="41" t="s">
        <v>141</v>
      </c>
      <c r="M63" s="41" t="s">
        <v>318</v>
      </c>
      <c r="N63" s="41" t="s">
        <v>2182</v>
      </c>
      <c r="O63" s="178" t="s">
        <v>2151</v>
      </c>
      <c r="P63" s="202" t="s">
        <v>142</v>
      </c>
      <c r="Q63" s="21" t="s">
        <v>164</v>
      </c>
      <c r="R63" s="41" t="s">
        <v>2141</v>
      </c>
      <c r="S63" s="41" t="s">
        <v>34</v>
      </c>
      <c r="T63" s="153">
        <v>2.81</v>
      </c>
      <c r="U63" s="41" t="s">
        <v>2142</v>
      </c>
      <c r="V63" s="164">
        <v>5.7277000000000002E-2</v>
      </c>
      <c r="W63" s="41" t="s">
        <v>138</v>
      </c>
      <c r="X63" s="41" t="s">
        <v>2087</v>
      </c>
      <c r="Y63" s="185">
        <v>0</v>
      </c>
      <c r="Z63" s="164">
        <v>2.9100000000000001E-2</v>
      </c>
      <c r="AA63" s="41" t="s">
        <v>2153</v>
      </c>
      <c r="AB63" s="42" t="s">
        <v>146</v>
      </c>
      <c r="AC63" s="41" t="s">
        <v>1565</v>
      </c>
      <c r="AD63" s="153">
        <v>482000</v>
      </c>
      <c r="AE63" s="164">
        <v>0.73</v>
      </c>
      <c r="AF63" s="41" t="s">
        <v>1394</v>
      </c>
      <c r="AG63" s="41" t="s">
        <v>141</v>
      </c>
      <c r="AH63" s="41" t="s">
        <v>2144</v>
      </c>
      <c r="AI63" s="41" t="s">
        <v>2154</v>
      </c>
      <c r="AJ63" s="41" t="s">
        <v>318</v>
      </c>
      <c r="AK63" s="41" t="s">
        <v>1392</v>
      </c>
      <c r="AL63" s="41" t="s">
        <v>2146</v>
      </c>
      <c r="AM63" s="41" t="s">
        <v>1393</v>
      </c>
      <c r="AN63" s="178" t="s">
        <v>1394</v>
      </c>
      <c r="AO63" s="41" t="s">
        <v>1394</v>
      </c>
      <c r="AP63" s="164">
        <v>0</v>
      </c>
      <c r="AQ63" s="153">
        <v>7502.85</v>
      </c>
      <c r="AR63" s="172">
        <v>133.02000000000001</v>
      </c>
      <c r="AS63" s="162">
        <v>1</v>
      </c>
      <c r="AT63" s="153">
        <v>9.98</v>
      </c>
      <c r="AU63" s="153">
        <v>9.98</v>
      </c>
      <c r="AV63" s="41"/>
      <c r="AW63" s="41"/>
      <c r="AX63" s="42" t="s">
        <v>141</v>
      </c>
      <c r="AY63" s="41" t="s">
        <v>36</v>
      </c>
      <c r="AZ63" s="164">
        <v>2.3235957860697599E-4</v>
      </c>
      <c r="BA63" s="164">
        <v>3.90547195137372E-6</v>
      </c>
    </row>
    <row r="64" spans="1:53">
      <c r="A64" s="41">
        <v>424</v>
      </c>
      <c r="B64" s="41">
        <v>7228</v>
      </c>
      <c r="C64" s="41" t="s">
        <v>2147</v>
      </c>
      <c r="D64" s="41" t="s">
        <v>134</v>
      </c>
      <c r="E64" s="41" t="s">
        <v>2183</v>
      </c>
      <c r="F64" s="41" t="s">
        <v>2184</v>
      </c>
      <c r="G64" s="41" t="s">
        <v>2138</v>
      </c>
      <c r="H64" s="41"/>
      <c r="I64" s="41" t="s">
        <v>30</v>
      </c>
      <c r="J64" s="41" t="s">
        <v>30</v>
      </c>
      <c r="K64" s="41" t="s">
        <v>151</v>
      </c>
      <c r="L64" s="41" t="s">
        <v>141</v>
      </c>
      <c r="M64" s="41" t="s">
        <v>318</v>
      </c>
      <c r="N64" s="41" t="s">
        <v>2185</v>
      </c>
      <c r="O64" s="178" t="s">
        <v>2186</v>
      </c>
      <c r="P64" s="202" t="s">
        <v>142</v>
      </c>
      <c r="Q64" s="21" t="s">
        <v>164</v>
      </c>
      <c r="R64" s="41" t="s">
        <v>2141</v>
      </c>
      <c r="S64" s="41" t="s">
        <v>34</v>
      </c>
      <c r="T64" s="153">
        <v>2.81</v>
      </c>
      <c r="U64" s="41" t="s">
        <v>2142</v>
      </c>
      <c r="V64" s="164">
        <v>5.6878999999999999E-2</v>
      </c>
      <c r="W64" s="41" t="s">
        <v>138</v>
      </c>
      <c r="X64" s="41" t="s">
        <v>2087</v>
      </c>
      <c r="Y64" s="185">
        <v>0</v>
      </c>
      <c r="Z64" s="164">
        <v>2.9100000000000001E-2</v>
      </c>
      <c r="AA64" s="41" t="s">
        <v>2153</v>
      </c>
      <c r="AB64" s="42" t="s">
        <v>146</v>
      </c>
      <c r="AC64" s="41" t="s">
        <v>1565</v>
      </c>
      <c r="AD64" s="153">
        <v>482000</v>
      </c>
      <c r="AE64" s="164">
        <v>0.73</v>
      </c>
      <c r="AF64" s="41" t="s">
        <v>1394</v>
      </c>
      <c r="AG64" s="41" t="s">
        <v>141</v>
      </c>
      <c r="AH64" s="41" t="s">
        <v>2144</v>
      </c>
      <c r="AI64" s="41" t="s">
        <v>2154</v>
      </c>
      <c r="AJ64" s="41" t="s">
        <v>318</v>
      </c>
      <c r="AK64" s="41" t="s">
        <v>1392</v>
      </c>
      <c r="AL64" s="41" t="s">
        <v>2146</v>
      </c>
      <c r="AM64" s="41" t="s">
        <v>1393</v>
      </c>
      <c r="AN64" s="178" t="s">
        <v>1394</v>
      </c>
      <c r="AO64" s="41" t="s">
        <v>1394</v>
      </c>
      <c r="AP64" s="164">
        <v>0</v>
      </c>
      <c r="AQ64" s="153">
        <v>4502.04</v>
      </c>
      <c r="AR64" s="172">
        <v>132.99</v>
      </c>
      <c r="AS64" s="162">
        <v>1</v>
      </c>
      <c r="AT64" s="153">
        <v>5.9870000000000001</v>
      </c>
      <c r="AU64" s="153">
        <v>5.9870000000000001</v>
      </c>
      <c r="AV64" s="41"/>
      <c r="AW64" s="41"/>
      <c r="AX64" s="42" t="s">
        <v>141</v>
      </c>
      <c r="AY64" s="41" t="s">
        <v>36</v>
      </c>
      <c r="AZ64" s="164">
        <v>1.3939452236433599E-4</v>
      </c>
      <c r="BA64" s="164">
        <v>2.3429264269319399E-6</v>
      </c>
    </row>
    <row r="65" spans="1:53">
      <c r="A65" s="41">
        <v>424</v>
      </c>
      <c r="B65" s="41">
        <v>7228</v>
      </c>
      <c r="C65" s="41" t="s">
        <v>2147</v>
      </c>
      <c r="D65" s="41" t="s">
        <v>134</v>
      </c>
      <c r="E65" s="41" t="s">
        <v>2187</v>
      </c>
      <c r="F65" s="41" t="s">
        <v>2188</v>
      </c>
      <c r="G65" s="41" t="s">
        <v>2138</v>
      </c>
      <c r="H65" s="41"/>
      <c r="I65" s="41" t="s">
        <v>30</v>
      </c>
      <c r="J65" s="41" t="s">
        <v>30</v>
      </c>
      <c r="K65" s="41" t="s">
        <v>151</v>
      </c>
      <c r="L65" s="41" t="s">
        <v>141</v>
      </c>
      <c r="M65" s="41" t="s">
        <v>318</v>
      </c>
      <c r="N65" s="41" t="s">
        <v>2189</v>
      </c>
      <c r="O65" s="178" t="s">
        <v>2190</v>
      </c>
      <c r="P65" s="202" t="s">
        <v>142</v>
      </c>
      <c r="Q65" s="21" t="s">
        <v>164</v>
      </c>
      <c r="R65" s="41" t="s">
        <v>2141</v>
      </c>
      <c r="S65" s="41" t="s">
        <v>34</v>
      </c>
      <c r="T65" s="153">
        <v>2.81</v>
      </c>
      <c r="U65" s="41" t="s">
        <v>2142</v>
      </c>
      <c r="V65" s="164">
        <v>5.7158E-2</v>
      </c>
      <c r="W65" s="41" t="s">
        <v>138</v>
      </c>
      <c r="X65" s="41" t="s">
        <v>2087</v>
      </c>
      <c r="Y65" s="185">
        <v>0</v>
      </c>
      <c r="Z65" s="164">
        <v>2.9100000000000001E-2</v>
      </c>
      <c r="AA65" s="41" t="s">
        <v>2153</v>
      </c>
      <c r="AB65" s="42" t="s">
        <v>146</v>
      </c>
      <c r="AC65" s="41" t="s">
        <v>1565</v>
      </c>
      <c r="AD65" s="153">
        <v>482000</v>
      </c>
      <c r="AE65" s="164">
        <v>0.73</v>
      </c>
      <c r="AF65" s="41" t="s">
        <v>1394</v>
      </c>
      <c r="AG65" s="41" t="s">
        <v>141</v>
      </c>
      <c r="AH65" s="41" t="s">
        <v>2144</v>
      </c>
      <c r="AI65" s="41" t="s">
        <v>2154</v>
      </c>
      <c r="AJ65" s="41" t="s">
        <v>318</v>
      </c>
      <c r="AK65" s="41" t="s">
        <v>1392</v>
      </c>
      <c r="AL65" s="41" t="s">
        <v>2146</v>
      </c>
      <c r="AM65" s="41" t="s">
        <v>1393</v>
      </c>
      <c r="AN65" s="178" t="s">
        <v>1394</v>
      </c>
      <c r="AO65" s="41" t="s">
        <v>1394</v>
      </c>
      <c r="AP65" s="164">
        <v>0</v>
      </c>
      <c r="AQ65" s="153">
        <v>81079.09</v>
      </c>
      <c r="AR65" s="172">
        <v>132.94999999999999</v>
      </c>
      <c r="AS65" s="162">
        <v>1</v>
      </c>
      <c r="AT65" s="153">
        <v>107.795</v>
      </c>
      <c r="AU65" s="153">
        <v>107.795</v>
      </c>
      <c r="AV65" s="41"/>
      <c r="AW65" s="41"/>
      <c r="AX65" s="42" t="s">
        <v>141</v>
      </c>
      <c r="AY65" s="41" t="s">
        <v>36</v>
      </c>
      <c r="AZ65" s="164">
        <v>2.5096582164213601E-3</v>
      </c>
      <c r="BA65" s="164">
        <v>4.2182034545460998E-5</v>
      </c>
    </row>
    <row r="66" spans="1:53">
      <c r="A66" s="41">
        <v>424</v>
      </c>
      <c r="B66" s="41">
        <v>7228</v>
      </c>
      <c r="C66" s="41" t="s">
        <v>2147</v>
      </c>
      <c r="D66" s="41" t="s">
        <v>134</v>
      </c>
      <c r="E66" s="41" t="s">
        <v>2191</v>
      </c>
      <c r="F66" s="41" t="s">
        <v>2192</v>
      </c>
      <c r="G66" s="41" t="s">
        <v>2138</v>
      </c>
      <c r="H66" s="41"/>
      <c r="I66" s="41" t="s">
        <v>30</v>
      </c>
      <c r="J66" s="41" t="s">
        <v>30</v>
      </c>
      <c r="K66" s="41" t="s">
        <v>151</v>
      </c>
      <c r="L66" s="41" t="s">
        <v>141</v>
      </c>
      <c r="M66" s="41" t="s">
        <v>318</v>
      </c>
      <c r="N66" s="41" t="s">
        <v>2193</v>
      </c>
      <c r="O66" s="178" t="s">
        <v>2194</v>
      </c>
      <c r="P66" s="202" t="s">
        <v>142</v>
      </c>
      <c r="Q66" s="21" t="s">
        <v>164</v>
      </c>
      <c r="R66" s="41" t="s">
        <v>2141</v>
      </c>
      <c r="S66" s="41" t="s">
        <v>34</v>
      </c>
      <c r="T66" s="153">
        <v>2.82</v>
      </c>
      <c r="U66" s="41" t="s">
        <v>2142</v>
      </c>
      <c r="V66" s="164">
        <v>5.5451E-2</v>
      </c>
      <c r="W66" s="41" t="s">
        <v>138</v>
      </c>
      <c r="X66" s="41" t="s">
        <v>2087</v>
      </c>
      <c r="Y66" s="185">
        <v>0</v>
      </c>
      <c r="Z66" s="164">
        <v>2.9000000000000001E-2</v>
      </c>
      <c r="AA66" s="41" t="s">
        <v>2153</v>
      </c>
      <c r="AB66" s="42" t="s">
        <v>146</v>
      </c>
      <c r="AC66" s="41" t="s">
        <v>1565</v>
      </c>
      <c r="AD66" s="153">
        <v>482000</v>
      </c>
      <c r="AE66" s="164">
        <v>0.73</v>
      </c>
      <c r="AF66" s="41" t="s">
        <v>1394</v>
      </c>
      <c r="AG66" s="41" t="s">
        <v>141</v>
      </c>
      <c r="AH66" s="41" t="s">
        <v>2144</v>
      </c>
      <c r="AI66" s="41" t="s">
        <v>2154</v>
      </c>
      <c r="AJ66" s="41" t="s">
        <v>318</v>
      </c>
      <c r="AK66" s="41" t="s">
        <v>1392</v>
      </c>
      <c r="AL66" s="41" t="s">
        <v>2146</v>
      </c>
      <c r="AM66" s="41" t="s">
        <v>1393</v>
      </c>
      <c r="AN66" s="178" t="s">
        <v>1394</v>
      </c>
      <c r="AO66" s="41" t="s">
        <v>1394</v>
      </c>
      <c r="AP66" s="164">
        <v>0</v>
      </c>
      <c r="AQ66" s="153">
        <v>9282.0499999999993</v>
      </c>
      <c r="AR66" s="172">
        <v>129.76</v>
      </c>
      <c r="AS66" s="162">
        <v>1</v>
      </c>
      <c r="AT66" s="153">
        <v>12.044</v>
      </c>
      <c r="AU66" s="153">
        <v>12.044</v>
      </c>
      <c r="AV66" s="41"/>
      <c r="AW66" s="41"/>
      <c r="AX66" s="42" t="s">
        <v>141</v>
      </c>
      <c r="AY66" s="41" t="s">
        <v>36</v>
      </c>
      <c r="AZ66" s="164">
        <v>2.8041556295488698E-4</v>
      </c>
      <c r="BA66" s="164">
        <v>4.7131911772889802E-6</v>
      </c>
    </row>
    <row r="67" spans="1:53">
      <c r="A67" s="41">
        <v>424</v>
      </c>
      <c r="B67" s="41">
        <v>7228</v>
      </c>
      <c r="C67" s="41" t="s">
        <v>2147</v>
      </c>
      <c r="D67" s="41" t="s">
        <v>134</v>
      </c>
      <c r="E67" s="41" t="s">
        <v>2195</v>
      </c>
      <c r="F67" s="41" t="s">
        <v>2196</v>
      </c>
      <c r="G67" s="41" t="s">
        <v>2138</v>
      </c>
      <c r="H67" s="41"/>
      <c r="I67" s="41" t="s">
        <v>30</v>
      </c>
      <c r="J67" s="41" t="s">
        <v>30</v>
      </c>
      <c r="K67" s="41" t="s">
        <v>151</v>
      </c>
      <c r="L67" s="41" t="s">
        <v>141</v>
      </c>
      <c r="M67" s="41" t="s">
        <v>318</v>
      </c>
      <c r="N67" s="41" t="s">
        <v>2197</v>
      </c>
      <c r="O67" s="178" t="s">
        <v>2151</v>
      </c>
      <c r="P67" s="202" t="s">
        <v>142</v>
      </c>
      <c r="Q67" s="21" t="s">
        <v>164</v>
      </c>
      <c r="R67" s="41" t="s">
        <v>2141</v>
      </c>
      <c r="S67" s="41" t="s">
        <v>34</v>
      </c>
      <c r="T67" s="153">
        <v>2.82</v>
      </c>
      <c r="U67" s="41" t="s">
        <v>2152</v>
      </c>
      <c r="V67" s="164">
        <v>5.5452000000000001E-2</v>
      </c>
      <c r="W67" s="41" t="s">
        <v>138</v>
      </c>
      <c r="X67" s="41" t="s">
        <v>2087</v>
      </c>
      <c r="Y67" s="185">
        <v>0</v>
      </c>
      <c r="Z67" s="164">
        <v>2.9000000000000001E-2</v>
      </c>
      <c r="AA67" s="41" t="s">
        <v>2153</v>
      </c>
      <c r="AB67" s="42" t="s">
        <v>146</v>
      </c>
      <c r="AC67" s="41" t="s">
        <v>1565</v>
      </c>
      <c r="AD67" s="153">
        <v>482000</v>
      </c>
      <c r="AE67" s="164">
        <v>0.73</v>
      </c>
      <c r="AF67" s="41" t="s">
        <v>1394</v>
      </c>
      <c r="AG67" s="41" t="s">
        <v>141</v>
      </c>
      <c r="AH67" s="41" t="s">
        <v>2144</v>
      </c>
      <c r="AI67" s="41" t="s">
        <v>2154</v>
      </c>
      <c r="AJ67" s="41" t="s">
        <v>318</v>
      </c>
      <c r="AK67" s="41" t="s">
        <v>1392</v>
      </c>
      <c r="AL67" s="41" t="s">
        <v>2146</v>
      </c>
      <c r="AM67" s="41" t="s">
        <v>1393</v>
      </c>
      <c r="AN67" s="178" t="s">
        <v>1394</v>
      </c>
      <c r="AO67" s="41" t="s">
        <v>1394</v>
      </c>
      <c r="AP67" s="164">
        <v>0</v>
      </c>
      <c r="AQ67" s="153">
        <v>7688.12</v>
      </c>
      <c r="AR67" s="172">
        <v>129.69999999999999</v>
      </c>
      <c r="AS67" s="162">
        <v>1</v>
      </c>
      <c r="AT67" s="153">
        <v>9.9710000000000001</v>
      </c>
      <c r="AU67" s="153">
        <v>9.9710000000000001</v>
      </c>
      <c r="AV67" s="41"/>
      <c r="AW67" s="41"/>
      <c r="AX67" s="42" t="s">
        <v>141</v>
      </c>
      <c r="AY67" s="41" t="s">
        <v>36</v>
      </c>
      <c r="AZ67" s="164">
        <v>2.3215471165144899E-4</v>
      </c>
      <c r="BA67" s="164">
        <v>3.9020285721363799E-6</v>
      </c>
    </row>
    <row r="68" spans="1:53">
      <c r="A68" s="41">
        <v>424</v>
      </c>
      <c r="B68" s="41">
        <v>7228</v>
      </c>
      <c r="C68" s="41" t="s">
        <v>2147</v>
      </c>
      <c r="D68" s="41" t="s">
        <v>134</v>
      </c>
      <c r="E68" s="41" t="s">
        <v>2198</v>
      </c>
      <c r="F68" s="41" t="s">
        <v>2199</v>
      </c>
      <c r="G68" s="41" t="s">
        <v>2138</v>
      </c>
      <c r="H68" s="41"/>
      <c r="I68" s="41" t="s">
        <v>30</v>
      </c>
      <c r="J68" s="41" t="s">
        <v>30</v>
      </c>
      <c r="K68" s="41" t="s">
        <v>151</v>
      </c>
      <c r="L68" s="41" t="s">
        <v>141</v>
      </c>
      <c r="M68" s="41" t="s">
        <v>318</v>
      </c>
      <c r="N68" s="41" t="s">
        <v>2200</v>
      </c>
      <c r="O68" s="178" t="s">
        <v>2201</v>
      </c>
      <c r="P68" s="202" t="s">
        <v>142</v>
      </c>
      <c r="Q68" s="21" t="s">
        <v>164</v>
      </c>
      <c r="R68" s="41" t="s">
        <v>2141</v>
      </c>
      <c r="S68" s="41" t="s">
        <v>34</v>
      </c>
      <c r="T68" s="153">
        <v>2.82</v>
      </c>
      <c r="U68" s="41" t="s">
        <v>2142</v>
      </c>
      <c r="V68" s="164">
        <v>5.5548E-2</v>
      </c>
      <c r="W68" s="41" t="s">
        <v>138</v>
      </c>
      <c r="X68" s="41" t="s">
        <v>2087</v>
      </c>
      <c r="Y68" s="185">
        <v>0</v>
      </c>
      <c r="Z68" s="164">
        <v>2.9000000000000001E-2</v>
      </c>
      <c r="AA68" s="41" t="s">
        <v>2153</v>
      </c>
      <c r="AB68" s="42" t="s">
        <v>146</v>
      </c>
      <c r="AC68" s="41" t="s">
        <v>1565</v>
      </c>
      <c r="AD68" s="153">
        <v>482000</v>
      </c>
      <c r="AE68" s="164">
        <v>0.73</v>
      </c>
      <c r="AF68" s="41" t="s">
        <v>1394</v>
      </c>
      <c r="AG68" s="41" t="s">
        <v>141</v>
      </c>
      <c r="AH68" s="41" t="s">
        <v>2144</v>
      </c>
      <c r="AI68" s="41" t="s">
        <v>2154</v>
      </c>
      <c r="AJ68" s="41" t="s">
        <v>318</v>
      </c>
      <c r="AK68" s="41" t="s">
        <v>1392</v>
      </c>
      <c r="AL68" s="41" t="s">
        <v>2146</v>
      </c>
      <c r="AM68" s="41" t="s">
        <v>1393</v>
      </c>
      <c r="AN68" s="178" t="s">
        <v>1394</v>
      </c>
      <c r="AO68" s="41" t="s">
        <v>1394</v>
      </c>
      <c r="AP68" s="164">
        <v>0</v>
      </c>
      <c r="AQ68" s="153">
        <v>17578.509999999998</v>
      </c>
      <c r="AR68" s="172">
        <v>131.97</v>
      </c>
      <c r="AS68" s="162">
        <v>1</v>
      </c>
      <c r="AT68" s="153">
        <v>23.198</v>
      </c>
      <c r="AU68" s="153">
        <v>23.198</v>
      </c>
      <c r="AV68" s="41"/>
      <c r="AW68" s="41"/>
      <c r="AX68" s="42" t="s">
        <v>141</v>
      </c>
      <c r="AY68" s="41" t="s">
        <v>36</v>
      </c>
      <c r="AZ68" s="164">
        <v>5.4010058766251897E-4</v>
      </c>
      <c r="BA68" s="164">
        <v>9.0779459520551408E-6</v>
      </c>
    </row>
    <row r="69" spans="1:53">
      <c r="A69" s="41">
        <v>424</v>
      </c>
      <c r="B69" s="41">
        <v>7228</v>
      </c>
      <c r="C69" s="41" t="s">
        <v>2147</v>
      </c>
      <c r="D69" s="41" t="s">
        <v>134</v>
      </c>
      <c r="E69" s="41" t="s">
        <v>2202</v>
      </c>
      <c r="F69" s="41" t="s">
        <v>2203</v>
      </c>
      <c r="G69" s="41" t="s">
        <v>2138</v>
      </c>
      <c r="H69" s="41"/>
      <c r="I69" s="41" t="s">
        <v>30</v>
      </c>
      <c r="J69" s="41" t="s">
        <v>30</v>
      </c>
      <c r="K69" s="41" t="s">
        <v>151</v>
      </c>
      <c r="L69" s="41" t="s">
        <v>141</v>
      </c>
      <c r="M69" s="41" t="s">
        <v>318</v>
      </c>
      <c r="N69" s="41" t="s">
        <v>2204</v>
      </c>
      <c r="O69" s="178" t="s">
        <v>2205</v>
      </c>
      <c r="P69" s="202" t="s">
        <v>142</v>
      </c>
      <c r="Q69" s="21" t="s">
        <v>164</v>
      </c>
      <c r="R69" s="41" t="s">
        <v>2141</v>
      </c>
      <c r="S69" s="41" t="s">
        <v>34</v>
      </c>
      <c r="T69" s="153">
        <v>2.82</v>
      </c>
      <c r="U69" s="41" t="s">
        <v>2142</v>
      </c>
      <c r="V69" s="164">
        <v>5.5452000000000001E-2</v>
      </c>
      <c r="W69" s="41" t="s">
        <v>138</v>
      </c>
      <c r="X69" s="41" t="s">
        <v>2087</v>
      </c>
      <c r="Y69" s="185">
        <v>0</v>
      </c>
      <c r="Z69" s="164">
        <v>2.9100000000000001E-2</v>
      </c>
      <c r="AA69" s="41" t="s">
        <v>2153</v>
      </c>
      <c r="AB69" s="42" t="s">
        <v>146</v>
      </c>
      <c r="AC69" s="41" t="s">
        <v>1565</v>
      </c>
      <c r="AD69" s="153">
        <v>482000</v>
      </c>
      <c r="AE69" s="164">
        <v>0.73</v>
      </c>
      <c r="AF69" s="41" t="s">
        <v>1394</v>
      </c>
      <c r="AG69" s="41" t="s">
        <v>141</v>
      </c>
      <c r="AH69" s="41" t="s">
        <v>2144</v>
      </c>
      <c r="AI69" s="41" t="s">
        <v>2154</v>
      </c>
      <c r="AJ69" s="41" t="s">
        <v>318</v>
      </c>
      <c r="AK69" s="41" t="s">
        <v>1392</v>
      </c>
      <c r="AL69" s="41" t="s">
        <v>2146</v>
      </c>
      <c r="AM69" s="41" t="s">
        <v>1393</v>
      </c>
      <c r="AN69" s="178" t="s">
        <v>1394</v>
      </c>
      <c r="AO69" s="41" t="s">
        <v>1394</v>
      </c>
      <c r="AP69" s="164">
        <v>0</v>
      </c>
      <c r="AQ69" s="153">
        <v>67860.17</v>
      </c>
      <c r="AR69" s="172">
        <v>129.91999999999999</v>
      </c>
      <c r="AS69" s="162">
        <v>1</v>
      </c>
      <c r="AT69" s="153">
        <v>88.164000000000001</v>
      </c>
      <c r="AU69" s="153">
        <v>88.164000000000001</v>
      </c>
      <c r="AV69" s="41"/>
      <c r="AW69" s="41"/>
      <c r="AX69" s="42" t="s">
        <v>141</v>
      </c>
      <c r="AY69" s="41" t="s">
        <v>36</v>
      </c>
      <c r="AZ69" s="164">
        <v>2.0526189211245902E-3</v>
      </c>
      <c r="BA69" s="164">
        <v>3.4500172841466798E-5</v>
      </c>
    </row>
    <row r="70" spans="1:53">
      <c r="A70" s="41">
        <v>424</v>
      </c>
      <c r="B70" s="41">
        <v>7228</v>
      </c>
      <c r="C70" s="41" t="s">
        <v>2147</v>
      </c>
      <c r="D70" s="41" t="s">
        <v>134</v>
      </c>
      <c r="E70" s="41" t="s">
        <v>2206</v>
      </c>
      <c r="F70" s="41" t="s">
        <v>2207</v>
      </c>
      <c r="G70" s="41" t="s">
        <v>2138</v>
      </c>
      <c r="H70" s="41"/>
      <c r="I70" s="41" t="s">
        <v>30</v>
      </c>
      <c r="J70" s="41" t="s">
        <v>30</v>
      </c>
      <c r="K70" s="41" t="s">
        <v>151</v>
      </c>
      <c r="L70" s="41" t="s">
        <v>141</v>
      </c>
      <c r="M70" s="41" t="s">
        <v>318</v>
      </c>
      <c r="N70" s="41" t="s">
        <v>2208</v>
      </c>
      <c r="O70" s="178" t="s">
        <v>2151</v>
      </c>
      <c r="P70" s="202" t="s">
        <v>142</v>
      </c>
      <c r="Q70" s="21" t="s">
        <v>164</v>
      </c>
      <c r="R70" s="41" t="s">
        <v>2141</v>
      </c>
      <c r="S70" s="41" t="s">
        <v>34</v>
      </c>
      <c r="T70" s="153">
        <v>2.82</v>
      </c>
      <c r="U70" s="41" t="s">
        <v>2142</v>
      </c>
      <c r="V70" s="164">
        <v>5.5514000000000001E-2</v>
      </c>
      <c r="W70" s="41" t="s">
        <v>138</v>
      </c>
      <c r="X70" s="41" t="s">
        <v>2087</v>
      </c>
      <c r="Y70" s="185">
        <v>0</v>
      </c>
      <c r="Z70" s="164">
        <v>2.9100000000000001E-2</v>
      </c>
      <c r="AA70" s="41" t="s">
        <v>2153</v>
      </c>
      <c r="AB70" s="42" t="s">
        <v>146</v>
      </c>
      <c r="AC70" s="41" t="s">
        <v>1565</v>
      </c>
      <c r="AD70" s="153">
        <v>482000</v>
      </c>
      <c r="AE70" s="164">
        <v>0.73</v>
      </c>
      <c r="AF70" s="41" t="s">
        <v>1394</v>
      </c>
      <c r="AG70" s="41" t="s">
        <v>141</v>
      </c>
      <c r="AH70" s="41" t="s">
        <v>2144</v>
      </c>
      <c r="AI70" s="41" t="s">
        <v>2154</v>
      </c>
      <c r="AJ70" s="41" t="s">
        <v>318</v>
      </c>
      <c r="AK70" s="41" t="s">
        <v>1392</v>
      </c>
      <c r="AL70" s="41" t="s">
        <v>2146</v>
      </c>
      <c r="AM70" s="41" t="s">
        <v>1393</v>
      </c>
      <c r="AN70" s="178" t="s">
        <v>1394</v>
      </c>
      <c r="AO70" s="41" t="s">
        <v>1394</v>
      </c>
      <c r="AP70" s="164">
        <v>0</v>
      </c>
      <c r="AQ70" s="153">
        <v>82426.27</v>
      </c>
      <c r="AR70" s="172">
        <v>131.93</v>
      </c>
      <c r="AS70" s="162">
        <v>1</v>
      </c>
      <c r="AT70" s="153">
        <v>108.745</v>
      </c>
      <c r="AU70" s="153">
        <v>108.745</v>
      </c>
      <c r="AV70" s="41"/>
      <c r="AW70" s="41"/>
      <c r="AX70" s="42" t="s">
        <v>141</v>
      </c>
      <c r="AY70" s="41" t="s">
        <v>36</v>
      </c>
      <c r="AZ70" s="164">
        <v>2.5317836012032102E-3</v>
      </c>
      <c r="BA70" s="164">
        <v>4.2553915361379601E-5</v>
      </c>
    </row>
    <row r="71" spans="1:53">
      <c r="A71" s="41">
        <v>424</v>
      </c>
      <c r="B71" s="41">
        <v>7228</v>
      </c>
      <c r="C71" s="41" t="s">
        <v>2147</v>
      </c>
      <c r="D71" s="41" t="s">
        <v>134</v>
      </c>
      <c r="E71" s="41" t="s">
        <v>2209</v>
      </c>
      <c r="F71" s="41" t="s">
        <v>2210</v>
      </c>
      <c r="G71" s="41" t="s">
        <v>2138</v>
      </c>
      <c r="H71" s="41"/>
      <c r="I71" s="41" t="s">
        <v>30</v>
      </c>
      <c r="J71" s="41" t="s">
        <v>30</v>
      </c>
      <c r="K71" s="41" t="s">
        <v>151</v>
      </c>
      <c r="L71" s="41" t="s">
        <v>141</v>
      </c>
      <c r="M71" s="41" t="s">
        <v>318</v>
      </c>
      <c r="N71" s="222">
        <v>11898502</v>
      </c>
      <c r="O71" s="178" t="s">
        <v>2151</v>
      </c>
      <c r="P71" s="202" t="s">
        <v>142</v>
      </c>
      <c r="Q71" s="21" t="s">
        <v>164</v>
      </c>
      <c r="R71" s="41" t="s">
        <v>2141</v>
      </c>
      <c r="S71" s="41" t="s">
        <v>34</v>
      </c>
      <c r="T71" s="153">
        <v>2.81</v>
      </c>
      <c r="U71" s="41" t="s">
        <v>2142</v>
      </c>
      <c r="V71" s="164">
        <v>5.7402000000000002E-2</v>
      </c>
      <c r="W71" s="41" t="s">
        <v>138</v>
      </c>
      <c r="X71" s="41" t="s">
        <v>2087</v>
      </c>
      <c r="Y71" s="185">
        <v>0</v>
      </c>
      <c r="Z71" s="164">
        <v>2.9000000000000001E-2</v>
      </c>
      <c r="AA71" s="41" t="s">
        <v>2153</v>
      </c>
      <c r="AB71" s="42" t="s">
        <v>146</v>
      </c>
      <c r="AC71" s="41" t="s">
        <v>1565</v>
      </c>
      <c r="AD71" s="153">
        <v>482000</v>
      </c>
      <c r="AE71" s="164">
        <v>0.73</v>
      </c>
      <c r="AF71" s="41" t="s">
        <v>1394</v>
      </c>
      <c r="AG71" s="41" t="s">
        <v>141</v>
      </c>
      <c r="AH71" s="41" t="s">
        <v>2144</v>
      </c>
      <c r="AI71" s="41" t="s">
        <v>2154</v>
      </c>
      <c r="AJ71" s="41" t="s">
        <v>318</v>
      </c>
      <c r="AK71" s="41" t="s">
        <v>1392</v>
      </c>
      <c r="AL71" s="41" t="s">
        <v>2146</v>
      </c>
      <c r="AM71" s="41" t="s">
        <v>1393</v>
      </c>
      <c r="AN71" s="178" t="s">
        <v>1394</v>
      </c>
      <c r="AO71" s="41" t="s">
        <v>1394</v>
      </c>
      <c r="AP71" s="164">
        <v>0</v>
      </c>
      <c r="AQ71" s="153">
        <v>17255.93</v>
      </c>
      <c r="AR71" s="172">
        <v>133.19999999999999</v>
      </c>
      <c r="AS71" s="162">
        <v>1</v>
      </c>
      <c r="AT71" s="153">
        <v>22.984999999999999</v>
      </c>
      <c r="AU71" s="153">
        <v>22.984999999999999</v>
      </c>
      <c r="AV71" s="41"/>
      <c r="AW71" s="41"/>
      <c r="AX71" s="42" t="s">
        <v>141</v>
      </c>
      <c r="AY71" s="41" t="s">
        <v>36</v>
      </c>
      <c r="AZ71" s="164">
        <v>5.3513082461608004E-4</v>
      </c>
      <c r="BA71" s="164">
        <v>8.9944147703444407E-6</v>
      </c>
    </row>
    <row r="72" spans="1:53">
      <c r="A72" s="41">
        <v>424</v>
      </c>
      <c r="B72" s="41">
        <v>7228</v>
      </c>
      <c r="C72" s="41" t="s">
        <v>2147</v>
      </c>
      <c r="D72" s="41" t="s">
        <v>134</v>
      </c>
      <c r="E72" s="41" t="s">
        <v>2211</v>
      </c>
      <c r="F72" s="41" t="s">
        <v>2212</v>
      </c>
      <c r="G72" s="41" t="s">
        <v>2138</v>
      </c>
      <c r="H72" s="41"/>
      <c r="I72" s="41" t="s">
        <v>30</v>
      </c>
      <c r="J72" s="41" t="s">
        <v>30</v>
      </c>
      <c r="K72" s="41" t="s">
        <v>151</v>
      </c>
      <c r="L72" s="41" t="s">
        <v>141</v>
      </c>
      <c r="M72" s="41" t="s">
        <v>318</v>
      </c>
      <c r="N72" s="41" t="s">
        <v>2213</v>
      </c>
      <c r="O72" s="178" t="s">
        <v>2214</v>
      </c>
      <c r="P72" s="202" t="s">
        <v>142</v>
      </c>
      <c r="Q72" s="21" t="s">
        <v>164</v>
      </c>
      <c r="R72" s="41" t="s">
        <v>2141</v>
      </c>
      <c r="S72" s="41" t="s">
        <v>34</v>
      </c>
      <c r="T72" s="153">
        <v>2.81</v>
      </c>
      <c r="U72" s="41" t="s">
        <v>2142</v>
      </c>
      <c r="V72" s="164">
        <v>5.6347000000000001E-2</v>
      </c>
      <c r="W72" s="41" t="s">
        <v>138</v>
      </c>
      <c r="X72" s="41" t="s">
        <v>2087</v>
      </c>
      <c r="Y72" s="185">
        <v>0</v>
      </c>
      <c r="Z72" s="164">
        <v>2.9100000000000001E-2</v>
      </c>
      <c r="AA72" s="41" t="s">
        <v>2153</v>
      </c>
      <c r="AB72" s="42" t="s">
        <v>146</v>
      </c>
      <c r="AC72" s="41" t="s">
        <v>1565</v>
      </c>
      <c r="AD72" s="153">
        <v>482000</v>
      </c>
      <c r="AE72" s="164">
        <v>0.73</v>
      </c>
      <c r="AF72" s="41" t="s">
        <v>1394</v>
      </c>
      <c r="AG72" s="41" t="s">
        <v>141</v>
      </c>
      <c r="AH72" s="41" t="s">
        <v>2144</v>
      </c>
      <c r="AI72" s="41" t="s">
        <v>2154</v>
      </c>
      <c r="AJ72" s="41" t="s">
        <v>318</v>
      </c>
      <c r="AK72" s="41" t="s">
        <v>1392</v>
      </c>
      <c r="AL72" s="41" t="s">
        <v>2146</v>
      </c>
      <c r="AM72" s="41" t="s">
        <v>1393</v>
      </c>
      <c r="AN72" s="178" t="s">
        <v>1394</v>
      </c>
      <c r="AO72" s="41" t="s">
        <v>1394</v>
      </c>
      <c r="AP72" s="164">
        <v>0</v>
      </c>
      <c r="AQ72" s="153">
        <v>24250.639999999999</v>
      </c>
      <c r="AR72" s="172">
        <v>132.63999999999999</v>
      </c>
      <c r="AS72" s="162">
        <v>1</v>
      </c>
      <c r="AT72" s="153">
        <v>32.165999999999997</v>
      </c>
      <c r="AU72" s="153">
        <v>32.165999999999997</v>
      </c>
      <c r="AV72" s="41"/>
      <c r="AW72" s="41"/>
      <c r="AX72" s="42" t="s">
        <v>141</v>
      </c>
      <c r="AY72" s="41" t="s">
        <v>36</v>
      </c>
      <c r="AZ72" s="164">
        <v>7.4888492875648601E-4</v>
      </c>
      <c r="BA72" s="164">
        <v>1.2587168136554501E-5</v>
      </c>
    </row>
    <row r="73" spans="1:53">
      <c r="A73" s="41">
        <v>424</v>
      </c>
      <c r="B73" s="41">
        <v>7228</v>
      </c>
      <c r="C73" s="41" t="s">
        <v>2147</v>
      </c>
      <c r="D73" s="41" t="s">
        <v>134</v>
      </c>
      <c r="E73" s="41" t="s">
        <v>2215</v>
      </c>
      <c r="F73" s="41" t="s">
        <v>2216</v>
      </c>
      <c r="G73" s="41" t="s">
        <v>2138</v>
      </c>
      <c r="H73" s="41"/>
      <c r="I73" s="41" t="s">
        <v>30</v>
      </c>
      <c r="J73" s="41" t="s">
        <v>30</v>
      </c>
      <c r="K73" s="41" t="s">
        <v>151</v>
      </c>
      <c r="L73" s="41" t="s">
        <v>141</v>
      </c>
      <c r="M73" s="41" t="s">
        <v>318</v>
      </c>
      <c r="N73" s="41" t="s">
        <v>2217</v>
      </c>
      <c r="O73" s="178" t="s">
        <v>2151</v>
      </c>
      <c r="P73" s="202" t="s">
        <v>142</v>
      </c>
      <c r="Q73" s="21" t="s">
        <v>164</v>
      </c>
      <c r="R73" s="41" t="s">
        <v>2141</v>
      </c>
      <c r="S73" s="41" t="s">
        <v>34</v>
      </c>
      <c r="T73" s="153">
        <v>2.81</v>
      </c>
      <c r="U73" s="41" t="s">
        <v>2152</v>
      </c>
      <c r="V73" s="164">
        <v>5.5452000000000001E-2</v>
      </c>
      <c r="W73" s="41" t="s">
        <v>138</v>
      </c>
      <c r="X73" s="41" t="s">
        <v>2087</v>
      </c>
      <c r="Y73" s="185">
        <v>0</v>
      </c>
      <c r="Z73" s="164">
        <v>3.0599999999999999E-2</v>
      </c>
      <c r="AA73" s="41" t="s">
        <v>2153</v>
      </c>
      <c r="AB73" s="42" t="s">
        <v>146</v>
      </c>
      <c r="AC73" s="41" t="s">
        <v>1565</v>
      </c>
      <c r="AD73" s="153">
        <v>482000</v>
      </c>
      <c r="AE73" s="164">
        <v>0.73</v>
      </c>
      <c r="AF73" s="41" t="s">
        <v>1394</v>
      </c>
      <c r="AG73" s="41" t="s">
        <v>141</v>
      </c>
      <c r="AH73" s="41" t="s">
        <v>2144</v>
      </c>
      <c r="AI73" s="41" t="s">
        <v>2154</v>
      </c>
      <c r="AJ73" s="41" t="s">
        <v>318</v>
      </c>
      <c r="AK73" s="41" t="s">
        <v>1392</v>
      </c>
      <c r="AL73" s="41" t="s">
        <v>2146</v>
      </c>
      <c r="AM73" s="41" t="s">
        <v>1393</v>
      </c>
      <c r="AN73" s="178" t="s">
        <v>1394</v>
      </c>
      <c r="AO73" s="41" t="s">
        <v>1394</v>
      </c>
      <c r="AP73" s="164">
        <v>0</v>
      </c>
      <c r="AQ73" s="153">
        <v>30718.25</v>
      </c>
      <c r="AR73" s="172">
        <v>127.45</v>
      </c>
      <c r="AS73" s="162">
        <v>1</v>
      </c>
      <c r="AT73" s="153">
        <v>39.15</v>
      </c>
      <c r="AU73" s="153">
        <v>39.15</v>
      </c>
      <c r="AV73" s="41"/>
      <c r="AW73" s="41"/>
      <c r="AX73" s="42" t="s">
        <v>141</v>
      </c>
      <c r="AY73" s="41" t="s">
        <v>36</v>
      </c>
      <c r="AZ73" s="164">
        <v>9.1149372487745405E-4</v>
      </c>
      <c r="BA73" s="164">
        <v>1.53202772948013E-5</v>
      </c>
    </row>
    <row r="74" spans="1:53">
      <c r="A74" s="41">
        <v>424</v>
      </c>
      <c r="B74" s="41">
        <v>7228</v>
      </c>
      <c r="C74" s="41" t="s">
        <v>2147</v>
      </c>
      <c r="D74" s="41" t="s">
        <v>134</v>
      </c>
      <c r="E74" s="41" t="s">
        <v>2218</v>
      </c>
      <c r="F74" s="41" t="s">
        <v>2219</v>
      </c>
      <c r="G74" s="41" t="s">
        <v>2138</v>
      </c>
      <c r="H74" s="41"/>
      <c r="I74" s="41" t="s">
        <v>30</v>
      </c>
      <c r="J74" s="41" t="s">
        <v>30</v>
      </c>
      <c r="K74" s="41" t="s">
        <v>151</v>
      </c>
      <c r="L74" s="41" t="s">
        <v>141</v>
      </c>
      <c r="M74" s="41" t="s">
        <v>318</v>
      </c>
      <c r="N74" s="41" t="s">
        <v>2220</v>
      </c>
      <c r="O74" s="178" t="s">
        <v>2151</v>
      </c>
      <c r="P74" s="202" t="s">
        <v>142</v>
      </c>
      <c r="Q74" s="21" t="s">
        <v>164</v>
      </c>
      <c r="R74" s="41" t="s">
        <v>2141</v>
      </c>
      <c r="S74" s="41" t="s">
        <v>34</v>
      </c>
      <c r="T74" s="153">
        <v>2.82</v>
      </c>
      <c r="U74" s="41" t="s">
        <v>2152</v>
      </c>
      <c r="V74" s="164">
        <v>5.5451E-2</v>
      </c>
      <c r="W74" s="41" t="s">
        <v>138</v>
      </c>
      <c r="X74" s="41" t="s">
        <v>2087</v>
      </c>
      <c r="Y74" s="185">
        <v>0</v>
      </c>
      <c r="Z74" s="164">
        <v>2.9000000000000001E-2</v>
      </c>
      <c r="AA74" s="41" t="s">
        <v>2153</v>
      </c>
      <c r="AB74" s="42" t="s">
        <v>146</v>
      </c>
      <c r="AC74" s="41" t="s">
        <v>1565</v>
      </c>
      <c r="AD74" s="153">
        <v>482000</v>
      </c>
      <c r="AE74" s="164">
        <v>0.73</v>
      </c>
      <c r="AF74" s="41" t="s">
        <v>1394</v>
      </c>
      <c r="AG74" s="41" t="s">
        <v>141</v>
      </c>
      <c r="AH74" s="41" t="s">
        <v>2144</v>
      </c>
      <c r="AI74" s="41" t="s">
        <v>2154</v>
      </c>
      <c r="AJ74" s="41" t="s">
        <v>318</v>
      </c>
      <c r="AK74" s="41" t="s">
        <v>1392</v>
      </c>
      <c r="AL74" s="41" t="s">
        <v>2146</v>
      </c>
      <c r="AM74" s="41" t="s">
        <v>1393</v>
      </c>
      <c r="AN74" s="178" t="s">
        <v>1394</v>
      </c>
      <c r="AO74" s="41" t="s">
        <v>1394</v>
      </c>
      <c r="AP74" s="164">
        <v>0</v>
      </c>
      <c r="AQ74" s="153">
        <v>3816.88</v>
      </c>
      <c r="AR74" s="172">
        <v>127.61</v>
      </c>
      <c r="AS74" s="162">
        <v>1</v>
      </c>
      <c r="AT74" s="153">
        <v>4.8710000000000004</v>
      </c>
      <c r="AU74" s="153">
        <v>4.8710000000000004</v>
      </c>
      <c r="AV74" s="41"/>
      <c r="AW74" s="41"/>
      <c r="AX74" s="42" t="s">
        <v>141</v>
      </c>
      <c r="AY74" s="41" t="s">
        <v>36</v>
      </c>
      <c r="AZ74" s="164">
        <v>1.13399355865962E-4</v>
      </c>
      <c r="BA74" s="164">
        <v>1.9060027836746301E-6</v>
      </c>
    </row>
    <row r="75" spans="1:53">
      <c r="A75" s="41">
        <v>424</v>
      </c>
      <c r="B75" s="41">
        <v>7228</v>
      </c>
      <c r="C75" s="41" t="s">
        <v>2147</v>
      </c>
      <c r="D75" s="41" t="s">
        <v>134</v>
      </c>
      <c r="E75" s="41" t="s">
        <v>2221</v>
      </c>
      <c r="F75" s="41" t="s">
        <v>2222</v>
      </c>
      <c r="G75" s="41" t="s">
        <v>2138</v>
      </c>
      <c r="H75" s="41"/>
      <c r="I75" s="41" t="s">
        <v>30</v>
      </c>
      <c r="J75" s="41" t="s">
        <v>30</v>
      </c>
      <c r="K75" s="41" t="s">
        <v>151</v>
      </c>
      <c r="L75" s="41" t="s">
        <v>141</v>
      </c>
      <c r="M75" s="41" t="s">
        <v>318</v>
      </c>
      <c r="N75" s="41" t="s">
        <v>2223</v>
      </c>
      <c r="O75" s="178" t="s">
        <v>2151</v>
      </c>
      <c r="P75" s="202" t="s">
        <v>142</v>
      </c>
      <c r="Q75" s="21" t="s">
        <v>164</v>
      </c>
      <c r="R75" s="41" t="s">
        <v>2141</v>
      </c>
      <c r="S75" s="41" t="s">
        <v>34</v>
      </c>
      <c r="T75" s="153">
        <v>2.82</v>
      </c>
      <c r="U75" s="41" t="s">
        <v>2152</v>
      </c>
      <c r="V75" s="164">
        <v>5.5432000000000002E-2</v>
      </c>
      <c r="W75" s="41" t="s">
        <v>138</v>
      </c>
      <c r="X75" s="41" t="s">
        <v>2087</v>
      </c>
      <c r="Y75" s="185">
        <v>0</v>
      </c>
      <c r="Z75" s="164">
        <v>2.9100000000000001E-2</v>
      </c>
      <c r="AA75" s="41" t="s">
        <v>2153</v>
      </c>
      <c r="AB75" s="42" t="s">
        <v>146</v>
      </c>
      <c r="AC75" s="41" t="s">
        <v>1565</v>
      </c>
      <c r="AD75" s="153">
        <v>482000</v>
      </c>
      <c r="AE75" s="164">
        <v>0.73</v>
      </c>
      <c r="AF75" s="41" t="s">
        <v>1394</v>
      </c>
      <c r="AG75" s="41" t="s">
        <v>141</v>
      </c>
      <c r="AH75" s="41" t="s">
        <v>2144</v>
      </c>
      <c r="AI75" s="41" t="s">
        <v>2154</v>
      </c>
      <c r="AJ75" s="41" t="s">
        <v>318</v>
      </c>
      <c r="AK75" s="41" t="s">
        <v>1392</v>
      </c>
      <c r="AL75" s="41" t="s">
        <v>2146</v>
      </c>
      <c r="AM75" s="41" t="s">
        <v>1393</v>
      </c>
      <c r="AN75" s="178" t="s">
        <v>1394</v>
      </c>
      <c r="AO75" s="41" t="s">
        <v>1394</v>
      </c>
      <c r="AP75" s="164">
        <v>0</v>
      </c>
      <c r="AQ75" s="153">
        <v>8476.48</v>
      </c>
      <c r="AR75" s="172">
        <v>127.96</v>
      </c>
      <c r="AS75" s="162">
        <v>1</v>
      </c>
      <c r="AT75" s="153">
        <v>10.847</v>
      </c>
      <c r="AU75" s="153">
        <v>10.847</v>
      </c>
      <c r="AV75" s="41"/>
      <c r="AW75" s="41"/>
      <c r="AX75" s="42" t="s">
        <v>141</v>
      </c>
      <c r="AY75" s="41" t="s">
        <v>36</v>
      </c>
      <c r="AZ75" s="164">
        <v>2.5252660834328101E-4</v>
      </c>
      <c r="BA75" s="164">
        <v>4.2444369703750802E-6</v>
      </c>
    </row>
    <row r="76" spans="1:53">
      <c r="A76" s="41">
        <v>424</v>
      </c>
      <c r="B76" s="41">
        <v>7228</v>
      </c>
      <c r="C76" s="41" t="s">
        <v>2147</v>
      </c>
      <c r="D76" s="41" t="s">
        <v>134</v>
      </c>
      <c r="E76" s="41" t="s">
        <v>2224</v>
      </c>
      <c r="F76" s="41" t="s">
        <v>2225</v>
      </c>
      <c r="G76" s="41" t="s">
        <v>2138</v>
      </c>
      <c r="H76" s="41"/>
      <c r="I76" s="41" t="s">
        <v>30</v>
      </c>
      <c r="J76" s="41" t="s">
        <v>30</v>
      </c>
      <c r="K76" s="41" t="s">
        <v>151</v>
      </c>
      <c r="L76" s="41" t="s">
        <v>141</v>
      </c>
      <c r="M76" s="41" t="s">
        <v>318</v>
      </c>
      <c r="N76" s="41" t="s">
        <v>2226</v>
      </c>
      <c r="O76" s="178" t="s">
        <v>2227</v>
      </c>
      <c r="P76" s="202" t="s">
        <v>142</v>
      </c>
      <c r="Q76" s="21" t="s">
        <v>164</v>
      </c>
      <c r="R76" s="41" t="s">
        <v>2141</v>
      </c>
      <c r="S76" s="41" t="s">
        <v>34</v>
      </c>
      <c r="T76" s="153">
        <v>2.81</v>
      </c>
      <c r="U76" s="41" t="s">
        <v>2152</v>
      </c>
      <c r="V76" s="164">
        <v>5.7388000000000002E-2</v>
      </c>
      <c r="W76" s="41" t="s">
        <v>138</v>
      </c>
      <c r="X76" s="41" t="s">
        <v>2087</v>
      </c>
      <c r="Y76" s="185">
        <v>0</v>
      </c>
      <c r="Z76" s="164">
        <v>2.9100000000000001E-2</v>
      </c>
      <c r="AA76" s="41" t="s">
        <v>2153</v>
      </c>
      <c r="AB76" s="42" t="s">
        <v>146</v>
      </c>
      <c r="AC76" s="41" t="s">
        <v>1565</v>
      </c>
      <c r="AD76" s="153">
        <v>482000</v>
      </c>
      <c r="AE76" s="164">
        <v>0.73</v>
      </c>
      <c r="AF76" s="41" t="s">
        <v>1394</v>
      </c>
      <c r="AG76" s="41" t="s">
        <v>141</v>
      </c>
      <c r="AH76" s="41" t="s">
        <v>2144</v>
      </c>
      <c r="AI76" s="41" t="s">
        <v>2154</v>
      </c>
      <c r="AJ76" s="41" t="s">
        <v>318</v>
      </c>
      <c r="AK76" s="41" t="s">
        <v>1392</v>
      </c>
      <c r="AL76" s="41" t="s">
        <v>2146</v>
      </c>
      <c r="AM76" s="41" t="s">
        <v>1393</v>
      </c>
      <c r="AN76" s="178" t="s">
        <v>1394</v>
      </c>
      <c r="AO76" s="41" t="s">
        <v>1394</v>
      </c>
      <c r="AP76" s="164">
        <v>0</v>
      </c>
      <c r="AQ76" s="153">
        <v>81431.009999999995</v>
      </c>
      <c r="AR76" s="172">
        <v>133.16999999999999</v>
      </c>
      <c r="AS76" s="162">
        <v>1</v>
      </c>
      <c r="AT76" s="153">
        <v>108.44199999999999</v>
      </c>
      <c r="AU76" s="153">
        <v>108.44199999999999</v>
      </c>
      <c r="AV76" s="41"/>
      <c r="AW76" s="41"/>
      <c r="AX76" s="42" t="s">
        <v>141</v>
      </c>
      <c r="AY76" s="41" t="s">
        <v>36</v>
      </c>
      <c r="AZ76" s="164">
        <v>2.5247221715292401E-3</v>
      </c>
      <c r="BA76" s="164">
        <v>4.2435227697657701E-5</v>
      </c>
    </row>
    <row r="77" spans="1:53">
      <c r="A77" s="41">
        <v>424</v>
      </c>
      <c r="B77" s="41">
        <v>7228</v>
      </c>
      <c r="C77" s="41" t="s">
        <v>2147</v>
      </c>
      <c r="D77" s="41" t="s">
        <v>134</v>
      </c>
      <c r="E77" s="41" t="s">
        <v>2228</v>
      </c>
      <c r="F77" s="41" t="s">
        <v>2229</v>
      </c>
      <c r="G77" s="41" t="s">
        <v>2138</v>
      </c>
      <c r="H77" s="41"/>
      <c r="I77" s="41" t="s">
        <v>30</v>
      </c>
      <c r="J77" s="41" t="s">
        <v>30</v>
      </c>
      <c r="K77" s="41" t="s">
        <v>151</v>
      </c>
      <c r="L77" s="41" t="s">
        <v>141</v>
      </c>
      <c r="M77" s="41" t="s">
        <v>318</v>
      </c>
      <c r="N77" s="41" t="s">
        <v>2230</v>
      </c>
      <c r="O77" s="178" t="s">
        <v>2151</v>
      </c>
      <c r="P77" s="202" t="s">
        <v>142</v>
      </c>
      <c r="Q77" s="21" t="s">
        <v>164</v>
      </c>
      <c r="R77" s="41" t="s">
        <v>2141</v>
      </c>
      <c r="S77" s="41" t="s">
        <v>34</v>
      </c>
      <c r="T77" s="153">
        <v>2.81</v>
      </c>
      <c r="U77" s="41" t="s">
        <v>2142</v>
      </c>
      <c r="V77" s="164">
        <v>5.7084999999999997E-2</v>
      </c>
      <c r="W77" s="41" t="s">
        <v>138</v>
      </c>
      <c r="X77" s="41" t="s">
        <v>2087</v>
      </c>
      <c r="Y77" s="185">
        <v>0</v>
      </c>
      <c r="Z77" s="164">
        <v>3.0499999999999999E-2</v>
      </c>
      <c r="AA77" s="41" t="s">
        <v>2153</v>
      </c>
      <c r="AB77" s="42" t="s">
        <v>146</v>
      </c>
      <c r="AC77" s="41" t="s">
        <v>1565</v>
      </c>
      <c r="AD77" s="153">
        <v>482000</v>
      </c>
      <c r="AE77" s="164">
        <v>0.73</v>
      </c>
      <c r="AF77" s="41" t="s">
        <v>1394</v>
      </c>
      <c r="AG77" s="41" t="s">
        <v>141</v>
      </c>
      <c r="AH77" s="41" t="s">
        <v>2144</v>
      </c>
      <c r="AI77" s="41" t="s">
        <v>2154</v>
      </c>
      <c r="AJ77" s="41" t="s">
        <v>318</v>
      </c>
      <c r="AK77" s="41" t="s">
        <v>1392</v>
      </c>
      <c r="AL77" s="41" t="s">
        <v>2146</v>
      </c>
      <c r="AM77" s="41" t="s">
        <v>1393</v>
      </c>
      <c r="AN77" s="178" t="s">
        <v>1394</v>
      </c>
      <c r="AO77" s="41" t="s">
        <v>1394</v>
      </c>
      <c r="AP77" s="164">
        <v>0</v>
      </c>
      <c r="AQ77" s="153">
        <v>18311.21</v>
      </c>
      <c r="AR77" s="172">
        <v>132.53</v>
      </c>
      <c r="AS77" s="162">
        <v>1</v>
      </c>
      <c r="AT77" s="153">
        <v>24.268000000000001</v>
      </c>
      <c r="AU77" s="153">
        <v>24.268000000000001</v>
      </c>
      <c r="AV77" s="41"/>
      <c r="AW77" s="41"/>
      <c r="AX77" s="42" t="s">
        <v>141</v>
      </c>
      <c r="AY77" s="41" t="s">
        <v>36</v>
      </c>
      <c r="AZ77" s="164">
        <v>5.6500021624072798E-4</v>
      </c>
      <c r="BA77" s="164">
        <v>9.4964559252389892E-6</v>
      </c>
    </row>
    <row r="78" spans="1:53">
      <c r="A78" s="41">
        <v>424</v>
      </c>
      <c r="B78" s="41">
        <v>7228</v>
      </c>
      <c r="C78" s="41" t="s">
        <v>2147</v>
      </c>
      <c r="D78" s="41" t="s">
        <v>134</v>
      </c>
      <c r="E78" s="41" t="s">
        <v>2231</v>
      </c>
      <c r="F78" s="41" t="s">
        <v>2232</v>
      </c>
      <c r="G78" s="41" t="s">
        <v>2138</v>
      </c>
      <c r="H78" s="41"/>
      <c r="I78" s="41" t="s">
        <v>30</v>
      </c>
      <c r="J78" s="41" t="s">
        <v>30</v>
      </c>
      <c r="K78" s="41" t="s">
        <v>151</v>
      </c>
      <c r="L78" s="41" t="s">
        <v>141</v>
      </c>
      <c r="M78" s="41" t="s">
        <v>318</v>
      </c>
      <c r="N78" s="41" t="s">
        <v>2233</v>
      </c>
      <c r="O78" s="178" t="s">
        <v>2234</v>
      </c>
      <c r="P78" s="202" t="s">
        <v>142</v>
      </c>
      <c r="Q78" s="21" t="s">
        <v>164</v>
      </c>
      <c r="R78" s="41" t="s">
        <v>2141</v>
      </c>
      <c r="S78" s="41" t="s">
        <v>34</v>
      </c>
      <c r="T78" s="153">
        <v>2.81</v>
      </c>
      <c r="U78" s="41" t="s">
        <v>2142</v>
      </c>
      <c r="V78" s="164">
        <v>5.5453000000000002E-2</v>
      </c>
      <c r="W78" s="41" t="s">
        <v>138</v>
      </c>
      <c r="X78" s="41" t="s">
        <v>2087</v>
      </c>
      <c r="Y78" s="185">
        <v>0</v>
      </c>
      <c r="Z78" s="164">
        <v>2.9100000000000001E-2</v>
      </c>
      <c r="AA78" s="41" t="s">
        <v>2153</v>
      </c>
      <c r="AB78" s="42" t="s">
        <v>146</v>
      </c>
      <c r="AC78" s="41" t="s">
        <v>1565</v>
      </c>
      <c r="AD78" s="153">
        <v>482000</v>
      </c>
      <c r="AE78" s="164">
        <v>0.73</v>
      </c>
      <c r="AF78" s="41" t="s">
        <v>1394</v>
      </c>
      <c r="AG78" s="41" t="s">
        <v>141</v>
      </c>
      <c r="AH78" s="41" t="s">
        <v>2144</v>
      </c>
      <c r="AI78" s="41" t="s">
        <v>2154</v>
      </c>
      <c r="AJ78" s="41" t="s">
        <v>318</v>
      </c>
      <c r="AK78" s="41" t="s">
        <v>1392</v>
      </c>
      <c r="AL78" s="41" t="s">
        <v>2146</v>
      </c>
      <c r="AM78" s="41" t="s">
        <v>1393</v>
      </c>
      <c r="AN78" s="178" t="s">
        <v>1394</v>
      </c>
      <c r="AO78" s="41" t="s">
        <v>1394</v>
      </c>
      <c r="AP78" s="164">
        <v>0</v>
      </c>
      <c r="AQ78" s="153">
        <v>107085.9</v>
      </c>
      <c r="AR78" s="172">
        <v>129.88999999999999</v>
      </c>
      <c r="AS78" s="162">
        <v>1</v>
      </c>
      <c r="AT78" s="153">
        <v>139.09399999999999</v>
      </c>
      <c r="AU78" s="153">
        <v>139.09399999999999</v>
      </c>
      <c r="AV78" s="41"/>
      <c r="AW78" s="41"/>
      <c r="AX78" s="42" t="s">
        <v>141</v>
      </c>
      <c r="AY78" s="41" t="s">
        <v>36</v>
      </c>
      <c r="AZ78" s="164">
        <v>3.23836189482144E-3</v>
      </c>
      <c r="BA78" s="164">
        <v>5.4429998644535898E-5</v>
      </c>
    </row>
    <row r="79" spans="1:53">
      <c r="A79" s="41">
        <v>424</v>
      </c>
      <c r="B79" s="41">
        <v>7228</v>
      </c>
      <c r="C79" s="41" t="s">
        <v>2147</v>
      </c>
      <c r="D79" s="41" t="s">
        <v>134</v>
      </c>
      <c r="E79" s="41" t="s">
        <v>2235</v>
      </c>
      <c r="F79" s="41" t="s">
        <v>2236</v>
      </c>
      <c r="G79" s="41" t="s">
        <v>2138</v>
      </c>
      <c r="H79" s="41"/>
      <c r="I79" s="41" t="s">
        <v>30</v>
      </c>
      <c r="J79" s="41" t="s">
        <v>30</v>
      </c>
      <c r="K79" s="41" t="s">
        <v>151</v>
      </c>
      <c r="L79" s="41" t="s">
        <v>141</v>
      </c>
      <c r="M79" s="41" t="s">
        <v>318</v>
      </c>
      <c r="N79" s="41" t="s">
        <v>2237</v>
      </c>
      <c r="O79" s="178" t="s">
        <v>2238</v>
      </c>
      <c r="P79" s="202" t="s">
        <v>142</v>
      </c>
      <c r="Q79" s="21" t="s">
        <v>164</v>
      </c>
      <c r="R79" s="41" t="s">
        <v>2141</v>
      </c>
      <c r="S79" s="41" t="s">
        <v>34</v>
      </c>
      <c r="T79" s="153">
        <v>2.81</v>
      </c>
      <c r="U79" s="41" t="s">
        <v>2142</v>
      </c>
      <c r="V79" s="164">
        <v>5.5764000000000001E-2</v>
      </c>
      <c r="W79" s="41" t="s">
        <v>138</v>
      </c>
      <c r="X79" s="41" t="s">
        <v>2087</v>
      </c>
      <c r="Y79" s="185">
        <v>0</v>
      </c>
      <c r="Z79" s="164">
        <v>2.9100000000000001E-2</v>
      </c>
      <c r="AA79" s="41" t="s">
        <v>2153</v>
      </c>
      <c r="AB79" s="42" t="s">
        <v>146</v>
      </c>
      <c r="AC79" s="41" t="s">
        <v>1565</v>
      </c>
      <c r="AD79" s="153">
        <v>482000</v>
      </c>
      <c r="AE79" s="164">
        <v>0.73</v>
      </c>
      <c r="AF79" s="41" t="s">
        <v>1394</v>
      </c>
      <c r="AG79" s="41" t="s">
        <v>141</v>
      </c>
      <c r="AH79" s="41" t="s">
        <v>2144</v>
      </c>
      <c r="AI79" s="41" t="s">
        <v>2154</v>
      </c>
      <c r="AJ79" s="41" t="s">
        <v>318</v>
      </c>
      <c r="AK79" s="41" t="s">
        <v>1392</v>
      </c>
      <c r="AL79" s="41" t="s">
        <v>2146</v>
      </c>
      <c r="AM79" s="41" t="s">
        <v>1393</v>
      </c>
      <c r="AN79" s="178" t="s">
        <v>1394</v>
      </c>
      <c r="AO79" s="41" t="s">
        <v>1394</v>
      </c>
      <c r="AP79" s="164">
        <v>0</v>
      </c>
      <c r="AQ79" s="153">
        <v>77554.12</v>
      </c>
      <c r="AR79" s="172">
        <v>132.54</v>
      </c>
      <c r="AS79" s="162">
        <v>1</v>
      </c>
      <c r="AT79" s="153">
        <v>102.79</v>
      </c>
      <c r="AU79" s="153">
        <v>102.79</v>
      </c>
      <c r="AV79" s="41"/>
      <c r="AW79" s="41"/>
      <c r="AX79" s="42" t="s">
        <v>141</v>
      </c>
      <c r="AY79" s="41" t="s">
        <v>36</v>
      </c>
      <c r="AZ79" s="164">
        <v>2.39314610273016E-3</v>
      </c>
      <c r="BA79" s="164">
        <v>4.0223712901291098E-5</v>
      </c>
    </row>
    <row r="80" spans="1:53">
      <c r="A80" s="41">
        <v>424</v>
      </c>
      <c r="B80" s="41">
        <v>7228</v>
      </c>
      <c r="C80" s="41" t="s">
        <v>2147</v>
      </c>
      <c r="D80" s="41" t="s">
        <v>134</v>
      </c>
      <c r="E80" s="41" t="s">
        <v>2239</v>
      </c>
      <c r="F80" s="41" t="s">
        <v>2240</v>
      </c>
      <c r="G80" s="41" t="s">
        <v>2138</v>
      </c>
      <c r="H80" s="41"/>
      <c r="I80" s="41" t="s">
        <v>30</v>
      </c>
      <c r="J80" s="41" t="s">
        <v>30</v>
      </c>
      <c r="K80" s="41" t="s">
        <v>151</v>
      </c>
      <c r="L80" s="41" t="s">
        <v>141</v>
      </c>
      <c r="M80" s="41" t="s">
        <v>318</v>
      </c>
      <c r="N80" s="41" t="s">
        <v>2241</v>
      </c>
      <c r="O80" s="178" t="s">
        <v>2242</v>
      </c>
      <c r="P80" s="202" t="s">
        <v>142</v>
      </c>
      <c r="Q80" s="21" t="s">
        <v>164</v>
      </c>
      <c r="R80" s="41" t="s">
        <v>2141</v>
      </c>
      <c r="S80" s="41" t="s">
        <v>34</v>
      </c>
      <c r="T80" s="153">
        <v>2.82</v>
      </c>
      <c r="U80" s="41" t="s">
        <v>2152</v>
      </c>
      <c r="V80" s="164">
        <v>5.5453000000000002E-2</v>
      </c>
      <c r="W80" s="41" t="s">
        <v>138</v>
      </c>
      <c r="X80" s="41" t="s">
        <v>2087</v>
      </c>
      <c r="Y80" s="185">
        <v>0</v>
      </c>
      <c r="Z80" s="164">
        <v>2.9000000000000001E-2</v>
      </c>
      <c r="AA80" s="41" t="s">
        <v>2153</v>
      </c>
      <c r="AB80" s="42" t="s">
        <v>146</v>
      </c>
      <c r="AC80" s="41" t="s">
        <v>1565</v>
      </c>
      <c r="AD80" s="153">
        <v>482000</v>
      </c>
      <c r="AE80" s="164">
        <v>0.73</v>
      </c>
      <c r="AF80" s="41" t="s">
        <v>1394</v>
      </c>
      <c r="AG80" s="41" t="s">
        <v>141</v>
      </c>
      <c r="AH80" s="41" t="s">
        <v>2144</v>
      </c>
      <c r="AI80" s="41" t="s">
        <v>2154</v>
      </c>
      <c r="AJ80" s="41" t="s">
        <v>318</v>
      </c>
      <c r="AK80" s="41" t="s">
        <v>1392</v>
      </c>
      <c r="AL80" s="41" t="s">
        <v>2146</v>
      </c>
      <c r="AM80" s="41" t="s">
        <v>1393</v>
      </c>
      <c r="AN80" s="178" t="s">
        <v>1394</v>
      </c>
      <c r="AO80" s="41" t="s">
        <v>1394</v>
      </c>
      <c r="AP80" s="164">
        <v>0</v>
      </c>
      <c r="AQ80" s="153">
        <v>18498.12</v>
      </c>
      <c r="AR80" s="172">
        <v>130.56</v>
      </c>
      <c r="AS80" s="162">
        <v>1</v>
      </c>
      <c r="AT80" s="153">
        <v>24.151</v>
      </c>
      <c r="AU80" s="153">
        <v>24.151</v>
      </c>
      <c r="AV80" s="41"/>
      <c r="AW80" s="41"/>
      <c r="AX80" s="42" t="s">
        <v>141</v>
      </c>
      <c r="AY80" s="41" t="s">
        <v>36</v>
      </c>
      <c r="AZ80" s="164">
        <v>5.622831984949E-4</v>
      </c>
      <c r="BA80" s="164">
        <v>9.4507886165731393E-6</v>
      </c>
    </row>
    <row r="81" spans="1:53">
      <c r="A81" s="41">
        <v>424</v>
      </c>
      <c r="B81" s="41">
        <v>7228</v>
      </c>
      <c r="C81" s="41" t="s">
        <v>2147</v>
      </c>
      <c r="D81" s="41" t="s">
        <v>134</v>
      </c>
      <c r="E81" s="41" t="s">
        <v>2243</v>
      </c>
      <c r="F81" s="41" t="s">
        <v>2244</v>
      </c>
      <c r="G81" s="41" t="s">
        <v>2138</v>
      </c>
      <c r="H81" s="41"/>
      <c r="I81" s="41" t="s">
        <v>30</v>
      </c>
      <c r="J81" s="41" t="s">
        <v>30</v>
      </c>
      <c r="K81" s="41" t="s">
        <v>151</v>
      </c>
      <c r="L81" s="41" t="s">
        <v>141</v>
      </c>
      <c r="M81" s="41" t="s">
        <v>318</v>
      </c>
      <c r="N81" s="41" t="s">
        <v>2245</v>
      </c>
      <c r="O81" s="178" t="s">
        <v>2246</v>
      </c>
      <c r="P81" s="202" t="s">
        <v>142</v>
      </c>
      <c r="Q81" s="21" t="s">
        <v>164</v>
      </c>
      <c r="R81" s="41" t="s">
        <v>2141</v>
      </c>
      <c r="S81" s="41" t="s">
        <v>34</v>
      </c>
      <c r="T81" s="153">
        <v>2.82</v>
      </c>
      <c r="U81" s="41" t="s">
        <v>2142</v>
      </c>
      <c r="V81" s="164">
        <v>5.5451E-2</v>
      </c>
      <c r="W81" s="41" t="s">
        <v>138</v>
      </c>
      <c r="X81" s="41" t="s">
        <v>2087</v>
      </c>
      <c r="Y81" s="185">
        <v>0</v>
      </c>
      <c r="Z81" s="164">
        <v>2.9100000000000001E-2</v>
      </c>
      <c r="AA81" s="41" t="s">
        <v>2153</v>
      </c>
      <c r="AB81" s="42" t="s">
        <v>146</v>
      </c>
      <c r="AC81" s="41" t="s">
        <v>1565</v>
      </c>
      <c r="AD81" s="153">
        <v>482000</v>
      </c>
      <c r="AE81" s="164">
        <v>0.73</v>
      </c>
      <c r="AF81" s="41" t="s">
        <v>1394</v>
      </c>
      <c r="AG81" s="41" t="s">
        <v>141</v>
      </c>
      <c r="AH81" s="41" t="s">
        <v>2144</v>
      </c>
      <c r="AI81" s="41" t="s">
        <v>2154</v>
      </c>
      <c r="AJ81" s="41" t="s">
        <v>318</v>
      </c>
      <c r="AK81" s="41" t="s">
        <v>1392</v>
      </c>
      <c r="AL81" s="41" t="s">
        <v>2146</v>
      </c>
      <c r="AM81" s="41" t="s">
        <v>1393</v>
      </c>
      <c r="AN81" s="178" t="s">
        <v>1394</v>
      </c>
      <c r="AO81" s="41" t="s">
        <v>1394</v>
      </c>
      <c r="AP81" s="164">
        <v>0</v>
      </c>
      <c r="AQ81" s="153">
        <v>37448.050000000003</v>
      </c>
      <c r="AR81" s="172">
        <v>130.28</v>
      </c>
      <c r="AS81" s="162">
        <v>1</v>
      </c>
      <c r="AT81" s="153">
        <v>48.786999999999999</v>
      </c>
      <c r="AU81" s="153">
        <v>48.786999999999999</v>
      </c>
      <c r="AV81" s="41"/>
      <c r="AW81" s="41"/>
      <c r="AX81" s="42" t="s">
        <v>141</v>
      </c>
      <c r="AY81" s="41" t="s">
        <v>36</v>
      </c>
      <c r="AZ81" s="164">
        <v>1.13585875704107E-3</v>
      </c>
      <c r="BA81" s="164">
        <v>1.9091377867617402E-5</v>
      </c>
    </row>
    <row r="82" spans="1:53">
      <c r="A82" s="41">
        <v>424</v>
      </c>
      <c r="B82" s="41">
        <v>7228</v>
      </c>
      <c r="C82" s="41" t="s">
        <v>2147</v>
      </c>
      <c r="D82" s="41" t="s">
        <v>134</v>
      </c>
      <c r="E82" s="41" t="s">
        <v>2247</v>
      </c>
      <c r="F82" s="41" t="s">
        <v>2248</v>
      </c>
      <c r="G82" s="41" t="s">
        <v>2138</v>
      </c>
      <c r="H82" s="41"/>
      <c r="I82" s="41" t="s">
        <v>30</v>
      </c>
      <c r="J82" s="41" t="s">
        <v>30</v>
      </c>
      <c r="K82" s="41" t="s">
        <v>151</v>
      </c>
      <c r="L82" s="41" t="s">
        <v>141</v>
      </c>
      <c r="M82" s="41" t="s">
        <v>318</v>
      </c>
      <c r="N82" s="41" t="s">
        <v>2249</v>
      </c>
      <c r="O82" s="178" t="s">
        <v>2250</v>
      </c>
      <c r="P82" s="202" t="s">
        <v>142</v>
      </c>
      <c r="Q82" s="21" t="s">
        <v>164</v>
      </c>
      <c r="R82" s="41" t="s">
        <v>2141</v>
      </c>
      <c r="S82" s="41" t="s">
        <v>34</v>
      </c>
      <c r="T82" s="153">
        <v>2.82</v>
      </c>
      <c r="U82" s="41" t="s">
        <v>2142</v>
      </c>
      <c r="V82" s="164">
        <v>5.5451E-2</v>
      </c>
      <c r="W82" s="41" t="s">
        <v>138</v>
      </c>
      <c r="X82" s="41" t="s">
        <v>2087</v>
      </c>
      <c r="Y82" s="185">
        <v>0</v>
      </c>
      <c r="Z82" s="164">
        <v>2.9100000000000001E-2</v>
      </c>
      <c r="AA82" s="41" t="s">
        <v>2153</v>
      </c>
      <c r="AB82" s="42" t="s">
        <v>146</v>
      </c>
      <c r="AC82" s="41" t="s">
        <v>1565</v>
      </c>
      <c r="AD82" s="153">
        <v>482000</v>
      </c>
      <c r="AE82" s="164">
        <v>0.73</v>
      </c>
      <c r="AF82" s="41" t="s">
        <v>1394</v>
      </c>
      <c r="AG82" s="41" t="s">
        <v>141</v>
      </c>
      <c r="AH82" s="41" t="s">
        <v>2144</v>
      </c>
      <c r="AI82" s="41" t="s">
        <v>2154</v>
      </c>
      <c r="AJ82" s="41" t="s">
        <v>318</v>
      </c>
      <c r="AK82" s="41" t="s">
        <v>1392</v>
      </c>
      <c r="AL82" s="41" t="s">
        <v>2146</v>
      </c>
      <c r="AM82" s="41" t="s">
        <v>1393</v>
      </c>
      <c r="AN82" s="178" t="s">
        <v>1394</v>
      </c>
      <c r="AO82" s="41" t="s">
        <v>1394</v>
      </c>
      <c r="AP82" s="164">
        <v>0</v>
      </c>
      <c r="AQ82" s="153">
        <v>58066.49</v>
      </c>
      <c r="AR82" s="172">
        <v>130.51</v>
      </c>
      <c r="AS82" s="162">
        <v>1</v>
      </c>
      <c r="AT82" s="153">
        <v>75.783000000000001</v>
      </c>
      <c r="AU82" s="153">
        <v>75.783000000000001</v>
      </c>
      <c r="AV82" s="41"/>
      <c r="AW82" s="41"/>
      <c r="AX82" s="42" t="s">
        <v>141</v>
      </c>
      <c r="AY82" s="41" t="s">
        <v>36</v>
      </c>
      <c r="AZ82" s="164">
        <v>1.7643581058517899E-3</v>
      </c>
      <c r="BA82" s="164">
        <v>2.9655119603389401E-5</v>
      </c>
    </row>
    <row r="83" spans="1:53">
      <c r="A83" s="41">
        <v>424</v>
      </c>
      <c r="B83" s="41">
        <v>7228</v>
      </c>
      <c r="C83" s="41" t="s">
        <v>2147</v>
      </c>
      <c r="D83" s="41" t="s">
        <v>134</v>
      </c>
      <c r="E83" s="41" t="s">
        <v>2251</v>
      </c>
      <c r="F83" s="41" t="s">
        <v>2252</v>
      </c>
      <c r="G83" s="41" t="s">
        <v>2138</v>
      </c>
      <c r="H83" s="41"/>
      <c r="I83" s="41" t="s">
        <v>30</v>
      </c>
      <c r="J83" s="41" t="s">
        <v>30</v>
      </c>
      <c r="K83" s="41" t="s">
        <v>151</v>
      </c>
      <c r="L83" s="41" t="s">
        <v>141</v>
      </c>
      <c r="M83" s="41" t="s">
        <v>318</v>
      </c>
      <c r="N83" s="41" t="s">
        <v>2253</v>
      </c>
      <c r="O83" s="178" t="s">
        <v>2242</v>
      </c>
      <c r="P83" s="202" t="s">
        <v>142</v>
      </c>
      <c r="Q83" s="21" t="s">
        <v>164</v>
      </c>
      <c r="R83" s="41" t="s">
        <v>2141</v>
      </c>
      <c r="S83" s="41" t="s">
        <v>34</v>
      </c>
      <c r="T83" s="153">
        <v>2.82</v>
      </c>
      <c r="U83" s="41" t="s">
        <v>2152</v>
      </c>
      <c r="V83" s="164">
        <v>5.5453000000000002E-2</v>
      </c>
      <c r="W83" s="41" t="s">
        <v>138</v>
      </c>
      <c r="X83" s="41" t="s">
        <v>2087</v>
      </c>
      <c r="Y83" s="185">
        <v>0</v>
      </c>
      <c r="Z83" s="164">
        <v>2.9000000000000001E-2</v>
      </c>
      <c r="AA83" s="41" t="s">
        <v>2153</v>
      </c>
      <c r="AB83" s="42" t="s">
        <v>146</v>
      </c>
      <c r="AC83" s="41" t="s">
        <v>1565</v>
      </c>
      <c r="AD83" s="153">
        <v>482000</v>
      </c>
      <c r="AE83" s="164">
        <v>0.73</v>
      </c>
      <c r="AF83" s="41" t="s">
        <v>1394</v>
      </c>
      <c r="AG83" s="41" t="s">
        <v>141</v>
      </c>
      <c r="AH83" s="41" t="s">
        <v>2144</v>
      </c>
      <c r="AI83" s="41" t="s">
        <v>2154</v>
      </c>
      <c r="AJ83" s="41" t="s">
        <v>318</v>
      </c>
      <c r="AK83" s="41" t="s">
        <v>1392</v>
      </c>
      <c r="AL83" s="41" t="s">
        <v>2146</v>
      </c>
      <c r="AM83" s="41" t="s">
        <v>1393</v>
      </c>
      <c r="AN83" s="178" t="s">
        <v>1394</v>
      </c>
      <c r="AO83" s="41" t="s">
        <v>1394</v>
      </c>
      <c r="AP83" s="164">
        <v>0</v>
      </c>
      <c r="AQ83" s="153">
        <v>15318.12</v>
      </c>
      <c r="AR83" s="172">
        <v>129.63</v>
      </c>
      <c r="AS83" s="162">
        <v>1</v>
      </c>
      <c r="AT83" s="153">
        <v>19.856999999999999</v>
      </c>
      <c r="AU83" s="153">
        <v>19.856999999999999</v>
      </c>
      <c r="AV83" s="41"/>
      <c r="AW83" s="41"/>
      <c r="AX83" s="42" t="s">
        <v>141</v>
      </c>
      <c r="AY83" s="41" t="s">
        <v>36</v>
      </c>
      <c r="AZ83" s="164">
        <v>4.6230475587380698E-4</v>
      </c>
      <c r="BA83" s="164">
        <v>7.7703629343629102E-6</v>
      </c>
    </row>
    <row r="84" spans="1:53">
      <c r="A84" s="41">
        <v>424</v>
      </c>
      <c r="B84" s="41">
        <v>7228</v>
      </c>
      <c r="C84" s="41" t="s">
        <v>2147</v>
      </c>
      <c r="D84" s="41" t="s">
        <v>134</v>
      </c>
      <c r="E84" s="41" t="s">
        <v>2254</v>
      </c>
      <c r="F84" s="41" t="s">
        <v>2255</v>
      </c>
      <c r="G84" s="41" t="s">
        <v>2138</v>
      </c>
      <c r="H84" s="41"/>
      <c r="I84" s="41" t="s">
        <v>30</v>
      </c>
      <c r="J84" s="41" t="s">
        <v>30</v>
      </c>
      <c r="K84" s="41" t="s">
        <v>151</v>
      </c>
      <c r="L84" s="41" t="s">
        <v>141</v>
      </c>
      <c r="M84" s="41" t="s">
        <v>318</v>
      </c>
      <c r="N84" s="41" t="s">
        <v>2256</v>
      </c>
      <c r="O84" s="178" t="s">
        <v>2257</v>
      </c>
      <c r="P84" s="202" t="s">
        <v>142</v>
      </c>
      <c r="Q84" s="21" t="s">
        <v>164</v>
      </c>
      <c r="R84" s="41" t="s">
        <v>2141</v>
      </c>
      <c r="S84" s="41" t="s">
        <v>34</v>
      </c>
      <c r="T84" s="153">
        <v>2.82</v>
      </c>
      <c r="U84" s="41" t="s">
        <v>2142</v>
      </c>
      <c r="V84" s="164">
        <v>5.5453000000000002E-2</v>
      </c>
      <c r="W84" s="41" t="s">
        <v>138</v>
      </c>
      <c r="X84" s="41" t="s">
        <v>2087</v>
      </c>
      <c r="Y84" s="185">
        <v>0</v>
      </c>
      <c r="Z84" s="164">
        <v>2.9100000000000001E-2</v>
      </c>
      <c r="AA84" s="41" t="s">
        <v>2153</v>
      </c>
      <c r="AB84" s="42" t="s">
        <v>146</v>
      </c>
      <c r="AC84" s="41" t="s">
        <v>1565</v>
      </c>
      <c r="AD84" s="153">
        <v>482000</v>
      </c>
      <c r="AE84" s="164">
        <v>0.73</v>
      </c>
      <c r="AF84" s="41" t="s">
        <v>1394</v>
      </c>
      <c r="AG84" s="41" t="s">
        <v>141</v>
      </c>
      <c r="AH84" s="41" t="s">
        <v>2144</v>
      </c>
      <c r="AI84" s="41" t="s">
        <v>2154</v>
      </c>
      <c r="AJ84" s="41" t="s">
        <v>318</v>
      </c>
      <c r="AK84" s="41" t="s">
        <v>1392</v>
      </c>
      <c r="AL84" s="41" t="s">
        <v>2146</v>
      </c>
      <c r="AM84" s="41" t="s">
        <v>1393</v>
      </c>
      <c r="AN84" s="178" t="s">
        <v>1394</v>
      </c>
      <c r="AO84" s="41" t="s">
        <v>1394</v>
      </c>
      <c r="AP84" s="164">
        <v>0</v>
      </c>
      <c r="AQ84" s="153">
        <v>13445.82</v>
      </c>
      <c r="AR84" s="172">
        <v>128.61000000000001</v>
      </c>
      <c r="AS84" s="162">
        <v>1</v>
      </c>
      <c r="AT84" s="153">
        <v>17.292999999999999</v>
      </c>
      <c r="AU84" s="153">
        <v>17.292999999999999</v>
      </c>
      <c r="AV84" s="41"/>
      <c r="AW84" s="41"/>
      <c r="AX84" s="42" t="s">
        <v>141</v>
      </c>
      <c r="AY84" s="41" t="s">
        <v>36</v>
      </c>
      <c r="AZ84" s="164">
        <v>4.0260522236758702E-4</v>
      </c>
      <c r="BA84" s="164">
        <v>6.7669403295517399E-6</v>
      </c>
    </row>
    <row r="85" spans="1:53">
      <c r="A85" s="41">
        <v>424</v>
      </c>
      <c r="B85" s="41">
        <v>7228</v>
      </c>
      <c r="C85" s="41" t="s">
        <v>2147</v>
      </c>
      <c r="D85" s="41" t="s">
        <v>134</v>
      </c>
      <c r="E85" s="41" t="s">
        <v>2258</v>
      </c>
      <c r="F85" s="41" t="s">
        <v>2259</v>
      </c>
      <c r="G85" s="41" t="s">
        <v>2138</v>
      </c>
      <c r="H85" s="41"/>
      <c r="I85" s="41" t="s">
        <v>30</v>
      </c>
      <c r="J85" s="41" t="s">
        <v>30</v>
      </c>
      <c r="K85" s="41" t="s">
        <v>151</v>
      </c>
      <c r="L85" s="41" t="s">
        <v>141</v>
      </c>
      <c r="M85" s="41" t="s">
        <v>318</v>
      </c>
      <c r="N85" s="41" t="s">
        <v>2260</v>
      </c>
      <c r="O85" s="178" t="s">
        <v>2261</v>
      </c>
      <c r="P85" s="202" t="s">
        <v>142</v>
      </c>
      <c r="Q85" s="21" t="s">
        <v>164</v>
      </c>
      <c r="R85" s="41" t="s">
        <v>2141</v>
      </c>
      <c r="S85" s="41" t="s">
        <v>34</v>
      </c>
      <c r="T85" s="153">
        <v>2.82</v>
      </c>
      <c r="U85" s="41" t="s">
        <v>2142</v>
      </c>
      <c r="V85" s="164">
        <v>5.5452000000000001E-2</v>
      </c>
      <c r="W85" s="41" t="s">
        <v>138</v>
      </c>
      <c r="X85" s="41" t="s">
        <v>2087</v>
      </c>
      <c r="Y85" s="185">
        <v>0</v>
      </c>
      <c r="Z85" s="164">
        <v>2.9100000000000001E-2</v>
      </c>
      <c r="AA85" s="41" t="s">
        <v>2153</v>
      </c>
      <c r="AB85" s="42" t="s">
        <v>146</v>
      </c>
      <c r="AC85" s="41" t="s">
        <v>1565</v>
      </c>
      <c r="AD85" s="153">
        <v>482000</v>
      </c>
      <c r="AE85" s="164">
        <v>0.73</v>
      </c>
      <c r="AF85" s="41" t="s">
        <v>1394</v>
      </c>
      <c r="AG85" s="41" t="s">
        <v>141</v>
      </c>
      <c r="AH85" s="41" t="s">
        <v>2144</v>
      </c>
      <c r="AI85" s="41" t="s">
        <v>2154</v>
      </c>
      <c r="AJ85" s="41" t="s">
        <v>318</v>
      </c>
      <c r="AK85" s="41" t="s">
        <v>1392</v>
      </c>
      <c r="AL85" s="41" t="s">
        <v>2146</v>
      </c>
      <c r="AM85" s="41" t="s">
        <v>1393</v>
      </c>
      <c r="AN85" s="178" t="s">
        <v>1394</v>
      </c>
      <c r="AO85" s="41" t="s">
        <v>1394</v>
      </c>
      <c r="AP85" s="164">
        <v>0</v>
      </c>
      <c r="AQ85" s="153">
        <v>14988.37</v>
      </c>
      <c r="AR85" s="172">
        <v>127.98</v>
      </c>
      <c r="AS85" s="162">
        <v>1</v>
      </c>
      <c r="AT85" s="153">
        <v>19.181999999999999</v>
      </c>
      <c r="AU85" s="153">
        <v>19.181999999999999</v>
      </c>
      <c r="AV85" s="41"/>
      <c r="AW85" s="41"/>
      <c r="AX85" s="42" t="s">
        <v>141</v>
      </c>
      <c r="AY85" s="41" t="s">
        <v>36</v>
      </c>
      <c r="AZ85" s="164">
        <v>4.4659502835076302E-4</v>
      </c>
      <c r="BA85" s="164">
        <v>7.5063157168012604E-6</v>
      </c>
    </row>
    <row r="86" spans="1:53">
      <c r="A86" s="41">
        <v>424</v>
      </c>
      <c r="B86" s="41">
        <v>7228</v>
      </c>
      <c r="C86" s="41" t="s">
        <v>2147</v>
      </c>
      <c r="D86" s="41" t="s">
        <v>134</v>
      </c>
      <c r="E86" s="41" t="s">
        <v>2262</v>
      </c>
      <c r="F86" s="41" t="s">
        <v>2263</v>
      </c>
      <c r="G86" s="41" t="s">
        <v>2138</v>
      </c>
      <c r="H86" s="41"/>
      <c r="I86" s="41" t="s">
        <v>30</v>
      </c>
      <c r="J86" s="41" t="s">
        <v>30</v>
      </c>
      <c r="K86" s="41" t="s">
        <v>151</v>
      </c>
      <c r="L86" s="41" t="s">
        <v>141</v>
      </c>
      <c r="M86" s="41" t="s">
        <v>318</v>
      </c>
      <c r="N86" s="41" t="s">
        <v>2264</v>
      </c>
      <c r="O86" s="178" t="s">
        <v>2265</v>
      </c>
      <c r="P86" s="202" t="s">
        <v>142</v>
      </c>
      <c r="Q86" s="21" t="s">
        <v>164</v>
      </c>
      <c r="R86" s="41" t="s">
        <v>2141</v>
      </c>
      <c r="S86" s="41" t="s">
        <v>34</v>
      </c>
      <c r="T86" s="153">
        <v>2.82</v>
      </c>
      <c r="U86" s="41" t="s">
        <v>2142</v>
      </c>
      <c r="V86" s="164">
        <v>5.5452000000000001E-2</v>
      </c>
      <c r="W86" s="41" t="s">
        <v>138</v>
      </c>
      <c r="X86" s="41" t="s">
        <v>2087</v>
      </c>
      <c r="Y86" s="185">
        <v>0</v>
      </c>
      <c r="Z86" s="164">
        <v>2.9100000000000001E-2</v>
      </c>
      <c r="AA86" s="41" t="s">
        <v>2153</v>
      </c>
      <c r="AB86" s="42" t="s">
        <v>146</v>
      </c>
      <c r="AC86" s="41" t="s">
        <v>1565</v>
      </c>
      <c r="AD86" s="153">
        <v>482000</v>
      </c>
      <c r="AE86" s="164">
        <v>0.73</v>
      </c>
      <c r="AF86" s="41" t="s">
        <v>1394</v>
      </c>
      <c r="AG86" s="41" t="s">
        <v>141</v>
      </c>
      <c r="AH86" s="41" t="s">
        <v>2144</v>
      </c>
      <c r="AI86" s="41" t="s">
        <v>2154</v>
      </c>
      <c r="AJ86" s="41" t="s">
        <v>318</v>
      </c>
      <c r="AK86" s="41" t="s">
        <v>1392</v>
      </c>
      <c r="AL86" s="41" t="s">
        <v>2146</v>
      </c>
      <c r="AM86" s="41" t="s">
        <v>1393</v>
      </c>
      <c r="AN86" s="178" t="s">
        <v>1394</v>
      </c>
      <c r="AO86" s="41" t="s">
        <v>1394</v>
      </c>
      <c r="AP86" s="164">
        <v>0</v>
      </c>
      <c r="AQ86" s="153">
        <v>44008.639999999999</v>
      </c>
      <c r="AR86" s="172">
        <v>128.09</v>
      </c>
      <c r="AS86" s="162">
        <v>1</v>
      </c>
      <c r="AT86" s="153">
        <v>56.371000000000002</v>
      </c>
      <c r="AU86" s="153">
        <v>56.371000000000002</v>
      </c>
      <c r="AV86" s="41"/>
      <c r="AW86" s="41"/>
      <c r="AX86" s="42" t="s">
        <v>141</v>
      </c>
      <c r="AY86" s="41" t="s">
        <v>36</v>
      </c>
      <c r="AZ86" s="164">
        <v>1.3124130681628999E-3</v>
      </c>
      <c r="BA86" s="164">
        <v>2.2058881570775399E-5</v>
      </c>
    </row>
    <row r="87" spans="1:53">
      <c r="A87" s="41">
        <v>424</v>
      </c>
      <c r="B87" s="41">
        <v>7228</v>
      </c>
      <c r="C87" s="41" t="s">
        <v>2147</v>
      </c>
      <c r="D87" s="41" t="s">
        <v>134</v>
      </c>
      <c r="E87" s="41" t="s">
        <v>2266</v>
      </c>
      <c r="F87" s="41" t="s">
        <v>2267</v>
      </c>
      <c r="G87" s="41" t="s">
        <v>2138</v>
      </c>
      <c r="H87" s="41"/>
      <c r="I87" s="41" t="s">
        <v>30</v>
      </c>
      <c r="J87" s="41" t="s">
        <v>30</v>
      </c>
      <c r="K87" s="41" t="s">
        <v>151</v>
      </c>
      <c r="L87" s="41" t="s">
        <v>141</v>
      </c>
      <c r="M87" s="41" t="s">
        <v>318</v>
      </c>
      <c r="N87" s="41" t="s">
        <v>2268</v>
      </c>
      <c r="O87" s="178" t="s">
        <v>2269</v>
      </c>
      <c r="P87" s="202" t="s">
        <v>142</v>
      </c>
      <c r="Q87" s="21" t="s">
        <v>164</v>
      </c>
      <c r="R87" s="41" t="s">
        <v>2141</v>
      </c>
      <c r="S87" s="41" t="s">
        <v>34</v>
      </c>
      <c r="T87" s="153">
        <v>2.82</v>
      </c>
      <c r="U87" s="41" t="s">
        <v>2142</v>
      </c>
      <c r="V87" s="164">
        <v>5.5453000000000002E-2</v>
      </c>
      <c r="W87" s="41" t="s">
        <v>138</v>
      </c>
      <c r="X87" s="41" t="s">
        <v>2087</v>
      </c>
      <c r="Y87" s="185">
        <v>0</v>
      </c>
      <c r="Z87" s="164">
        <v>2.9100000000000001E-2</v>
      </c>
      <c r="AA87" s="41" t="s">
        <v>2153</v>
      </c>
      <c r="AB87" s="42" t="s">
        <v>146</v>
      </c>
      <c r="AC87" s="41" t="s">
        <v>1565</v>
      </c>
      <c r="AD87" s="153">
        <v>482000</v>
      </c>
      <c r="AE87" s="164">
        <v>0.73</v>
      </c>
      <c r="AF87" s="41" t="s">
        <v>1394</v>
      </c>
      <c r="AG87" s="41" t="s">
        <v>141</v>
      </c>
      <c r="AH87" s="41" t="s">
        <v>2144</v>
      </c>
      <c r="AI87" s="41" t="s">
        <v>2154</v>
      </c>
      <c r="AJ87" s="41" t="s">
        <v>318</v>
      </c>
      <c r="AK87" s="41" t="s">
        <v>1392</v>
      </c>
      <c r="AL87" s="41" t="s">
        <v>2146</v>
      </c>
      <c r="AM87" s="41" t="s">
        <v>1393</v>
      </c>
      <c r="AN87" s="178" t="s">
        <v>1394</v>
      </c>
      <c r="AO87" s="41" t="s">
        <v>1394</v>
      </c>
      <c r="AP87" s="164">
        <v>0</v>
      </c>
      <c r="AQ87" s="153">
        <v>8169.04</v>
      </c>
      <c r="AR87" s="172">
        <v>128.72</v>
      </c>
      <c r="AS87" s="162">
        <v>1</v>
      </c>
      <c r="AT87" s="153">
        <v>10.515000000000001</v>
      </c>
      <c r="AU87" s="153">
        <v>10.515000000000001</v>
      </c>
      <c r="AV87" s="41"/>
      <c r="AW87" s="41"/>
      <c r="AX87" s="42" t="s">
        <v>141</v>
      </c>
      <c r="AY87" s="41" t="s">
        <v>36</v>
      </c>
      <c r="AZ87" s="164">
        <v>2.4481297213034997E-4</v>
      </c>
      <c r="BA87" s="164">
        <v>4.1147870973063202E-6</v>
      </c>
    </row>
    <row r="88" spans="1:53">
      <c r="A88" s="41">
        <v>424</v>
      </c>
      <c r="B88" s="41">
        <v>7228</v>
      </c>
      <c r="C88" s="41" t="s">
        <v>2147</v>
      </c>
      <c r="D88" s="41" t="s">
        <v>134</v>
      </c>
      <c r="E88" s="41" t="s">
        <v>2270</v>
      </c>
      <c r="F88" s="41" t="s">
        <v>2271</v>
      </c>
      <c r="G88" s="41" t="s">
        <v>2138</v>
      </c>
      <c r="H88" s="41"/>
      <c r="I88" s="41" t="s">
        <v>30</v>
      </c>
      <c r="J88" s="41" t="s">
        <v>30</v>
      </c>
      <c r="K88" s="41" t="s">
        <v>151</v>
      </c>
      <c r="L88" s="41" t="s">
        <v>141</v>
      </c>
      <c r="M88" s="41" t="s">
        <v>318</v>
      </c>
      <c r="N88" s="41" t="s">
        <v>2272</v>
      </c>
      <c r="O88" s="178" t="s">
        <v>2273</v>
      </c>
      <c r="P88" s="202" t="s">
        <v>142</v>
      </c>
      <c r="Q88" s="21" t="s">
        <v>164</v>
      </c>
      <c r="R88" s="41" t="s">
        <v>2141</v>
      </c>
      <c r="S88" s="41" t="s">
        <v>34</v>
      </c>
      <c r="T88" s="153">
        <v>2.82</v>
      </c>
      <c r="U88" s="41" t="s">
        <v>2142</v>
      </c>
      <c r="V88" s="164">
        <v>5.5452000000000001E-2</v>
      </c>
      <c r="W88" s="41" t="s">
        <v>138</v>
      </c>
      <c r="X88" s="41" t="s">
        <v>2087</v>
      </c>
      <c r="Y88" s="185">
        <v>0</v>
      </c>
      <c r="Z88" s="164">
        <v>2.9100000000000001E-2</v>
      </c>
      <c r="AA88" s="41" t="s">
        <v>2153</v>
      </c>
      <c r="AB88" s="42" t="s">
        <v>146</v>
      </c>
      <c r="AC88" s="41" t="s">
        <v>1565</v>
      </c>
      <c r="AD88" s="153">
        <v>482000</v>
      </c>
      <c r="AE88" s="164">
        <v>0.73</v>
      </c>
      <c r="AF88" s="41" t="s">
        <v>1394</v>
      </c>
      <c r="AG88" s="41" t="s">
        <v>141</v>
      </c>
      <c r="AH88" s="41" t="s">
        <v>2144</v>
      </c>
      <c r="AI88" s="41" t="s">
        <v>2154</v>
      </c>
      <c r="AJ88" s="41" t="s">
        <v>318</v>
      </c>
      <c r="AK88" s="41" t="s">
        <v>1392</v>
      </c>
      <c r="AL88" s="41" t="s">
        <v>2146</v>
      </c>
      <c r="AM88" s="41" t="s">
        <v>1393</v>
      </c>
      <c r="AN88" s="178" t="s">
        <v>1394</v>
      </c>
      <c r="AO88" s="41" t="s">
        <v>1394</v>
      </c>
      <c r="AP88" s="164">
        <v>0</v>
      </c>
      <c r="AQ88" s="153">
        <v>16302.03</v>
      </c>
      <c r="AR88" s="172">
        <v>128.97</v>
      </c>
      <c r="AS88" s="162">
        <v>1</v>
      </c>
      <c r="AT88" s="153">
        <v>21.024999999999999</v>
      </c>
      <c r="AU88" s="153">
        <v>21.024999999999999</v>
      </c>
      <c r="AV88" s="41"/>
      <c r="AW88" s="41"/>
      <c r="AX88" s="42" t="s">
        <v>141</v>
      </c>
      <c r="AY88" s="41" t="s">
        <v>36</v>
      </c>
      <c r="AZ88" s="164">
        <v>4.8949443711474895E-4</v>
      </c>
      <c r="BA88" s="164">
        <v>8.2273638382632601E-6</v>
      </c>
    </row>
    <row r="89" spans="1:53">
      <c r="A89" s="41">
        <v>424</v>
      </c>
      <c r="B89" s="41">
        <v>7228</v>
      </c>
      <c r="C89" s="41" t="s">
        <v>2147</v>
      </c>
      <c r="D89" s="41" t="s">
        <v>134</v>
      </c>
      <c r="E89" s="41" t="s">
        <v>2274</v>
      </c>
      <c r="F89" s="41" t="s">
        <v>2275</v>
      </c>
      <c r="G89" s="41" t="s">
        <v>2138</v>
      </c>
      <c r="H89" s="41"/>
      <c r="I89" s="41" t="s">
        <v>30</v>
      </c>
      <c r="J89" s="41" t="s">
        <v>30</v>
      </c>
      <c r="K89" s="41" t="s">
        <v>151</v>
      </c>
      <c r="L89" s="41" t="s">
        <v>141</v>
      </c>
      <c r="M89" s="41" t="s">
        <v>318</v>
      </c>
      <c r="N89" s="41" t="s">
        <v>2276</v>
      </c>
      <c r="O89" s="178" t="s">
        <v>2277</v>
      </c>
      <c r="P89" s="202" t="s">
        <v>142</v>
      </c>
      <c r="Q89" s="21" t="s">
        <v>164</v>
      </c>
      <c r="R89" s="41" t="s">
        <v>2141</v>
      </c>
      <c r="S89" s="41" t="s">
        <v>34</v>
      </c>
      <c r="T89" s="153">
        <v>2.82</v>
      </c>
      <c r="U89" s="41" t="s">
        <v>2142</v>
      </c>
      <c r="V89" s="164">
        <v>5.5451E-2</v>
      </c>
      <c r="W89" s="41" t="s">
        <v>138</v>
      </c>
      <c r="X89" s="41" t="s">
        <v>2087</v>
      </c>
      <c r="Y89" s="185">
        <v>0</v>
      </c>
      <c r="Z89" s="164">
        <v>2.9100000000000001E-2</v>
      </c>
      <c r="AA89" s="41" t="s">
        <v>2153</v>
      </c>
      <c r="AB89" s="42" t="s">
        <v>146</v>
      </c>
      <c r="AC89" s="41" t="s">
        <v>1565</v>
      </c>
      <c r="AD89" s="153">
        <v>482000</v>
      </c>
      <c r="AE89" s="164">
        <v>0.73</v>
      </c>
      <c r="AF89" s="41" t="s">
        <v>1394</v>
      </c>
      <c r="AG89" s="41" t="s">
        <v>141</v>
      </c>
      <c r="AH89" s="41" t="s">
        <v>2144</v>
      </c>
      <c r="AI89" s="41" t="s">
        <v>2154</v>
      </c>
      <c r="AJ89" s="41" t="s">
        <v>318</v>
      </c>
      <c r="AK89" s="41" t="s">
        <v>1392</v>
      </c>
      <c r="AL89" s="41" t="s">
        <v>2146</v>
      </c>
      <c r="AM89" s="41" t="s">
        <v>1393</v>
      </c>
      <c r="AN89" s="178" t="s">
        <v>1394</v>
      </c>
      <c r="AO89" s="41" t="s">
        <v>1394</v>
      </c>
      <c r="AP89" s="164">
        <v>0</v>
      </c>
      <c r="AQ89" s="153">
        <v>10215.219999999999</v>
      </c>
      <c r="AR89" s="172">
        <v>128.46</v>
      </c>
      <c r="AS89" s="162">
        <v>1</v>
      </c>
      <c r="AT89" s="153">
        <v>13.122</v>
      </c>
      <c r="AU89" s="153">
        <v>13.122</v>
      </c>
      <c r="AV89" s="41"/>
      <c r="AW89" s="41"/>
      <c r="AX89" s="42" t="s">
        <v>141</v>
      </c>
      <c r="AY89" s="41" t="s">
        <v>36</v>
      </c>
      <c r="AZ89" s="164">
        <v>3.0551533544064501E-4</v>
      </c>
      <c r="BA89" s="164">
        <v>5.1350651452857799E-6</v>
      </c>
    </row>
    <row r="90" spans="1:53">
      <c r="A90" s="41">
        <v>424</v>
      </c>
      <c r="B90" s="41">
        <v>7228</v>
      </c>
      <c r="C90" s="41" t="s">
        <v>2147</v>
      </c>
      <c r="D90" s="41" t="s">
        <v>134</v>
      </c>
      <c r="E90" s="41" t="s">
        <v>2278</v>
      </c>
      <c r="F90" s="41" t="s">
        <v>2279</v>
      </c>
      <c r="G90" s="41" t="s">
        <v>2138</v>
      </c>
      <c r="H90" s="41"/>
      <c r="I90" s="41" t="s">
        <v>30</v>
      </c>
      <c r="J90" s="41" t="s">
        <v>30</v>
      </c>
      <c r="K90" s="41" t="s">
        <v>151</v>
      </c>
      <c r="L90" s="41" t="s">
        <v>141</v>
      </c>
      <c r="M90" s="41" t="s">
        <v>318</v>
      </c>
      <c r="N90" s="41" t="s">
        <v>2280</v>
      </c>
      <c r="O90" s="178" t="s">
        <v>2281</v>
      </c>
      <c r="P90" s="202" t="s">
        <v>142</v>
      </c>
      <c r="Q90" s="21" t="s">
        <v>164</v>
      </c>
      <c r="R90" s="41" t="s">
        <v>2141</v>
      </c>
      <c r="S90" s="41" t="s">
        <v>34</v>
      </c>
      <c r="T90" s="153">
        <v>2.82</v>
      </c>
      <c r="U90" s="41" t="s">
        <v>2142</v>
      </c>
      <c r="V90" s="164">
        <v>5.5451E-2</v>
      </c>
      <c r="W90" s="41" t="s">
        <v>138</v>
      </c>
      <c r="X90" s="41" t="s">
        <v>2087</v>
      </c>
      <c r="Y90" s="185">
        <v>0</v>
      </c>
      <c r="Z90" s="164">
        <v>2.9100000000000001E-2</v>
      </c>
      <c r="AA90" s="41" t="s">
        <v>2153</v>
      </c>
      <c r="AB90" s="42" t="s">
        <v>146</v>
      </c>
      <c r="AC90" s="41" t="s">
        <v>1565</v>
      </c>
      <c r="AD90" s="153">
        <v>482000</v>
      </c>
      <c r="AE90" s="164">
        <v>0.73</v>
      </c>
      <c r="AF90" s="41" t="s">
        <v>1394</v>
      </c>
      <c r="AG90" s="41" t="s">
        <v>141</v>
      </c>
      <c r="AH90" s="41" t="s">
        <v>2144</v>
      </c>
      <c r="AI90" s="41" t="s">
        <v>2154</v>
      </c>
      <c r="AJ90" s="41" t="s">
        <v>318</v>
      </c>
      <c r="AK90" s="41" t="s">
        <v>1392</v>
      </c>
      <c r="AL90" s="41" t="s">
        <v>2146</v>
      </c>
      <c r="AM90" s="41" t="s">
        <v>1393</v>
      </c>
      <c r="AN90" s="178" t="s">
        <v>1394</v>
      </c>
      <c r="AO90" s="41" t="s">
        <v>1394</v>
      </c>
      <c r="AP90" s="164">
        <v>0</v>
      </c>
      <c r="AQ90" s="153">
        <v>5752.33</v>
      </c>
      <c r="AR90" s="172">
        <v>128.34</v>
      </c>
      <c r="AS90" s="162">
        <v>1</v>
      </c>
      <c r="AT90" s="153">
        <v>7.383</v>
      </c>
      <c r="AU90" s="153">
        <v>7.383</v>
      </c>
      <c r="AV90" s="41"/>
      <c r="AW90" s="41"/>
      <c r="AX90" s="42" t="s">
        <v>141</v>
      </c>
      <c r="AY90" s="41" t="s">
        <v>36</v>
      </c>
      <c r="AZ90" s="164">
        <v>1.71879151242923E-4</v>
      </c>
      <c r="BA90" s="164">
        <v>2.8889241761820202E-6</v>
      </c>
    </row>
    <row r="91" spans="1:53">
      <c r="A91" s="41">
        <v>424</v>
      </c>
      <c r="B91" s="41">
        <v>7228</v>
      </c>
      <c r="C91" s="41" t="s">
        <v>2147</v>
      </c>
      <c r="D91" s="41" t="s">
        <v>134</v>
      </c>
      <c r="E91" s="41" t="s">
        <v>2282</v>
      </c>
      <c r="F91" s="41" t="s">
        <v>2283</v>
      </c>
      <c r="G91" s="41" t="s">
        <v>2138</v>
      </c>
      <c r="H91" s="41"/>
      <c r="I91" s="41" t="s">
        <v>30</v>
      </c>
      <c r="J91" s="41" t="s">
        <v>30</v>
      </c>
      <c r="K91" s="41" t="s">
        <v>151</v>
      </c>
      <c r="L91" s="41" t="s">
        <v>141</v>
      </c>
      <c r="M91" s="41" t="s">
        <v>318</v>
      </c>
      <c r="N91" s="41" t="s">
        <v>2284</v>
      </c>
      <c r="O91" s="178" t="s">
        <v>2285</v>
      </c>
      <c r="P91" s="202" t="s">
        <v>142</v>
      </c>
      <c r="Q91" s="21" t="s">
        <v>164</v>
      </c>
      <c r="R91" s="41" t="s">
        <v>2141</v>
      </c>
      <c r="S91" s="41" t="s">
        <v>34</v>
      </c>
      <c r="T91" s="153">
        <v>2.82</v>
      </c>
      <c r="U91" s="41" t="s">
        <v>2142</v>
      </c>
      <c r="V91" s="164">
        <v>5.5451E-2</v>
      </c>
      <c r="W91" s="41" t="s">
        <v>138</v>
      </c>
      <c r="X91" s="41" t="s">
        <v>2087</v>
      </c>
      <c r="Y91" s="185">
        <v>0</v>
      </c>
      <c r="Z91" s="164">
        <v>2.9100000000000001E-2</v>
      </c>
      <c r="AA91" s="41" t="s">
        <v>2153</v>
      </c>
      <c r="AB91" s="42" t="s">
        <v>146</v>
      </c>
      <c r="AC91" s="41" t="s">
        <v>1565</v>
      </c>
      <c r="AD91" s="153">
        <v>482000</v>
      </c>
      <c r="AE91" s="164">
        <v>0.73</v>
      </c>
      <c r="AF91" s="41" t="s">
        <v>1394</v>
      </c>
      <c r="AG91" s="41" t="s">
        <v>141</v>
      </c>
      <c r="AH91" s="41" t="s">
        <v>2144</v>
      </c>
      <c r="AI91" s="41" t="s">
        <v>2154</v>
      </c>
      <c r="AJ91" s="41" t="s">
        <v>318</v>
      </c>
      <c r="AK91" s="41" t="s">
        <v>1392</v>
      </c>
      <c r="AL91" s="41" t="s">
        <v>2146</v>
      </c>
      <c r="AM91" s="41" t="s">
        <v>1393</v>
      </c>
      <c r="AN91" s="178" t="s">
        <v>1394</v>
      </c>
      <c r="AO91" s="41" t="s">
        <v>1394</v>
      </c>
      <c r="AP91" s="164">
        <v>0</v>
      </c>
      <c r="AQ91" s="153">
        <v>17158.61</v>
      </c>
      <c r="AR91" s="172">
        <v>127.96</v>
      </c>
      <c r="AS91" s="162">
        <v>1</v>
      </c>
      <c r="AT91" s="153">
        <v>21.956</v>
      </c>
      <c r="AU91" s="153">
        <v>21.956</v>
      </c>
      <c r="AV91" s="41"/>
      <c r="AW91" s="41"/>
      <c r="AX91" s="42" t="s">
        <v>141</v>
      </c>
      <c r="AY91" s="41" t="s">
        <v>36</v>
      </c>
      <c r="AZ91" s="164">
        <v>5.1117982785131501E-4</v>
      </c>
      <c r="BA91" s="164">
        <v>8.5918492869973804E-6</v>
      </c>
    </row>
    <row r="92" spans="1:53">
      <c r="A92" s="41">
        <v>424</v>
      </c>
      <c r="B92" s="41">
        <v>7228</v>
      </c>
      <c r="C92" s="41" t="s">
        <v>2147</v>
      </c>
      <c r="D92" s="41" t="s">
        <v>134</v>
      </c>
      <c r="E92" s="41" t="s">
        <v>2286</v>
      </c>
      <c r="F92" s="41" t="s">
        <v>2287</v>
      </c>
      <c r="G92" s="41" t="s">
        <v>2138</v>
      </c>
      <c r="H92" s="41"/>
      <c r="I92" s="41" t="s">
        <v>30</v>
      </c>
      <c r="J92" s="41" t="s">
        <v>30</v>
      </c>
      <c r="K92" s="41" t="s">
        <v>151</v>
      </c>
      <c r="L92" s="41" t="s">
        <v>141</v>
      </c>
      <c r="M92" s="41" t="s">
        <v>318</v>
      </c>
      <c r="N92" s="41" t="s">
        <v>2288</v>
      </c>
      <c r="O92" s="178" t="s">
        <v>2242</v>
      </c>
      <c r="P92" s="202" t="s">
        <v>142</v>
      </c>
      <c r="Q92" s="21" t="s">
        <v>164</v>
      </c>
      <c r="R92" s="41" t="s">
        <v>2141</v>
      </c>
      <c r="S92" s="41" t="s">
        <v>34</v>
      </c>
      <c r="T92" s="153">
        <v>2.82</v>
      </c>
      <c r="U92" s="41" t="s">
        <v>2152</v>
      </c>
      <c r="V92" s="164">
        <v>5.5451E-2</v>
      </c>
      <c r="W92" s="41" t="s">
        <v>138</v>
      </c>
      <c r="X92" s="41" t="s">
        <v>2087</v>
      </c>
      <c r="Y92" s="185">
        <v>0</v>
      </c>
      <c r="Z92" s="164">
        <v>2.9100000000000001E-2</v>
      </c>
      <c r="AA92" s="41" t="s">
        <v>2153</v>
      </c>
      <c r="AB92" s="42" t="s">
        <v>146</v>
      </c>
      <c r="AC92" s="41" t="s">
        <v>1565</v>
      </c>
      <c r="AD92" s="153">
        <v>482000</v>
      </c>
      <c r="AE92" s="164">
        <v>0.73</v>
      </c>
      <c r="AF92" s="41" t="s">
        <v>1394</v>
      </c>
      <c r="AG92" s="41" t="s">
        <v>141</v>
      </c>
      <c r="AH92" s="41" t="s">
        <v>2144</v>
      </c>
      <c r="AI92" s="41" t="s">
        <v>2154</v>
      </c>
      <c r="AJ92" s="41" t="s">
        <v>318</v>
      </c>
      <c r="AK92" s="41" t="s">
        <v>1392</v>
      </c>
      <c r="AL92" s="41" t="s">
        <v>2146</v>
      </c>
      <c r="AM92" s="41" t="s">
        <v>1393</v>
      </c>
      <c r="AN92" s="178" t="s">
        <v>1394</v>
      </c>
      <c r="AO92" s="41" t="s">
        <v>1394</v>
      </c>
      <c r="AP92" s="164">
        <v>0</v>
      </c>
      <c r="AQ92" s="153">
        <v>6679.68</v>
      </c>
      <c r="AR92" s="172">
        <v>127.96</v>
      </c>
      <c r="AS92" s="162">
        <v>1</v>
      </c>
      <c r="AT92" s="153">
        <v>8.5470000000000006</v>
      </c>
      <c r="AU92" s="153">
        <v>8.5470000000000006</v>
      </c>
      <c r="AV92" s="41"/>
      <c r="AW92" s="41"/>
      <c r="AX92" s="42" t="s">
        <v>141</v>
      </c>
      <c r="AY92" s="41" t="s">
        <v>36</v>
      </c>
      <c r="AZ92" s="164">
        <v>1.9899733559430901E-4</v>
      </c>
      <c r="BA92" s="164">
        <v>3.34472336893086E-6</v>
      </c>
    </row>
    <row r="93" spans="1:53">
      <c r="A93" s="41">
        <v>424</v>
      </c>
      <c r="B93" s="41">
        <v>7228</v>
      </c>
      <c r="C93" s="41" t="s">
        <v>2147</v>
      </c>
      <c r="D93" s="41" t="s">
        <v>134</v>
      </c>
      <c r="E93" s="41" t="s">
        <v>2289</v>
      </c>
      <c r="F93" s="41" t="s">
        <v>2290</v>
      </c>
      <c r="G93" s="41" t="s">
        <v>2138</v>
      </c>
      <c r="H93" s="41"/>
      <c r="I93" s="41" t="s">
        <v>30</v>
      </c>
      <c r="J93" s="41" t="s">
        <v>30</v>
      </c>
      <c r="K93" s="41" t="s">
        <v>151</v>
      </c>
      <c r="L93" s="41" t="s">
        <v>141</v>
      </c>
      <c r="M93" s="41" t="s">
        <v>318</v>
      </c>
      <c r="N93" s="41" t="s">
        <v>2291</v>
      </c>
      <c r="O93" s="178" t="s">
        <v>2292</v>
      </c>
      <c r="P93" s="202" t="s">
        <v>142</v>
      </c>
      <c r="Q93" s="21" t="s">
        <v>164</v>
      </c>
      <c r="R93" s="41" t="s">
        <v>2141</v>
      </c>
      <c r="S93" s="41" t="s">
        <v>34</v>
      </c>
      <c r="T93" s="153">
        <v>2.82</v>
      </c>
      <c r="U93" s="41" t="s">
        <v>2142</v>
      </c>
      <c r="V93" s="164">
        <v>5.5453000000000002E-2</v>
      </c>
      <c r="W93" s="41" t="s">
        <v>138</v>
      </c>
      <c r="X93" s="41" t="s">
        <v>2087</v>
      </c>
      <c r="Y93" s="185">
        <v>0</v>
      </c>
      <c r="Z93" s="164">
        <v>2.9100000000000001E-2</v>
      </c>
      <c r="AA93" s="41" t="s">
        <v>2153</v>
      </c>
      <c r="AB93" s="42" t="s">
        <v>146</v>
      </c>
      <c r="AC93" s="41" t="s">
        <v>1565</v>
      </c>
      <c r="AD93" s="153">
        <v>482000</v>
      </c>
      <c r="AE93" s="164">
        <v>0.73</v>
      </c>
      <c r="AF93" s="41" t="s">
        <v>1394</v>
      </c>
      <c r="AG93" s="41" t="s">
        <v>141</v>
      </c>
      <c r="AH93" s="41" t="s">
        <v>2144</v>
      </c>
      <c r="AI93" s="41" t="s">
        <v>2154</v>
      </c>
      <c r="AJ93" s="41" t="s">
        <v>318</v>
      </c>
      <c r="AK93" s="41" t="s">
        <v>1392</v>
      </c>
      <c r="AL93" s="41" t="s">
        <v>2146</v>
      </c>
      <c r="AM93" s="41" t="s">
        <v>1393</v>
      </c>
      <c r="AN93" s="178" t="s">
        <v>1394</v>
      </c>
      <c r="AO93" s="41" t="s">
        <v>1394</v>
      </c>
      <c r="AP93" s="164">
        <v>0</v>
      </c>
      <c r="AQ93" s="153">
        <v>44890.78</v>
      </c>
      <c r="AR93" s="172">
        <v>128.21</v>
      </c>
      <c r="AS93" s="162">
        <v>1</v>
      </c>
      <c r="AT93" s="153">
        <v>57.554000000000002</v>
      </c>
      <c r="AU93" s="153">
        <v>57.554000000000002</v>
      </c>
      <c r="AV93" s="41"/>
      <c r="AW93" s="41"/>
      <c r="AX93" s="42" t="s">
        <v>141</v>
      </c>
      <c r="AY93" s="41" t="s">
        <v>36</v>
      </c>
      <c r="AZ93" s="164">
        <v>1.3399741629597499E-3</v>
      </c>
      <c r="BA93" s="164">
        <v>2.2522125149213399E-5</v>
      </c>
    </row>
    <row r="94" spans="1:53">
      <c r="A94" s="41">
        <v>424</v>
      </c>
      <c r="B94" s="41">
        <v>7228</v>
      </c>
      <c r="C94" s="41" t="s">
        <v>2147</v>
      </c>
      <c r="D94" s="41" t="s">
        <v>134</v>
      </c>
      <c r="E94" s="41" t="s">
        <v>2293</v>
      </c>
      <c r="F94" s="41" t="s">
        <v>2294</v>
      </c>
      <c r="G94" s="41" t="s">
        <v>2138</v>
      </c>
      <c r="H94" s="41"/>
      <c r="I94" s="41" t="s">
        <v>30</v>
      </c>
      <c r="J94" s="41" t="s">
        <v>30</v>
      </c>
      <c r="K94" s="41" t="s">
        <v>151</v>
      </c>
      <c r="L94" s="41" t="s">
        <v>141</v>
      </c>
      <c r="M94" s="41" t="s">
        <v>318</v>
      </c>
      <c r="N94" s="41" t="s">
        <v>2295</v>
      </c>
      <c r="O94" s="178" t="s">
        <v>2296</v>
      </c>
      <c r="P94" s="202" t="s">
        <v>142</v>
      </c>
      <c r="Q94" s="21" t="s">
        <v>164</v>
      </c>
      <c r="R94" s="41" t="s">
        <v>2141</v>
      </c>
      <c r="S94" s="41" t="s">
        <v>34</v>
      </c>
      <c r="T94" s="153">
        <v>2.82</v>
      </c>
      <c r="U94" s="41" t="s">
        <v>2142</v>
      </c>
      <c r="V94" s="164">
        <v>5.5453000000000002E-2</v>
      </c>
      <c r="W94" s="41" t="s">
        <v>138</v>
      </c>
      <c r="X94" s="41" t="s">
        <v>2087</v>
      </c>
      <c r="Y94" s="185">
        <v>0</v>
      </c>
      <c r="Z94" s="164">
        <v>2.9100000000000001E-2</v>
      </c>
      <c r="AA94" s="41" t="s">
        <v>2153</v>
      </c>
      <c r="AB94" s="42" t="s">
        <v>146</v>
      </c>
      <c r="AC94" s="41" t="s">
        <v>1565</v>
      </c>
      <c r="AD94" s="153">
        <v>482000</v>
      </c>
      <c r="AE94" s="164">
        <v>0.73</v>
      </c>
      <c r="AF94" s="41" t="s">
        <v>1394</v>
      </c>
      <c r="AG94" s="41" t="s">
        <v>141</v>
      </c>
      <c r="AH94" s="41" t="s">
        <v>2144</v>
      </c>
      <c r="AI94" s="41" t="s">
        <v>2154</v>
      </c>
      <c r="AJ94" s="41" t="s">
        <v>318</v>
      </c>
      <c r="AK94" s="41" t="s">
        <v>1392</v>
      </c>
      <c r="AL94" s="41" t="s">
        <v>2146</v>
      </c>
      <c r="AM94" s="41" t="s">
        <v>1393</v>
      </c>
      <c r="AN94" s="178" t="s">
        <v>1394</v>
      </c>
      <c r="AO94" s="41" t="s">
        <v>1394</v>
      </c>
      <c r="AP94" s="164">
        <v>0</v>
      </c>
      <c r="AQ94" s="153">
        <v>87689.73</v>
      </c>
      <c r="AR94" s="172">
        <v>129.37</v>
      </c>
      <c r="AS94" s="162">
        <v>1</v>
      </c>
      <c r="AT94" s="153">
        <v>113.444</v>
      </c>
      <c r="AU94" s="153">
        <v>113.444</v>
      </c>
      <c r="AV94" s="41"/>
      <c r="AW94" s="41"/>
      <c r="AX94" s="42" t="s">
        <v>141</v>
      </c>
      <c r="AY94" s="41" t="s">
        <v>36</v>
      </c>
      <c r="AZ94" s="164">
        <v>2.6411902400926999E-3</v>
      </c>
      <c r="BA94" s="164">
        <v>4.43928090365988E-5</v>
      </c>
    </row>
    <row r="95" spans="1:53">
      <c r="A95" s="41">
        <v>424</v>
      </c>
      <c r="B95" s="41">
        <v>7228</v>
      </c>
      <c r="C95" s="41" t="s">
        <v>2147</v>
      </c>
      <c r="D95" s="41" t="s">
        <v>134</v>
      </c>
      <c r="E95" s="41" t="s">
        <v>2297</v>
      </c>
      <c r="F95" s="41" t="s">
        <v>2298</v>
      </c>
      <c r="G95" s="41" t="s">
        <v>2138</v>
      </c>
      <c r="H95" s="41"/>
      <c r="I95" s="41" t="s">
        <v>30</v>
      </c>
      <c r="J95" s="41" t="s">
        <v>30</v>
      </c>
      <c r="K95" s="41" t="s">
        <v>151</v>
      </c>
      <c r="L95" s="41" t="s">
        <v>141</v>
      </c>
      <c r="M95" s="41" t="s">
        <v>318</v>
      </c>
      <c r="N95" s="41" t="s">
        <v>2299</v>
      </c>
      <c r="O95" s="178" t="s">
        <v>2242</v>
      </c>
      <c r="P95" s="202" t="s">
        <v>142</v>
      </c>
      <c r="Q95" s="21" t="s">
        <v>164</v>
      </c>
      <c r="R95" s="41" t="s">
        <v>2141</v>
      </c>
      <c r="S95" s="41" t="s">
        <v>34</v>
      </c>
      <c r="T95" s="153">
        <v>2.81</v>
      </c>
      <c r="U95" s="41" t="s">
        <v>2152</v>
      </c>
      <c r="V95" s="164">
        <v>5.5905999999999997E-2</v>
      </c>
      <c r="W95" s="41" t="s">
        <v>138</v>
      </c>
      <c r="X95" s="41" t="s">
        <v>2087</v>
      </c>
      <c r="Y95" s="185">
        <v>0</v>
      </c>
      <c r="Z95" s="164">
        <v>2.9100000000000001E-2</v>
      </c>
      <c r="AA95" s="41" t="s">
        <v>2153</v>
      </c>
      <c r="AB95" s="42" t="s">
        <v>146</v>
      </c>
      <c r="AC95" s="41" t="s">
        <v>1565</v>
      </c>
      <c r="AD95" s="153">
        <v>482000</v>
      </c>
      <c r="AE95" s="164">
        <v>0.73</v>
      </c>
      <c r="AF95" s="41" t="s">
        <v>1394</v>
      </c>
      <c r="AG95" s="41" t="s">
        <v>141</v>
      </c>
      <c r="AH95" s="41" t="s">
        <v>2144</v>
      </c>
      <c r="AI95" s="41" t="s">
        <v>2154</v>
      </c>
      <c r="AJ95" s="41" t="s">
        <v>318</v>
      </c>
      <c r="AK95" s="41" t="s">
        <v>1392</v>
      </c>
      <c r="AL95" s="41" t="s">
        <v>2146</v>
      </c>
      <c r="AM95" s="41" t="s">
        <v>1393</v>
      </c>
      <c r="AN95" s="178" t="s">
        <v>1394</v>
      </c>
      <c r="AO95" s="41" t="s">
        <v>1394</v>
      </c>
      <c r="AP95" s="164">
        <v>0</v>
      </c>
      <c r="AQ95" s="153">
        <v>64657.56</v>
      </c>
      <c r="AR95" s="172">
        <v>132.59</v>
      </c>
      <c r="AS95" s="162">
        <v>1</v>
      </c>
      <c r="AT95" s="153">
        <v>85.728999999999999</v>
      </c>
      <c r="AU95" s="153">
        <v>85.728999999999999</v>
      </c>
      <c r="AV95" s="41"/>
      <c r="AW95" s="41"/>
      <c r="AX95" s="42" t="s">
        <v>141</v>
      </c>
      <c r="AY95" s="41" t="s">
        <v>36</v>
      </c>
      <c r="AZ95" s="164">
        <v>1.9959398761204201E-3</v>
      </c>
      <c r="BA95" s="164">
        <v>3.3547518245424401E-5</v>
      </c>
    </row>
    <row r="96" spans="1:53">
      <c r="A96" s="41">
        <v>424</v>
      </c>
      <c r="B96" s="41">
        <v>7228</v>
      </c>
      <c r="C96" s="41" t="s">
        <v>2147</v>
      </c>
      <c r="D96" s="41" t="s">
        <v>134</v>
      </c>
      <c r="E96" s="41" t="s">
        <v>2300</v>
      </c>
      <c r="F96" s="41" t="s">
        <v>2301</v>
      </c>
      <c r="G96" s="41" t="s">
        <v>2138</v>
      </c>
      <c r="H96" s="41"/>
      <c r="I96" s="41" t="s">
        <v>30</v>
      </c>
      <c r="J96" s="41" t="s">
        <v>30</v>
      </c>
      <c r="K96" s="41" t="s">
        <v>151</v>
      </c>
      <c r="L96" s="41" t="s">
        <v>141</v>
      </c>
      <c r="M96" s="41" t="s">
        <v>318</v>
      </c>
      <c r="N96" s="41" t="s">
        <v>2302</v>
      </c>
      <c r="O96" s="178" t="s">
        <v>2303</v>
      </c>
      <c r="P96" s="202" t="s">
        <v>142</v>
      </c>
      <c r="Q96" s="21" t="s">
        <v>164</v>
      </c>
      <c r="R96" s="41" t="s">
        <v>2141</v>
      </c>
      <c r="S96" s="41" t="s">
        <v>34</v>
      </c>
      <c r="T96" s="153">
        <v>2.82</v>
      </c>
      <c r="U96" s="41" t="s">
        <v>2142</v>
      </c>
      <c r="V96" s="164">
        <v>5.5452000000000001E-2</v>
      </c>
      <c r="W96" s="41" t="s">
        <v>138</v>
      </c>
      <c r="X96" s="41" t="s">
        <v>2087</v>
      </c>
      <c r="Y96" s="185">
        <v>0</v>
      </c>
      <c r="Z96" s="164">
        <v>2.9100000000000001E-2</v>
      </c>
      <c r="AA96" s="41" t="s">
        <v>2153</v>
      </c>
      <c r="AB96" s="42" t="s">
        <v>146</v>
      </c>
      <c r="AC96" s="41" t="s">
        <v>1565</v>
      </c>
      <c r="AD96" s="153">
        <v>482000</v>
      </c>
      <c r="AE96" s="164">
        <v>0.73</v>
      </c>
      <c r="AF96" s="41" t="s">
        <v>1394</v>
      </c>
      <c r="AG96" s="41" t="s">
        <v>141</v>
      </c>
      <c r="AH96" s="41" t="s">
        <v>2144</v>
      </c>
      <c r="AI96" s="41" t="s">
        <v>2154</v>
      </c>
      <c r="AJ96" s="41" t="s">
        <v>318</v>
      </c>
      <c r="AK96" s="41" t="s">
        <v>1392</v>
      </c>
      <c r="AL96" s="41" t="s">
        <v>2146</v>
      </c>
      <c r="AM96" s="41" t="s">
        <v>1393</v>
      </c>
      <c r="AN96" s="178" t="s">
        <v>1394</v>
      </c>
      <c r="AO96" s="41" t="s">
        <v>1394</v>
      </c>
      <c r="AP96" s="164">
        <v>0</v>
      </c>
      <c r="AQ96" s="153">
        <v>28376.83</v>
      </c>
      <c r="AR96" s="172">
        <v>130.78</v>
      </c>
      <c r="AS96" s="162">
        <v>1</v>
      </c>
      <c r="AT96" s="153">
        <v>37.110999999999997</v>
      </c>
      <c r="AU96" s="153">
        <v>37.110999999999997</v>
      </c>
      <c r="AV96" s="41"/>
      <c r="AW96" s="41"/>
      <c r="AX96" s="42" t="s">
        <v>141</v>
      </c>
      <c r="AY96" s="41" t="s">
        <v>36</v>
      </c>
      <c r="AZ96" s="164">
        <v>8.6401759019420505E-4</v>
      </c>
      <c r="BA96" s="164">
        <v>1.45223041125608E-5</v>
      </c>
    </row>
    <row r="97" spans="1:53">
      <c r="A97" s="41">
        <v>424</v>
      </c>
      <c r="B97" s="41">
        <v>7228</v>
      </c>
      <c r="C97" s="41" t="s">
        <v>2147</v>
      </c>
      <c r="D97" s="41" t="s">
        <v>134</v>
      </c>
      <c r="E97" s="41" t="s">
        <v>2304</v>
      </c>
      <c r="F97" s="41" t="s">
        <v>2305</v>
      </c>
      <c r="G97" s="41" t="s">
        <v>2138</v>
      </c>
      <c r="H97" s="41"/>
      <c r="I97" s="41" t="s">
        <v>30</v>
      </c>
      <c r="J97" s="41" t="s">
        <v>30</v>
      </c>
      <c r="K97" s="41" t="s">
        <v>151</v>
      </c>
      <c r="L97" s="41" t="s">
        <v>141</v>
      </c>
      <c r="M97" s="41" t="s">
        <v>318</v>
      </c>
      <c r="N97" s="41" t="s">
        <v>2306</v>
      </c>
      <c r="O97" s="178" t="s">
        <v>2307</v>
      </c>
      <c r="P97" s="202" t="s">
        <v>142</v>
      </c>
      <c r="Q97" s="21" t="s">
        <v>164</v>
      </c>
      <c r="R97" s="41" t="s">
        <v>2141</v>
      </c>
      <c r="S97" s="41" t="s">
        <v>34</v>
      </c>
      <c r="T97" s="153">
        <v>2.82</v>
      </c>
      <c r="U97" s="41" t="s">
        <v>2142</v>
      </c>
      <c r="V97" s="164">
        <v>5.5452000000000001E-2</v>
      </c>
      <c r="W97" s="41" t="s">
        <v>138</v>
      </c>
      <c r="X97" s="41" t="s">
        <v>2087</v>
      </c>
      <c r="Y97" s="185">
        <v>0</v>
      </c>
      <c r="Z97" s="164">
        <v>2.9100000000000001E-2</v>
      </c>
      <c r="AA97" s="41" t="s">
        <v>2153</v>
      </c>
      <c r="AB97" s="42" t="s">
        <v>146</v>
      </c>
      <c r="AC97" s="41" t="s">
        <v>1565</v>
      </c>
      <c r="AD97" s="153">
        <v>482000</v>
      </c>
      <c r="AE97" s="164">
        <v>0.73</v>
      </c>
      <c r="AF97" s="41" t="s">
        <v>1394</v>
      </c>
      <c r="AG97" s="41" t="s">
        <v>141</v>
      </c>
      <c r="AH97" s="41" t="s">
        <v>2144</v>
      </c>
      <c r="AI97" s="41" t="s">
        <v>2154</v>
      </c>
      <c r="AJ97" s="41" t="s">
        <v>318</v>
      </c>
      <c r="AK97" s="41" t="s">
        <v>1392</v>
      </c>
      <c r="AL97" s="41" t="s">
        <v>2146</v>
      </c>
      <c r="AM97" s="41" t="s">
        <v>1393</v>
      </c>
      <c r="AN97" s="178" t="s">
        <v>1394</v>
      </c>
      <c r="AO97" s="41" t="s">
        <v>1394</v>
      </c>
      <c r="AP97" s="164">
        <v>0</v>
      </c>
      <c r="AQ97" s="153">
        <v>26490.27</v>
      </c>
      <c r="AR97" s="172">
        <v>131.15</v>
      </c>
      <c r="AS97" s="162">
        <v>1</v>
      </c>
      <c r="AT97" s="153">
        <v>34.741999999999997</v>
      </c>
      <c r="AU97" s="153">
        <v>34.741999999999997</v>
      </c>
      <c r="AV97" s="41"/>
      <c r="AW97" s="41"/>
      <c r="AX97" s="42" t="s">
        <v>141</v>
      </c>
      <c r="AY97" s="41" t="s">
        <v>36</v>
      </c>
      <c r="AZ97" s="164">
        <v>8.0885756655651802E-4</v>
      </c>
      <c r="BA97" s="164">
        <v>1.3595181045607399E-5</v>
      </c>
    </row>
    <row r="98" spans="1:53">
      <c r="A98" s="41">
        <v>424</v>
      </c>
      <c r="B98" s="41">
        <v>7228</v>
      </c>
      <c r="C98" s="41" t="s">
        <v>2147</v>
      </c>
      <c r="D98" s="41" t="s">
        <v>134</v>
      </c>
      <c r="E98" s="41" t="s">
        <v>2308</v>
      </c>
      <c r="F98" s="41" t="s">
        <v>2309</v>
      </c>
      <c r="G98" s="41" t="s">
        <v>2138</v>
      </c>
      <c r="H98" s="41"/>
      <c r="I98" s="41" t="s">
        <v>30</v>
      </c>
      <c r="J98" s="41" t="s">
        <v>30</v>
      </c>
      <c r="K98" s="41" t="s">
        <v>151</v>
      </c>
      <c r="L98" s="41" t="s">
        <v>141</v>
      </c>
      <c r="M98" s="41" t="s">
        <v>318</v>
      </c>
      <c r="N98" s="41" t="s">
        <v>2310</v>
      </c>
      <c r="O98" s="178" t="s">
        <v>2242</v>
      </c>
      <c r="P98" s="202" t="s">
        <v>142</v>
      </c>
      <c r="Q98" s="21" t="s">
        <v>164</v>
      </c>
      <c r="R98" s="41" t="s">
        <v>2141</v>
      </c>
      <c r="S98" s="41" t="s">
        <v>34</v>
      </c>
      <c r="T98" s="153">
        <v>2.82</v>
      </c>
      <c r="U98" s="41" t="s">
        <v>2152</v>
      </c>
      <c r="V98" s="164">
        <v>5.5452000000000001E-2</v>
      </c>
      <c r="W98" s="41" t="s">
        <v>138</v>
      </c>
      <c r="X98" s="41" t="s">
        <v>2087</v>
      </c>
      <c r="Y98" s="185">
        <v>0</v>
      </c>
      <c r="Z98" s="164">
        <v>2.9100000000000001E-2</v>
      </c>
      <c r="AA98" s="41" t="s">
        <v>2153</v>
      </c>
      <c r="AB98" s="42" t="s">
        <v>146</v>
      </c>
      <c r="AC98" s="41" t="s">
        <v>1565</v>
      </c>
      <c r="AD98" s="153">
        <v>482000</v>
      </c>
      <c r="AE98" s="164">
        <v>0.73</v>
      </c>
      <c r="AF98" s="41" t="s">
        <v>1394</v>
      </c>
      <c r="AG98" s="41" t="s">
        <v>141</v>
      </c>
      <c r="AH98" s="41" t="s">
        <v>2144</v>
      </c>
      <c r="AI98" s="41" t="s">
        <v>2154</v>
      </c>
      <c r="AJ98" s="41" t="s">
        <v>318</v>
      </c>
      <c r="AK98" s="41" t="s">
        <v>1392</v>
      </c>
      <c r="AL98" s="41" t="s">
        <v>2146</v>
      </c>
      <c r="AM98" s="41" t="s">
        <v>1393</v>
      </c>
      <c r="AN98" s="178" t="s">
        <v>1394</v>
      </c>
      <c r="AO98" s="41" t="s">
        <v>1394</v>
      </c>
      <c r="AP98" s="164">
        <v>0</v>
      </c>
      <c r="AQ98" s="153">
        <v>33912.14</v>
      </c>
      <c r="AR98" s="172">
        <v>129.66999999999999</v>
      </c>
      <c r="AS98" s="162">
        <v>1</v>
      </c>
      <c r="AT98" s="153">
        <v>43.973999999999997</v>
      </c>
      <c r="AU98" s="153">
        <v>43.973999999999997</v>
      </c>
      <c r="AV98" s="41"/>
      <c r="AW98" s="41"/>
      <c r="AX98" s="42" t="s">
        <v>141</v>
      </c>
      <c r="AY98" s="41" t="s">
        <v>36</v>
      </c>
      <c r="AZ98" s="164">
        <v>1.0237928214282799E-3</v>
      </c>
      <c r="BA98" s="164">
        <v>1.7207787051761702E-5</v>
      </c>
    </row>
    <row r="99" spans="1:53">
      <c r="A99" s="3">
        <v>424</v>
      </c>
      <c r="B99" s="3">
        <v>7228</v>
      </c>
      <c r="C99" s="3" t="s">
        <v>2311</v>
      </c>
      <c r="D99" s="3" t="s">
        <v>134</v>
      </c>
      <c r="E99" s="3" t="s">
        <v>2312</v>
      </c>
      <c r="F99" s="3" t="s">
        <v>2313</v>
      </c>
      <c r="G99" s="3" t="s">
        <v>2138</v>
      </c>
      <c r="I99" s="3" t="s">
        <v>30</v>
      </c>
      <c r="J99" s="3" t="s">
        <v>30</v>
      </c>
      <c r="K99" s="3" t="s">
        <v>1565</v>
      </c>
      <c r="L99" s="3" t="s">
        <v>141</v>
      </c>
      <c r="M99" s="3" t="s">
        <v>318</v>
      </c>
      <c r="N99" s="3" t="s">
        <v>2314</v>
      </c>
      <c r="O99" s="178" t="s">
        <v>2346</v>
      </c>
      <c r="P99" s="3" t="s">
        <v>142</v>
      </c>
      <c r="Q99" s="3" t="s">
        <v>143</v>
      </c>
      <c r="R99" s="3" t="s">
        <v>2141</v>
      </c>
      <c r="S99" s="3" t="s">
        <v>34</v>
      </c>
      <c r="T99" s="153">
        <v>1.43</v>
      </c>
      <c r="U99" s="3" t="s">
        <v>2142</v>
      </c>
      <c r="V99" s="164">
        <v>2.562E-2</v>
      </c>
      <c r="W99" s="3" t="s">
        <v>138</v>
      </c>
      <c r="X99" s="3" t="s">
        <v>2143</v>
      </c>
      <c r="Y99" s="185">
        <v>0</v>
      </c>
      <c r="Z99" s="164">
        <v>2.8199999999999999E-2</v>
      </c>
      <c r="AA99" s="3" t="s">
        <v>511</v>
      </c>
      <c r="AB99" s="5" t="s">
        <v>146</v>
      </c>
      <c r="AC99" s="3" t="s">
        <v>1565</v>
      </c>
      <c r="AD99" s="153">
        <v>60116.983060975603</v>
      </c>
      <c r="AE99" s="164">
        <v>0.82</v>
      </c>
      <c r="AF99" s="3" t="s">
        <v>1394</v>
      </c>
      <c r="AG99" s="3" t="s">
        <v>141</v>
      </c>
      <c r="AH99" s="3" t="s">
        <v>2144</v>
      </c>
      <c r="AI99" s="3" t="s">
        <v>2316</v>
      </c>
      <c r="AJ99" s="3" t="s">
        <v>318</v>
      </c>
      <c r="AK99" s="3" t="s">
        <v>1392</v>
      </c>
      <c r="AL99" s="3" t="s">
        <v>2146</v>
      </c>
      <c r="AM99" s="3" t="s">
        <v>1393</v>
      </c>
      <c r="AN99" s="178" t="s">
        <v>1394</v>
      </c>
      <c r="AO99" s="3" t="s">
        <v>1394</v>
      </c>
      <c r="AP99" s="164">
        <v>0</v>
      </c>
      <c r="AQ99" s="153">
        <v>1204489.08</v>
      </c>
      <c r="AR99" s="172">
        <v>118.73</v>
      </c>
      <c r="AS99" s="162">
        <v>1</v>
      </c>
      <c r="AT99" s="153">
        <v>1430.09</v>
      </c>
      <c r="AU99" s="153">
        <v>1430.09</v>
      </c>
      <c r="AX99" s="5" t="s">
        <v>141</v>
      </c>
      <c r="AY99" s="3" t="s">
        <v>36</v>
      </c>
      <c r="AZ99" s="164">
        <v>3.3295129435064998E-2</v>
      </c>
      <c r="BA99" s="164">
        <v>5.5962054547339403E-4</v>
      </c>
    </row>
    <row r="100" spans="1:53">
      <c r="A100" s="3">
        <v>424</v>
      </c>
      <c r="B100" s="3">
        <v>7228</v>
      </c>
      <c r="C100" s="3" t="s">
        <v>2317</v>
      </c>
      <c r="D100" s="3" t="s">
        <v>134</v>
      </c>
      <c r="E100" s="3" t="s">
        <v>2318</v>
      </c>
      <c r="F100" s="3" t="s">
        <v>2319</v>
      </c>
      <c r="G100" s="3" t="s">
        <v>2138</v>
      </c>
      <c r="H100" s="3" t="s">
        <v>2320</v>
      </c>
      <c r="I100" s="3" t="s">
        <v>30</v>
      </c>
      <c r="J100" s="3" t="s">
        <v>30</v>
      </c>
      <c r="K100" s="3" t="s">
        <v>465</v>
      </c>
      <c r="L100" s="3" t="s">
        <v>141</v>
      </c>
      <c r="M100" s="3" t="s">
        <v>318</v>
      </c>
      <c r="N100" s="3" t="s">
        <v>2321</v>
      </c>
      <c r="O100" s="178" t="s">
        <v>2322</v>
      </c>
      <c r="P100" s="147" t="s">
        <v>3307</v>
      </c>
      <c r="Q100" s="147" t="s">
        <v>3306</v>
      </c>
      <c r="R100" s="3" t="s">
        <v>2141</v>
      </c>
      <c r="S100" s="3" t="s">
        <v>34</v>
      </c>
      <c r="T100" s="153">
        <v>0.08</v>
      </c>
      <c r="U100" s="3" t="s">
        <v>2142</v>
      </c>
      <c r="V100" s="164">
        <v>8.6499999999999994E-2</v>
      </c>
      <c r="W100" s="3" t="s">
        <v>2323</v>
      </c>
      <c r="X100" s="3" t="s">
        <v>2087</v>
      </c>
      <c r="Y100" s="185">
        <v>0</v>
      </c>
      <c r="Z100" s="164">
        <v>8.0399999999999999E-2</v>
      </c>
      <c r="AA100" s="3" t="s">
        <v>102</v>
      </c>
      <c r="AB100" s="5" t="s">
        <v>146</v>
      </c>
      <c r="AC100" s="3" t="s">
        <v>2324</v>
      </c>
      <c r="AD100" s="153">
        <v>782791</v>
      </c>
      <c r="AE100" s="164">
        <v>0.43</v>
      </c>
      <c r="AF100" s="3" t="s">
        <v>1394</v>
      </c>
      <c r="AG100" s="3" t="s">
        <v>318</v>
      </c>
      <c r="AH100" s="3" t="s">
        <v>2325</v>
      </c>
      <c r="AI100" s="3" t="s">
        <v>2326</v>
      </c>
      <c r="AJ100" s="3" t="s">
        <v>318</v>
      </c>
      <c r="AK100" s="3" t="s">
        <v>1392</v>
      </c>
      <c r="AL100" s="3" t="s">
        <v>2146</v>
      </c>
      <c r="AM100" s="3" t="s">
        <v>1393</v>
      </c>
      <c r="AN100" s="178" t="s">
        <v>1394</v>
      </c>
      <c r="AO100" s="3" t="s">
        <v>1394</v>
      </c>
      <c r="AP100" s="164">
        <v>0</v>
      </c>
      <c r="AQ100" s="153">
        <v>4025000</v>
      </c>
      <c r="AR100" s="172">
        <v>106.22</v>
      </c>
      <c r="AS100" s="162">
        <v>1</v>
      </c>
      <c r="AT100" s="153">
        <v>4275.3549999999996</v>
      </c>
      <c r="AU100" s="153">
        <v>4275.3549999999996</v>
      </c>
      <c r="AX100" s="5" t="s">
        <v>141</v>
      </c>
      <c r="AY100" s="3" t="s">
        <v>36</v>
      </c>
      <c r="AZ100" s="164">
        <v>9.9538147657974793E-2</v>
      </c>
      <c r="BA100" s="164">
        <v>1.67302525723485E-3</v>
      </c>
    </row>
    <row r="101" spans="1:53">
      <c r="A101" s="3">
        <v>424</v>
      </c>
      <c r="B101" s="3">
        <v>7228</v>
      </c>
      <c r="C101" s="3" t="s">
        <v>1396</v>
      </c>
      <c r="D101" s="3" t="s">
        <v>134</v>
      </c>
      <c r="E101" s="3" t="s">
        <v>2327</v>
      </c>
      <c r="F101" s="3" t="s">
        <v>2328</v>
      </c>
      <c r="G101" s="3" t="s">
        <v>2138</v>
      </c>
      <c r="I101" s="3" t="s">
        <v>30</v>
      </c>
      <c r="J101" s="3" t="s">
        <v>30</v>
      </c>
      <c r="K101" s="3" t="s">
        <v>447</v>
      </c>
      <c r="L101" s="3" t="s">
        <v>141</v>
      </c>
      <c r="M101" s="3" t="s">
        <v>318</v>
      </c>
      <c r="N101" s="3" t="s">
        <v>2329</v>
      </c>
      <c r="O101" s="178" t="s">
        <v>2330</v>
      </c>
      <c r="P101" s="3" t="s">
        <v>481</v>
      </c>
      <c r="Q101" s="3" t="s">
        <v>481</v>
      </c>
      <c r="R101" s="3" t="s">
        <v>2141</v>
      </c>
      <c r="S101" s="3" t="s">
        <v>34</v>
      </c>
      <c r="T101" s="153">
        <v>0.17</v>
      </c>
      <c r="U101" s="3" t="s">
        <v>2142</v>
      </c>
      <c r="V101" s="164">
        <v>2.8000000000000001E-2</v>
      </c>
      <c r="W101" s="3" t="s">
        <v>2323</v>
      </c>
      <c r="X101" s="3" t="s">
        <v>2331</v>
      </c>
      <c r="Y101" s="185">
        <v>2.8000000000000001E-2</v>
      </c>
      <c r="Z101" s="164">
        <v>5.1299999999999998E-2</v>
      </c>
      <c r="AA101" s="3" t="s">
        <v>2332</v>
      </c>
      <c r="AB101" s="5" t="s">
        <v>146</v>
      </c>
      <c r="AE101" s="164">
        <v>0</v>
      </c>
      <c r="AG101" s="3" t="s">
        <v>141</v>
      </c>
      <c r="AJ101" s="3" t="s">
        <v>141</v>
      </c>
      <c r="AK101" s="3" t="s">
        <v>498</v>
      </c>
      <c r="AN101" s="178" t="s">
        <v>1394</v>
      </c>
      <c r="AP101" s="164">
        <v>0</v>
      </c>
      <c r="AQ101" s="153">
        <v>2250000</v>
      </c>
      <c r="AR101" s="172">
        <v>100.22</v>
      </c>
      <c r="AS101" s="162">
        <v>1</v>
      </c>
      <c r="AT101" s="153">
        <v>2254.9499999999998</v>
      </c>
      <c r="AU101" s="153">
        <v>2254.9499999999998</v>
      </c>
      <c r="AX101" s="5" t="s">
        <v>141</v>
      </c>
      <c r="AY101" s="3" t="s">
        <v>36</v>
      </c>
      <c r="AZ101" s="164">
        <v>5.2499393865854498E-2</v>
      </c>
      <c r="BA101" s="164">
        <v>8.8240352059693798E-4</v>
      </c>
    </row>
    <row r="102" spans="1:53">
      <c r="A102" s="3">
        <v>424</v>
      </c>
      <c r="B102" s="3">
        <v>7228</v>
      </c>
      <c r="C102" s="3" t="s">
        <v>2333</v>
      </c>
      <c r="D102" s="3" t="s">
        <v>134</v>
      </c>
      <c r="E102" s="3" t="s">
        <v>2334</v>
      </c>
      <c r="F102" s="3" t="s">
        <v>2335</v>
      </c>
      <c r="G102" s="3" t="s">
        <v>2138</v>
      </c>
      <c r="I102" s="3" t="s">
        <v>30</v>
      </c>
      <c r="J102" s="3" t="s">
        <v>30</v>
      </c>
      <c r="K102" s="3" t="s">
        <v>151</v>
      </c>
      <c r="L102" s="3" t="s">
        <v>141</v>
      </c>
      <c r="M102" s="3" t="s">
        <v>318</v>
      </c>
      <c r="N102" s="3" t="s">
        <v>2336</v>
      </c>
      <c r="O102" s="178" t="s">
        <v>2140</v>
      </c>
      <c r="P102" s="3" t="s">
        <v>163</v>
      </c>
      <c r="Q102" s="3" t="s">
        <v>164</v>
      </c>
      <c r="R102" s="3" t="s">
        <v>2141</v>
      </c>
      <c r="S102" s="3" t="s">
        <v>34</v>
      </c>
      <c r="T102" s="153">
        <v>4.3499999999999996</v>
      </c>
      <c r="U102" s="3" t="s">
        <v>2142</v>
      </c>
      <c r="V102" s="164">
        <v>4.55E-4</v>
      </c>
      <c r="W102" s="3" t="s">
        <v>138</v>
      </c>
      <c r="X102" s="3" t="s">
        <v>2143</v>
      </c>
      <c r="Y102" s="185">
        <v>0</v>
      </c>
      <c r="Z102" s="164">
        <v>4.2099999999999999E-2</v>
      </c>
      <c r="AA102" s="3" t="s">
        <v>2337</v>
      </c>
      <c r="AB102" s="5" t="s">
        <v>146</v>
      </c>
      <c r="AC102" s="3" t="s">
        <v>1565</v>
      </c>
      <c r="AD102" s="153">
        <v>104760.857253165</v>
      </c>
      <c r="AE102" s="164">
        <v>0.79</v>
      </c>
      <c r="AF102" s="3" t="s">
        <v>1394</v>
      </c>
      <c r="AG102" s="3" t="s">
        <v>318</v>
      </c>
      <c r="AH102" s="3" t="s">
        <v>2144</v>
      </c>
      <c r="AI102" s="3" t="s">
        <v>2145</v>
      </c>
      <c r="AJ102" s="3" t="s">
        <v>318</v>
      </c>
      <c r="AK102" s="3" t="s">
        <v>1392</v>
      </c>
      <c r="AL102" s="3" t="s">
        <v>2146</v>
      </c>
      <c r="AM102" s="3" t="s">
        <v>1393</v>
      </c>
      <c r="AN102" s="178" t="s">
        <v>1394</v>
      </c>
      <c r="AO102" s="3" t="s">
        <v>1394</v>
      </c>
      <c r="AP102" s="164">
        <v>0</v>
      </c>
      <c r="AQ102" s="153">
        <v>3303161.9</v>
      </c>
      <c r="AR102" s="172">
        <v>110.77</v>
      </c>
      <c r="AS102" s="162">
        <v>1</v>
      </c>
      <c r="AT102" s="153">
        <v>3658.9119999999998</v>
      </c>
      <c r="AU102" s="153">
        <v>3658.9119999999998</v>
      </c>
      <c r="AX102" s="5" t="s">
        <v>141</v>
      </c>
      <c r="AY102" s="3" t="s">
        <v>36</v>
      </c>
      <c r="AZ102" s="164">
        <v>8.5186228134243203E-2</v>
      </c>
      <c r="BA102" s="164">
        <v>1.4317999138066201E-3</v>
      </c>
    </row>
    <row r="103" spans="1:53">
      <c r="A103" s="3">
        <v>424</v>
      </c>
      <c r="B103" s="3">
        <v>7228</v>
      </c>
      <c r="C103" s="3" t="s">
        <v>2338</v>
      </c>
      <c r="D103" s="3" t="s">
        <v>33</v>
      </c>
      <c r="E103" s="3" t="s">
        <v>2347</v>
      </c>
      <c r="F103" s="3" t="s">
        <v>2348</v>
      </c>
      <c r="G103" s="3" t="s">
        <v>2341</v>
      </c>
      <c r="I103" s="3" t="s">
        <v>30</v>
      </c>
      <c r="J103" s="3" t="s">
        <v>30</v>
      </c>
      <c r="K103" s="3" t="s">
        <v>378</v>
      </c>
      <c r="L103" s="3" t="s">
        <v>141</v>
      </c>
      <c r="M103" s="3" t="s">
        <v>141</v>
      </c>
      <c r="O103" s="178" t="s">
        <v>2342</v>
      </c>
      <c r="P103" s="3" t="s">
        <v>514</v>
      </c>
      <c r="Q103" s="3" t="s">
        <v>33</v>
      </c>
      <c r="R103" s="3" t="s">
        <v>2141</v>
      </c>
      <c r="S103" s="3" t="s">
        <v>34</v>
      </c>
      <c r="T103" s="153">
        <v>2.35</v>
      </c>
      <c r="U103" s="3" t="s">
        <v>498</v>
      </c>
      <c r="V103" s="164">
        <v>5.5058599999999999E-2</v>
      </c>
      <c r="W103" s="3" t="s">
        <v>2323</v>
      </c>
      <c r="X103" s="3" t="s">
        <v>2331</v>
      </c>
      <c r="Y103" s="185">
        <v>0</v>
      </c>
      <c r="Z103" s="164">
        <v>5.0299999999999997E-2</v>
      </c>
      <c r="AB103" s="5" t="s">
        <v>146</v>
      </c>
      <c r="AE103" s="164">
        <v>0</v>
      </c>
      <c r="AG103" s="3" t="s">
        <v>141</v>
      </c>
      <c r="AJ103" s="3" t="s">
        <v>141</v>
      </c>
      <c r="AK103" s="3" t="s">
        <v>498</v>
      </c>
      <c r="AN103" s="178" t="s">
        <v>1394</v>
      </c>
      <c r="AP103" s="164">
        <v>0</v>
      </c>
      <c r="AQ103" s="153">
        <v>27122455.649999999</v>
      </c>
      <c r="AR103" s="172">
        <v>101.623</v>
      </c>
      <c r="AS103" s="162">
        <v>1</v>
      </c>
      <c r="AT103" s="153">
        <v>27562.546999999999</v>
      </c>
      <c r="AU103" s="153">
        <v>27562.546999999999</v>
      </c>
      <c r="AX103" s="5" t="s">
        <v>141</v>
      </c>
      <c r="AY103" s="3" t="s">
        <v>36</v>
      </c>
      <c r="AZ103" s="164">
        <v>0.64170692392252904</v>
      </c>
      <c r="BA103" s="164">
        <v>1.07857330754623E-2</v>
      </c>
    </row>
    <row r="104" spans="1:53">
      <c r="A104" s="3">
        <v>424</v>
      </c>
      <c r="B104" s="3">
        <v>7229</v>
      </c>
      <c r="C104" s="3" t="s">
        <v>2135</v>
      </c>
      <c r="D104" s="3" t="s">
        <v>134</v>
      </c>
      <c r="E104" s="3" t="s">
        <v>2136</v>
      </c>
      <c r="F104" s="3" t="s">
        <v>2137</v>
      </c>
      <c r="G104" s="3" t="s">
        <v>2138</v>
      </c>
      <c r="I104" s="3" t="s">
        <v>30</v>
      </c>
      <c r="J104" s="3" t="s">
        <v>30</v>
      </c>
      <c r="K104" s="3" t="s">
        <v>151</v>
      </c>
      <c r="L104" s="3" t="s">
        <v>141</v>
      </c>
      <c r="M104" s="3" t="s">
        <v>318</v>
      </c>
      <c r="N104" s="3" t="s">
        <v>2139</v>
      </c>
      <c r="O104" s="178" t="s">
        <v>2140</v>
      </c>
      <c r="P104" s="41" t="s">
        <v>163</v>
      </c>
      <c r="Q104" s="3" t="s">
        <v>164</v>
      </c>
      <c r="R104" s="3" t="s">
        <v>2141</v>
      </c>
      <c r="S104" s="3" t="s">
        <v>34</v>
      </c>
      <c r="T104" s="153">
        <v>4.2300000000000004</v>
      </c>
      <c r="U104" s="3" t="s">
        <v>2142</v>
      </c>
      <c r="V104" s="164">
        <v>4.4999999999999998E-2</v>
      </c>
      <c r="W104" s="3" t="s">
        <v>138</v>
      </c>
      <c r="X104" s="3" t="s">
        <v>2143</v>
      </c>
      <c r="Y104" s="185">
        <v>4.4999999999999998E-2</v>
      </c>
      <c r="Z104" s="164">
        <v>4.2000000000000003E-2</v>
      </c>
      <c r="AA104" s="3" t="s">
        <v>330</v>
      </c>
      <c r="AB104" s="5" t="s">
        <v>146</v>
      </c>
      <c r="AC104" s="3" t="s">
        <v>1565</v>
      </c>
      <c r="AD104" s="153">
        <v>51249.677223684201</v>
      </c>
      <c r="AE104" s="164">
        <v>0.76</v>
      </c>
      <c r="AF104" s="3" t="s">
        <v>1394</v>
      </c>
      <c r="AG104" s="3" t="s">
        <v>318</v>
      </c>
      <c r="AH104" s="3" t="s">
        <v>2144</v>
      </c>
      <c r="AI104" s="3" t="s">
        <v>2145</v>
      </c>
      <c r="AJ104" s="3" t="s">
        <v>318</v>
      </c>
      <c r="AK104" s="3" t="s">
        <v>1392</v>
      </c>
      <c r="AL104" s="3" t="s">
        <v>2146</v>
      </c>
      <c r="AM104" s="3" t="s">
        <v>1393</v>
      </c>
      <c r="AN104" s="178" t="s">
        <v>1394</v>
      </c>
      <c r="AO104" s="3" t="s">
        <v>1394</v>
      </c>
      <c r="AP104" s="164">
        <v>0</v>
      </c>
      <c r="AQ104" s="153">
        <v>111482.58</v>
      </c>
      <c r="AR104" s="172">
        <v>110.52</v>
      </c>
      <c r="AS104" s="162">
        <v>1</v>
      </c>
      <c r="AT104" s="153">
        <v>123.211</v>
      </c>
      <c r="AU104" s="153">
        <v>123.211</v>
      </c>
      <c r="AX104" s="5" t="s">
        <v>141</v>
      </c>
      <c r="AY104" s="3" t="s">
        <v>36</v>
      </c>
      <c r="AZ104" s="164">
        <v>0.116409852206301</v>
      </c>
      <c r="BA104" s="164">
        <v>8.1202926909524904E-4</v>
      </c>
    </row>
    <row r="105" spans="1:53">
      <c r="A105" s="41">
        <v>424</v>
      </c>
      <c r="B105" s="41">
        <v>7229</v>
      </c>
      <c r="C105" s="41" t="s">
        <v>2147</v>
      </c>
      <c r="D105" s="41" t="s">
        <v>134</v>
      </c>
      <c r="E105" s="41" t="s">
        <v>2148</v>
      </c>
      <c r="F105" s="41" t="s">
        <v>2149</v>
      </c>
      <c r="G105" s="41" t="s">
        <v>2138</v>
      </c>
      <c r="H105" s="41"/>
      <c r="I105" s="41" t="s">
        <v>30</v>
      </c>
      <c r="J105" s="41" t="s">
        <v>30</v>
      </c>
      <c r="K105" s="41" t="s">
        <v>151</v>
      </c>
      <c r="L105" s="41" t="s">
        <v>141</v>
      </c>
      <c r="M105" s="41" t="s">
        <v>318</v>
      </c>
      <c r="N105" s="41" t="s">
        <v>2150</v>
      </c>
      <c r="O105" s="178" t="s">
        <v>2151</v>
      </c>
      <c r="P105" s="202" t="s">
        <v>142</v>
      </c>
      <c r="Q105" s="21" t="s">
        <v>164</v>
      </c>
      <c r="R105" s="41" t="s">
        <v>2141</v>
      </c>
      <c r="S105" s="41" t="s">
        <v>34</v>
      </c>
      <c r="T105" s="153">
        <v>2.81</v>
      </c>
      <c r="U105" s="41" t="s">
        <v>2152</v>
      </c>
      <c r="V105" s="164">
        <v>5.5452000000000001E-2</v>
      </c>
      <c r="W105" s="41" t="s">
        <v>138</v>
      </c>
      <c r="X105" s="41" t="s">
        <v>2087</v>
      </c>
      <c r="Y105" s="185">
        <v>0</v>
      </c>
      <c r="Z105" s="164">
        <v>3.0599999999999999E-2</v>
      </c>
      <c r="AA105" s="41" t="s">
        <v>2153</v>
      </c>
      <c r="AB105" s="42" t="s">
        <v>146</v>
      </c>
      <c r="AC105" s="41" t="s">
        <v>1565</v>
      </c>
      <c r="AD105" s="153">
        <v>482000</v>
      </c>
      <c r="AE105" s="164">
        <v>0.73</v>
      </c>
      <c r="AF105" s="41" t="s">
        <v>1394</v>
      </c>
      <c r="AG105" s="41" t="s">
        <v>141</v>
      </c>
      <c r="AH105" s="41" t="s">
        <v>2144</v>
      </c>
      <c r="AI105" s="41" t="s">
        <v>2154</v>
      </c>
      <c r="AJ105" s="41" t="s">
        <v>318</v>
      </c>
      <c r="AK105" s="41" t="s">
        <v>1392</v>
      </c>
      <c r="AL105" s="41" t="s">
        <v>2146</v>
      </c>
      <c r="AM105" s="41" t="s">
        <v>1393</v>
      </c>
      <c r="AN105" s="178" t="s">
        <v>1394</v>
      </c>
      <c r="AO105" s="41" t="s">
        <v>1394</v>
      </c>
      <c r="AP105" s="164">
        <v>0</v>
      </c>
      <c r="AQ105" s="153">
        <v>3699.23</v>
      </c>
      <c r="AR105" s="172">
        <v>127.7</v>
      </c>
      <c r="AS105" s="162">
        <v>1</v>
      </c>
      <c r="AT105" s="153">
        <v>4.7240000000000002</v>
      </c>
      <c r="AU105" s="153">
        <v>4.7240000000000002</v>
      </c>
      <c r="AV105" s="41"/>
      <c r="AW105" s="41"/>
      <c r="AX105" s="42" t="s">
        <v>141</v>
      </c>
      <c r="AY105" s="41" t="s">
        <v>36</v>
      </c>
      <c r="AZ105" s="164">
        <v>4.4631767131858898E-3</v>
      </c>
      <c r="BA105" s="164">
        <v>3.1133362473722798E-5</v>
      </c>
    </row>
    <row r="106" spans="1:53">
      <c r="A106" s="41">
        <v>424</v>
      </c>
      <c r="B106" s="41">
        <v>7229</v>
      </c>
      <c r="C106" s="41" t="s">
        <v>2147</v>
      </c>
      <c r="D106" s="41" t="s">
        <v>134</v>
      </c>
      <c r="E106" s="41" t="s">
        <v>2155</v>
      </c>
      <c r="F106" s="41" t="s">
        <v>2156</v>
      </c>
      <c r="G106" s="41" t="s">
        <v>2138</v>
      </c>
      <c r="H106" s="41"/>
      <c r="I106" s="41" t="s">
        <v>30</v>
      </c>
      <c r="J106" s="41" t="s">
        <v>30</v>
      </c>
      <c r="K106" s="41" t="s">
        <v>151</v>
      </c>
      <c r="L106" s="41" t="s">
        <v>141</v>
      </c>
      <c r="M106" s="41" t="s">
        <v>318</v>
      </c>
      <c r="N106" s="41" t="s">
        <v>2157</v>
      </c>
      <c r="O106" s="178" t="s">
        <v>2151</v>
      </c>
      <c r="P106" s="202" t="s">
        <v>142</v>
      </c>
      <c r="Q106" s="21" t="s">
        <v>164</v>
      </c>
      <c r="R106" s="41" t="s">
        <v>2141</v>
      </c>
      <c r="S106" s="41" t="s">
        <v>34</v>
      </c>
      <c r="T106" s="153">
        <v>2.82</v>
      </c>
      <c r="U106" s="41" t="s">
        <v>2142</v>
      </c>
      <c r="V106" s="164">
        <v>5.5452000000000001E-2</v>
      </c>
      <c r="W106" s="41" t="s">
        <v>138</v>
      </c>
      <c r="X106" s="41" t="s">
        <v>2087</v>
      </c>
      <c r="Y106" s="185">
        <v>0</v>
      </c>
      <c r="Z106" s="164">
        <v>2.9100000000000001E-2</v>
      </c>
      <c r="AA106" s="41" t="s">
        <v>2153</v>
      </c>
      <c r="AB106" s="42" t="s">
        <v>146</v>
      </c>
      <c r="AC106" s="41" t="s">
        <v>1565</v>
      </c>
      <c r="AD106" s="153">
        <v>482000</v>
      </c>
      <c r="AE106" s="164">
        <v>0.73</v>
      </c>
      <c r="AF106" s="41" t="s">
        <v>1394</v>
      </c>
      <c r="AG106" s="41" t="s">
        <v>141</v>
      </c>
      <c r="AH106" s="41" t="s">
        <v>2144</v>
      </c>
      <c r="AI106" s="41" t="s">
        <v>2154</v>
      </c>
      <c r="AJ106" s="41" t="s">
        <v>318</v>
      </c>
      <c r="AK106" s="41" t="s">
        <v>1392</v>
      </c>
      <c r="AL106" s="41" t="s">
        <v>2146</v>
      </c>
      <c r="AM106" s="41" t="s">
        <v>1393</v>
      </c>
      <c r="AN106" s="178" t="s">
        <v>1394</v>
      </c>
      <c r="AO106" s="41" t="s">
        <v>1394</v>
      </c>
      <c r="AP106" s="164">
        <v>0</v>
      </c>
      <c r="AQ106" s="153">
        <v>5328.79</v>
      </c>
      <c r="AR106" s="172">
        <v>130.78</v>
      </c>
      <c r="AS106" s="162">
        <v>1</v>
      </c>
      <c r="AT106" s="153">
        <v>6.9690000000000003</v>
      </c>
      <c r="AU106" s="153">
        <v>6.9690000000000003</v>
      </c>
      <c r="AV106" s="41"/>
      <c r="AW106" s="41"/>
      <c r="AX106" s="42" t="s">
        <v>141</v>
      </c>
      <c r="AY106" s="41" t="s">
        <v>36</v>
      </c>
      <c r="AZ106" s="164">
        <v>6.5843330361993998E-3</v>
      </c>
      <c r="BA106" s="164">
        <v>4.5929713349256198E-5</v>
      </c>
    </row>
    <row r="107" spans="1:53">
      <c r="A107" s="41">
        <v>424</v>
      </c>
      <c r="B107" s="41">
        <v>7229</v>
      </c>
      <c r="C107" s="41" t="s">
        <v>2147</v>
      </c>
      <c r="D107" s="41" t="s">
        <v>134</v>
      </c>
      <c r="E107" s="41" t="s">
        <v>2158</v>
      </c>
      <c r="F107" s="41" t="s">
        <v>2159</v>
      </c>
      <c r="G107" s="41" t="s">
        <v>2138</v>
      </c>
      <c r="H107" s="41"/>
      <c r="I107" s="41" t="s">
        <v>30</v>
      </c>
      <c r="J107" s="41" t="s">
        <v>30</v>
      </c>
      <c r="K107" s="41" t="s">
        <v>151</v>
      </c>
      <c r="L107" s="41" t="s">
        <v>141</v>
      </c>
      <c r="M107" s="41" t="s">
        <v>318</v>
      </c>
      <c r="N107" s="41" t="s">
        <v>2157</v>
      </c>
      <c r="O107" s="178" t="s">
        <v>2151</v>
      </c>
      <c r="P107" s="202" t="s">
        <v>142</v>
      </c>
      <c r="Q107" s="21" t="s">
        <v>164</v>
      </c>
      <c r="R107" s="41" t="s">
        <v>2141</v>
      </c>
      <c r="S107" s="41" t="s">
        <v>34</v>
      </c>
      <c r="T107" s="153">
        <v>2.82</v>
      </c>
      <c r="U107" s="41" t="s">
        <v>2142</v>
      </c>
      <c r="V107" s="164">
        <v>5.5452000000000001E-2</v>
      </c>
      <c r="W107" s="41" t="s">
        <v>138</v>
      </c>
      <c r="X107" s="41" t="s">
        <v>2087</v>
      </c>
      <c r="Y107" s="185">
        <v>0</v>
      </c>
      <c r="Z107" s="164">
        <v>2.9100000000000001E-2</v>
      </c>
      <c r="AA107" s="41" t="s">
        <v>2153</v>
      </c>
      <c r="AB107" s="42" t="s">
        <v>146</v>
      </c>
      <c r="AC107" s="41" t="s">
        <v>1565</v>
      </c>
      <c r="AD107" s="153">
        <v>482000</v>
      </c>
      <c r="AE107" s="164">
        <v>0.73</v>
      </c>
      <c r="AF107" s="41" t="s">
        <v>1394</v>
      </c>
      <c r="AG107" s="41" t="s">
        <v>141</v>
      </c>
      <c r="AH107" s="41" t="s">
        <v>2144</v>
      </c>
      <c r="AI107" s="41" t="s">
        <v>2154</v>
      </c>
      <c r="AJ107" s="41" t="s">
        <v>318</v>
      </c>
      <c r="AK107" s="41" t="s">
        <v>1392</v>
      </c>
      <c r="AL107" s="41" t="s">
        <v>2146</v>
      </c>
      <c r="AM107" s="41" t="s">
        <v>1393</v>
      </c>
      <c r="AN107" s="178" t="s">
        <v>1394</v>
      </c>
      <c r="AO107" s="41" t="s">
        <v>1394</v>
      </c>
      <c r="AP107" s="164">
        <v>0</v>
      </c>
      <c r="AQ107" s="153">
        <v>587.13</v>
      </c>
      <c r="AR107" s="172">
        <v>130.78</v>
      </c>
      <c r="AS107" s="162">
        <v>1</v>
      </c>
      <c r="AT107" s="153">
        <v>0.76800000000000002</v>
      </c>
      <c r="AU107" s="153">
        <v>0.76800000000000002</v>
      </c>
      <c r="AV107" s="41"/>
      <c r="AW107" s="41"/>
      <c r="AX107" s="42" t="s">
        <v>141</v>
      </c>
      <c r="AY107" s="41" t="s">
        <v>36</v>
      </c>
      <c r="AZ107" s="164">
        <v>7.2546665482102902E-4</v>
      </c>
      <c r="BA107" s="164">
        <v>5.0605695849806E-6</v>
      </c>
    </row>
    <row r="108" spans="1:53">
      <c r="A108" s="41">
        <v>424</v>
      </c>
      <c r="B108" s="41">
        <v>7229</v>
      </c>
      <c r="C108" s="41" t="s">
        <v>2147</v>
      </c>
      <c r="D108" s="41" t="s">
        <v>134</v>
      </c>
      <c r="E108" s="41" t="s">
        <v>2160</v>
      </c>
      <c r="F108" s="41" t="s">
        <v>2161</v>
      </c>
      <c r="G108" s="41" t="s">
        <v>2138</v>
      </c>
      <c r="H108" s="41"/>
      <c r="I108" s="41" t="s">
        <v>30</v>
      </c>
      <c r="J108" s="41" t="s">
        <v>30</v>
      </c>
      <c r="K108" s="41" t="s">
        <v>151</v>
      </c>
      <c r="L108" s="41" t="s">
        <v>141</v>
      </c>
      <c r="M108" s="41" t="s">
        <v>318</v>
      </c>
      <c r="N108" s="41" t="s">
        <v>2162</v>
      </c>
      <c r="O108" s="178" t="s">
        <v>2163</v>
      </c>
      <c r="P108" s="202" t="s">
        <v>142</v>
      </c>
      <c r="Q108" s="21" t="s">
        <v>164</v>
      </c>
      <c r="R108" s="41" t="s">
        <v>2141</v>
      </c>
      <c r="S108" s="41" t="s">
        <v>34</v>
      </c>
      <c r="T108" s="153">
        <v>2.82</v>
      </c>
      <c r="U108" s="41" t="s">
        <v>2152</v>
      </c>
      <c r="V108" s="164">
        <v>5.5452000000000001E-2</v>
      </c>
      <c r="W108" s="41" t="s">
        <v>138</v>
      </c>
      <c r="X108" s="41" t="s">
        <v>2087</v>
      </c>
      <c r="Y108" s="185">
        <v>0</v>
      </c>
      <c r="Z108" s="164">
        <v>2.9100000000000001E-2</v>
      </c>
      <c r="AA108" s="41" t="s">
        <v>2153</v>
      </c>
      <c r="AB108" s="42" t="s">
        <v>146</v>
      </c>
      <c r="AC108" s="41" t="s">
        <v>1565</v>
      </c>
      <c r="AD108" s="153">
        <v>482000</v>
      </c>
      <c r="AE108" s="164">
        <v>0.73</v>
      </c>
      <c r="AF108" s="41" t="s">
        <v>1394</v>
      </c>
      <c r="AG108" s="41" t="s">
        <v>141</v>
      </c>
      <c r="AH108" s="41" t="s">
        <v>2144</v>
      </c>
      <c r="AI108" s="41" t="s">
        <v>2154</v>
      </c>
      <c r="AJ108" s="41" t="s">
        <v>318</v>
      </c>
      <c r="AK108" s="41" t="s">
        <v>1392</v>
      </c>
      <c r="AL108" s="41" t="s">
        <v>2146</v>
      </c>
      <c r="AM108" s="41" t="s">
        <v>1393</v>
      </c>
      <c r="AN108" s="178" t="s">
        <v>1394</v>
      </c>
      <c r="AO108" s="41" t="s">
        <v>1394</v>
      </c>
      <c r="AP108" s="164">
        <v>0</v>
      </c>
      <c r="AQ108" s="153">
        <v>7337.58</v>
      </c>
      <c r="AR108" s="172">
        <v>132.41999999999999</v>
      </c>
      <c r="AS108" s="162">
        <v>1</v>
      </c>
      <c r="AT108" s="153">
        <v>9.7159999999999993</v>
      </c>
      <c r="AU108" s="153">
        <v>9.7159999999999993</v>
      </c>
      <c r="AV108" s="41"/>
      <c r="AW108" s="41"/>
      <c r="AX108" s="42" t="s">
        <v>141</v>
      </c>
      <c r="AY108" s="41" t="s">
        <v>36</v>
      </c>
      <c r="AZ108" s="164">
        <v>9.1801184223268897E-3</v>
      </c>
      <c r="BA108" s="164">
        <v>6.4036889587996794E-5</v>
      </c>
    </row>
    <row r="109" spans="1:53">
      <c r="A109" s="41">
        <v>424</v>
      </c>
      <c r="B109" s="41">
        <v>7229</v>
      </c>
      <c r="C109" s="41" t="s">
        <v>2147</v>
      </c>
      <c r="D109" s="41" t="s">
        <v>134</v>
      </c>
      <c r="E109" s="41" t="s">
        <v>2164</v>
      </c>
      <c r="F109" s="41" t="s">
        <v>2165</v>
      </c>
      <c r="G109" s="41" t="s">
        <v>2138</v>
      </c>
      <c r="H109" s="41"/>
      <c r="I109" s="41" t="s">
        <v>30</v>
      </c>
      <c r="J109" s="41" t="s">
        <v>30</v>
      </c>
      <c r="K109" s="41" t="s">
        <v>151</v>
      </c>
      <c r="L109" s="41" t="s">
        <v>141</v>
      </c>
      <c r="M109" s="41" t="s">
        <v>318</v>
      </c>
      <c r="N109" s="41" t="s">
        <v>2166</v>
      </c>
      <c r="O109" s="178" t="s">
        <v>2167</v>
      </c>
      <c r="P109" s="202" t="s">
        <v>142</v>
      </c>
      <c r="Q109" s="21" t="s">
        <v>164</v>
      </c>
      <c r="R109" s="41" t="s">
        <v>2141</v>
      </c>
      <c r="S109" s="41" t="s">
        <v>34</v>
      </c>
      <c r="T109" s="153">
        <v>2.82</v>
      </c>
      <c r="U109" s="41" t="s">
        <v>2152</v>
      </c>
      <c r="V109" s="164">
        <v>5.5452000000000001E-2</v>
      </c>
      <c r="W109" s="41" t="s">
        <v>138</v>
      </c>
      <c r="X109" s="41" t="s">
        <v>2087</v>
      </c>
      <c r="Y109" s="185">
        <v>0</v>
      </c>
      <c r="Z109" s="164">
        <v>2.9100000000000001E-2</v>
      </c>
      <c r="AA109" s="41" t="s">
        <v>2153</v>
      </c>
      <c r="AB109" s="42" t="s">
        <v>146</v>
      </c>
      <c r="AC109" s="41" t="s">
        <v>1565</v>
      </c>
      <c r="AD109" s="153">
        <v>482000</v>
      </c>
      <c r="AE109" s="164">
        <v>0.73</v>
      </c>
      <c r="AF109" s="41" t="s">
        <v>1394</v>
      </c>
      <c r="AG109" s="41" t="s">
        <v>141</v>
      </c>
      <c r="AH109" s="41" t="s">
        <v>2144</v>
      </c>
      <c r="AI109" s="41" t="s">
        <v>2154</v>
      </c>
      <c r="AJ109" s="41" t="s">
        <v>318</v>
      </c>
      <c r="AK109" s="41" t="s">
        <v>1392</v>
      </c>
      <c r="AL109" s="41" t="s">
        <v>2146</v>
      </c>
      <c r="AM109" s="41" t="s">
        <v>1393</v>
      </c>
      <c r="AN109" s="178" t="s">
        <v>1394</v>
      </c>
      <c r="AO109" s="41" t="s">
        <v>1394</v>
      </c>
      <c r="AP109" s="164">
        <v>0</v>
      </c>
      <c r="AQ109" s="153">
        <v>7039.76</v>
      </c>
      <c r="AR109" s="172">
        <v>132.41</v>
      </c>
      <c r="AS109" s="162">
        <v>1</v>
      </c>
      <c r="AT109" s="153">
        <v>9.3209999999999997</v>
      </c>
      <c r="AU109" s="153">
        <v>9.3209999999999997</v>
      </c>
      <c r="AV109" s="41"/>
      <c r="AW109" s="41"/>
      <c r="AX109" s="42" t="s">
        <v>141</v>
      </c>
      <c r="AY109" s="41" t="s">
        <v>36</v>
      </c>
      <c r="AZ109" s="164">
        <v>8.8068477750097001E-3</v>
      </c>
      <c r="BA109" s="164">
        <v>6.1433100603035796E-5</v>
      </c>
    </row>
    <row r="110" spans="1:53">
      <c r="A110" s="41">
        <v>424</v>
      </c>
      <c r="B110" s="41">
        <v>7229</v>
      </c>
      <c r="C110" s="41" t="s">
        <v>2147</v>
      </c>
      <c r="D110" s="41" t="s">
        <v>134</v>
      </c>
      <c r="E110" s="41" t="s">
        <v>2168</v>
      </c>
      <c r="F110" s="41" t="s">
        <v>2169</v>
      </c>
      <c r="G110" s="41" t="s">
        <v>2138</v>
      </c>
      <c r="H110" s="41"/>
      <c r="I110" s="41" t="s">
        <v>30</v>
      </c>
      <c r="J110" s="41" t="s">
        <v>30</v>
      </c>
      <c r="K110" s="41" t="s">
        <v>151</v>
      </c>
      <c r="L110" s="41" t="s">
        <v>141</v>
      </c>
      <c r="M110" s="41" t="s">
        <v>318</v>
      </c>
      <c r="N110" s="41" t="s">
        <v>2170</v>
      </c>
      <c r="O110" s="178" t="s">
        <v>2171</v>
      </c>
      <c r="P110" s="202" t="s">
        <v>142</v>
      </c>
      <c r="Q110" s="21" t="s">
        <v>164</v>
      </c>
      <c r="R110" s="41" t="s">
        <v>2141</v>
      </c>
      <c r="S110" s="41" t="s">
        <v>34</v>
      </c>
      <c r="T110" s="153">
        <v>2.82</v>
      </c>
      <c r="U110" s="41" t="s">
        <v>2152</v>
      </c>
      <c r="V110" s="164">
        <v>5.5453000000000002E-2</v>
      </c>
      <c r="W110" s="41" t="s">
        <v>138</v>
      </c>
      <c r="X110" s="41" t="s">
        <v>2087</v>
      </c>
      <c r="Y110" s="185">
        <v>0</v>
      </c>
      <c r="Z110" s="164">
        <v>2.9100000000000001E-2</v>
      </c>
      <c r="AA110" s="41" t="s">
        <v>2153</v>
      </c>
      <c r="AB110" s="42" t="s">
        <v>146</v>
      </c>
      <c r="AC110" s="41" t="s">
        <v>1565</v>
      </c>
      <c r="AD110" s="153">
        <v>482000</v>
      </c>
      <c r="AE110" s="164">
        <v>0.73</v>
      </c>
      <c r="AF110" s="41" t="s">
        <v>1394</v>
      </c>
      <c r="AG110" s="41" t="s">
        <v>141</v>
      </c>
      <c r="AH110" s="41" t="s">
        <v>2144</v>
      </c>
      <c r="AI110" s="41" t="s">
        <v>2154</v>
      </c>
      <c r="AJ110" s="41" t="s">
        <v>318</v>
      </c>
      <c r="AK110" s="41" t="s">
        <v>1392</v>
      </c>
      <c r="AL110" s="41" t="s">
        <v>2146</v>
      </c>
      <c r="AM110" s="41" t="s">
        <v>1393</v>
      </c>
      <c r="AN110" s="178" t="s">
        <v>1394</v>
      </c>
      <c r="AO110" s="41" t="s">
        <v>1394</v>
      </c>
      <c r="AP110" s="164">
        <v>0</v>
      </c>
      <c r="AQ110" s="153">
        <v>7079.95</v>
      </c>
      <c r="AR110" s="172">
        <v>130.78</v>
      </c>
      <c r="AS110" s="162">
        <v>1</v>
      </c>
      <c r="AT110" s="153">
        <v>9.2590000000000003</v>
      </c>
      <c r="AU110" s="153">
        <v>9.2590000000000003</v>
      </c>
      <c r="AV110" s="41"/>
      <c r="AW110" s="41"/>
      <c r="AX110" s="42" t="s">
        <v>141</v>
      </c>
      <c r="AY110" s="41" t="s">
        <v>36</v>
      </c>
      <c r="AZ110" s="164">
        <v>8.7480926588662591E-3</v>
      </c>
      <c r="BA110" s="164">
        <v>6.1023248059515699E-5</v>
      </c>
    </row>
    <row r="111" spans="1:53">
      <c r="A111" s="41">
        <v>424</v>
      </c>
      <c r="B111" s="41">
        <v>7229</v>
      </c>
      <c r="C111" s="41" t="s">
        <v>2147</v>
      </c>
      <c r="D111" s="41" t="s">
        <v>134</v>
      </c>
      <c r="E111" s="41" t="s">
        <v>2172</v>
      </c>
      <c r="F111" s="41" t="s">
        <v>2173</v>
      </c>
      <c r="G111" s="41" t="s">
        <v>2138</v>
      </c>
      <c r="H111" s="41"/>
      <c r="I111" s="41" t="s">
        <v>30</v>
      </c>
      <c r="J111" s="41" t="s">
        <v>30</v>
      </c>
      <c r="K111" s="41" t="s">
        <v>151</v>
      </c>
      <c r="L111" s="41" t="s">
        <v>141</v>
      </c>
      <c r="M111" s="41" t="s">
        <v>318</v>
      </c>
      <c r="N111" s="41" t="s">
        <v>2174</v>
      </c>
      <c r="O111" s="178" t="s">
        <v>2175</v>
      </c>
      <c r="P111" s="202" t="s">
        <v>142</v>
      </c>
      <c r="Q111" s="21" t="s">
        <v>164</v>
      </c>
      <c r="R111" s="41" t="s">
        <v>2141</v>
      </c>
      <c r="S111" s="41" t="s">
        <v>34</v>
      </c>
      <c r="T111" s="153">
        <v>2.82</v>
      </c>
      <c r="U111" s="41" t="s">
        <v>2152</v>
      </c>
      <c r="V111" s="164">
        <v>5.5452000000000001E-2</v>
      </c>
      <c r="W111" s="41" t="s">
        <v>138</v>
      </c>
      <c r="X111" s="41" t="s">
        <v>2087</v>
      </c>
      <c r="Y111" s="185">
        <v>0</v>
      </c>
      <c r="Z111" s="164">
        <v>2.9100000000000001E-2</v>
      </c>
      <c r="AA111" s="41" t="s">
        <v>2153</v>
      </c>
      <c r="AB111" s="42" t="s">
        <v>146</v>
      </c>
      <c r="AC111" s="41" t="s">
        <v>1565</v>
      </c>
      <c r="AD111" s="153">
        <v>482000</v>
      </c>
      <c r="AE111" s="164">
        <v>0.73</v>
      </c>
      <c r="AF111" s="41" t="s">
        <v>1394</v>
      </c>
      <c r="AG111" s="41" t="s">
        <v>141</v>
      </c>
      <c r="AH111" s="41" t="s">
        <v>2144</v>
      </c>
      <c r="AI111" s="41" t="s">
        <v>2154</v>
      </c>
      <c r="AJ111" s="41" t="s">
        <v>318</v>
      </c>
      <c r="AK111" s="41" t="s">
        <v>1392</v>
      </c>
      <c r="AL111" s="41" t="s">
        <v>2146</v>
      </c>
      <c r="AM111" s="41" t="s">
        <v>1393</v>
      </c>
      <c r="AN111" s="178" t="s">
        <v>1394</v>
      </c>
      <c r="AO111" s="41" t="s">
        <v>1394</v>
      </c>
      <c r="AP111" s="164">
        <v>0</v>
      </c>
      <c r="AQ111" s="153">
        <v>2235.7600000000002</v>
      </c>
      <c r="AR111" s="172">
        <v>130.25</v>
      </c>
      <c r="AS111" s="162">
        <v>1</v>
      </c>
      <c r="AT111" s="153">
        <v>2.9119999999999999</v>
      </c>
      <c r="AU111" s="153">
        <v>2.9119999999999999</v>
      </c>
      <c r="AV111" s="41"/>
      <c r="AW111" s="41"/>
      <c r="AX111" s="42" t="s">
        <v>141</v>
      </c>
      <c r="AY111" s="41" t="s">
        <v>36</v>
      </c>
      <c r="AZ111" s="164">
        <v>2.7513431833295198E-3</v>
      </c>
      <c r="BA111" s="164">
        <v>1.9192286149714101E-5</v>
      </c>
    </row>
    <row r="112" spans="1:53">
      <c r="A112" s="41">
        <v>424</v>
      </c>
      <c r="B112" s="41">
        <v>7229</v>
      </c>
      <c r="C112" s="41" t="s">
        <v>2147</v>
      </c>
      <c r="D112" s="41" t="s">
        <v>134</v>
      </c>
      <c r="E112" s="41" t="s">
        <v>2176</v>
      </c>
      <c r="F112" s="41" t="s">
        <v>2177</v>
      </c>
      <c r="G112" s="41" t="s">
        <v>2138</v>
      </c>
      <c r="H112" s="41"/>
      <c r="I112" s="41" t="s">
        <v>30</v>
      </c>
      <c r="J112" s="41" t="s">
        <v>30</v>
      </c>
      <c r="K112" s="41" t="s">
        <v>151</v>
      </c>
      <c r="L112" s="41" t="s">
        <v>141</v>
      </c>
      <c r="M112" s="41" t="s">
        <v>318</v>
      </c>
      <c r="N112" s="41" t="s">
        <v>2178</v>
      </c>
      <c r="O112" s="178" t="s">
        <v>2179</v>
      </c>
      <c r="P112" s="202" t="s">
        <v>142</v>
      </c>
      <c r="Q112" s="21" t="s">
        <v>164</v>
      </c>
      <c r="R112" s="41" t="s">
        <v>2141</v>
      </c>
      <c r="S112" s="41" t="s">
        <v>34</v>
      </c>
      <c r="T112" s="153">
        <v>2.81</v>
      </c>
      <c r="U112" s="41" t="s">
        <v>2142</v>
      </c>
      <c r="V112" s="164">
        <v>5.6285000000000002E-2</v>
      </c>
      <c r="W112" s="41" t="s">
        <v>138</v>
      </c>
      <c r="X112" s="41" t="s">
        <v>2087</v>
      </c>
      <c r="Y112" s="185">
        <v>0</v>
      </c>
      <c r="Z112" s="164">
        <v>2.9000000000000001E-2</v>
      </c>
      <c r="AA112" s="41" t="s">
        <v>2153</v>
      </c>
      <c r="AB112" s="42" t="s">
        <v>146</v>
      </c>
      <c r="AC112" s="41" t="s">
        <v>1565</v>
      </c>
      <c r="AD112" s="153">
        <v>482000</v>
      </c>
      <c r="AE112" s="164">
        <v>0.73</v>
      </c>
      <c r="AF112" s="41" t="s">
        <v>1394</v>
      </c>
      <c r="AG112" s="41" t="s">
        <v>141</v>
      </c>
      <c r="AH112" s="41" t="s">
        <v>2144</v>
      </c>
      <c r="AI112" s="41" t="s">
        <v>2154</v>
      </c>
      <c r="AJ112" s="41" t="s">
        <v>318</v>
      </c>
      <c r="AK112" s="41" t="s">
        <v>1392</v>
      </c>
      <c r="AL112" s="41" t="s">
        <v>2146</v>
      </c>
      <c r="AM112" s="41" t="s">
        <v>1393</v>
      </c>
      <c r="AN112" s="178" t="s">
        <v>1394</v>
      </c>
      <c r="AO112" s="41" t="s">
        <v>1394</v>
      </c>
      <c r="AP112" s="164">
        <v>0</v>
      </c>
      <c r="AQ112" s="153">
        <v>328.36</v>
      </c>
      <c r="AR112" s="172">
        <v>132.63999999999999</v>
      </c>
      <c r="AS112" s="162">
        <v>1</v>
      </c>
      <c r="AT112" s="153">
        <v>0.436</v>
      </c>
      <c r="AU112" s="153">
        <v>0.436</v>
      </c>
      <c r="AV112" s="41"/>
      <c r="AW112" s="41"/>
      <c r="AX112" s="42" t="s">
        <v>141</v>
      </c>
      <c r="AY112" s="41" t="s">
        <v>36</v>
      </c>
      <c r="AZ112" s="164">
        <v>4.1149694085748097E-4</v>
      </c>
      <c r="BA112" s="164">
        <v>2.87044054937254E-6</v>
      </c>
    </row>
    <row r="113" spans="1:53">
      <c r="A113" s="41">
        <v>424</v>
      </c>
      <c r="B113" s="41">
        <v>7229</v>
      </c>
      <c r="C113" s="41" t="s">
        <v>2147</v>
      </c>
      <c r="D113" s="41" t="s">
        <v>134</v>
      </c>
      <c r="E113" s="41" t="s">
        <v>2180</v>
      </c>
      <c r="F113" s="41" t="s">
        <v>2181</v>
      </c>
      <c r="G113" s="41" t="s">
        <v>2138</v>
      </c>
      <c r="H113" s="41"/>
      <c r="I113" s="41" t="s">
        <v>30</v>
      </c>
      <c r="J113" s="41" t="s">
        <v>30</v>
      </c>
      <c r="K113" s="41" t="s">
        <v>151</v>
      </c>
      <c r="L113" s="41" t="s">
        <v>141</v>
      </c>
      <c r="M113" s="41" t="s">
        <v>318</v>
      </c>
      <c r="N113" s="41" t="s">
        <v>2182</v>
      </c>
      <c r="O113" s="178" t="s">
        <v>2151</v>
      </c>
      <c r="P113" s="202" t="s">
        <v>142</v>
      </c>
      <c r="Q113" s="21" t="s">
        <v>164</v>
      </c>
      <c r="R113" s="41" t="s">
        <v>2141</v>
      </c>
      <c r="S113" s="41" t="s">
        <v>34</v>
      </c>
      <c r="T113" s="153">
        <v>2.81</v>
      </c>
      <c r="U113" s="41" t="s">
        <v>2142</v>
      </c>
      <c r="V113" s="164">
        <v>5.7277000000000002E-2</v>
      </c>
      <c r="W113" s="41" t="s">
        <v>138</v>
      </c>
      <c r="X113" s="41" t="s">
        <v>2087</v>
      </c>
      <c r="Y113" s="185">
        <v>0</v>
      </c>
      <c r="Z113" s="164">
        <v>2.9100000000000001E-2</v>
      </c>
      <c r="AA113" s="41" t="s">
        <v>2153</v>
      </c>
      <c r="AB113" s="42" t="s">
        <v>146</v>
      </c>
      <c r="AC113" s="41" t="s">
        <v>1565</v>
      </c>
      <c r="AD113" s="153">
        <v>482000</v>
      </c>
      <c r="AE113" s="164">
        <v>0.73</v>
      </c>
      <c r="AF113" s="41" t="s">
        <v>1394</v>
      </c>
      <c r="AG113" s="41" t="s">
        <v>141</v>
      </c>
      <c r="AH113" s="41" t="s">
        <v>2144</v>
      </c>
      <c r="AI113" s="41" t="s">
        <v>2154</v>
      </c>
      <c r="AJ113" s="41" t="s">
        <v>318</v>
      </c>
      <c r="AK113" s="41" t="s">
        <v>1392</v>
      </c>
      <c r="AL113" s="41" t="s">
        <v>2146</v>
      </c>
      <c r="AM113" s="41" t="s">
        <v>1393</v>
      </c>
      <c r="AN113" s="178" t="s">
        <v>1394</v>
      </c>
      <c r="AO113" s="41" t="s">
        <v>1394</v>
      </c>
      <c r="AP113" s="164">
        <v>0</v>
      </c>
      <c r="AQ113" s="153">
        <v>661.17</v>
      </c>
      <c r="AR113" s="172">
        <v>133.02000000000001</v>
      </c>
      <c r="AS113" s="162">
        <v>1</v>
      </c>
      <c r="AT113" s="153">
        <v>0.879</v>
      </c>
      <c r="AU113" s="153">
        <v>0.879</v>
      </c>
      <c r="AV113" s="41"/>
      <c r="AW113" s="41"/>
      <c r="AX113" s="42" t="s">
        <v>141</v>
      </c>
      <c r="AY113" s="41" t="s">
        <v>36</v>
      </c>
      <c r="AZ113" s="164">
        <v>8.3094433979286997E-4</v>
      </c>
      <c r="BA113" s="164">
        <v>5.79634036219757E-6</v>
      </c>
    </row>
    <row r="114" spans="1:53">
      <c r="A114" s="41">
        <v>424</v>
      </c>
      <c r="B114" s="41">
        <v>7229</v>
      </c>
      <c r="C114" s="41" t="s">
        <v>2147</v>
      </c>
      <c r="D114" s="41" t="s">
        <v>134</v>
      </c>
      <c r="E114" s="41" t="s">
        <v>2183</v>
      </c>
      <c r="F114" s="41" t="s">
        <v>2184</v>
      </c>
      <c r="G114" s="41" t="s">
        <v>2138</v>
      </c>
      <c r="H114" s="41"/>
      <c r="I114" s="41" t="s">
        <v>30</v>
      </c>
      <c r="J114" s="41" t="s">
        <v>30</v>
      </c>
      <c r="K114" s="41" t="s">
        <v>151</v>
      </c>
      <c r="L114" s="41" t="s">
        <v>141</v>
      </c>
      <c r="M114" s="41" t="s">
        <v>318</v>
      </c>
      <c r="N114" s="41" t="s">
        <v>2185</v>
      </c>
      <c r="O114" s="178" t="s">
        <v>2186</v>
      </c>
      <c r="P114" s="202" t="s">
        <v>142</v>
      </c>
      <c r="Q114" s="21" t="s">
        <v>164</v>
      </c>
      <c r="R114" s="41" t="s">
        <v>2141</v>
      </c>
      <c r="S114" s="41" t="s">
        <v>34</v>
      </c>
      <c r="T114" s="153">
        <v>2.81</v>
      </c>
      <c r="U114" s="41" t="s">
        <v>2142</v>
      </c>
      <c r="V114" s="164">
        <v>5.6878999999999999E-2</v>
      </c>
      <c r="W114" s="41" t="s">
        <v>138</v>
      </c>
      <c r="X114" s="41" t="s">
        <v>2087</v>
      </c>
      <c r="Y114" s="185">
        <v>0</v>
      </c>
      <c r="Z114" s="164">
        <v>2.9100000000000001E-2</v>
      </c>
      <c r="AA114" s="41" t="s">
        <v>2153</v>
      </c>
      <c r="AB114" s="42" t="s">
        <v>146</v>
      </c>
      <c r="AC114" s="41" t="s">
        <v>1565</v>
      </c>
      <c r="AD114" s="153">
        <v>482000</v>
      </c>
      <c r="AE114" s="164">
        <v>0.73</v>
      </c>
      <c r="AF114" s="41" t="s">
        <v>1394</v>
      </c>
      <c r="AG114" s="41" t="s">
        <v>141</v>
      </c>
      <c r="AH114" s="41" t="s">
        <v>2144</v>
      </c>
      <c r="AI114" s="41" t="s">
        <v>2154</v>
      </c>
      <c r="AJ114" s="41" t="s">
        <v>318</v>
      </c>
      <c r="AK114" s="41" t="s">
        <v>1392</v>
      </c>
      <c r="AL114" s="41" t="s">
        <v>2146</v>
      </c>
      <c r="AM114" s="41" t="s">
        <v>1393</v>
      </c>
      <c r="AN114" s="178" t="s">
        <v>1394</v>
      </c>
      <c r="AO114" s="41" t="s">
        <v>1394</v>
      </c>
      <c r="AP114" s="164">
        <v>0</v>
      </c>
      <c r="AQ114" s="153">
        <v>396.73</v>
      </c>
      <c r="AR114" s="172">
        <v>132.99</v>
      </c>
      <c r="AS114" s="162">
        <v>1</v>
      </c>
      <c r="AT114" s="153">
        <v>0.52800000000000002</v>
      </c>
      <c r="AU114" s="153">
        <v>0.52800000000000002</v>
      </c>
      <c r="AV114" s="41"/>
      <c r="AW114" s="41"/>
      <c r="AX114" s="42" t="s">
        <v>141</v>
      </c>
      <c r="AY114" s="41" t="s">
        <v>36</v>
      </c>
      <c r="AZ114" s="164">
        <v>4.9848934401763303E-4</v>
      </c>
      <c r="BA114" s="164">
        <v>3.4772652829851902E-6</v>
      </c>
    </row>
    <row r="115" spans="1:53">
      <c r="A115" s="41">
        <v>424</v>
      </c>
      <c r="B115" s="41">
        <v>7229</v>
      </c>
      <c r="C115" s="41" t="s">
        <v>2147</v>
      </c>
      <c r="D115" s="41" t="s">
        <v>134</v>
      </c>
      <c r="E115" s="41" t="s">
        <v>2187</v>
      </c>
      <c r="F115" s="41" t="s">
        <v>2188</v>
      </c>
      <c r="G115" s="41" t="s">
        <v>2138</v>
      </c>
      <c r="H115" s="41"/>
      <c r="I115" s="41" t="s">
        <v>30</v>
      </c>
      <c r="J115" s="41" t="s">
        <v>30</v>
      </c>
      <c r="K115" s="41" t="s">
        <v>151</v>
      </c>
      <c r="L115" s="41" t="s">
        <v>141</v>
      </c>
      <c r="M115" s="41" t="s">
        <v>318</v>
      </c>
      <c r="N115" s="41" t="s">
        <v>2189</v>
      </c>
      <c r="O115" s="178" t="s">
        <v>2190</v>
      </c>
      <c r="P115" s="202" t="s">
        <v>142</v>
      </c>
      <c r="Q115" s="21" t="s">
        <v>164</v>
      </c>
      <c r="R115" s="41" t="s">
        <v>2141</v>
      </c>
      <c r="S115" s="41" t="s">
        <v>34</v>
      </c>
      <c r="T115" s="153">
        <v>2.81</v>
      </c>
      <c r="U115" s="41" t="s">
        <v>2142</v>
      </c>
      <c r="V115" s="164">
        <v>5.7158E-2</v>
      </c>
      <c r="W115" s="41" t="s">
        <v>138</v>
      </c>
      <c r="X115" s="41" t="s">
        <v>2087</v>
      </c>
      <c r="Y115" s="185">
        <v>0</v>
      </c>
      <c r="Z115" s="164">
        <v>2.9100000000000001E-2</v>
      </c>
      <c r="AA115" s="41" t="s">
        <v>2153</v>
      </c>
      <c r="AB115" s="42" t="s">
        <v>146</v>
      </c>
      <c r="AC115" s="41" t="s">
        <v>1565</v>
      </c>
      <c r="AD115" s="153">
        <v>482000</v>
      </c>
      <c r="AE115" s="164">
        <v>0.73</v>
      </c>
      <c r="AF115" s="41" t="s">
        <v>1394</v>
      </c>
      <c r="AG115" s="41" t="s">
        <v>141</v>
      </c>
      <c r="AH115" s="41" t="s">
        <v>2144</v>
      </c>
      <c r="AI115" s="41" t="s">
        <v>2154</v>
      </c>
      <c r="AJ115" s="41" t="s">
        <v>318</v>
      </c>
      <c r="AK115" s="41" t="s">
        <v>1392</v>
      </c>
      <c r="AL115" s="41" t="s">
        <v>2146</v>
      </c>
      <c r="AM115" s="41" t="s">
        <v>1393</v>
      </c>
      <c r="AN115" s="178" t="s">
        <v>1394</v>
      </c>
      <c r="AO115" s="41" t="s">
        <v>1394</v>
      </c>
      <c r="AP115" s="164">
        <v>0</v>
      </c>
      <c r="AQ115" s="153">
        <v>7144.91</v>
      </c>
      <c r="AR115" s="172">
        <v>132.94999999999999</v>
      </c>
      <c r="AS115" s="162">
        <v>1</v>
      </c>
      <c r="AT115" s="153">
        <v>9.4990000000000006</v>
      </c>
      <c r="AU115" s="153">
        <v>9.4990000000000006</v>
      </c>
      <c r="AV115" s="41"/>
      <c r="AW115" s="41"/>
      <c r="AX115" s="42" t="s">
        <v>141</v>
      </c>
      <c r="AY115" s="41" t="s">
        <v>36</v>
      </c>
      <c r="AZ115" s="164">
        <v>8.9748449626413998E-3</v>
      </c>
      <c r="BA115" s="164">
        <v>6.2604982801123997E-5</v>
      </c>
    </row>
    <row r="116" spans="1:53">
      <c r="A116" s="41">
        <v>424</v>
      </c>
      <c r="B116" s="41">
        <v>7229</v>
      </c>
      <c r="C116" s="41" t="s">
        <v>2147</v>
      </c>
      <c r="D116" s="41" t="s">
        <v>134</v>
      </c>
      <c r="E116" s="41" t="s">
        <v>2191</v>
      </c>
      <c r="F116" s="41" t="s">
        <v>2192</v>
      </c>
      <c r="G116" s="41" t="s">
        <v>2138</v>
      </c>
      <c r="H116" s="41"/>
      <c r="I116" s="41" t="s">
        <v>30</v>
      </c>
      <c r="J116" s="41" t="s">
        <v>30</v>
      </c>
      <c r="K116" s="41" t="s">
        <v>151</v>
      </c>
      <c r="L116" s="41" t="s">
        <v>141</v>
      </c>
      <c r="M116" s="41" t="s">
        <v>318</v>
      </c>
      <c r="N116" s="41" t="s">
        <v>2193</v>
      </c>
      <c r="O116" s="178" t="s">
        <v>2194</v>
      </c>
      <c r="P116" s="202" t="s">
        <v>142</v>
      </c>
      <c r="Q116" s="21" t="s">
        <v>164</v>
      </c>
      <c r="R116" s="41" t="s">
        <v>2141</v>
      </c>
      <c r="S116" s="41" t="s">
        <v>34</v>
      </c>
      <c r="T116" s="153">
        <v>2.82</v>
      </c>
      <c r="U116" s="41" t="s">
        <v>2142</v>
      </c>
      <c r="V116" s="164">
        <v>5.5451E-2</v>
      </c>
      <c r="W116" s="41" t="s">
        <v>138</v>
      </c>
      <c r="X116" s="41" t="s">
        <v>2087</v>
      </c>
      <c r="Y116" s="185">
        <v>0</v>
      </c>
      <c r="Z116" s="164">
        <v>2.9000000000000001E-2</v>
      </c>
      <c r="AA116" s="41" t="s">
        <v>2153</v>
      </c>
      <c r="AB116" s="42" t="s">
        <v>146</v>
      </c>
      <c r="AC116" s="41" t="s">
        <v>1565</v>
      </c>
      <c r="AD116" s="153">
        <v>482000</v>
      </c>
      <c r="AE116" s="164">
        <v>0.73</v>
      </c>
      <c r="AF116" s="41" t="s">
        <v>1394</v>
      </c>
      <c r="AG116" s="41" t="s">
        <v>141</v>
      </c>
      <c r="AH116" s="41" t="s">
        <v>2144</v>
      </c>
      <c r="AI116" s="41" t="s">
        <v>2154</v>
      </c>
      <c r="AJ116" s="41" t="s">
        <v>318</v>
      </c>
      <c r="AK116" s="41" t="s">
        <v>1392</v>
      </c>
      <c r="AL116" s="41" t="s">
        <v>2146</v>
      </c>
      <c r="AM116" s="41" t="s">
        <v>1393</v>
      </c>
      <c r="AN116" s="178" t="s">
        <v>1394</v>
      </c>
      <c r="AO116" s="41" t="s">
        <v>1394</v>
      </c>
      <c r="AP116" s="164">
        <v>0</v>
      </c>
      <c r="AQ116" s="153">
        <v>817.95</v>
      </c>
      <c r="AR116" s="172">
        <v>129.76</v>
      </c>
      <c r="AS116" s="162">
        <v>1</v>
      </c>
      <c r="AT116" s="153">
        <v>1.0609999999999999</v>
      </c>
      <c r="AU116" s="153">
        <v>1.0609999999999999</v>
      </c>
      <c r="AV116" s="41"/>
      <c r="AW116" s="41"/>
      <c r="AX116" s="42" t="s">
        <v>141</v>
      </c>
      <c r="AY116" s="41" t="s">
        <v>36</v>
      </c>
      <c r="AZ116" s="164">
        <v>1.0027887298151401E-3</v>
      </c>
      <c r="BA116" s="164">
        <v>6.9950591285490901E-6</v>
      </c>
    </row>
    <row r="117" spans="1:53">
      <c r="A117" s="41">
        <v>424</v>
      </c>
      <c r="B117" s="41">
        <v>7229</v>
      </c>
      <c r="C117" s="41" t="s">
        <v>2147</v>
      </c>
      <c r="D117" s="41" t="s">
        <v>134</v>
      </c>
      <c r="E117" s="41" t="s">
        <v>2195</v>
      </c>
      <c r="F117" s="41" t="s">
        <v>2196</v>
      </c>
      <c r="G117" s="41" t="s">
        <v>2138</v>
      </c>
      <c r="H117" s="41"/>
      <c r="I117" s="41" t="s">
        <v>30</v>
      </c>
      <c r="J117" s="41" t="s">
        <v>30</v>
      </c>
      <c r="K117" s="41" t="s">
        <v>151</v>
      </c>
      <c r="L117" s="41" t="s">
        <v>141</v>
      </c>
      <c r="M117" s="41" t="s">
        <v>318</v>
      </c>
      <c r="N117" s="41" t="s">
        <v>2197</v>
      </c>
      <c r="O117" s="178" t="s">
        <v>2151</v>
      </c>
      <c r="P117" s="202" t="s">
        <v>142</v>
      </c>
      <c r="Q117" s="21" t="s">
        <v>164</v>
      </c>
      <c r="R117" s="41" t="s">
        <v>2141</v>
      </c>
      <c r="S117" s="41" t="s">
        <v>34</v>
      </c>
      <c r="T117" s="153">
        <v>2.82</v>
      </c>
      <c r="U117" s="41" t="s">
        <v>2152</v>
      </c>
      <c r="V117" s="164">
        <v>5.5452000000000001E-2</v>
      </c>
      <c r="W117" s="41" t="s">
        <v>138</v>
      </c>
      <c r="X117" s="41" t="s">
        <v>2087</v>
      </c>
      <c r="Y117" s="185">
        <v>0</v>
      </c>
      <c r="Z117" s="164">
        <v>2.9000000000000001E-2</v>
      </c>
      <c r="AA117" s="41" t="s">
        <v>2153</v>
      </c>
      <c r="AB117" s="42" t="s">
        <v>146</v>
      </c>
      <c r="AC117" s="41" t="s">
        <v>1565</v>
      </c>
      <c r="AD117" s="153">
        <v>482000</v>
      </c>
      <c r="AE117" s="164">
        <v>0.73</v>
      </c>
      <c r="AF117" s="41" t="s">
        <v>1394</v>
      </c>
      <c r="AG117" s="41" t="s">
        <v>141</v>
      </c>
      <c r="AH117" s="41" t="s">
        <v>2144</v>
      </c>
      <c r="AI117" s="41" t="s">
        <v>2154</v>
      </c>
      <c r="AJ117" s="41" t="s">
        <v>318</v>
      </c>
      <c r="AK117" s="41" t="s">
        <v>1392</v>
      </c>
      <c r="AL117" s="41" t="s">
        <v>2146</v>
      </c>
      <c r="AM117" s="41" t="s">
        <v>1393</v>
      </c>
      <c r="AN117" s="178" t="s">
        <v>1394</v>
      </c>
      <c r="AO117" s="41" t="s">
        <v>1394</v>
      </c>
      <c r="AP117" s="164">
        <v>0</v>
      </c>
      <c r="AQ117" s="153">
        <v>677.49</v>
      </c>
      <c r="AR117" s="172">
        <v>129.69999999999999</v>
      </c>
      <c r="AS117" s="162">
        <v>1</v>
      </c>
      <c r="AT117" s="153">
        <v>0.879</v>
      </c>
      <c r="AU117" s="153">
        <v>0.879</v>
      </c>
      <c r="AV117" s="41"/>
      <c r="AW117" s="41"/>
      <c r="AX117" s="42" t="s">
        <v>141</v>
      </c>
      <c r="AY117" s="41" t="s">
        <v>36</v>
      </c>
      <c r="AZ117" s="164">
        <v>8.3020379842110999E-4</v>
      </c>
      <c r="BA117" s="164">
        <v>5.7911746373259399E-6</v>
      </c>
    </row>
    <row r="118" spans="1:53">
      <c r="A118" s="41">
        <v>424</v>
      </c>
      <c r="B118" s="41">
        <v>7229</v>
      </c>
      <c r="C118" s="41" t="s">
        <v>2147</v>
      </c>
      <c r="D118" s="41" t="s">
        <v>134</v>
      </c>
      <c r="E118" s="41" t="s">
        <v>2198</v>
      </c>
      <c r="F118" s="41" t="s">
        <v>2199</v>
      </c>
      <c r="G118" s="41" t="s">
        <v>2138</v>
      </c>
      <c r="H118" s="41"/>
      <c r="I118" s="41" t="s">
        <v>30</v>
      </c>
      <c r="J118" s="41" t="s">
        <v>30</v>
      </c>
      <c r="K118" s="41" t="s">
        <v>151</v>
      </c>
      <c r="L118" s="41" t="s">
        <v>141</v>
      </c>
      <c r="M118" s="41" t="s">
        <v>318</v>
      </c>
      <c r="N118" s="41" t="s">
        <v>2200</v>
      </c>
      <c r="O118" s="178" t="s">
        <v>2201</v>
      </c>
      <c r="P118" s="202" t="s">
        <v>142</v>
      </c>
      <c r="Q118" s="21" t="s">
        <v>164</v>
      </c>
      <c r="R118" s="41" t="s">
        <v>2141</v>
      </c>
      <c r="S118" s="41" t="s">
        <v>34</v>
      </c>
      <c r="T118" s="153">
        <v>2.82</v>
      </c>
      <c r="U118" s="41" t="s">
        <v>2142</v>
      </c>
      <c r="V118" s="164">
        <v>5.5548E-2</v>
      </c>
      <c r="W118" s="41" t="s">
        <v>138</v>
      </c>
      <c r="X118" s="41" t="s">
        <v>2087</v>
      </c>
      <c r="Y118" s="185">
        <v>0</v>
      </c>
      <c r="Z118" s="164">
        <v>2.9000000000000001E-2</v>
      </c>
      <c r="AA118" s="41" t="s">
        <v>2153</v>
      </c>
      <c r="AB118" s="42" t="s">
        <v>146</v>
      </c>
      <c r="AC118" s="41" t="s">
        <v>1565</v>
      </c>
      <c r="AD118" s="153">
        <v>482000</v>
      </c>
      <c r="AE118" s="164">
        <v>0.73</v>
      </c>
      <c r="AF118" s="41" t="s">
        <v>1394</v>
      </c>
      <c r="AG118" s="41" t="s">
        <v>141</v>
      </c>
      <c r="AH118" s="41" t="s">
        <v>2144</v>
      </c>
      <c r="AI118" s="41" t="s">
        <v>2154</v>
      </c>
      <c r="AJ118" s="41" t="s">
        <v>318</v>
      </c>
      <c r="AK118" s="41" t="s">
        <v>1392</v>
      </c>
      <c r="AL118" s="41" t="s">
        <v>2146</v>
      </c>
      <c r="AM118" s="41" t="s">
        <v>1393</v>
      </c>
      <c r="AN118" s="178" t="s">
        <v>1394</v>
      </c>
      <c r="AO118" s="41" t="s">
        <v>1394</v>
      </c>
      <c r="AP118" s="164">
        <v>0</v>
      </c>
      <c r="AQ118" s="153">
        <v>1549.06</v>
      </c>
      <c r="AR118" s="172">
        <v>131.97</v>
      </c>
      <c r="AS118" s="162">
        <v>1</v>
      </c>
      <c r="AT118" s="153">
        <v>2.044</v>
      </c>
      <c r="AU118" s="153">
        <v>2.044</v>
      </c>
      <c r="AV118" s="41"/>
      <c r="AW118" s="41"/>
      <c r="AX118" s="42" t="s">
        <v>141</v>
      </c>
      <c r="AY118" s="41" t="s">
        <v>36</v>
      </c>
      <c r="AZ118" s="164">
        <v>1.93145817064095E-3</v>
      </c>
      <c r="BA118" s="164">
        <v>1.3473091296552E-5</v>
      </c>
    </row>
    <row r="119" spans="1:53">
      <c r="A119" s="41">
        <v>424</v>
      </c>
      <c r="B119" s="41">
        <v>7229</v>
      </c>
      <c r="C119" s="41" t="s">
        <v>2147</v>
      </c>
      <c r="D119" s="41" t="s">
        <v>134</v>
      </c>
      <c r="E119" s="41" t="s">
        <v>2202</v>
      </c>
      <c r="F119" s="41" t="s">
        <v>2203</v>
      </c>
      <c r="G119" s="41" t="s">
        <v>2138</v>
      </c>
      <c r="H119" s="41"/>
      <c r="I119" s="41" t="s">
        <v>30</v>
      </c>
      <c r="J119" s="41" t="s">
        <v>30</v>
      </c>
      <c r="K119" s="41" t="s">
        <v>151</v>
      </c>
      <c r="L119" s="41" t="s">
        <v>141</v>
      </c>
      <c r="M119" s="41" t="s">
        <v>318</v>
      </c>
      <c r="N119" s="41" t="s">
        <v>2204</v>
      </c>
      <c r="O119" s="178" t="s">
        <v>2205</v>
      </c>
      <c r="P119" s="202" t="s">
        <v>142</v>
      </c>
      <c r="Q119" s="21" t="s">
        <v>164</v>
      </c>
      <c r="R119" s="41" t="s">
        <v>2141</v>
      </c>
      <c r="S119" s="41" t="s">
        <v>34</v>
      </c>
      <c r="T119" s="153">
        <v>2.82</v>
      </c>
      <c r="U119" s="41" t="s">
        <v>2142</v>
      </c>
      <c r="V119" s="164">
        <v>5.5452000000000001E-2</v>
      </c>
      <c r="W119" s="41" t="s">
        <v>138</v>
      </c>
      <c r="X119" s="41" t="s">
        <v>2087</v>
      </c>
      <c r="Y119" s="185">
        <v>0</v>
      </c>
      <c r="Z119" s="164">
        <v>2.9100000000000001E-2</v>
      </c>
      <c r="AA119" s="41" t="s">
        <v>2153</v>
      </c>
      <c r="AB119" s="42" t="s">
        <v>146</v>
      </c>
      <c r="AC119" s="41" t="s">
        <v>1565</v>
      </c>
      <c r="AD119" s="153">
        <v>482000</v>
      </c>
      <c r="AE119" s="164">
        <v>0.73</v>
      </c>
      <c r="AF119" s="41" t="s">
        <v>1394</v>
      </c>
      <c r="AG119" s="41" t="s">
        <v>141</v>
      </c>
      <c r="AH119" s="41" t="s">
        <v>2144</v>
      </c>
      <c r="AI119" s="41" t="s">
        <v>2154</v>
      </c>
      <c r="AJ119" s="41" t="s">
        <v>318</v>
      </c>
      <c r="AK119" s="41" t="s">
        <v>1392</v>
      </c>
      <c r="AL119" s="41" t="s">
        <v>2146</v>
      </c>
      <c r="AM119" s="41" t="s">
        <v>1393</v>
      </c>
      <c r="AN119" s="178" t="s">
        <v>1394</v>
      </c>
      <c r="AO119" s="41" t="s">
        <v>1394</v>
      </c>
      <c r="AP119" s="164">
        <v>0</v>
      </c>
      <c r="AQ119" s="153">
        <v>5980.02</v>
      </c>
      <c r="AR119" s="172">
        <v>129.91999999999999</v>
      </c>
      <c r="AS119" s="162">
        <v>1</v>
      </c>
      <c r="AT119" s="153">
        <v>7.7690000000000001</v>
      </c>
      <c r="AU119" s="153">
        <v>7.7690000000000001</v>
      </c>
      <c r="AV119" s="41"/>
      <c r="AW119" s="41"/>
      <c r="AX119" s="42" t="s">
        <v>141</v>
      </c>
      <c r="AY119" s="41" t="s">
        <v>36</v>
      </c>
      <c r="AZ119" s="164">
        <v>7.3404130578108703E-3</v>
      </c>
      <c r="BA119" s="164">
        <v>5.1203829720769397E-5</v>
      </c>
    </row>
    <row r="120" spans="1:53">
      <c r="A120" s="41">
        <v>424</v>
      </c>
      <c r="B120" s="41">
        <v>7229</v>
      </c>
      <c r="C120" s="41" t="s">
        <v>2147</v>
      </c>
      <c r="D120" s="41" t="s">
        <v>134</v>
      </c>
      <c r="E120" s="41" t="s">
        <v>2206</v>
      </c>
      <c r="F120" s="41" t="s">
        <v>2207</v>
      </c>
      <c r="G120" s="41" t="s">
        <v>2138</v>
      </c>
      <c r="H120" s="41"/>
      <c r="I120" s="41" t="s">
        <v>30</v>
      </c>
      <c r="J120" s="41" t="s">
        <v>30</v>
      </c>
      <c r="K120" s="41" t="s">
        <v>151</v>
      </c>
      <c r="L120" s="41" t="s">
        <v>141</v>
      </c>
      <c r="M120" s="41" t="s">
        <v>318</v>
      </c>
      <c r="N120" s="41" t="s">
        <v>2208</v>
      </c>
      <c r="O120" s="178" t="s">
        <v>2151</v>
      </c>
      <c r="P120" s="202" t="s">
        <v>142</v>
      </c>
      <c r="Q120" s="21" t="s">
        <v>164</v>
      </c>
      <c r="R120" s="41" t="s">
        <v>2141</v>
      </c>
      <c r="S120" s="41" t="s">
        <v>34</v>
      </c>
      <c r="T120" s="153">
        <v>2.82</v>
      </c>
      <c r="U120" s="41" t="s">
        <v>2142</v>
      </c>
      <c r="V120" s="164">
        <v>5.5514000000000001E-2</v>
      </c>
      <c r="W120" s="41" t="s">
        <v>138</v>
      </c>
      <c r="X120" s="41" t="s">
        <v>2087</v>
      </c>
      <c r="Y120" s="185">
        <v>0</v>
      </c>
      <c r="Z120" s="164">
        <v>2.9100000000000001E-2</v>
      </c>
      <c r="AA120" s="41" t="s">
        <v>2153</v>
      </c>
      <c r="AB120" s="42" t="s">
        <v>146</v>
      </c>
      <c r="AC120" s="41" t="s">
        <v>1565</v>
      </c>
      <c r="AD120" s="153">
        <v>482000</v>
      </c>
      <c r="AE120" s="164">
        <v>0.73</v>
      </c>
      <c r="AF120" s="41" t="s">
        <v>1394</v>
      </c>
      <c r="AG120" s="41" t="s">
        <v>141</v>
      </c>
      <c r="AH120" s="41" t="s">
        <v>2144</v>
      </c>
      <c r="AI120" s="41" t="s">
        <v>2154</v>
      </c>
      <c r="AJ120" s="41" t="s">
        <v>318</v>
      </c>
      <c r="AK120" s="41" t="s">
        <v>1392</v>
      </c>
      <c r="AL120" s="41" t="s">
        <v>2146</v>
      </c>
      <c r="AM120" s="41" t="s">
        <v>1393</v>
      </c>
      <c r="AN120" s="178" t="s">
        <v>1394</v>
      </c>
      <c r="AO120" s="41" t="s">
        <v>1394</v>
      </c>
      <c r="AP120" s="164">
        <v>0</v>
      </c>
      <c r="AQ120" s="153">
        <v>7263.61</v>
      </c>
      <c r="AR120" s="172">
        <v>131.93</v>
      </c>
      <c r="AS120" s="162">
        <v>1</v>
      </c>
      <c r="AT120" s="153">
        <v>9.5830000000000002</v>
      </c>
      <c r="AU120" s="153">
        <v>9.5830000000000002</v>
      </c>
      <c r="AV120" s="41"/>
      <c r="AW120" s="41"/>
      <c r="AX120" s="42" t="s">
        <v>141</v>
      </c>
      <c r="AY120" s="41" t="s">
        <v>36</v>
      </c>
      <c r="AZ120" s="164">
        <v>9.0539466486429104E-3</v>
      </c>
      <c r="BA120" s="164">
        <v>6.3156765000401801E-5</v>
      </c>
    </row>
    <row r="121" spans="1:53">
      <c r="A121" s="41">
        <v>424</v>
      </c>
      <c r="B121" s="41">
        <v>7229</v>
      </c>
      <c r="C121" s="41" t="s">
        <v>2147</v>
      </c>
      <c r="D121" s="41" t="s">
        <v>134</v>
      </c>
      <c r="E121" s="41" t="s">
        <v>2209</v>
      </c>
      <c r="F121" s="41" t="s">
        <v>2210</v>
      </c>
      <c r="G121" s="41" t="s">
        <v>2138</v>
      </c>
      <c r="H121" s="41"/>
      <c r="I121" s="41" t="s">
        <v>30</v>
      </c>
      <c r="J121" s="41" t="s">
        <v>30</v>
      </c>
      <c r="K121" s="41" t="s">
        <v>151</v>
      </c>
      <c r="L121" s="41" t="s">
        <v>141</v>
      </c>
      <c r="M121" s="41" t="s">
        <v>318</v>
      </c>
      <c r="N121" s="222">
        <v>11898502</v>
      </c>
      <c r="O121" s="178" t="s">
        <v>2151</v>
      </c>
      <c r="P121" s="202" t="s">
        <v>142</v>
      </c>
      <c r="Q121" s="21" t="s">
        <v>164</v>
      </c>
      <c r="R121" s="41" t="s">
        <v>2141</v>
      </c>
      <c r="S121" s="41" t="s">
        <v>34</v>
      </c>
      <c r="T121" s="153">
        <v>2.81</v>
      </c>
      <c r="U121" s="41" t="s">
        <v>2142</v>
      </c>
      <c r="V121" s="164">
        <v>5.7402000000000002E-2</v>
      </c>
      <c r="W121" s="41" t="s">
        <v>138</v>
      </c>
      <c r="X121" s="41" t="s">
        <v>2087</v>
      </c>
      <c r="Y121" s="185">
        <v>0</v>
      </c>
      <c r="Z121" s="164">
        <v>2.9000000000000001E-2</v>
      </c>
      <c r="AA121" s="41" t="s">
        <v>2153</v>
      </c>
      <c r="AB121" s="42" t="s">
        <v>146</v>
      </c>
      <c r="AC121" s="41" t="s">
        <v>1565</v>
      </c>
      <c r="AD121" s="153">
        <v>482000</v>
      </c>
      <c r="AE121" s="164">
        <v>0.73</v>
      </c>
      <c r="AF121" s="41" t="s">
        <v>1394</v>
      </c>
      <c r="AG121" s="41" t="s">
        <v>141</v>
      </c>
      <c r="AH121" s="41" t="s">
        <v>2144</v>
      </c>
      <c r="AI121" s="41" t="s">
        <v>2154</v>
      </c>
      <c r="AJ121" s="41" t="s">
        <v>318</v>
      </c>
      <c r="AK121" s="41" t="s">
        <v>1392</v>
      </c>
      <c r="AL121" s="41" t="s">
        <v>2146</v>
      </c>
      <c r="AM121" s="41" t="s">
        <v>1393</v>
      </c>
      <c r="AN121" s="178" t="s">
        <v>1394</v>
      </c>
      <c r="AO121" s="41" t="s">
        <v>1394</v>
      </c>
      <c r="AP121" s="164">
        <v>0</v>
      </c>
      <c r="AQ121" s="153">
        <v>1520.64</v>
      </c>
      <c r="AR121" s="172">
        <v>133.19999999999999</v>
      </c>
      <c r="AS121" s="162">
        <v>1</v>
      </c>
      <c r="AT121" s="153">
        <v>2.0249999999999999</v>
      </c>
      <c r="AU121" s="153">
        <v>2.0249999999999999</v>
      </c>
      <c r="AV121" s="41"/>
      <c r="AW121" s="41"/>
      <c r="AX121" s="42" t="s">
        <v>141</v>
      </c>
      <c r="AY121" s="41" t="s">
        <v>36</v>
      </c>
      <c r="AZ121" s="164">
        <v>1.91369395872967E-3</v>
      </c>
      <c r="BA121" s="164">
        <v>1.3349175152505999E-5</v>
      </c>
    </row>
    <row r="122" spans="1:53">
      <c r="A122" s="41">
        <v>424</v>
      </c>
      <c r="B122" s="41">
        <v>7229</v>
      </c>
      <c r="C122" s="41" t="s">
        <v>2147</v>
      </c>
      <c r="D122" s="41" t="s">
        <v>134</v>
      </c>
      <c r="E122" s="41" t="s">
        <v>2211</v>
      </c>
      <c r="F122" s="41" t="s">
        <v>2212</v>
      </c>
      <c r="G122" s="41" t="s">
        <v>2138</v>
      </c>
      <c r="H122" s="41"/>
      <c r="I122" s="41" t="s">
        <v>30</v>
      </c>
      <c r="J122" s="41" t="s">
        <v>30</v>
      </c>
      <c r="K122" s="41" t="s">
        <v>151</v>
      </c>
      <c r="L122" s="41" t="s">
        <v>141</v>
      </c>
      <c r="M122" s="41" t="s">
        <v>318</v>
      </c>
      <c r="N122" s="41" t="s">
        <v>2213</v>
      </c>
      <c r="O122" s="178" t="s">
        <v>2214</v>
      </c>
      <c r="P122" s="202" t="s">
        <v>142</v>
      </c>
      <c r="Q122" s="21" t="s">
        <v>164</v>
      </c>
      <c r="R122" s="41" t="s">
        <v>2141</v>
      </c>
      <c r="S122" s="41" t="s">
        <v>34</v>
      </c>
      <c r="T122" s="153">
        <v>2.81</v>
      </c>
      <c r="U122" s="41" t="s">
        <v>2142</v>
      </c>
      <c r="V122" s="164">
        <v>5.6347000000000001E-2</v>
      </c>
      <c r="W122" s="41" t="s">
        <v>138</v>
      </c>
      <c r="X122" s="41" t="s">
        <v>2087</v>
      </c>
      <c r="Y122" s="185">
        <v>0</v>
      </c>
      <c r="Z122" s="164">
        <v>2.9100000000000001E-2</v>
      </c>
      <c r="AA122" s="41" t="s">
        <v>2153</v>
      </c>
      <c r="AB122" s="42" t="s">
        <v>146</v>
      </c>
      <c r="AC122" s="41" t="s">
        <v>1565</v>
      </c>
      <c r="AD122" s="153">
        <v>482000</v>
      </c>
      <c r="AE122" s="164">
        <v>0.73</v>
      </c>
      <c r="AF122" s="41" t="s">
        <v>1394</v>
      </c>
      <c r="AG122" s="41" t="s">
        <v>141</v>
      </c>
      <c r="AH122" s="41" t="s">
        <v>2144</v>
      </c>
      <c r="AI122" s="41" t="s">
        <v>2154</v>
      </c>
      <c r="AJ122" s="41" t="s">
        <v>318</v>
      </c>
      <c r="AK122" s="41" t="s">
        <v>1392</v>
      </c>
      <c r="AL122" s="41" t="s">
        <v>2146</v>
      </c>
      <c r="AM122" s="41" t="s">
        <v>1393</v>
      </c>
      <c r="AN122" s="178" t="s">
        <v>1394</v>
      </c>
      <c r="AO122" s="41" t="s">
        <v>1394</v>
      </c>
      <c r="AP122" s="164">
        <v>0</v>
      </c>
      <c r="AQ122" s="153">
        <v>2137.02</v>
      </c>
      <c r="AR122" s="172">
        <v>132.63999999999999</v>
      </c>
      <c r="AS122" s="162">
        <v>1</v>
      </c>
      <c r="AT122" s="153">
        <v>2.835</v>
      </c>
      <c r="AU122" s="153">
        <v>2.835</v>
      </c>
      <c r="AV122" s="41"/>
      <c r="AW122" s="41"/>
      <c r="AX122" s="42" t="s">
        <v>141</v>
      </c>
      <c r="AY122" s="41" t="s">
        <v>36</v>
      </c>
      <c r="AZ122" s="164">
        <v>2.6780886604679398E-3</v>
      </c>
      <c r="BA122" s="164">
        <v>1.8681291456998699E-5</v>
      </c>
    </row>
    <row r="123" spans="1:53">
      <c r="A123" s="41">
        <v>424</v>
      </c>
      <c r="B123" s="41">
        <v>7229</v>
      </c>
      <c r="C123" s="41" t="s">
        <v>2147</v>
      </c>
      <c r="D123" s="41" t="s">
        <v>134</v>
      </c>
      <c r="E123" s="41" t="s">
        <v>2215</v>
      </c>
      <c r="F123" s="41" t="s">
        <v>2216</v>
      </c>
      <c r="G123" s="41" t="s">
        <v>2138</v>
      </c>
      <c r="H123" s="41"/>
      <c r="I123" s="41" t="s">
        <v>30</v>
      </c>
      <c r="J123" s="41" t="s">
        <v>30</v>
      </c>
      <c r="K123" s="41" t="s">
        <v>151</v>
      </c>
      <c r="L123" s="41" t="s">
        <v>141</v>
      </c>
      <c r="M123" s="41" t="s">
        <v>318</v>
      </c>
      <c r="N123" s="41" t="s">
        <v>2217</v>
      </c>
      <c r="O123" s="178" t="s">
        <v>2151</v>
      </c>
      <c r="P123" s="202" t="s">
        <v>142</v>
      </c>
      <c r="Q123" s="21" t="s">
        <v>164</v>
      </c>
      <c r="R123" s="41" t="s">
        <v>2141</v>
      </c>
      <c r="S123" s="41" t="s">
        <v>34</v>
      </c>
      <c r="T123" s="153">
        <v>2.81</v>
      </c>
      <c r="U123" s="41" t="s">
        <v>2152</v>
      </c>
      <c r="V123" s="164">
        <v>5.5452000000000001E-2</v>
      </c>
      <c r="W123" s="41" t="s">
        <v>138</v>
      </c>
      <c r="X123" s="41" t="s">
        <v>2087</v>
      </c>
      <c r="Y123" s="185">
        <v>0</v>
      </c>
      <c r="Z123" s="164">
        <v>3.0599999999999999E-2</v>
      </c>
      <c r="AA123" s="41" t="s">
        <v>2153</v>
      </c>
      <c r="AB123" s="42" t="s">
        <v>146</v>
      </c>
      <c r="AC123" s="41" t="s">
        <v>1565</v>
      </c>
      <c r="AD123" s="153">
        <v>482000</v>
      </c>
      <c r="AE123" s="164">
        <v>0.73</v>
      </c>
      <c r="AF123" s="41" t="s">
        <v>1394</v>
      </c>
      <c r="AG123" s="41" t="s">
        <v>141</v>
      </c>
      <c r="AH123" s="41" t="s">
        <v>2144</v>
      </c>
      <c r="AI123" s="41" t="s">
        <v>2154</v>
      </c>
      <c r="AJ123" s="41" t="s">
        <v>318</v>
      </c>
      <c r="AK123" s="41" t="s">
        <v>1392</v>
      </c>
      <c r="AL123" s="41" t="s">
        <v>2146</v>
      </c>
      <c r="AM123" s="41" t="s">
        <v>1393</v>
      </c>
      <c r="AN123" s="178" t="s">
        <v>1394</v>
      </c>
      <c r="AO123" s="41" t="s">
        <v>1394</v>
      </c>
      <c r="AP123" s="164">
        <v>0</v>
      </c>
      <c r="AQ123" s="153">
        <v>2706.99</v>
      </c>
      <c r="AR123" s="172">
        <v>127.45</v>
      </c>
      <c r="AS123" s="162">
        <v>1</v>
      </c>
      <c r="AT123" s="153">
        <v>3.45</v>
      </c>
      <c r="AU123" s="153">
        <v>3.45</v>
      </c>
      <c r="AV123" s="41"/>
      <c r="AW123" s="41"/>
      <c r="AX123" s="42" t="s">
        <v>141</v>
      </c>
      <c r="AY123" s="41" t="s">
        <v>36</v>
      </c>
      <c r="AZ123" s="164">
        <v>3.2596302686376298E-3</v>
      </c>
      <c r="BA123" s="164">
        <v>2.2737896616101802E-5</v>
      </c>
    </row>
    <row r="124" spans="1:53">
      <c r="A124" s="41">
        <v>424</v>
      </c>
      <c r="B124" s="41">
        <v>7229</v>
      </c>
      <c r="C124" s="41" t="s">
        <v>2147</v>
      </c>
      <c r="D124" s="41" t="s">
        <v>134</v>
      </c>
      <c r="E124" s="41" t="s">
        <v>2218</v>
      </c>
      <c r="F124" s="41" t="s">
        <v>2219</v>
      </c>
      <c r="G124" s="41" t="s">
        <v>2138</v>
      </c>
      <c r="H124" s="41"/>
      <c r="I124" s="41" t="s">
        <v>30</v>
      </c>
      <c r="J124" s="41" t="s">
        <v>30</v>
      </c>
      <c r="K124" s="41" t="s">
        <v>151</v>
      </c>
      <c r="L124" s="41" t="s">
        <v>141</v>
      </c>
      <c r="M124" s="41" t="s">
        <v>318</v>
      </c>
      <c r="N124" s="41" t="s">
        <v>2220</v>
      </c>
      <c r="O124" s="178" t="s">
        <v>2151</v>
      </c>
      <c r="P124" s="202" t="s">
        <v>142</v>
      </c>
      <c r="Q124" s="21" t="s">
        <v>164</v>
      </c>
      <c r="R124" s="41" t="s">
        <v>2141</v>
      </c>
      <c r="S124" s="41" t="s">
        <v>34</v>
      </c>
      <c r="T124" s="153">
        <v>2.82</v>
      </c>
      <c r="U124" s="41" t="s">
        <v>2152</v>
      </c>
      <c r="V124" s="164">
        <v>5.5451E-2</v>
      </c>
      <c r="W124" s="41" t="s">
        <v>138</v>
      </c>
      <c r="X124" s="41" t="s">
        <v>2087</v>
      </c>
      <c r="Y124" s="185">
        <v>0</v>
      </c>
      <c r="Z124" s="164">
        <v>2.9000000000000001E-2</v>
      </c>
      <c r="AA124" s="41" t="s">
        <v>2153</v>
      </c>
      <c r="AB124" s="42" t="s">
        <v>146</v>
      </c>
      <c r="AC124" s="41" t="s">
        <v>1565</v>
      </c>
      <c r="AD124" s="153">
        <v>482000</v>
      </c>
      <c r="AE124" s="164">
        <v>0.73</v>
      </c>
      <c r="AF124" s="41" t="s">
        <v>1394</v>
      </c>
      <c r="AG124" s="41" t="s">
        <v>141</v>
      </c>
      <c r="AH124" s="41" t="s">
        <v>2144</v>
      </c>
      <c r="AI124" s="41" t="s">
        <v>2154</v>
      </c>
      <c r="AJ124" s="41" t="s">
        <v>318</v>
      </c>
      <c r="AK124" s="41" t="s">
        <v>1392</v>
      </c>
      <c r="AL124" s="41" t="s">
        <v>2146</v>
      </c>
      <c r="AM124" s="41" t="s">
        <v>1393</v>
      </c>
      <c r="AN124" s="178" t="s">
        <v>1394</v>
      </c>
      <c r="AO124" s="41" t="s">
        <v>1394</v>
      </c>
      <c r="AP124" s="164">
        <v>0</v>
      </c>
      <c r="AQ124" s="153">
        <v>336.34</v>
      </c>
      <c r="AR124" s="172">
        <v>127.61</v>
      </c>
      <c r="AS124" s="162">
        <v>1</v>
      </c>
      <c r="AT124" s="153">
        <v>0.42899999999999999</v>
      </c>
      <c r="AU124" s="153">
        <v>0.42899999999999999</v>
      </c>
      <c r="AV124" s="41"/>
      <c r="AW124" s="41"/>
      <c r="AX124" s="42" t="s">
        <v>141</v>
      </c>
      <c r="AY124" s="41" t="s">
        <v>36</v>
      </c>
      <c r="AZ124" s="164">
        <v>4.0551327806439798E-4</v>
      </c>
      <c r="BA124" s="164">
        <v>2.8287008750040099E-6</v>
      </c>
    </row>
    <row r="125" spans="1:53">
      <c r="A125" s="41">
        <v>424</v>
      </c>
      <c r="B125" s="41">
        <v>7229</v>
      </c>
      <c r="C125" s="41" t="s">
        <v>2147</v>
      </c>
      <c r="D125" s="41" t="s">
        <v>134</v>
      </c>
      <c r="E125" s="41" t="s">
        <v>2221</v>
      </c>
      <c r="F125" s="41" t="s">
        <v>2222</v>
      </c>
      <c r="G125" s="41" t="s">
        <v>2138</v>
      </c>
      <c r="H125" s="41"/>
      <c r="I125" s="41" t="s">
        <v>30</v>
      </c>
      <c r="J125" s="41" t="s">
        <v>30</v>
      </c>
      <c r="K125" s="41" t="s">
        <v>151</v>
      </c>
      <c r="L125" s="41" t="s">
        <v>141</v>
      </c>
      <c r="M125" s="41" t="s">
        <v>318</v>
      </c>
      <c r="N125" s="41" t="s">
        <v>2223</v>
      </c>
      <c r="O125" s="178" t="s">
        <v>2151</v>
      </c>
      <c r="P125" s="202" t="s">
        <v>142</v>
      </c>
      <c r="Q125" s="21" t="s">
        <v>164</v>
      </c>
      <c r="R125" s="41" t="s">
        <v>2141</v>
      </c>
      <c r="S125" s="41" t="s">
        <v>34</v>
      </c>
      <c r="T125" s="153">
        <v>2.82</v>
      </c>
      <c r="U125" s="41" t="s">
        <v>2152</v>
      </c>
      <c r="V125" s="164">
        <v>5.5432000000000002E-2</v>
      </c>
      <c r="W125" s="41" t="s">
        <v>138</v>
      </c>
      <c r="X125" s="41" t="s">
        <v>2087</v>
      </c>
      <c r="Y125" s="185">
        <v>0</v>
      </c>
      <c r="Z125" s="164">
        <v>2.9100000000000001E-2</v>
      </c>
      <c r="AA125" s="41" t="s">
        <v>2153</v>
      </c>
      <c r="AB125" s="42" t="s">
        <v>146</v>
      </c>
      <c r="AC125" s="41" t="s">
        <v>1565</v>
      </c>
      <c r="AD125" s="153">
        <v>482000</v>
      </c>
      <c r="AE125" s="164">
        <v>0.73</v>
      </c>
      <c r="AF125" s="41" t="s">
        <v>1394</v>
      </c>
      <c r="AG125" s="41" t="s">
        <v>141</v>
      </c>
      <c r="AH125" s="41" t="s">
        <v>2144</v>
      </c>
      <c r="AI125" s="41" t="s">
        <v>2154</v>
      </c>
      <c r="AJ125" s="41" t="s">
        <v>318</v>
      </c>
      <c r="AK125" s="41" t="s">
        <v>1392</v>
      </c>
      <c r="AL125" s="41" t="s">
        <v>2146</v>
      </c>
      <c r="AM125" s="41" t="s">
        <v>1393</v>
      </c>
      <c r="AN125" s="178" t="s">
        <v>1394</v>
      </c>
      <c r="AO125" s="41" t="s">
        <v>1394</v>
      </c>
      <c r="AP125" s="164">
        <v>0</v>
      </c>
      <c r="AQ125" s="153">
        <v>746.98</v>
      </c>
      <c r="AR125" s="172">
        <v>127.96</v>
      </c>
      <c r="AS125" s="162">
        <v>1</v>
      </c>
      <c r="AT125" s="153">
        <v>0.95599999999999996</v>
      </c>
      <c r="AU125" s="153">
        <v>0.95599999999999996</v>
      </c>
      <c r="AV125" s="41"/>
      <c r="AW125" s="41"/>
      <c r="AX125" s="42" t="s">
        <v>141</v>
      </c>
      <c r="AY125" s="41" t="s">
        <v>36</v>
      </c>
      <c r="AZ125" s="164">
        <v>9.0307757082776295E-4</v>
      </c>
      <c r="BA125" s="164">
        <v>6.2995133648652299E-6</v>
      </c>
    </row>
    <row r="126" spans="1:53">
      <c r="A126" s="41">
        <v>424</v>
      </c>
      <c r="B126" s="41">
        <v>7229</v>
      </c>
      <c r="C126" s="41" t="s">
        <v>2147</v>
      </c>
      <c r="D126" s="41" t="s">
        <v>134</v>
      </c>
      <c r="E126" s="41" t="s">
        <v>2224</v>
      </c>
      <c r="F126" s="41" t="s">
        <v>2225</v>
      </c>
      <c r="G126" s="41" t="s">
        <v>2138</v>
      </c>
      <c r="H126" s="41"/>
      <c r="I126" s="41" t="s">
        <v>30</v>
      </c>
      <c r="J126" s="41" t="s">
        <v>30</v>
      </c>
      <c r="K126" s="41" t="s">
        <v>151</v>
      </c>
      <c r="L126" s="41" t="s">
        <v>141</v>
      </c>
      <c r="M126" s="41" t="s">
        <v>318</v>
      </c>
      <c r="N126" s="41" t="s">
        <v>2226</v>
      </c>
      <c r="O126" s="178" t="s">
        <v>2227</v>
      </c>
      <c r="P126" s="202" t="s">
        <v>142</v>
      </c>
      <c r="Q126" s="21" t="s">
        <v>164</v>
      </c>
      <c r="R126" s="41" t="s">
        <v>2141</v>
      </c>
      <c r="S126" s="41" t="s">
        <v>34</v>
      </c>
      <c r="T126" s="153">
        <v>2.81</v>
      </c>
      <c r="U126" s="41" t="s">
        <v>2152</v>
      </c>
      <c r="V126" s="164">
        <v>5.7388000000000002E-2</v>
      </c>
      <c r="W126" s="41" t="s">
        <v>138</v>
      </c>
      <c r="X126" s="41" t="s">
        <v>2087</v>
      </c>
      <c r="Y126" s="185">
        <v>0</v>
      </c>
      <c r="Z126" s="164">
        <v>2.9100000000000001E-2</v>
      </c>
      <c r="AA126" s="41" t="s">
        <v>2153</v>
      </c>
      <c r="AB126" s="42" t="s">
        <v>146</v>
      </c>
      <c r="AC126" s="41" t="s">
        <v>1565</v>
      </c>
      <c r="AD126" s="153">
        <v>482000</v>
      </c>
      <c r="AE126" s="164">
        <v>0.73</v>
      </c>
      <c r="AF126" s="41" t="s">
        <v>1394</v>
      </c>
      <c r="AG126" s="41" t="s">
        <v>141</v>
      </c>
      <c r="AH126" s="41" t="s">
        <v>2144</v>
      </c>
      <c r="AI126" s="41" t="s">
        <v>2154</v>
      </c>
      <c r="AJ126" s="41" t="s">
        <v>318</v>
      </c>
      <c r="AK126" s="41" t="s">
        <v>1392</v>
      </c>
      <c r="AL126" s="41" t="s">
        <v>2146</v>
      </c>
      <c r="AM126" s="41" t="s">
        <v>1393</v>
      </c>
      <c r="AN126" s="178" t="s">
        <v>1394</v>
      </c>
      <c r="AO126" s="41" t="s">
        <v>1394</v>
      </c>
      <c r="AP126" s="164">
        <v>0</v>
      </c>
      <c r="AQ126" s="153">
        <v>7175.91</v>
      </c>
      <c r="AR126" s="172">
        <v>133.16999999999999</v>
      </c>
      <c r="AS126" s="162">
        <v>1</v>
      </c>
      <c r="AT126" s="153">
        <v>9.5559999999999992</v>
      </c>
      <c r="AU126" s="153">
        <v>9.5559999999999992</v>
      </c>
      <c r="AV126" s="41"/>
      <c r="AW126" s="41"/>
      <c r="AX126" s="42" t="s">
        <v>141</v>
      </c>
      <c r="AY126" s="41" t="s">
        <v>36</v>
      </c>
      <c r="AZ126" s="164">
        <v>9.0287002255431594E-3</v>
      </c>
      <c r="BA126" s="164">
        <v>6.2980655898737202E-5</v>
      </c>
    </row>
    <row r="127" spans="1:53">
      <c r="A127" s="41">
        <v>424</v>
      </c>
      <c r="B127" s="41">
        <v>7229</v>
      </c>
      <c r="C127" s="41" t="s">
        <v>2147</v>
      </c>
      <c r="D127" s="41" t="s">
        <v>134</v>
      </c>
      <c r="E127" s="41" t="s">
        <v>2228</v>
      </c>
      <c r="F127" s="41" t="s">
        <v>2229</v>
      </c>
      <c r="G127" s="41" t="s">
        <v>2138</v>
      </c>
      <c r="H127" s="41"/>
      <c r="I127" s="41" t="s">
        <v>30</v>
      </c>
      <c r="J127" s="41" t="s">
        <v>30</v>
      </c>
      <c r="K127" s="41" t="s">
        <v>151</v>
      </c>
      <c r="L127" s="41" t="s">
        <v>141</v>
      </c>
      <c r="M127" s="41" t="s">
        <v>318</v>
      </c>
      <c r="N127" s="41" t="s">
        <v>2230</v>
      </c>
      <c r="O127" s="178" t="s">
        <v>2151</v>
      </c>
      <c r="P127" s="202" t="s">
        <v>142</v>
      </c>
      <c r="Q127" s="21" t="s">
        <v>164</v>
      </c>
      <c r="R127" s="41" t="s">
        <v>2141</v>
      </c>
      <c r="S127" s="41" t="s">
        <v>34</v>
      </c>
      <c r="T127" s="153">
        <v>2.81</v>
      </c>
      <c r="U127" s="41" t="s">
        <v>2142</v>
      </c>
      <c r="V127" s="164">
        <v>5.7084999999999997E-2</v>
      </c>
      <c r="W127" s="41" t="s">
        <v>138</v>
      </c>
      <c r="X127" s="41" t="s">
        <v>2087</v>
      </c>
      <c r="Y127" s="185">
        <v>0</v>
      </c>
      <c r="Z127" s="164">
        <v>3.0499999999999999E-2</v>
      </c>
      <c r="AA127" s="41" t="s">
        <v>2153</v>
      </c>
      <c r="AB127" s="42" t="s">
        <v>146</v>
      </c>
      <c r="AC127" s="41" t="s">
        <v>1565</v>
      </c>
      <c r="AD127" s="153">
        <v>482000</v>
      </c>
      <c r="AE127" s="164">
        <v>0.73</v>
      </c>
      <c r="AF127" s="41" t="s">
        <v>1394</v>
      </c>
      <c r="AG127" s="41" t="s">
        <v>141</v>
      </c>
      <c r="AH127" s="41" t="s">
        <v>2144</v>
      </c>
      <c r="AI127" s="41" t="s">
        <v>2154</v>
      </c>
      <c r="AJ127" s="41" t="s">
        <v>318</v>
      </c>
      <c r="AK127" s="41" t="s">
        <v>1392</v>
      </c>
      <c r="AL127" s="41" t="s">
        <v>2146</v>
      </c>
      <c r="AM127" s="41" t="s">
        <v>1393</v>
      </c>
      <c r="AN127" s="178" t="s">
        <v>1394</v>
      </c>
      <c r="AO127" s="41" t="s">
        <v>1394</v>
      </c>
      <c r="AP127" s="164">
        <v>0</v>
      </c>
      <c r="AQ127" s="153">
        <v>1613.63</v>
      </c>
      <c r="AR127" s="172">
        <v>132.53</v>
      </c>
      <c r="AS127" s="162">
        <v>1</v>
      </c>
      <c r="AT127" s="153">
        <v>2.1389999999999998</v>
      </c>
      <c r="AU127" s="153">
        <v>2.1389999999999998</v>
      </c>
      <c r="AV127" s="41"/>
      <c r="AW127" s="41"/>
      <c r="AX127" s="42" t="s">
        <v>141</v>
      </c>
      <c r="AY127" s="41" t="s">
        <v>36</v>
      </c>
      <c r="AZ127" s="164">
        <v>2.0205053662666998E-3</v>
      </c>
      <c r="BA127" s="164">
        <v>1.4094249452915E-5</v>
      </c>
    </row>
    <row r="128" spans="1:53">
      <c r="A128" s="41">
        <v>424</v>
      </c>
      <c r="B128" s="41">
        <v>7229</v>
      </c>
      <c r="C128" s="41" t="s">
        <v>2147</v>
      </c>
      <c r="D128" s="41" t="s">
        <v>134</v>
      </c>
      <c r="E128" s="41" t="s">
        <v>2231</v>
      </c>
      <c r="F128" s="41" t="s">
        <v>2232</v>
      </c>
      <c r="G128" s="41" t="s">
        <v>2138</v>
      </c>
      <c r="H128" s="41"/>
      <c r="I128" s="41" t="s">
        <v>30</v>
      </c>
      <c r="J128" s="41" t="s">
        <v>30</v>
      </c>
      <c r="K128" s="41" t="s">
        <v>151</v>
      </c>
      <c r="L128" s="41" t="s">
        <v>141</v>
      </c>
      <c r="M128" s="41" t="s">
        <v>318</v>
      </c>
      <c r="N128" s="41" t="s">
        <v>2233</v>
      </c>
      <c r="O128" s="178" t="s">
        <v>2234</v>
      </c>
      <c r="P128" s="202" t="s">
        <v>142</v>
      </c>
      <c r="Q128" s="21" t="s">
        <v>164</v>
      </c>
      <c r="R128" s="41" t="s">
        <v>2141</v>
      </c>
      <c r="S128" s="41" t="s">
        <v>34</v>
      </c>
      <c r="T128" s="153">
        <v>2.81</v>
      </c>
      <c r="U128" s="41" t="s">
        <v>2142</v>
      </c>
      <c r="V128" s="164">
        <v>5.5453000000000002E-2</v>
      </c>
      <c r="W128" s="41" t="s">
        <v>138</v>
      </c>
      <c r="X128" s="41" t="s">
        <v>2087</v>
      </c>
      <c r="Y128" s="185">
        <v>0</v>
      </c>
      <c r="Z128" s="164">
        <v>2.9100000000000001E-2</v>
      </c>
      <c r="AA128" s="41" t="s">
        <v>2153</v>
      </c>
      <c r="AB128" s="42" t="s">
        <v>146</v>
      </c>
      <c r="AC128" s="41" t="s">
        <v>1565</v>
      </c>
      <c r="AD128" s="153">
        <v>482000</v>
      </c>
      <c r="AE128" s="164">
        <v>0.73</v>
      </c>
      <c r="AF128" s="41" t="s">
        <v>1394</v>
      </c>
      <c r="AG128" s="41" t="s">
        <v>141</v>
      </c>
      <c r="AH128" s="41" t="s">
        <v>2144</v>
      </c>
      <c r="AI128" s="41" t="s">
        <v>2154</v>
      </c>
      <c r="AJ128" s="41" t="s">
        <v>318</v>
      </c>
      <c r="AK128" s="41" t="s">
        <v>1392</v>
      </c>
      <c r="AL128" s="41" t="s">
        <v>2146</v>
      </c>
      <c r="AM128" s="41" t="s">
        <v>1393</v>
      </c>
      <c r="AN128" s="178" t="s">
        <v>1394</v>
      </c>
      <c r="AO128" s="41" t="s">
        <v>1394</v>
      </c>
      <c r="AP128" s="164">
        <v>0</v>
      </c>
      <c r="AQ128" s="153">
        <v>9436.7000000000007</v>
      </c>
      <c r="AR128" s="172">
        <v>129.88999999999999</v>
      </c>
      <c r="AS128" s="162">
        <v>1</v>
      </c>
      <c r="AT128" s="153">
        <v>12.257</v>
      </c>
      <c r="AU128" s="153">
        <v>12.257</v>
      </c>
      <c r="AV128" s="41"/>
      <c r="AW128" s="41"/>
      <c r="AX128" s="42" t="s">
        <v>141</v>
      </c>
      <c r="AY128" s="41" t="s">
        <v>36</v>
      </c>
      <c r="AZ128" s="164">
        <v>1.15807774626195E-2</v>
      </c>
      <c r="BA128" s="164">
        <v>8.0782941308609997E-5</v>
      </c>
    </row>
    <row r="129" spans="1:53">
      <c r="A129" s="41">
        <v>424</v>
      </c>
      <c r="B129" s="41">
        <v>7229</v>
      </c>
      <c r="C129" s="41" t="s">
        <v>2147</v>
      </c>
      <c r="D129" s="41" t="s">
        <v>134</v>
      </c>
      <c r="E129" s="41" t="s">
        <v>2235</v>
      </c>
      <c r="F129" s="41" t="s">
        <v>2236</v>
      </c>
      <c r="G129" s="41" t="s">
        <v>2138</v>
      </c>
      <c r="H129" s="41"/>
      <c r="I129" s="41" t="s">
        <v>30</v>
      </c>
      <c r="J129" s="41" t="s">
        <v>30</v>
      </c>
      <c r="K129" s="41" t="s">
        <v>151</v>
      </c>
      <c r="L129" s="41" t="s">
        <v>141</v>
      </c>
      <c r="M129" s="41" t="s">
        <v>318</v>
      </c>
      <c r="N129" s="41" t="s">
        <v>2237</v>
      </c>
      <c r="O129" s="178" t="s">
        <v>2238</v>
      </c>
      <c r="P129" s="202" t="s">
        <v>142</v>
      </c>
      <c r="Q129" s="21" t="s">
        <v>164</v>
      </c>
      <c r="R129" s="41" t="s">
        <v>2141</v>
      </c>
      <c r="S129" s="41" t="s">
        <v>34</v>
      </c>
      <c r="T129" s="153">
        <v>2.81</v>
      </c>
      <c r="U129" s="41" t="s">
        <v>2142</v>
      </c>
      <c r="V129" s="164">
        <v>5.5764000000000001E-2</v>
      </c>
      <c r="W129" s="41" t="s">
        <v>138</v>
      </c>
      <c r="X129" s="41" t="s">
        <v>2087</v>
      </c>
      <c r="Y129" s="185">
        <v>0</v>
      </c>
      <c r="Z129" s="164">
        <v>2.9100000000000001E-2</v>
      </c>
      <c r="AA129" s="41" t="s">
        <v>2153</v>
      </c>
      <c r="AB129" s="42" t="s">
        <v>146</v>
      </c>
      <c r="AC129" s="41" t="s">
        <v>1565</v>
      </c>
      <c r="AD129" s="153">
        <v>482000</v>
      </c>
      <c r="AE129" s="164">
        <v>0.73</v>
      </c>
      <c r="AF129" s="41" t="s">
        <v>1394</v>
      </c>
      <c r="AG129" s="41" t="s">
        <v>141</v>
      </c>
      <c r="AH129" s="41" t="s">
        <v>2144</v>
      </c>
      <c r="AI129" s="41" t="s">
        <v>2154</v>
      </c>
      <c r="AJ129" s="41" t="s">
        <v>318</v>
      </c>
      <c r="AK129" s="41" t="s">
        <v>1392</v>
      </c>
      <c r="AL129" s="41" t="s">
        <v>2146</v>
      </c>
      <c r="AM129" s="41" t="s">
        <v>1393</v>
      </c>
      <c r="AN129" s="178" t="s">
        <v>1394</v>
      </c>
      <c r="AO129" s="41" t="s">
        <v>1394</v>
      </c>
      <c r="AP129" s="164">
        <v>0</v>
      </c>
      <c r="AQ129" s="153">
        <v>6834.27</v>
      </c>
      <c r="AR129" s="172">
        <v>132.54</v>
      </c>
      <c r="AS129" s="162">
        <v>1</v>
      </c>
      <c r="AT129" s="153">
        <v>9.0579999999999998</v>
      </c>
      <c r="AU129" s="153">
        <v>9.0579999999999998</v>
      </c>
      <c r="AV129" s="41"/>
      <c r="AW129" s="41"/>
      <c r="AX129" s="42" t="s">
        <v>141</v>
      </c>
      <c r="AY129" s="41" t="s">
        <v>36</v>
      </c>
      <c r="AZ129" s="164">
        <v>8.5581707938473094E-3</v>
      </c>
      <c r="BA129" s="164">
        <v>5.9698427949245001E-5</v>
      </c>
    </row>
    <row r="130" spans="1:53">
      <c r="A130" s="41">
        <v>424</v>
      </c>
      <c r="B130" s="41">
        <v>7229</v>
      </c>
      <c r="C130" s="41" t="s">
        <v>2147</v>
      </c>
      <c r="D130" s="41" t="s">
        <v>134</v>
      </c>
      <c r="E130" s="41" t="s">
        <v>2239</v>
      </c>
      <c r="F130" s="41" t="s">
        <v>2240</v>
      </c>
      <c r="G130" s="41" t="s">
        <v>2138</v>
      </c>
      <c r="H130" s="41"/>
      <c r="I130" s="41" t="s">
        <v>30</v>
      </c>
      <c r="J130" s="41" t="s">
        <v>30</v>
      </c>
      <c r="K130" s="41" t="s">
        <v>151</v>
      </c>
      <c r="L130" s="41" t="s">
        <v>141</v>
      </c>
      <c r="M130" s="41" t="s">
        <v>318</v>
      </c>
      <c r="N130" s="41" t="s">
        <v>2241</v>
      </c>
      <c r="O130" s="178" t="s">
        <v>2242</v>
      </c>
      <c r="P130" s="202" t="s">
        <v>142</v>
      </c>
      <c r="Q130" s="21" t="s">
        <v>164</v>
      </c>
      <c r="R130" s="41" t="s">
        <v>2141</v>
      </c>
      <c r="S130" s="41" t="s">
        <v>34</v>
      </c>
      <c r="T130" s="153">
        <v>2.82</v>
      </c>
      <c r="U130" s="41" t="s">
        <v>2152</v>
      </c>
      <c r="V130" s="164">
        <v>5.5453000000000002E-2</v>
      </c>
      <c r="W130" s="41" t="s">
        <v>138</v>
      </c>
      <c r="X130" s="41" t="s">
        <v>2087</v>
      </c>
      <c r="Y130" s="185">
        <v>0</v>
      </c>
      <c r="Z130" s="164">
        <v>2.9000000000000001E-2</v>
      </c>
      <c r="AA130" s="41" t="s">
        <v>2153</v>
      </c>
      <c r="AB130" s="42" t="s">
        <v>146</v>
      </c>
      <c r="AC130" s="41" t="s">
        <v>1565</v>
      </c>
      <c r="AD130" s="153">
        <v>482000</v>
      </c>
      <c r="AE130" s="164">
        <v>0.73</v>
      </c>
      <c r="AF130" s="41" t="s">
        <v>1394</v>
      </c>
      <c r="AG130" s="41" t="s">
        <v>141</v>
      </c>
      <c r="AH130" s="41" t="s">
        <v>2144</v>
      </c>
      <c r="AI130" s="41" t="s">
        <v>2154</v>
      </c>
      <c r="AJ130" s="41" t="s">
        <v>318</v>
      </c>
      <c r="AK130" s="41" t="s">
        <v>1392</v>
      </c>
      <c r="AL130" s="41" t="s">
        <v>2146</v>
      </c>
      <c r="AM130" s="41" t="s">
        <v>1393</v>
      </c>
      <c r="AN130" s="178" t="s">
        <v>1394</v>
      </c>
      <c r="AO130" s="41" t="s">
        <v>1394</v>
      </c>
      <c r="AP130" s="164">
        <v>0</v>
      </c>
      <c r="AQ130" s="153">
        <v>1630.1</v>
      </c>
      <c r="AR130" s="172">
        <v>130.56</v>
      </c>
      <c r="AS130" s="162">
        <v>1</v>
      </c>
      <c r="AT130" s="153">
        <v>2.1280000000000001</v>
      </c>
      <c r="AU130" s="153">
        <v>2.1280000000000001</v>
      </c>
      <c r="AV130" s="41"/>
      <c r="AW130" s="41"/>
      <c r="AX130" s="42" t="s">
        <v>141</v>
      </c>
      <c r="AY130" s="41" t="s">
        <v>36</v>
      </c>
      <c r="AZ130" s="164">
        <v>2.0107877906743502E-3</v>
      </c>
      <c r="BA130" s="164">
        <v>1.4026463473841201E-5</v>
      </c>
    </row>
    <row r="131" spans="1:53">
      <c r="A131" s="41">
        <v>424</v>
      </c>
      <c r="B131" s="41">
        <v>7229</v>
      </c>
      <c r="C131" s="41" t="s">
        <v>2147</v>
      </c>
      <c r="D131" s="41" t="s">
        <v>134</v>
      </c>
      <c r="E131" s="41" t="s">
        <v>2243</v>
      </c>
      <c r="F131" s="41" t="s">
        <v>2244</v>
      </c>
      <c r="G131" s="41" t="s">
        <v>2138</v>
      </c>
      <c r="H131" s="41"/>
      <c r="I131" s="41" t="s">
        <v>30</v>
      </c>
      <c r="J131" s="41" t="s">
        <v>30</v>
      </c>
      <c r="K131" s="41" t="s">
        <v>151</v>
      </c>
      <c r="L131" s="41" t="s">
        <v>141</v>
      </c>
      <c r="M131" s="41" t="s">
        <v>318</v>
      </c>
      <c r="N131" s="41" t="s">
        <v>2245</v>
      </c>
      <c r="O131" s="178" t="s">
        <v>2246</v>
      </c>
      <c r="P131" s="202" t="s">
        <v>142</v>
      </c>
      <c r="Q131" s="21" t="s">
        <v>164</v>
      </c>
      <c r="R131" s="41" t="s">
        <v>2141</v>
      </c>
      <c r="S131" s="41" t="s">
        <v>34</v>
      </c>
      <c r="T131" s="153">
        <v>2.82</v>
      </c>
      <c r="U131" s="41" t="s">
        <v>2142</v>
      </c>
      <c r="V131" s="164">
        <v>5.5451E-2</v>
      </c>
      <c r="W131" s="41" t="s">
        <v>138</v>
      </c>
      <c r="X131" s="41" t="s">
        <v>2087</v>
      </c>
      <c r="Y131" s="185">
        <v>0</v>
      </c>
      <c r="Z131" s="164">
        <v>2.9100000000000001E-2</v>
      </c>
      <c r="AA131" s="41" t="s">
        <v>2153</v>
      </c>
      <c r="AB131" s="42" t="s">
        <v>146</v>
      </c>
      <c r="AC131" s="41" t="s">
        <v>1565</v>
      </c>
      <c r="AD131" s="153">
        <v>482000</v>
      </c>
      <c r="AE131" s="164">
        <v>0.73</v>
      </c>
      <c r="AF131" s="41" t="s">
        <v>1394</v>
      </c>
      <c r="AG131" s="41" t="s">
        <v>141</v>
      </c>
      <c r="AH131" s="41" t="s">
        <v>2144</v>
      </c>
      <c r="AI131" s="41" t="s">
        <v>2154</v>
      </c>
      <c r="AJ131" s="41" t="s">
        <v>318</v>
      </c>
      <c r="AK131" s="41" t="s">
        <v>1392</v>
      </c>
      <c r="AL131" s="41" t="s">
        <v>2146</v>
      </c>
      <c r="AM131" s="41" t="s">
        <v>1393</v>
      </c>
      <c r="AN131" s="178" t="s">
        <v>1394</v>
      </c>
      <c r="AO131" s="41" t="s">
        <v>1394</v>
      </c>
      <c r="AP131" s="164">
        <v>0</v>
      </c>
      <c r="AQ131" s="153">
        <v>3300</v>
      </c>
      <c r="AR131" s="172">
        <v>130.28</v>
      </c>
      <c r="AS131" s="162">
        <v>1</v>
      </c>
      <c r="AT131" s="153">
        <v>4.2990000000000004</v>
      </c>
      <c r="AU131" s="153">
        <v>4.2990000000000004</v>
      </c>
      <c r="AV131" s="41"/>
      <c r="AW131" s="41"/>
      <c r="AX131" s="42" t="s">
        <v>141</v>
      </c>
      <c r="AY131" s="41" t="s">
        <v>36</v>
      </c>
      <c r="AZ131" s="164">
        <v>4.0619403411109901E-3</v>
      </c>
      <c r="BA131" s="164">
        <v>2.8334495610005801E-5</v>
      </c>
    </row>
    <row r="132" spans="1:53">
      <c r="A132" s="41">
        <v>424</v>
      </c>
      <c r="B132" s="41">
        <v>7229</v>
      </c>
      <c r="C132" s="41" t="s">
        <v>2147</v>
      </c>
      <c r="D132" s="41" t="s">
        <v>134</v>
      </c>
      <c r="E132" s="41" t="s">
        <v>2247</v>
      </c>
      <c r="F132" s="41" t="s">
        <v>2248</v>
      </c>
      <c r="G132" s="41" t="s">
        <v>2138</v>
      </c>
      <c r="H132" s="41"/>
      <c r="I132" s="41" t="s">
        <v>30</v>
      </c>
      <c r="J132" s="41" t="s">
        <v>30</v>
      </c>
      <c r="K132" s="41" t="s">
        <v>151</v>
      </c>
      <c r="L132" s="41" t="s">
        <v>141</v>
      </c>
      <c r="M132" s="41" t="s">
        <v>318</v>
      </c>
      <c r="N132" s="41" t="s">
        <v>2249</v>
      </c>
      <c r="O132" s="178" t="s">
        <v>2250</v>
      </c>
      <c r="P132" s="202" t="s">
        <v>142</v>
      </c>
      <c r="Q132" s="21" t="s">
        <v>164</v>
      </c>
      <c r="R132" s="41" t="s">
        <v>2141</v>
      </c>
      <c r="S132" s="41" t="s">
        <v>34</v>
      </c>
      <c r="T132" s="153">
        <v>2.82</v>
      </c>
      <c r="U132" s="41" t="s">
        <v>2142</v>
      </c>
      <c r="V132" s="164">
        <v>5.5451E-2</v>
      </c>
      <c r="W132" s="41" t="s">
        <v>138</v>
      </c>
      <c r="X132" s="41" t="s">
        <v>2087</v>
      </c>
      <c r="Y132" s="185">
        <v>0</v>
      </c>
      <c r="Z132" s="164">
        <v>2.9100000000000001E-2</v>
      </c>
      <c r="AA132" s="41" t="s">
        <v>2153</v>
      </c>
      <c r="AB132" s="42" t="s">
        <v>146</v>
      </c>
      <c r="AC132" s="41" t="s">
        <v>1565</v>
      </c>
      <c r="AD132" s="153">
        <v>482000</v>
      </c>
      <c r="AE132" s="164">
        <v>0.73</v>
      </c>
      <c r="AF132" s="41" t="s">
        <v>1394</v>
      </c>
      <c r="AG132" s="41" t="s">
        <v>141</v>
      </c>
      <c r="AH132" s="41" t="s">
        <v>2144</v>
      </c>
      <c r="AI132" s="41" t="s">
        <v>2154</v>
      </c>
      <c r="AJ132" s="41" t="s">
        <v>318</v>
      </c>
      <c r="AK132" s="41" t="s">
        <v>1392</v>
      </c>
      <c r="AL132" s="41" t="s">
        <v>2146</v>
      </c>
      <c r="AM132" s="41" t="s">
        <v>1393</v>
      </c>
      <c r="AN132" s="178" t="s">
        <v>1394</v>
      </c>
      <c r="AO132" s="41" t="s">
        <v>1394</v>
      </c>
      <c r="AP132" s="164">
        <v>0</v>
      </c>
      <c r="AQ132" s="153">
        <v>5116.97</v>
      </c>
      <c r="AR132" s="172">
        <v>130.51</v>
      </c>
      <c r="AS132" s="162">
        <v>1</v>
      </c>
      <c r="AT132" s="153">
        <v>6.6779999999999999</v>
      </c>
      <c r="AU132" s="153">
        <v>6.6779999999999999</v>
      </c>
      <c r="AV132" s="41"/>
      <c r="AW132" s="41"/>
      <c r="AX132" s="42" t="s">
        <v>141</v>
      </c>
      <c r="AY132" s="41" t="s">
        <v>36</v>
      </c>
      <c r="AZ132" s="164">
        <v>6.3095518148449797E-3</v>
      </c>
      <c r="BA132" s="164">
        <v>4.4012947799703797E-5</v>
      </c>
    </row>
    <row r="133" spans="1:53">
      <c r="A133" s="41">
        <v>424</v>
      </c>
      <c r="B133" s="41">
        <v>7229</v>
      </c>
      <c r="C133" s="41" t="s">
        <v>2147</v>
      </c>
      <c r="D133" s="41" t="s">
        <v>134</v>
      </c>
      <c r="E133" s="41" t="s">
        <v>2251</v>
      </c>
      <c r="F133" s="41" t="s">
        <v>2252</v>
      </c>
      <c r="G133" s="41" t="s">
        <v>2138</v>
      </c>
      <c r="H133" s="41"/>
      <c r="I133" s="41" t="s">
        <v>30</v>
      </c>
      <c r="J133" s="41" t="s">
        <v>30</v>
      </c>
      <c r="K133" s="41" t="s">
        <v>151</v>
      </c>
      <c r="L133" s="41" t="s">
        <v>141</v>
      </c>
      <c r="M133" s="41" t="s">
        <v>318</v>
      </c>
      <c r="N133" s="41" t="s">
        <v>2253</v>
      </c>
      <c r="O133" s="178" t="s">
        <v>2242</v>
      </c>
      <c r="P133" s="202" t="s">
        <v>142</v>
      </c>
      <c r="Q133" s="21" t="s">
        <v>164</v>
      </c>
      <c r="R133" s="41" t="s">
        <v>2141</v>
      </c>
      <c r="S133" s="41" t="s">
        <v>34</v>
      </c>
      <c r="T133" s="153">
        <v>2.82</v>
      </c>
      <c r="U133" s="41" t="s">
        <v>2152</v>
      </c>
      <c r="V133" s="164">
        <v>5.5453000000000002E-2</v>
      </c>
      <c r="W133" s="41" t="s">
        <v>138</v>
      </c>
      <c r="X133" s="41" t="s">
        <v>2087</v>
      </c>
      <c r="Y133" s="185">
        <v>0</v>
      </c>
      <c r="Z133" s="164">
        <v>2.9000000000000001E-2</v>
      </c>
      <c r="AA133" s="41" t="s">
        <v>2153</v>
      </c>
      <c r="AB133" s="42" t="s">
        <v>146</v>
      </c>
      <c r="AC133" s="41" t="s">
        <v>1565</v>
      </c>
      <c r="AD133" s="153">
        <v>482000</v>
      </c>
      <c r="AE133" s="164">
        <v>0.73</v>
      </c>
      <c r="AF133" s="41" t="s">
        <v>1394</v>
      </c>
      <c r="AG133" s="41" t="s">
        <v>141</v>
      </c>
      <c r="AH133" s="41" t="s">
        <v>2144</v>
      </c>
      <c r="AI133" s="41" t="s">
        <v>2154</v>
      </c>
      <c r="AJ133" s="41" t="s">
        <v>318</v>
      </c>
      <c r="AK133" s="41" t="s">
        <v>1392</v>
      </c>
      <c r="AL133" s="41" t="s">
        <v>2146</v>
      </c>
      <c r="AM133" s="41" t="s">
        <v>1393</v>
      </c>
      <c r="AN133" s="178" t="s">
        <v>1394</v>
      </c>
      <c r="AO133" s="41" t="s">
        <v>1394</v>
      </c>
      <c r="AP133" s="164">
        <v>0</v>
      </c>
      <c r="AQ133" s="153">
        <v>1349.88</v>
      </c>
      <c r="AR133" s="172">
        <v>129.63</v>
      </c>
      <c r="AS133" s="162">
        <v>1</v>
      </c>
      <c r="AT133" s="153">
        <v>1.75</v>
      </c>
      <c r="AU133" s="153">
        <v>1.75</v>
      </c>
      <c r="AV133" s="41"/>
      <c r="AW133" s="41"/>
      <c r="AX133" s="42" t="s">
        <v>141</v>
      </c>
      <c r="AY133" s="41" t="s">
        <v>36</v>
      </c>
      <c r="AZ133" s="164">
        <v>1.65326523931072E-3</v>
      </c>
      <c r="BA133" s="164">
        <v>1.1532527002258301E-5</v>
      </c>
    </row>
    <row r="134" spans="1:53">
      <c r="A134" s="41">
        <v>424</v>
      </c>
      <c r="B134" s="41">
        <v>7229</v>
      </c>
      <c r="C134" s="41" t="s">
        <v>2147</v>
      </c>
      <c r="D134" s="41" t="s">
        <v>134</v>
      </c>
      <c r="E134" s="41" t="s">
        <v>2254</v>
      </c>
      <c r="F134" s="41" t="s">
        <v>2255</v>
      </c>
      <c r="G134" s="41" t="s">
        <v>2138</v>
      </c>
      <c r="H134" s="41"/>
      <c r="I134" s="41" t="s">
        <v>30</v>
      </c>
      <c r="J134" s="41" t="s">
        <v>30</v>
      </c>
      <c r="K134" s="41" t="s">
        <v>151</v>
      </c>
      <c r="L134" s="41" t="s">
        <v>141</v>
      </c>
      <c r="M134" s="41" t="s">
        <v>318</v>
      </c>
      <c r="N134" s="41" t="s">
        <v>2256</v>
      </c>
      <c r="O134" s="178" t="s">
        <v>2257</v>
      </c>
      <c r="P134" s="202" t="s">
        <v>142</v>
      </c>
      <c r="Q134" s="21" t="s">
        <v>164</v>
      </c>
      <c r="R134" s="41" t="s">
        <v>2141</v>
      </c>
      <c r="S134" s="41" t="s">
        <v>34</v>
      </c>
      <c r="T134" s="153">
        <v>2.82</v>
      </c>
      <c r="U134" s="41" t="s">
        <v>2142</v>
      </c>
      <c r="V134" s="164">
        <v>5.5453000000000002E-2</v>
      </c>
      <c r="W134" s="41" t="s">
        <v>138</v>
      </c>
      <c r="X134" s="41" t="s">
        <v>2087</v>
      </c>
      <c r="Y134" s="185">
        <v>0</v>
      </c>
      <c r="Z134" s="164">
        <v>2.9100000000000001E-2</v>
      </c>
      <c r="AA134" s="41" t="s">
        <v>2153</v>
      </c>
      <c r="AB134" s="42" t="s">
        <v>146</v>
      </c>
      <c r="AC134" s="41" t="s">
        <v>1565</v>
      </c>
      <c r="AD134" s="153">
        <v>482000</v>
      </c>
      <c r="AE134" s="164">
        <v>0.73</v>
      </c>
      <c r="AF134" s="41" t="s">
        <v>1394</v>
      </c>
      <c r="AG134" s="41" t="s">
        <v>141</v>
      </c>
      <c r="AH134" s="41" t="s">
        <v>2144</v>
      </c>
      <c r="AI134" s="41" t="s">
        <v>2154</v>
      </c>
      <c r="AJ134" s="41" t="s">
        <v>318</v>
      </c>
      <c r="AK134" s="41" t="s">
        <v>1392</v>
      </c>
      <c r="AL134" s="41" t="s">
        <v>2146</v>
      </c>
      <c r="AM134" s="41" t="s">
        <v>1393</v>
      </c>
      <c r="AN134" s="178" t="s">
        <v>1394</v>
      </c>
      <c r="AO134" s="41" t="s">
        <v>1394</v>
      </c>
      <c r="AP134" s="164">
        <v>0</v>
      </c>
      <c r="AQ134" s="153">
        <v>1184.8699999999999</v>
      </c>
      <c r="AR134" s="172">
        <v>128.61000000000001</v>
      </c>
      <c r="AS134" s="162">
        <v>1</v>
      </c>
      <c r="AT134" s="153">
        <v>1.524</v>
      </c>
      <c r="AU134" s="153">
        <v>1.524</v>
      </c>
      <c r="AV134" s="41"/>
      <c r="AW134" s="41"/>
      <c r="AX134" s="42" t="s">
        <v>141</v>
      </c>
      <c r="AY134" s="41" t="s">
        <v>36</v>
      </c>
      <c r="AZ134" s="164">
        <v>1.4397506808555499E-3</v>
      </c>
      <c r="BA134" s="164">
        <v>1.00431335569657E-5</v>
      </c>
    </row>
    <row r="135" spans="1:53">
      <c r="A135" s="41">
        <v>424</v>
      </c>
      <c r="B135" s="41">
        <v>7229</v>
      </c>
      <c r="C135" s="41" t="s">
        <v>2147</v>
      </c>
      <c r="D135" s="41" t="s">
        <v>134</v>
      </c>
      <c r="E135" s="41" t="s">
        <v>2258</v>
      </c>
      <c r="F135" s="41" t="s">
        <v>2259</v>
      </c>
      <c r="G135" s="41" t="s">
        <v>2138</v>
      </c>
      <c r="H135" s="41"/>
      <c r="I135" s="41" t="s">
        <v>30</v>
      </c>
      <c r="J135" s="41" t="s">
        <v>30</v>
      </c>
      <c r="K135" s="41" t="s">
        <v>151</v>
      </c>
      <c r="L135" s="41" t="s">
        <v>141</v>
      </c>
      <c r="M135" s="41" t="s">
        <v>318</v>
      </c>
      <c r="N135" s="41" t="s">
        <v>2260</v>
      </c>
      <c r="O135" s="178" t="s">
        <v>2261</v>
      </c>
      <c r="P135" s="202" t="s">
        <v>142</v>
      </c>
      <c r="Q135" s="21" t="s">
        <v>164</v>
      </c>
      <c r="R135" s="41" t="s">
        <v>2141</v>
      </c>
      <c r="S135" s="41" t="s">
        <v>34</v>
      </c>
      <c r="T135" s="153">
        <v>2.82</v>
      </c>
      <c r="U135" s="41" t="s">
        <v>2142</v>
      </c>
      <c r="V135" s="164">
        <v>5.5452000000000001E-2</v>
      </c>
      <c r="W135" s="41" t="s">
        <v>138</v>
      </c>
      <c r="X135" s="41" t="s">
        <v>2087</v>
      </c>
      <c r="Y135" s="185">
        <v>0</v>
      </c>
      <c r="Z135" s="164">
        <v>2.9100000000000001E-2</v>
      </c>
      <c r="AA135" s="41" t="s">
        <v>2153</v>
      </c>
      <c r="AB135" s="42" t="s">
        <v>146</v>
      </c>
      <c r="AC135" s="41" t="s">
        <v>1565</v>
      </c>
      <c r="AD135" s="153">
        <v>482000</v>
      </c>
      <c r="AE135" s="164">
        <v>0.73</v>
      </c>
      <c r="AF135" s="41" t="s">
        <v>1394</v>
      </c>
      <c r="AG135" s="41" t="s">
        <v>141</v>
      </c>
      <c r="AH135" s="41" t="s">
        <v>2144</v>
      </c>
      <c r="AI135" s="41" t="s">
        <v>2154</v>
      </c>
      <c r="AJ135" s="41" t="s">
        <v>318</v>
      </c>
      <c r="AK135" s="41" t="s">
        <v>1392</v>
      </c>
      <c r="AL135" s="41" t="s">
        <v>2146</v>
      </c>
      <c r="AM135" s="41" t="s">
        <v>1393</v>
      </c>
      <c r="AN135" s="178" t="s">
        <v>1394</v>
      </c>
      <c r="AO135" s="41" t="s">
        <v>1394</v>
      </c>
      <c r="AP135" s="164">
        <v>0</v>
      </c>
      <c r="AQ135" s="153">
        <v>1320.82</v>
      </c>
      <c r="AR135" s="172">
        <v>127.98</v>
      </c>
      <c r="AS135" s="162">
        <v>1</v>
      </c>
      <c r="AT135" s="153">
        <v>1.69</v>
      </c>
      <c r="AU135" s="153">
        <v>1.69</v>
      </c>
      <c r="AV135" s="41"/>
      <c r="AW135" s="41"/>
      <c r="AX135" s="42" t="s">
        <v>141</v>
      </c>
      <c r="AY135" s="41" t="s">
        <v>36</v>
      </c>
      <c r="AZ135" s="164">
        <v>1.59708339020731E-3</v>
      </c>
      <c r="BA135" s="164">
        <v>1.1140624555865601E-5</v>
      </c>
    </row>
    <row r="136" spans="1:53">
      <c r="A136" s="41">
        <v>424</v>
      </c>
      <c r="B136" s="41">
        <v>7229</v>
      </c>
      <c r="C136" s="41" t="s">
        <v>2147</v>
      </c>
      <c r="D136" s="41" t="s">
        <v>134</v>
      </c>
      <c r="E136" s="41" t="s">
        <v>2262</v>
      </c>
      <c r="F136" s="41" t="s">
        <v>2263</v>
      </c>
      <c r="G136" s="41" t="s">
        <v>2138</v>
      </c>
      <c r="H136" s="41"/>
      <c r="I136" s="41" t="s">
        <v>30</v>
      </c>
      <c r="J136" s="41" t="s">
        <v>30</v>
      </c>
      <c r="K136" s="41" t="s">
        <v>151</v>
      </c>
      <c r="L136" s="41" t="s">
        <v>141</v>
      </c>
      <c r="M136" s="41" t="s">
        <v>318</v>
      </c>
      <c r="N136" s="41" t="s">
        <v>2264</v>
      </c>
      <c r="O136" s="178" t="s">
        <v>2265</v>
      </c>
      <c r="P136" s="202" t="s">
        <v>142</v>
      </c>
      <c r="Q136" s="21" t="s">
        <v>164</v>
      </c>
      <c r="R136" s="41" t="s">
        <v>2141</v>
      </c>
      <c r="S136" s="41" t="s">
        <v>34</v>
      </c>
      <c r="T136" s="153">
        <v>2.82</v>
      </c>
      <c r="U136" s="41" t="s">
        <v>2142</v>
      </c>
      <c r="V136" s="164">
        <v>5.5452000000000001E-2</v>
      </c>
      <c r="W136" s="41" t="s">
        <v>138</v>
      </c>
      <c r="X136" s="41" t="s">
        <v>2087</v>
      </c>
      <c r="Y136" s="185">
        <v>0</v>
      </c>
      <c r="Z136" s="164">
        <v>2.9100000000000001E-2</v>
      </c>
      <c r="AA136" s="41" t="s">
        <v>2153</v>
      </c>
      <c r="AB136" s="42" t="s">
        <v>146</v>
      </c>
      <c r="AC136" s="41" t="s">
        <v>1565</v>
      </c>
      <c r="AD136" s="153">
        <v>482000</v>
      </c>
      <c r="AE136" s="164">
        <v>0.73</v>
      </c>
      <c r="AF136" s="41" t="s">
        <v>1394</v>
      </c>
      <c r="AG136" s="41" t="s">
        <v>141</v>
      </c>
      <c r="AH136" s="41" t="s">
        <v>2144</v>
      </c>
      <c r="AI136" s="41" t="s">
        <v>2154</v>
      </c>
      <c r="AJ136" s="41" t="s">
        <v>318</v>
      </c>
      <c r="AK136" s="41" t="s">
        <v>1392</v>
      </c>
      <c r="AL136" s="41" t="s">
        <v>2146</v>
      </c>
      <c r="AM136" s="41" t="s">
        <v>1393</v>
      </c>
      <c r="AN136" s="178" t="s">
        <v>1394</v>
      </c>
      <c r="AO136" s="41" t="s">
        <v>1394</v>
      </c>
      <c r="AP136" s="164">
        <v>0</v>
      </c>
      <c r="AQ136" s="153">
        <v>3878.15</v>
      </c>
      <c r="AR136" s="172">
        <v>128.09</v>
      </c>
      <c r="AS136" s="162">
        <v>1</v>
      </c>
      <c r="AT136" s="153">
        <v>4.968</v>
      </c>
      <c r="AU136" s="153">
        <v>4.968</v>
      </c>
      <c r="AV136" s="41"/>
      <c r="AW136" s="41"/>
      <c r="AX136" s="42" t="s">
        <v>141</v>
      </c>
      <c r="AY136" s="41" t="s">
        <v>36</v>
      </c>
      <c r="AZ136" s="164">
        <v>4.6933363496586304E-3</v>
      </c>
      <c r="BA136" s="164">
        <v>3.2738865425903897E-5</v>
      </c>
    </row>
    <row r="137" spans="1:53">
      <c r="A137" s="41">
        <v>424</v>
      </c>
      <c r="B137" s="41">
        <v>7229</v>
      </c>
      <c r="C137" s="41" t="s">
        <v>2147</v>
      </c>
      <c r="D137" s="41" t="s">
        <v>134</v>
      </c>
      <c r="E137" s="41" t="s">
        <v>2266</v>
      </c>
      <c r="F137" s="41" t="s">
        <v>2267</v>
      </c>
      <c r="G137" s="41" t="s">
        <v>2138</v>
      </c>
      <c r="H137" s="41"/>
      <c r="I137" s="41" t="s">
        <v>30</v>
      </c>
      <c r="J137" s="41" t="s">
        <v>30</v>
      </c>
      <c r="K137" s="41" t="s">
        <v>151</v>
      </c>
      <c r="L137" s="41" t="s">
        <v>141</v>
      </c>
      <c r="M137" s="41" t="s">
        <v>318</v>
      </c>
      <c r="N137" s="41" t="s">
        <v>2268</v>
      </c>
      <c r="O137" s="178" t="s">
        <v>2269</v>
      </c>
      <c r="P137" s="202" t="s">
        <v>142</v>
      </c>
      <c r="Q137" s="21" t="s">
        <v>164</v>
      </c>
      <c r="R137" s="41" t="s">
        <v>2141</v>
      </c>
      <c r="S137" s="41" t="s">
        <v>34</v>
      </c>
      <c r="T137" s="153">
        <v>2.82</v>
      </c>
      <c r="U137" s="41" t="s">
        <v>2142</v>
      </c>
      <c r="V137" s="164">
        <v>5.5453000000000002E-2</v>
      </c>
      <c r="W137" s="41" t="s">
        <v>138</v>
      </c>
      <c r="X137" s="41" t="s">
        <v>2087</v>
      </c>
      <c r="Y137" s="185">
        <v>0</v>
      </c>
      <c r="Z137" s="164">
        <v>2.9100000000000001E-2</v>
      </c>
      <c r="AA137" s="41" t="s">
        <v>2153</v>
      </c>
      <c r="AB137" s="42" t="s">
        <v>146</v>
      </c>
      <c r="AC137" s="41" t="s">
        <v>1565</v>
      </c>
      <c r="AD137" s="153">
        <v>482000</v>
      </c>
      <c r="AE137" s="164">
        <v>0.73</v>
      </c>
      <c r="AF137" s="41" t="s">
        <v>1394</v>
      </c>
      <c r="AG137" s="41" t="s">
        <v>141</v>
      </c>
      <c r="AH137" s="41" t="s">
        <v>2144</v>
      </c>
      <c r="AI137" s="41" t="s">
        <v>2154</v>
      </c>
      <c r="AJ137" s="41" t="s">
        <v>318</v>
      </c>
      <c r="AK137" s="41" t="s">
        <v>1392</v>
      </c>
      <c r="AL137" s="41" t="s">
        <v>2146</v>
      </c>
      <c r="AM137" s="41" t="s">
        <v>1393</v>
      </c>
      <c r="AN137" s="178" t="s">
        <v>1394</v>
      </c>
      <c r="AO137" s="41" t="s">
        <v>1394</v>
      </c>
      <c r="AP137" s="164">
        <v>0</v>
      </c>
      <c r="AQ137" s="153">
        <v>719.88</v>
      </c>
      <c r="AR137" s="172">
        <v>128.72</v>
      </c>
      <c r="AS137" s="162">
        <v>1</v>
      </c>
      <c r="AT137" s="153">
        <v>0.92700000000000005</v>
      </c>
      <c r="AU137" s="153">
        <v>0.92700000000000005</v>
      </c>
      <c r="AV137" s="41"/>
      <c r="AW137" s="41"/>
      <c r="AX137" s="42" t="s">
        <v>141</v>
      </c>
      <c r="AY137" s="41" t="s">
        <v>36</v>
      </c>
      <c r="AZ137" s="164">
        <v>8.7548354907922299E-4</v>
      </c>
      <c r="BA137" s="164">
        <v>6.1070283398679002E-6</v>
      </c>
    </row>
    <row r="138" spans="1:53">
      <c r="A138" s="41">
        <v>424</v>
      </c>
      <c r="B138" s="41">
        <v>7229</v>
      </c>
      <c r="C138" s="41" t="s">
        <v>2147</v>
      </c>
      <c r="D138" s="41" t="s">
        <v>134</v>
      </c>
      <c r="E138" s="41" t="s">
        <v>2270</v>
      </c>
      <c r="F138" s="41" t="s">
        <v>2271</v>
      </c>
      <c r="G138" s="41" t="s">
        <v>2138</v>
      </c>
      <c r="H138" s="41"/>
      <c r="I138" s="41" t="s">
        <v>30</v>
      </c>
      <c r="J138" s="41" t="s">
        <v>30</v>
      </c>
      <c r="K138" s="41" t="s">
        <v>151</v>
      </c>
      <c r="L138" s="41" t="s">
        <v>141</v>
      </c>
      <c r="M138" s="41" t="s">
        <v>318</v>
      </c>
      <c r="N138" s="41" t="s">
        <v>2272</v>
      </c>
      <c r="O138" s="178" t="s">
        <v>2273</v>
      </c>
      <c r="P138" s="202" t="s">
        <v>142</v>
      </c>
      <c r="Q138" s="21" t="s">
        <v>164</v>
      </c>
      <c r="R138" s="41" t="s">
        <v>2141</v>
      </c>
      <c r="S138" s="41" t="s">
        <v>34</v>
      </c>
      <c r="T138" s="153">
        <v>2.82</v>
      </c>
      <c r="U138" s="41" t="s">
        <v>2142</v>
      </c>
      <c r="V138" s="164">
        <v>5.5452000000000001E-2</v>
      </c>
      <c r="W138" s="41" t="s">
        <v>138</v>
      </c>
      <c r="X138" s="41" t="s">
        <v>2087</v>
      </c>
      <c r="Y138" s="185">
        <v>0</v>
      </c>
      <c r="Z138" s="164">
        <v>2.9100000000000001E-2</v>
      </c>
      <c r="AA138" s="41" t="s">
        <v>2153</v>
      </c>
      <c r="AB138" s="42" t="s">
        <v>146</v>
      </c>
      <c r="AC138" s="41" t="s">
        <v>1565</v>
      </c>
      <c r="AD138" s="153">
        <v>482000</v>
      </c>
      <c r="AE138" s="164">
        <v>0.73</v>
      </c>
      <c r="AF138" s="41" t="s">
        <v>1394</v>
      </c>
      <c r="AG138" s="41" t="s">
        <v>141</v>
      </c>
      <c r="AH138" s="41" t="s">
        <v>2144</v>
      </c>
      <c r="AI138" s="41" t="s">
        <v>2154</v>
      </c>
      <c r="AJ138" s="41" t="s">
        <v>318</v>
      </c>
      <c r="AK138" s="41" t="s">
        <v>1392</v>
      </c>
      <c r="AL138" s="41" t="s">
        <v>2146</v>
      </c>
      <c r="AM138" s="41" t="s">
        <v>1393</v>
      </c>
      <c r="AN138" s="178" t="s">
        <v>1394</v>
      </c>
      <c r="AO138" s="41" t="s">
        <v>1394</v>
      </c>
      <c r="AP138" s="164">
        <v>0</v>
      </c>
      <c r="AQ138" s="153">
        <v>1436.58</v>
      </c>
      <c r="AR138" s="172">
        <v>128.97</v>
      </c>
      <c r="AS138" s="162">
        <v>1</v>
      </c>
      <c r="AT138" s="153">
        <v>1.853</v>
      </c>
      <c r="AU138" s="153">
        <v>1.853</v>
      </c>
      <c r="AV138" s="41"/>
      <c r="AW138" s="41"/>
      <c r="AX138" s="42" t="s">
        <v>141</v>
      </c>
      <c r="AY138" s="41" t="s">
        <v>36</v>
      </c>
      <c r="AZ138" s="164">
        <v>1.7504929519111001E-3</v>
      </c>
      <c r="BA138" s="164">
        <v>1.22107492223052E-5</v>
      </c>
    </row>
    <row r="139" spans="1:53">
      <c r="A139" s="41">
        <v>424</v>
      </c>
      <c r="B139" s="41">
        <v>7229</v>
      </c>
      <c r="C139" s="41" t="s">
        <v>2147</v>
      </c>
      <c r="D139" s="41" t="s">
        <v>134</v>
      </c>
      <c r="E139" s="41" t="s">
        <v>2274</v>
      </c>
      <c r="F139" s="41" t="s">
        <v>2275</v>
      </c>
      <c r="G139" s="41" t="s">
        <v>2138</v>
      </c>
      <c r="H139" s="41"/>
      <c r="I139" s="41" t="s">
        <v>30</v>
      </c>
      <c r="J139" s="41" t="s">
        <v>30</v>
      </c>
      <c r="K139" s="41" t="s">
        <v>151</v>
      </c>
      <c r="L139" s="41" t="s">
        <v>141</v>
      </c>
      <c r="M139" s="41" t="s">
        <v>318</v>
      </c>
      <c r="N139" s="41" t="s">
        <v>2276</v>
      </c>
      <c r="O139" s="178" t="s">
        <v>2277</v>
      </c>
      <c r="P139" s="202" t="s">
        <v>142</v>
      </c>
      <c r="Q139" s="21" t="s">
        <v>164</v>
      </c>
      <c r="R139" s="41" t="s">
        <v>2141</v>
      </c>
      <c r="S139" s="41" t="s">
        <v>34</v>
      </c>
      <c r="T139" s="153">
        <v>2.82</v>
      </c>
      <c r="U139" s="41" t="s">
        <v>2142</v>
      </c>
      <c r="V139" s="164">
        <v>5.5451E-2</v>
      </c>
      <c r="W139" s="41" t="s">
        <v>138</v>
      </c>
      <c r="X139" s="41" t="s">
        <v>2087</v>
      </c>
      <c r="Y139" s="185">
        <v>0</v>
      </c>
      <c r="Z139" s="164">
        <v>2.9100000000000001E-2</v>
      </c>
      <c r="AA139" s="41" t="s">
        <v>2153</v>
      </c>
      <c r="AB139" s="42" t="s">
        <v>146</v>
      </c>
      <c r="AC139" s="41" t="s">
        <v>1565</v>
      </c>
      <c r="AD139" s="153">
        <v>482000</v>
      </c>
      <c r="AE139" s="164">
        <v>0.73</v>
      </c>
      <c r="AF139" s="41" t="s">
        <v>1394</v>
      </c>
      <c r="AG139" s="41" t="s">
        <v>141</v>
      </c>
      <c r="AH139" s="41" t="s">
        <v>2144</v>
      </c>
      <c r="AI139" s="41" t="s">
        <v>2154</v>
      </c>
      <c r="AJ139" s="41" t="s">
        <v>318</v>
      </c>
      <c r="AK139" s="41" t="s">
        <v>1392</v>
      </c>
      <c r="AL139" s="41" t="s">
        <v>2146</v>
      </c>
      <c r="AM139" s="41" t="s">
        <v>1393</v>
      </c>
      <c r="AN139" s="178" t="s">
        <v>1394</v>
      </c>
      <c r="AO139" s="41" t="s">
        <v>1394</v>
      </c>
      <c r="AP139" s="164">
        <v>0</v>
      </c>
      <c r="AQ139" s="153">
        <v>900.2</v>
      </c>
      <c r="AR139" s="172">
        <v>128.46</v>
      </c>
      <c r="AS139" s="162">
        <v>1</v>
      </c>
      <c r="AT139" s="153">
        <v>1.1559999999999999</v>
      </c>
      <c r="AU139" s="153">
        <v>1.1559999999999999</v>
      </c>
      <c r="AV139" s="41"/>
      <c r="AW139" s="41"/>
      <c r="AX139" s="42" t="s">
        <v>141</v>
      </c>
      <c r="AY139" s="41" t="s">
        <v>36</v>
      </c>
      <c r="AZ139" s="164">
        <v>1.0925687562649399E-3</v>
      </c>
      <c r="BA139" s="164">
        <v>7.6213292240405698E-6</v>
      </c>
    </row>
    <row r="140" spans="1:53">
      <c r="A140" s="41">
        <v>424</v>
      </c>
      <c r="B140" s="41">
        <v>7229</v>
      </c>
      <c r="C140" s="41" t="s">
        <v>2147</v>
      </c>
      <c r="D140" s="41" t="s">
        <v>134</v>
      </c>
      <c r="E140" s="41" t="s">
        <v>2278</v>
      </c>
      <c r="F140" s="41" t="s">
        <v>2279</v>
      </c>
      <c r="G140" s="41" t="s">
        <v>2138</v>
      </c>
      <c r="H140" s="41"/>
      <c r="I140" s="41" t="s">
        <v>30</v>
      </c>
      <c r="J140" s="41" t="s">
        <v>30</v>
      </c>
      <c r="K140" s="41" t="s">
        <v>151</v>
      </c>
      <c r="L140" s="41" t="s">
        <v>141</v>
      </c>
      <c r="M140" s="41" t="s">
        <v>318</v>
      </c>
      <c r="N140" s="41" t="s">
        <v>2280</v>
      </c>
      <c r="O140" s="178" t="s">
        <v>2281</v>
      </c>
      <c r="P140" s="202" t="s">
        <v>142</v>
      </c>
      <c r="Q140" s="21" t="s">
        <v>164</v>
      </c>
      <c r="R140" s="41" t="s">
        <v>2141</v>
      </c>
      <c r="S140" s="41" t="s">
        <v>34</v>
      </c>
      <c r="T140" s="153">
        <v>2.82</v>
      </c>
      <c r="U140" s="41" t="s">
        <v>2142</v>
      </c>
      <c r="V140" s="164">
        <v>5.5451E-2</v>
      </c>
      <c r="W140" s="41" t="s">
        <v>138</v>
      </c>
      <c r="X140" s="41" t="s">
        <v>2087</v>
      </c>
      <c r="Y140" s="185">
        <v>0</v>
      </c>
      <c r="Z140" s="164">
        <v>2.9100000000000001E-2</v>
      </c>
      <c r="AA140" s="41" t="s">
        <v>2153</v>
      </c>
      <c r="AB140" s="42" t="s">
        <v>146</v>
      </c>
      <c r="AC140" s="41" t="s">
        <v>1565</v>
      </c>
      <c r="AD140" s="153">
        <v>482000</v>
      </c>
      <c r="AE140" s="164">
        <v>0.73</v>
      </c>
      <c r="AF140" s="41" t="s">
        <v>1394</v>
      </c>
      <c r="AG140" s="41" t="s">
        <v>141</v>
      </c>
      <c r="AH140" s="41" t="s">
        <v>2144</v>
      </c>
      <c r="AI140" s="41" t="s">
        <v>2154</v>
      </c>
      <c r="AJ140" s="41" t="s">
        <v>318</v>
      </c>
      <c r="AK140" s="41" t="s">
        <v>1392</v>
      </c>
      <c r="AL140" s="41" t="s">
        <v>2146</v>
      </c>
      <c r="AM140" s="41" t="s">
        <v>1393</v>
      </c>
      <c r="AN140" s="178" t="s">
        <v>1394</v>
      </c>
      <c r="AO140" s="41" t="s">
        <v>1394</v>
      </c>
      <c r="AP140" s="164">
        <v>0</v>
      </c>
      <c r="AQ140" s="153">
        <v>506.9</v>
      </c>
      <c r="AR140" s="172">
        <v>128.34</v>
      </c>
      <c r="AS140" s="162">
        <v>1</v>
      </c>
      <c r="AT140" s="153">
        <v>0.65100000000000002</v>
      </c>
      <c r="AU140" s="153">
        <v>0.65100000000000002</v>
      </c>
      <c r="AV140" s="41"/>
      <c r="AW140" s="41"/>
      <c r="AX140" s="42" t="s">
        <v>141</v>
      </c>
      <c r="AY140" s="41" t="s">
        <v>36</v>
      </c>
      <c r="AZ140" s="164">
        <v>6.1464758122459304E-4</v>
      </c>
      <c r="BA140" s="164">
        <v>4.2875393849692697E-6</v>
      </c>
    </row>
    <row r="141" spans="1:53">
      <c r="A141" s="41">
        <v>424</v>
      </c>
      <c r="B141" s="41">
        <v>7229</v>
      </c>
      <c r="C141" s="41" t="s">
        <v>2147</v>
      </c>
      <c r="D141" s="41" t="s">
        <v>134</v>
      </c>
      <c r="E141" s="41" t="s">
        <v>2282</v>
      </c>
      <c r="F141" s="41" t="s">
        <v>2283</v>
      </c>
      <c r="G141" s="41" t="s">
        <v>2138</v>
      </c>
      <c r="H141" s="41"/>
      <c r="I141" s="41" t="s">
        <v>30</v>
      </c>
      <c r="J141" s="41" t="s">
        <v>30</v>
      </c>
      <c r="K141" s="41" t="s">
        <v>151</v>
      </c>
      <c r="L141" s="41" t="s">
        <v>141</v>
      </c>
      <c r="M141" s="41" t="s">
        <v>318</v>
      </c>
      <c r="N141" s="41" t="s">
        <v>2284</v>
      </c>
      <c r="O141" s="178" t="s">
        <v>2285</v>
      </c>
      <c r="P141" s="202" t="s">
        <v>142</v>
      </c>
      <c r="Q141" s="21" t="s">
        <v>164</v>
      </c>
      <c r="R141" s="41" t="s">
        <v>2141</v>
      </c>
      <c r="S141" s="41" t="s">
        <v>34</v>
      </c>
      <c r="T141" s="153">
        <v>2.82</v>
      </c>
      <c r="U141" s="41" t="s">
        <v>2142</v>
      </c>
      <c r="V141" s="164">
        <v>5.5451E-2</v>
      </c>
      <c r="W141" s="41" t="s">
        <v>138</v>
      </c>
      <c r="X141" s="41" t="s">
        <v>2087</v>
      </c>
      <c r="Y141" s="185">
        <v>0</v>
      </c>
      <c r="Z141" s="164">
        <v>2.9100000000000001E-2</v>
      </c>
      <c r="AA141" s="41" t="s">
        <v>2153</v>
      </c>
      <c r="AB141" s="42" t="s">
        <v>146</v>
      </c>
      <c r="AC141" s="41" t="s">
        <v>1565</v>
      </c>
      <c r="AD141" s="153">
        <v>482000</v>
      </c>
      <c r="AE141" s="164">
        <v>0.73</v>
      </c>
      <c r="AF141" s="41" t="s">
        <v>1394</v>
      </c>
      <c r="AG141" s="41" t="s">
        <v>141</v>
      </c>
      <c r="AH141" s="41" t="s">
        <v>2144</v>
      </c>
      <c r="AI141" s="41" t="s">
        <v>2154</v>
      </c>
      <c r="AJ141" s="41" t="s">
        <v>318</v>
      </c>
      <c r="AK141" s="41" t="s">
        <v>1392</v>
      </c>
      <c r="AL141" s="41" t="s">
        <v>2146</v>
      </c>
      <c r="AM141" s="41" t="s">
        <v>1393</v>
      </c>
      <c r="AN141" s="178" t="s">
        <v>1394</v>
      </c>
      <c r="AO141" s="41" t="s">
        <v>1394</v>
      </c>
      <c r="AP141" s="164">
        <v>0</v>
      </c>
      <c r="AQ141" s="153">
        <v>1512.07</v>
      </c>
      <c r="AR141" s="172">
        <v>127.96</v>
      </c>
      <c r="AS141" s="162">
        <v>1</v>
      </c>
      <c r="AT141" s="153">
        <v>1.9350000000000001</v>
      </c>
      <c r="AU141" s="153">
        <v>1.9350000000000001</v>
      </c>
      <c r="AV141" s="41"/>
      <c r="AW141" s="41"/>
      <c r="AX141" s="42" t="s">
        <v>141</v>
      </c>
      <c r="AY141" s="41" t="s">
        <v>36</v>
      </c>
      <c r="AZ141" s="164">
        <v>1.8280496164844199E-3</v>
      </c>
      <c r="BA141" s="164">
        <v>1.27517539607644E-5</v>
      </c>
    </row>
    <row r="142" spans="1:53">
      <c r="A142" s="41">
        <v>424</v>
      </c>
      <c r="B142" s="41">
        <v>7229</v>
      </c>
      <c r="C142" s="41" t="s">
        <v>2147</v>
      </c>
      <c r="D142" s="41" t="s">
        <v>134</v>
      </c>
      <c r="E142" s="41" t="s">
        <v>2286</v>
      </c>
      <c r="F142" s="41" t="s">
        <v>2287</v>
      </c>
      <c r="G142" s="41" t="s">
        <v>2138</v>
      </c>
      <c r="H142" s="41"/>
      <c r="I142" s="41" t="s">
        <v>30</v>
      </c>
      <c r="J142" s="41" t="s">
        <v>30</v>
      </c>
      <c r="K142" s="41" t="s">
        <v>151</v>
      </c>
      <c r="L142" s="41" t="s">
        <v>141</v>
      </c>
      <c r="M142" s="41" t="s">
        <v>318</v>
      </c>
      <c r="N142" s="41" t="s">
        <v>2288</v>
      </c>
      <c r="O142" s="178" t="s">
        <v>2242</v>
      </c>
      <c r="P142" s="202" t="s">
        <v>142</v>
      </c>
      <c r="Q142" s="21" t="s">
        <v>164</v>
      </c>
      <c r="R142" s="41" t="s">
        <v>2141</v>
      </c>
      <c r="S142" s="41" t="s">
        <v>34</v>
      </c>
      <c r="T142" s="153">
        <v>2.82</v>
      </c>
      <c r="U142" s="41" t="s">
        <v>2152</v>
      </c>
      <c r="V142" s="164">
        <v>5.5451E-2</v>
      </c>
      <c r="W142" s="41" t="s">
        <v>138</v>
      </c>
      <c r="X142" s="41" t="s">
        <v>2087</v>
      </c>
      <c r="Y142" s="185">
        <v>0</v>
      </c>
      <c r="Z142" s="164">
        <v>2.9100000000000001E-2</v>
      </c>
      <c r="AA142" s="41" t="s">
        <v>2153</v>
      </c>
      <c r="AB142" s="42" t="s">
        <v>146</v>
      </c>
      <c r="AC142" s="41" t="s">
        <v>1565</v>
      </c>
      <c r="AD142" s="153">
        <v>482000</v>
      </c>
      <c r="AE142" s="164">
        <v>0.73</v>
      </c>
      <c r="AF142" s="41" t="s">
        <v>1394</v>
      </c>
      <c r="AG142" s="41" t="s">
        <v>141</v>
      </c>
      <c r="AH142" s="41" t="s">
        <v>2144</v>
      </c>
      <c r="AI142" s="41" t="s">
        <v>2154</v>
      </c>
      <c r="AJ142" s="41" t="s">
        <v>318</v>
      </c>
      <c r="AK142" s="41" t="s">
        <v>1392</v>
      </c>
      <c r="AL142" s="41" t="s">
        <v>2146</v>
      </c>
      <c r="AM142" s="41" t="s">
        <v>1393</v>
      </c>
      <c r="AN142" s="178" t="s">
        <v>1394</v>
      </c>
      <c r="AO142" s="41" t="s">
        <v>1394</v>
      </c>
      <c r="AP142" s="164">
        <v>0</v>
      </c>
      <c r="AQ142" s="153">
        <v>588.62</v>
      </c>
      <c r="AR142" s="172">
        <v>127.96</v>
      </c>
      <c r="AS142" s="162">
        <v>1</v>
      </c>
      <c r="AT142" s="153">
        <v>0.753</v>
      </c>
      <c r="AU142" s="153">
        <v>0.753</v>
      </c>
      <c r="AV142" s="41"/>
      <c r="AW142" s="41"/>
      <c r="AX142" s="42" t="s">
        <v>141</v>
      </c>
      <c r="AY142" s="41" t="s">
        <v>36</v>
      </c>
      <c r="AZ142" s="164">
        <v>7.1162483565910398E-4</v>
      </c>
      <c r="BA142" s="164">
        <v>4.9640145075195798E-6</v>
      </c>
    </row>
    <row r="143" spans="1:53">
      <c r="A143" s="41">
        <v>424</v>
      </c>
      <c r="B143" s="41">
        <v>7229</v>
      </c>
      <c r="C143" s="41" t="s">
        <v>2147</v>
      </c>
      <c r="D143" s="41" t="s">
        <v>134</v>
      </c>
      <c r="E143" s="41" t="s">
        <v>2289</v>
      </c>
      <c r="F143" s="41" t="s">
        <v>2290</v>
      </c>
      <c r="G143" s="41" t="s">
        <v>2138</v>
      </c>
      <c r="H143" s="41"/>
      <c r="I143" s="41" t="s">
        <v>30</v>
      </c>
      <c r="J143" s="41" t="s">
        <v>30</v>
      </c>
      <c r="K143" s="41" t="s">
        <v>151</v>
      </c>
      <c r="L143" s="41" t="s">
        <v>141</v>
      </c>
      <c r="M143" s="41" t="s">
        <v>318</v>
      </c>
      <c r="N143" s="41" t="s">
        <v>2291</v>
      </c>
      <c r="O143" s="178" t="s">
        <v>2292</v>
      </c>
      <c r="P143" s="202" t="s">
        <v>142</v>
      </c>
      <c r="Q143" s="21" t="s">
        <v>164</v>
      </c>
      <c r="R143" s="41" t="s">
        <v>2141</v>
      </c>
      <c r="S143" s="41" t="s">
        <v>34</v>
      </c>
      <c r="T143" s="153">
        <v>2.82</v>
      </c>
      <c r="U143" s="41" t="s">
        <v>2142</v>
      </c>
      <c r="V143" s="164">
        <v>5.5453000000000002E-2</v>
      </c>
      <c r="W143" s="41" t="s">
        <v>138</v>
      </c>
      <c r="X143" s="41" t="s">
        <v>2087</v>
      </c>
      <c r="Y143" s="185">
        <v>0</v>
      </c>
      <c r="Z143" s="164">
        <v>2.9100000000000001E-2</v>
      </c>
      <c r="AA143" s="41" t="s">
        <v>2153</v>
      </c>
      <c r="AB143" s="42" t="s">
        <v>146</v>
      </c>
      <c r="AC143" s="41" t="s">
        <v>1565</v>
      </c>
      <c r="AD143" s="153">
        <v>482000</v>
      </c>
      <c r="AE143" s="164">
        <v>0.73</v>
      </c>
      <c r="AF143" s="41" t="s">
        <v>1394</v>
      </c>
      <c r="AG143" s="41" t="s">
        <v>141</v>
      </c>
      <c r="AH143" s="41" t="s">
        <v>2144</v>
      </c>
      <c r="AI143" s="41" t="s">
        <v>2154</v>
      </c>
      <c r="AJ143" s="41" t="s">
        <v>318</v>
      </c>
      <c r="AK143" s="41" t="s">
        <v>1392</v>
      </c>
      <c r="AL143" s="41" t="s">
        <v>2146</v>
      </c>
      <c r="AM143" s="41" t="s">
        <v>1393</v>
      </c>
      <c r="AN143" s="178" t="s">
        <v>1394</v>
      </c>
      <c r="AO143" s="41" t="s">
        <v>1394</v>
      </c>
      <c r="AP143" s="164">
        <v>0</v>
      </c>
      <c r="AQ143" s="153">
        <v>3955.89</v>
      </c>
      <c r="AR143" s="172">
        <v>128.21</v>
      </c>
      <c r="AS143" s="162">
        <v>1</v>
      </c>
      <c r="AT143" s="153">
        <v>5.0720000000000001</v>
      </c>
      <c r="AU143" s="153">
        <v>5.0720000000000001</v>
      </c>
      <c r="AV143" s="41"/>
      <c r="AW143" s="41"/>
      <c r="AX143" s="42" t="s">
        <v>141</v>
      </c>
      <c r="AY143" s="41" t="s">
        <v>36</v>
      </c>
      <c r="AZ143" s="164">
        <v>4.7919023321671902E-3</v>
      </c>
      <c r="BA143" s="164">
        <v>3.3426422889616101E-5</v>
      </c>
    </row>
    <row r="144" spans="1:53">
      <c r="A144" s="41">
        <v>424</v>
      </c>
      <c r="B144" s="41">
        <v>7229</v>
      </c>
      <c r="C144" s="41" t="s">
        <v>2147</v>
      </c>
      <c r="D144" s="41" t="s">
        <v>134</v>
      </c>
      <c r="E144" s="41" t="s">
        <v>2293</v>
      </c>
      <c r="F144" s="41" t="s">
        <v>2294</v>
      </c>
      <c r="G144" s="41" t="s">
        <v>2138</v>
      </c>
      <c r="H144" s="41"/>
      <c r="I144" s="41" t="s">
        <v>30</v>
      </c>
      <c r="J144" s="41" t="s">
        <v>30</v>
      </c>
      <c r="K144" s="41" t="s">
        <v>151</v>
      </c>
      <c r="L144" s="41" t="s">
        <v>141</v>
      </c>
      <c r="M144" s="41" t="s">
        <v>318</v>
      </c>
      <c r="N144" s="41" t="s">
        <v>2295</v>
      </c>
      <c r="O144" s="178" t="s">
        <v>2296</v>
      </c>
      <c r="P144" s="202" t="s">
        <v>142</v>
      </c>
      <c r="Q144" s="21" t="s">
        <v>164</v>
      </c>
      <c r="R144" s="41" t="s">
        <v>2141</v>
      </c>
      <c r="S144" s="41" t="s">
        <v>34</v>
      </c>
      <c r="T144" s="153">
        <v>2.82</v>
      </c>
      <c r="U144" s="41" t="s">
        <v>2142</v>
      </c>
      <c r="V144" s="164">
        <v>5.5453000000000002E-2</v>
      </c>
      <c r="W144" s="41" t="s">
        <v>138</v>
      </c>
      <c r="X144" s="41" t="s">
        <v>2087</v>
      </c>
      <c r="Y144" s="185">
        <v>0</v>
      </c>
      <c r="Z144" s="164">
        <v>2.9100000000000001E-2</v>
      </c>
      <c r="AA144" s="41" t="s">
        <v>2153</v>
      </c>
      <c r="AB144" s="42" t="s">
        <v>146</v>
      </c>
      <c r="AC144" s="41" t="s">
        <v>1565</v>
      </c>
      <c r="AD144" s="153">
        <v>482000</v>
      </c>
      <c r="AE144" s="164">
        <v>0.73</v>
      </c>
      <c r="AF144" s="41" t="s">
        <v>1394</v>
      </c>
      <c r="AG144" s="41" t="s">
        <v>141</v>
      </c>
      <c r="AH144" s="41" t="s">
        <v>2144</v>
      </c>
      <c r="AI144" s="41" t="s">
        <v>2154</v>
      </c>
      <c r="AJ144" s="41" t="s">
        <v>318</v>
      </c>
      <c r="AK144" s="41" t="s">
        <v>1392</v>
      </c>
      <c r="AL144" s="41" t="s">
        <v>2146</v>
      </c>
      <c r="AM144" s="41" t="s">
        <v>1393</v>
      </c>
      <c r="AN144" s="178" t="s">
        <v>1394</v>
      </c>
      <c r="AO144" s="41" t="s">
        <v>1394</v>
      </c>
      <c r="AP144" s="164">
        <v>0</v>
      </c>
      <c r="AQ144" s="153">
        <v>7727.44</v>
      </c>
      <c r="AR144" s="172">
        <v>129.37</v>
      </c>
      <c r="AS144" s="162">
        <v>1</v>
      </c>
      <c r="AT144" s="153">
        <v>9.9969999999999999</v>
      </c>
      <c r="AU144" s="153">
        <v>9.9969999999999999</v>
      </c>
      <c r="AV144" s="41"/>
      <c r="AW144" s="41"/>
      <c r="AX144" s="42" t="s">
        <v>141</v>
      </c>
      <c r="AY144" s="41" t="s">
        <v>36</v>
      </c>
      <c r="AZ144" s="164">
        <v>9.4451980881902799E-3</v>
      </c>
      <c r="BA144" s="164">
        <v>6.5885980908391104E-5</v>
      </c>
    </row>
    <row r="145" spans="1:53">
      <c r="A145" s="41">
        <v>424</v>
      </c>
      <c r="B145" s="41">
        <v>7229</v>
      </c>
      <c r="C145" s="41" t="s">
        <v>2147</v>
      </c>
      <c r="D145" s="41" t="s">
        <v>134</v>
      </c>
      <c r="E145" s="41" t="s">
        <v>2297</v>
      </c>
      <c r="F145" s="41" t="s">
        <v>2298</v>
      </c>
      <c r="G145" s="41" t="s">
        <v>2138</v>
      </c>
      <c r="H145" s="41"/>
      <c r="I145" s="41" t="s">
        <v>30</v>
      </c>
      <c r="J145" s="41" t="s">
        <v>30</v>
      </c>
      <c r="K145" s="41" t="s">
        <v>151</v>
      </c>
      <c r="L145" s="41" t="s">
        <v>141</v>
      </c>
      <c r="M145" s="41" t="s">
        <v>318</v>
      </c>
      <c r="N145" s="41" t="s">
        <v>2299</v>
      </c>
      <c r="O145" s="178" t="s">
        <v>2242</v>
      </c>
      <c r="P145" s="202" t="s">
        <v>142</v>
      </c>
      <c r="Q145" s="21" t="s">
        <v>164</v>
      </c>
      <c r="R145" s="41" t="s">
        <v>2141</v>
      </c>
      <c r="S145" s="41" t="s">
        <v>34</v>
      </c>
      <c r="T145" s="153">
        <v>2.81</v>
      </c>
      <c r="U145" s="41" t="s">
        <v>2152</v>
      </c>
      <c r="V145" s="164">
        <v>5.5905999999999997E-2</v>
      </c>
      <c r="W145" s="41" t="s">
        <v>138</v>
      </c>
      <c r="X145" s="41" t="s">
        <v>2087</v>
      </c>
      <c r="Y145" s="185">
        <v>0</v>
      </c>
      <c r="Z145" s="164">
        <v>2.9100000000000001E-2</v>
      </c>
      <c r="AA145" s="41" t="s">
        <v>2153</v>
      </c>
      <c r="AB145" s="42" t="s">
        <v>146</v>
      </c>
      <c r="AC145" s="41" t="s">
        <v>1565</v>
      </c>
      <c r="AD145" s="153">
        <v>482000</v>
      </c>
      <c r="AE145" s="164">
        <v>0.73</v>
      </c>
      <c r="AF145" s="41" t="s">
        <v>1394</v>
      </c>
      <c r="AG145" s="41" t="s">
        <v>141</v>
      </c>
      <c r="AH145" s="41" t="s">
        <v>2144</v>
      </c>
      <c r="AI145" s="41" t="s">
        <v>2154</v>
      </c>
      <c r="AJ145" s="41" t="s">
        <v>318</v>
      </c>
      <c r="AK145" s="41" t="s">
        <v>1392</v>
      </c>
      <c r="AL145" s="41" t="s">
        <v>2146</v>
      </c>
      <c r="AM145" s="41" t="s">
        <v>1393</v>
      </c>
      <c r="AN145" s="178" t="s">
        <v>1394</v>
      </c>
      <c r="AO145" s="41" t="s">
        <v>1394</v>
      </c>
      <c r="AP145" s="164">
        <v>0</v>
      </c>
      <c r="AQ145" s="153">
        <v>5697.79</v>
      </c>
      <c r="AR145" s="172">
        <v>132.59</v>
      </c>
      <c r="AS145" s="162">
        <v>1</v>
      </c>
      <c r="AT145" s="153">
        <v>7.5549999999999997</v>
      </c>
      <c r="AU145" s="153">
        <v>7.5549999999999997</v>
      </c>
      <c r="AV145" s="41"/>
      <c r="AW145" s="41"/>
      <c r="AX145" s="42" t="s">
        <v>141</v>
      </c>
      <c r="AY145" s="41" t="s">
        <v>36</v>
      </c>
      <c r="AZ145" s="164">
        <v>7.1377126478604199E-3</v>
      </c>
      <c r="BA145" s="164">
        <v>4.9789871515190202E-5</v>
      </c>
    </row>
    <row r="146" spans="1:53">
      <c r="A146" s="41">
        <v>424</v>
      </c>
      <c r="B146" s="41">
        <v>7229</v>
      </c>
      <c r="C146" s="41" t="s">
        <v>2147</v>
      </c>
      <c r="D146" s="41" t="s">
        <v>134</v>
      </c>
      <c r="E146" s="41" t="s">
        <v>2300</v>
      </c>
      <c r="F146" s="41" t="s">
        <v>2301</v>
      </c>
      <c r="G146" s="41" t="s">
        <v>2138</v>
      </c>
      <c r="H146" s="41"/>
      <c r="I146" s="41" t="s">
        <v>30</v>
      </c>
      <c r="J146" s="41" t="s">
        <v>30</v>
      </c>
      <c r="K146" s="41" t="s">
        <v>151</v>
      </c>
      <c r="L146" s="41" t="s">
        <v>141</v>
      </c>
      <c r="M146" s="41" t="s">
        <v>318</v>
      </c>
      <c r="N146" s="41" t="s">
        <v>2302</v>
      </c>
      <c r="O146" s="178" t="s">
        <v>2303</v>
      </c>
      <c r="P146" s="202" t="s">
        <v>142</v>
      </c>
      <c r="Q146" s="21" t="s">
        <v>164</v>
      </c>
      <c r="R146" s="41" t="s">
        <v>2141</v>
      </c>
      <c r="S146" s="41" t="s">
        <v>34</v>
      </c>
      <c r="T146" s="153">
        <v>2.82</v>
      </c>
      <c r="U146" s="41" t="s">
        <v>2142</v>
      </c>
      <c r="V146" s="164">
        <v>5.5452000000000001E-2</v>
      </c>
      <c r="W146" s="41" t="s">
        <v>138</v>
      </c>
      <c r="X146" s="41" t="s">
        <v>2087</v>
      </c>
      <c r="Y146" s="185">
        <v>0</v>
      </c>
      <c r="Z146" s="164">
        <v>2.9100000000000001E-2</v>
      </c>
      <c r="AA146" s="41" t="s">
        <v>2153</v>
      </c>
      <c r="AB146" s="42" t="s">
        <v>146</v>
      </c>
      <c r="AC146" s="41" t="s">
        <v>1565</v>
      </c>
      <c r="AD146" s="153">
        <v>482000</v>
      </c>
      <c r="AE146" s="164">
        <v>0.73</v>
      </c>
      <c r="AF146" s="41" t="s">
        <v>1394</v>
      </c>
      <c r="AG146" s="41" t="s">
        <v>141</v>
      </c>
      <c r="AH146" s="41" t="s">
        <v>2144</v>
      </c>
      <c r="AI146" s="41" t="s">
        <v>2154</v>
      </c>
      <c r="AJ146" s="41" t="s">
        <v>318</v>
      </c>
      <c r="AK146" s="41" t="s">
        <v>1392</v>
      </c>
      <c r="AL146" s="41" t="s">
        <v>2146</v>
      </c>
      <c r="AM146" s="41" t="s">
        <v>1393</v>
      </c>
      <c r="AN146" s="178" t="s">
        <v>1394</v>
      </c>
      <c r="AO146" s="41" t="s">
        <v>1394</v>
      </c>
      <c r="AP146" s="164">
        <v>0</v>
      </c>
      <c r="AQ146" s="153">
        <v>2500.64</v>
      </c>
      <c r="AR146" s="172">
        <v>130.78</v>
      </c>
      <c r="AS146" s="162">
        <v>1</v>
      </c>
      <c r="AT146" s="153">
        <v>3.27</v>
      </c>
      <c r="AU146" s="153">
        <v>3.27</v>
      </c>
      <c r="AV146" s="41"/>
      <c r="AW146" s="41"/>
      <c r="AX146" s="42" t="s">
        <v>141</v>
      </c>
      <c r="AY146" s="41" t="s">
        <v>36</v>
      </c>
      <c r="AZ146" s="164">
        <v>3.0898283782325201E-3</v>
      </c>
      <c r="BA146" s="164">
        <v>2.1553425522432701E-5</v>
      </c>
    </row>
    <row r="147" spans="1:53">
      <c r="A147" s="41">
        <v>424</v>
      </c>
      <c r="B147" s="41">
        <v>7229</v>
      </c>
      <c r="C147" s="41" t="s">
        <v>2147</v>
      </c>
      <c r="D147" s="41" t="s">
        <v>134</v>
      </c>
      <c r="E147" s="41" t="s">
        <v>2304</v>
      </c>
      <c r="F147" s="41" t="s">
        <v>2305</v>
      </c>
      <c r="G147" s="41" t="s">
        <v>2138</v>
      </c>
      <c r="H147" s="41"/>
      <c r="I147" s="41" t="s">
        <v>30</v>
      </c>
      <c r="J147" s="41" t="s">
        <v>30</v>
      </c>
      <c r="K147" s="41" t="s">
        <v>151</v>
      </c>
      <c r="L147" s="41" t="s">
        <v>141</v>
      </c>
      <c r="M147" s="41" t="s">
        <v>318</v>
      </c>
      <c r="N147" s="41" t="s">
        <v>2306</v>
      </c>
      <c r="O147" s="178" t="s">
        <v>2307</v>
      </c>
      <c r="P147" s="202" t="s">
        <v>142</v>
      </c>
      <c r="Q147" s="21" t="s">
        <v>164</v>
      </c>
      <c r="R147" s="41" t="s">
        <v>2141</v>
      </c>
      <c r="S147" s="41" t="s">
        <v>34</v>
      </c>
      <c r="T147" s="153">
        <v>2.82</v>
      </c>
      <c r="U147" s="41" t="s">
        <v>2142</v>
      </c>
      <c r="V147" s="164">
        <v>5.5452000000000001E-2</v>
      </c>
      <c r="W147" s="41" t="s">
        <v>138</v>
      </c>
      <c r="X147" s="41" t="s">
        <v>2087</v>
      </c>
      <c r="Y147" s="185">
        <v>0</v>
      </c>
      <c r="Z147" s="164">
        <v>2.9100000000000001E-2</v>
      </c>
      <c r="AA147" s="41" t="s">
        <v>2153</v>
      </c>
      <c r="AB147" s="42" t="s">
        <v>146</v>
      </c>
      <c r="AC147" s="41" t="s">
        <v>1565</v>
      </c>
      <c r="AD147" s="153">
        <v>482000</v>
      </c>
      <c r="AE147" s="164">
        <v>0.73</v>
      </c>
      <c r="AF147" s="41" t="s">
        <v>1394</v>
      </c>
      <c r="AG147" s="41" t="s">
        <v>141</v>
      </c>
      <c r="AH147" s="41" t="s">
        <v>2144</v>
      </c>
      <c r="AI147" s="41" t="s">
        <v>2154</v>
      </c>
      <c r="AJ147" s="41" t="s">
        <v>318</v>
      </c>
      <c r="AK147" s="41" t="s">
        <v>1392</v>
      </c>
      <c r="AL147" s="41" t="s">
        <v>2146</v>
      </c>
      <c r="AM147" s="41" t="s">
        <v>1393</v>
      </c>
      <c r="AN147" s="178" t="s">
        <v>1394</v>
      </c>
      <c r="AO147" s="41" t="s">
        <v>1394</v>
      </c>
      <c r="AP147" s="164">
        <v>0</v>
      </c>
      <c r="AQ147" s="153">
        <v>2334.4</v>
      </c>
      <c r="AR147" s="172">
        <v>131.15</v>
      </c>
      <c r="AS147" s="162">
        <v>1</v>
      </c>
      <c r="AT147" s="153">
        <v>3.0619999999999998</v>
      </c>
      <c r="AU147" s="153">
        <v>3.0619999999999998</v>
      </c>
      <c r="AV147" s="41"/>
      <c r="AW147" s="41"/>
      <c r="AX147" s="42" t="s">
        <v>141</v>
      </c>
      <c r="AY147" s="41" t="s">
        <v>36</v>
      </c>
      <c r="AZ147" s="164">
        <v>2.89258027409442E-3</v>
      </c>
      <c r="BA147" s="164">
        <v>2.0177500454253501E-5</v>
      </c>
    </row>
    <row r="148" spans="1:53">
      <c r="A148" s="41">
        <v>424</v>
      </c>
      <c r="B148" s="41">
        <v>7229</v>
      </c>
      <c r="C148" s="41" t="s">
        <v>2147</v>
      </c>
      <c r="D148" s="41" t="s">
        <v>134</v>
      </c>
      <c r="E148" s="41" t="s">
        <v>2308</v>
      </c>
      <c r="F148" s="41" t="s">
        <v>2309</v>
      </c>
      <c r="G148" s="41" t="s">
        <v>2138</v>
      </c>
      <c r="H148" s="41"/>
      <c r="I148" s="41" t="s">
        <v>30</v>
      </c>
      <c r="J148" s="41" t="s">
        <v>30</v>
      </c>
      <c r="K148" s="41" t="s">
        <v>151</v>
      </c>
      <c r="L148" s="41" t="s">
        <v>141</v>
      </c>
      <c r="M148" s="41" t="s">
        <v>318</v>
      </c>
      <c r="N148" s="41" t="s">
        <v>2310</v>
      </c>
      <c r="O148" s="178" t="s">
        <v>2242</v>
      </c>
      <c r="P148" s="202" t="s">
        <v>142</v>
      </c>
      <c r="Q148" s="21" t="s">
        <v>164</v>
      </c>
      <c r="R148" s="41" t="s">
        <v>2141</v>
      </c>
      <c r="S148" s="41" t="s">
        <v>34</v>
      </c>
      <c r="T148" s="153">
        <v>2.82</v>
      </c>
      <c r="U148" s="41" t="s">
        <v>2152</v>
      </c>
      <c r="V148" s="164">
        <v>5.5452000000000001E-2</v>
      </c>
      <c r="W148" s="41" t="s">
        <v>138</v>
      </c>
      <c r="X148" s="41" t="s">
        <v>2087</v>
      </c>
      <c r="Y148" s="185">
        <v>0</v>
      </c>
      <c r="Z148" s="164">
        <v>2.9100000000000001E-2</v>
      </c>
      <c r="AA148" s="41" t="s">
        <v>2153</v>
      </c>
      <c r="AB148" s="42" t="s">
        <v>146</v>
      </c>
      <c r="AC148" s="41" t="s">
        <v>1565</v>
      </c>
      <c r="AD148" s="153">
        <v>482000</v>
      </c>
      <c r="AE148" s="164">
        <v>0.73</v>
      </c>
      <c r="AF148" s="41" t="s">
        <v>1394</v>
      </c>
      <c r="AG148" s="41" t="s">
        <v>141</v>
      </c>
      <c r="AH148" s="41" t="s">
        <v>2144</v>
      </c>
      <c r="AI148" s="41" t="s">
        <v>2154</v>
      </c>
      <c r="AJ148" s="41" t="s">
        <v>318</v>
      </c>
      <c r="AK148" s="41" t="s">
        <v>1392</v>
      </c>
      <c r="AL148" s="41" t="s">
        <v>2146</v>
      </c>
      <c r="AM148" s="41" t="s">
        <v>1393</v>
      </c>
      <c r="AN148" s="178" t="s">
        <v>1394</v>
      </c>
      <c r="AO148" s="41" t="s">
        <v>1394</v>
      </c>
      <c r="AP148" s="164">
        <v>0</v>
      </c>
      <c r="AQ148" s="153">
        <v>2988.42</v>
      </c>
      <c r="AR148" s="172">
        <v>129.66999999999999</v>
      </c>
      <c r="AS148" s="162">
        <v>1</v>
      </c>
      <c r="AT148" s="153">
        <v>3.875</v>
      </c>
      <c r="AU148" s="153">
        <v>3.875</v>
      </c>
      <c r="AV148" s="41"/>
      <c r="AW148" s="41"/>
      <c r="AX148" s="42" t="s">
        <v>141</v>
      </c>
      <c r="AY148" s="41" t="s">
        <v>36</v>
      </c>
      <c r="AZ148" s="164">
        <v>3.6611961402594302E-3</v>
      </c>
      <c r="BA148" s="164">
        <v>2.5539061938851001E-5</v>
      </c>
    </row>
    <row r="149" spans="1:53">
      <c r="A149" s="3">
        <v>424</v>
      </c>
      <c r="B149" s="3">
        <v>7229</v>
      </c>
      <c r="C149" s="3" t="s">
        <v>2311</v>
      </c>
      <c r="D149" s="3" t="s">
        <v>134</v>
      </c>
      <c r="E149" s="3" t="s">
        <v>2312</v>
      </c>
      <c r="F149" s="3" t="s">
        <v>2313</v>
      </c>
      <c r="G149" s="3" t="s">
        <v>2138</v>
      </c>
      <c r="I149" s="3" t="s">
        <v>30</v>
      </c>
      <c r="J149" s="3" t="s">
        <v>30</v>
      </c>
      <c r="K149" s="3" t="s">
        <v>1565</v>
      </c>
      <c r="L149" s="3" t="s">
        <v>141</v>
      </c>
      <c r="M149" s="3" t="s">
        <v>318</v>
      </c>
      <c r="N149" s="3" t="s">
        <v>2314</v>
      </c>
      <c r="O149" s="178" t="s">
        <v>2315</v>
      </c>
      <c r="P149" s="3" t="s">
        <v>142</v>
      </c>
      <c r="Q149" s="3" t="s">
        <v>143</v>
      </c>
      <c r="R149" s="3" t="s">
        <v>2141</v>
      </c>
      <c r="S149" s="3" t="s">
        <v>34</v>
      </c>
      <c r="T149" s="153">
        <v>1.43</v>
      </c>
      <c r="U149" s="3" t="s">
        <v>2142</v>
      </c>
      <c r="V149" s="164">
        <v>2.562E-2</v>
      </c>
      <c r="W149" s="3" t="s">
        <v>138</v>
      </c>
      <c r="X149" s="3" t="s">
        <v>2143</v>
      </c>
      <c r="Y149" s="185">
        <v>0</v>
      </c>
      <c r="Z149" s="164">
        <v>2.8199999999999999E-2</v>
      </c>
      <c r="AA149" s="3" t="s">
        <v>511</v>
      </c>
      <c r="AB149" s="5" t="s">
        <v>146</v>
      </c>
      <c r="AC149" s="3" t="s">
        <v>1565</v>
      </c>
      <c r="AD149" s="153">
        <v>60116.983060975603</v>
      </c>
      <c r="AE149" s="164">
        <v>0.82</v>
      </c>
      <c r="AF149" s="3" t="s">
        <v>1394</v>
      </c>
      <c r="AG149" s="3" t="s">
        <v>141</v>
      </c>
      <c r="AH149" s="3" t="s">
        <v>2144</v>
      </c>
      <c r="AI149" s="3" t="s">
        <v>2316</v>
      </c>
      <c r="AJ149" s="3" t="s">
        <v>318</v>
      </c>
      <c r="AK149" s="3" t="s">
        <v>1392</v>
      </c>
      <c r="AL149" s="3" t="s">
        <v>2146</v>
      </c>
      <c r="AM149" s="3" t="s">
        <v>1393</v>
      </c>
      <c r="AN149" s="178" t="s">
        <v>1394</v>
      </c>
      <c r="AO149" s="3" t="s">
        <v>1394</v>
      </c>
      <c r="AP149" s="164">
        <v>0</v>
      </c>
      <c r="AQ149" s="153">
        <v>120449.12</v>
      </c>
      <c r="AR149" s="172">
        <v>118.73</v>
      </c>
      <c r="AS149" s="162">
        <v>1</v>
      </c>
      <c r="AT149" s="153">
        <v>143.00899999999999</v>
      </c>
      <c r="AU149" s="153">
        <v>143.00899999999999</v>
      </c>
      <c r="AX149" s="5" t="s">
        <v>141</v>
      </c>
      <c r="AY149" s="3" t="s">
        <v>36</v>
      </c>
      <c r="AZ149" s="164">
        <v>0.13511574181076799</v>
      </c>
      <c r="BA149" s="164">
        <v>9.4251418575309399E-4</v>
      </c>
    </row>
    <row r="150" spans="1:53">
      <c r="A150" s="3">
        <v>424</v>
      </c>
      <c r="B150" s="3">
        <v>7229</v>
      </c>
      <c r="C150" s="3" t="s">
        <v>2317</v>
      </c>
      <c r="D150" s="3" t="s">
        <v>134</v>
      </c>
      <c r="E150" s="3" t="s">
        <v>2318</v>
      </c>
      <c r="F150" s="3" t="s">
        <v>2319</v>
      </c>
      <c r="G150" s="3" t="s">
        <v>2138</v>
      </c>
      <c r="H150" s="3" t="s">
        <v>2320</v>
      </c>
      <c r="I150" s="3" t="s">
        <v>30</v>
      </c>
      <c r="J150" s="3" t="s">
        <v>30</v>
      </c>
      <c r="K150" s="3" t="s">
        <v>465</v>
      </c>
      <c r="L150" s="3" t="s">
        <v>141</v>
      </c>
      <c r="M150" s="3" t="s">
        <v>318</v>
      </c>
      <c r="N150" s="3" t="s">
        <v>2321</v>
      </c>
      <c r="O150" s="178" t="s">
        <v>2322</v>
      </c>
      <c r="P150" s="147" t="s">
        <v>3307</v>
      </c>
      <c r="Q150" s="147" t="s">
        <v>3306</v>
      </c>
      <c r="R150" s="3" t="s">
        <v>2141</v>
      </c>
      <c r="S150" s="3" t="s">
        <v>34</v>
      </c>
      <c r="T150" s="153">
        <v>0.08</v>
      </c>
      <c r="U150" s="3" t="s">
        <v>2142</v>
      </c>
      <c r="V150" s="164">
        <v>8.6499999999999994E-2</v>
      </c>
      <c r="W150" s="3" t="s">
        <v>2323</v>
      </c>
      <c r="X150" s="3" t="s">
        <v>2087</v>
      </c>
      <c r="Y150" s="185">
        <v>0</v>
      </c>
      <c r="Z150" s="164">
        <v>8.0399999999999999E-2</v>
      </c>
      <c r="AA150" s="3" t="s">
        <v>102</v>
      </c>
      <c r="AB150" s="5" t="s">
        <v>146</v>
      </c>
      <c r="AC150" s="3" t="s">
        <v>2324</v>
      </c>
      <c r="AD150" s="153">
        <v>782791</v>
      </c>
      <c r="AE150" s="164">
        <v>0.43</v>
      </c>
      <c r="AF150" s="3" t="s">
        <v>1394</v>
      </c>
      <c r="AG150" s="3" t="s">
        <v>318</v>
      </c>
      <c r="AH150" s="3" t="s">
        <v>2325</v>
      </c>
      <c r="AI150" s="3" t="s">
        <v>2326</v>
      </c>
      <c r="AJ150" s="3" t="s">
        <v>318</v>
      </c>
      <c r="AK150" s="3" t="s">
        <v>1392</v>
      </c>
      <c r="AL150" s="3" t="s">
        <v>2146</v>
      </c>
      <c r="AM150" s="3" t="s">
        <v>1393</v>
      </c>
      <c r="AN150" s="178" t="s">
        <v>1394</v>
      </c>
      <c r="AO150" s="3" t="s">
        <v>1394</v>
      </c>
      <c r="AP150" s="164">
        <v>0</v>
      </c>
      <c r="AQ150" s="153">
        <v>325000</v>
      </c>
      <c r="AR150" s="172">
        <v>106.22</v>
      </c>
      <c r="AS150" s="162">
        <v>1</v>
      </c>
      <c r="AT150" s="153">
        <v>345.21499999999997</v>
      </c>
      <c r="AU150" s="153">
        <v>345.21499999999997</v>
      </c>
      <c r="AX150" s="5" t="s">
        <v>141</v>
      </c>
      <c r="AY150" s="3" t="s">
        <v>36</v>
      </c>
      <c r="AZ150" s="164">
        <v>0.32616060858585</v>
      </c>
      <c r="BA150" s="164">
        <v>2.2751679138657398E-3</v>
      </c>
    </row>
    <row r="151" spans="1:53">
      <c r="A151" s="3">
        <v>424</v>
      </c>
      <c r="B151" s="3">
        <v>7229</v>
      </c>
      <c r="C151" s="3" t="s">
        <v>2333</v>
      </c>
      <c r="D151" s="3" t="s">
        <v>134</v>
      </c>
      <c r="E151" s="3" t="s">
        <v>2334</v>
      </c>
      <c r="F151" s="3" t="s">
        <v>2335</v>
      </c>
      <c r="G151" s="3" t="s">
        <v>2138</v>
      </c>
      <c r="I151" s="3" t="s">
        <v>30</v>
      </c>
      <c r="J151" s="3" t="s">
        <v>30</v>
      </c>
      <c r="K151" s="3" t="s">
        <v>151</v>
      </c>
      <c r="L151" s="3" t="s">
        <v>141</v>
      </c>
      <c r="M151" s="3" t="s">
        <v>318</v>
      </c>
      <c r="N151" s="3" t="s">
        <v>2336</v>
      </c>
      <c r="O151" s="178" t="s">
        <v>2140</v>
      </c>
      <c r="P151" s="3" t="s">
        <v>163</v>
      </c>
      <c r="Q151" s="3" t="s">
        <v>164</v>
      </c>
      <c r="R151" s="3" t="s">
        <v>2141</v>
      </c>
      <c r="S151" s="3" t="s">
        <v>34</v>
      </c>
      <c r="T151" s="153">
        <v>4.3499999999999996</v>
      </c>
      <c r="U151" s="3" t="s">
        <v>2142</v>
      </c>
      <c r="V151" s="164">
        <v>4.55E-4</v>
      </c>
      <c r="W151" s="3" t="s">
        <v>138</v>
      </c>
      <c r="X151" s="3" t="s">
        <v>2143</v>
      </c>
      <c r="Y151" s="185">
        <v>0</v>
      </c>
      <c r="Z151" s="164">
        <v>4.2099999999999999E-2</v>
      </c>
      <c r="AA151" s="3" t="s">
        <v>2337</v>
      </c>
      <c r="AB151" s="5" t="s">
        <v>146</v>
      </c>
      <c r="AC151" s="3" t="s">
        <v>1565</v>
      </c>
      <c r="AD151" s="153">
        <v>104760.857253165</v>
      </c>
      <c r="AE151" s="164">
        <v>0.79</v>
      </c>
      <c r="AF151" s="3" t="s">
        <v>1394</v>
      </c>
      <c r="AG151" s="3" t="s">
        <v>318</v>
      </c>
      <c r="AH151" s="3" t="s">
        <v>2144</v>
      </c>
      <c r="AI151" s="3" t="s">
        <v>2145</v>
      </c>
      <c r="AJ151" s="3" t="s">
        <v>318</v>
      </c>
      <c r="AK151" s="3" t="s">
        <v>1392</v>
      </c>
      <c r="AL151" s="3" t="s">
        <v>2146</v>
      </c>
      <c r="AM151" s="3" t="s">
        <v>1393</v>
      </c>
      <c r="AN151" s="178" t="s">
        <v>1394</v>
      </c>
      <c r="AO151" s="3" t="s">
        <v>1394</v>
      </c>
      <c r="AP151" s="164">
        <v>0</v>
      </c>
      <c r="AQ151" s="153">
        <v>239044.82</v>
      </c>
      <c r="AR151" s="172">
        <v>110.77</v>
      </c>
      <c r="AS151" s="162">
        <v>1</v>
      </c>
      <c r="AT151" s="153">
        <v>264.79000000000002</v>
      </c>
      <c r="AU151" s="153">
        <v>264.79000000000002</v>
      </c>
      <c r="AX151" s="5" t="s">
        <v>141</v>
      </c>
      <c r="AY151" s="3" t="s">
        <v>36</v>
      </c>
      <c r="AZ151" s="164">
        <v>0.25017467461760701</v>
      </c>
      <c r="BA151" s="164">
        <v>1.74511997331512E-3</v>
      </c>
    </row>
    <row r="152" spans="1:53">
      <c r="A152" s="3">
        <v>969</v>
      </c>
      <c r="B152" s="3">
        <v>969</v>
      </c>
      <c r="C152" s="3" t="s">
        <v>2135</v>
      </c>
      <c r="D152" s="3" t="s">
        <v>134</v>
      </c>
      <c r="E152" s="3" t="s">
        <v>2136</v>
      </c>
      <c r="F152" s="3" t="s">
        <v>2137</v>
      </c>
      <c r="G152" s="3" t="s">
        <v>2138</v>
      </c>
      <c r="I152" s="3" t="s">
        <v>30</v>
      </c>
      <c r="J152" s="3" t="s">
        <v>30</v>
      </c>
      <c r="K152" s="3" t="s">
        <v>151</v>
      </c>
      <c r="L152" s="3" t="s">
        <v>141</v>
      </c>
      <c r="M152" s="3" t="s">
        <v>318</v>
      </c>
      <c r="N152" s="3" t="s">
        <v>2139</v>
      </c>
      <c r="O152" s="178" t="s">
        <v>2140</v>
      </c>
      <c r="P152" s="41" t="s">
        <v>163</v>
      </c>
      <c r="Q152" s="3" t="s">
        <v>164</v>
      </c>
      <c r="R152" s="3" t="s">
        <v>2141</v>
      </c>
      <c r="S152" s="3" t="s">
        <v>34</v>
      </c>
      <c r="T152" s="153">
        <v>4.2300000000000004</v>
      </c>
      <c r="U152" s="3" t="s">
        <v>2142</v>
      </c>
      <c r="V152" s="164">
        <v>4.4999999999999998E-2</v>
      </c>
      <c r="W152" s="3" t="s">
        <v>138</v>
      </c>
      <c r="X152" s="3" t="s">
        <v>2143</v>
      </c>
      <c r="Y152" s="185">
        <v>4.4999999999999998E-2</v>
      </c>
      <c r="Z152" s="164">
        <v>4.2000000000000003E-2</v>
      </c>
      <c r="AA152" s="3" t="s">
        <v>330</v>
      </c>
      <c r="AB152" s="5" t="s">
        <v>146</v>
      </c>
      <c r="AC152" s="3" t="s">
        <v>1565</v>
      </c>
      <c r="AD152" s="153">
        <v>51249.677223684201</v>
      </c>
      <c r="AE152" s="164">
        <v>0.76</v>
      </c>
      <c r="AF152" s="3" t="s">
        <v>1394</v>
      </c>
      <c r="AG152" s="3" t="s">
        <v>318</v>
      </c>
      <c r="AH152" s="3" t="s">
        <v>2144</v>
      </c>
      <c r="AI152" s="3" t="s">
        <v>2145</v>
      </c>
      <c r="AJ152" s="3" t="s">
        <v>318</v>
      </c>
      <c r="AK152" s="3" t="s">
        <v>1392</v>
      </c>
      <c r="AL152" s="3" t="s">
        <v>2146</v>
      </c>
      <c r="AM152" s="3" t="s">
        <v>1393</v>
      </c>
      <c r="AN152" s="178" t="s">
        <v>1394</v>
      </c>
      <c r="AO152" s="3" t="s">
        <v>1394</v>
      </c>
      <c r="AP152" s="164">
        <v>0</v>
      </c>
      <c r="AQ152" s="153">
        <v>70943.350000000006</v>
      </c>
      <c r="AR152" s="172">
        <v>110.52</v>
      </c>
      <c r="AS152" s="162">
        <v>1</v>
      </c>
      <c r="AT152" s="153">
        <v>78.406999999999996</v>
      </c>
      <c r="AU152" s="153">
        <v>78.406999999999996</v>
      </c>
      <c r="AX152" s="5" t="s">
        <v>141</v>
      </c>
      <c r="AY152" s="3" t="s">
        <v>36</v>
      </c>
      <c r="AZ152" s="164">
        <v>0.117838871713687</v>
      </c>
      <c r="BA152" s="164">
        <v>1.03290909089283E-3</v>
      </c>
    </row>
    <row r="153" spans="1:53">
      <c r="A153" s="41">
        <v>969</v>
      </c>
      <c r="B153" s="41">
        <v>969</v>
      </c>
      <c r="C153" s="41" t="s">
        <v>2147</v>
      </c>
      <c r="D153" s="41" t="s">
        <v>134</v>
      </c>
      <c r="E153" s="41" t="s">
        <v>2148</v>
      </c>
      <c r="F153" s="41" t="s">
        <v>2149</v>
      </c>
      <c r="G153" s="41" t="s">
        <v>2138</v>
      </c>
      <c r="H153" s="41"/>
      <c r="I153" s="41" t="s">
        <v>30</v>
      </c>
      <c r="J153" s="41" t="s">
        <v>30</v>
      </c>
      <c r="K153" s="41" t="s">
        <v>151</v>
      </c>
      <c r="L153" s="41" t="s">
        <v>141</v>
      </c>
      <c r="M153" s="41" t="s">
        <v>318</v>
      </c>
      <c r="N153" s="41" t="s">
        <v>2150</v>
      </c>
      <c r="O153" s="178" t="s">
        <v>2151</v>
      </c>
      <c r="P153" s="202" t="s">
        <v>142</v>
      </c>
      <c r="Q153" s="21" t="s">
        <v>164</v>
      </c>
      <c r="R153" s="41" t="s">
        <v>2141</v>
      </c>
      <c r="S153" s="41" t="s">
        <v>34</v>
      </c>
      <c r="T153" s="153">
        <v>2.81</v>
      </c>
      <c r="U153" s="41" t="s">
        <v>2152</v>
      </c>
      <c r="V153" s="164">
        <v>5.5452000000000001E-2</v>
      </c>
      <c r="W153" s="41" t="s">
        <v>138</v>
      </c>
      <c r="X153" s="41" t="s">
        <v>2087</v>
      </c>
      <c r="Y153" s="185">
        <v>0</v>
      </c>
      <c r="Z153" s="164">
        <v>3.0599999999999999E-2</v>
      </c>
      <c r="AA153" s="41" t="s">
        <v>2153</v>
      </c>
      <c r="AB153" s="42" t="s">
        <v>146</v>
      </c>
      <c r="AC153" s="41" t="s">
        <v>1565</v>
      </c>
      <c r="AD153" s="153">
        <v>482000</v>
      </c>
      <c r="AE153" s="164">
        <v>0.73</v>
      </c>
      <c r="AF153" s="41" t="s">
        <v>1394</v>
      </c>
      <c r="AG153" s="41" t="s">
        <v>141</v>
      </c>
      <c r="AH153" s="41" t="s">
        <v>2144</v>
      </c>
      <c r="AI153" s="41" t="s">
        <v>2154</v>
      </c>
      <c r="AJ153" s="41" t="s">
        <v>318</v>
      </c>
      <c r="AK153" s="41" t="s">
        <v>1392</v>
      </c>
      <c r="AL153" s="41" t="s">
        <v>2146</v>
      </c>
      <c r="AM153" s="41" t="s">
        <v>1393</v>
      </c>
      <c r="AN153" s="178" t="s">
        <v>1394</v>
      </c>
      <c r="AO153" s="41" t="s">
        <v>1394</v>
      </c>
      <c r="AP153" s="164">
        <v>0</v>
      </c>
      <c r="AQ153" s="153">
        <v>2573.39</v>
      </c>
      <c r="AR153" s="172">
        <v>127.7</v>
      </c>
      <c r="AS153" s="162">
        <v>1</v>
      </c>
      <c r="AT153" s="153">
        <v>3.286</v>
      </c>
      <c r="AU153" s="153">
        <v>3.286</v>
      </c>
      <c r="AV153" s="41"/>
      <c r="AW153" s="41"/>
      <c r="AX153" s="42" t="s">
        <v>141</v>
      </c>
      <c r="AY153" s="41" t="s">
        <v>36</v>
      </c>
      <c r="AZ153" s="164">
        <v>4.9389259324362804E-3</v>
      </c>
      <c r="BA153" s="164">
        <v>4.3291839277405599E-5</v>
      </c>
    </row>
    <row r="154" spans="1:53">
      <c r="A154" s="41">
        <v>969</v>
      </c>
      <c r="B154" s="41">
        <v>969</v>
      </c>
      <c r="C154" s="41" t="s">
        <v>2147</v>
      </c>
      <c r="D154" s="41" t="s">
        <v>134</v>
      </c>
      <c r="E154" s="41" t="s">
        <v>2155</v>
      </c>
      <c r="F154" s="41" t="s">
        <v>2156</v>
      </c>
      <c r="G154" s="41" t="s">
        <v>2138</v>
      </c>
      <c r="H154" s="41"/>
      <c r="I154" s="41" t="s">
        <v>30</v>
      </c>
      <c r="J154" s="41" t="s">
        <v>30</v>
      </c>
      <c r="K154" s="41" t="s">
        <v>151</v>
      </c>
      <c r="L154" s="41" t="s">
        <v>141</v>
      </c>
      <c r="M154" s="41" t="s">
        <v>318</v>
      </c>
      <c r="N154" s="41" t="s">
        <v>2157</v>
      </c>
      <c r="O154" s="178" t="s">
        <v>2151</v>
      </c>
      <c r="P154" s="202" t="s">
        <v>142</v>
      </c>
      <c r="Q154" s="21" t="s">
        <v>164</v>
      </c>
      <c r="R154" s="41" t="s">
        <v>2141</v>
      </c>
      <c r="S154" s="41" t="s">
        <v>34</v>
      </c>
      <c r="T154" s="153">
        <v>2.82</v>
      </c>
      <c r="U154" s="41" t="s">
        <v>2142</v>
      </c>
      <c r="V154" s="164">
        <v>5.5452000000000001E-2</v>
      </c>
      <c r="W154" s="41" t="s">
        <v>138</v>
      </c>
      <c r="X154" s="41" t="s">
        <v>2087</v>
      </c>
      <c r="Y154" s="185">
        <v>0</v>
      </c>
      <c r="Z154" s="164">
        <v>2.9100000000000001E-2</v>
      </c>
      <c r="AA154" s="41" t="s">
        <v>2153</v>
      </c>
      <c r="AB154" s="42" t="s">
        <v>146</v>
      </c>
      <c r="AC154" s="41" t="s">
        <v>1565</v>
      </c>
      <c r="AD154" s="153">
        <v>482000</v>
      </c>
      <c r="AE154" s="164">
        <v>0.73</v>
      </c>
      <c r="AF154" s="41" t="s">
        <v>1394</v>
      </c>
      <c r="AG154" s="41" t="s">
        <v>141</v>
      </c>
      <c r="AH154" s="41" t="s">
        <v>2144</v>
      </c>
      <c r="AI154" s="41" t="s">
        <v>2154</v>
      </c>
      <c r="AJ154" s="41" t="s">
        <v>318</v>
      </c>
      <c r="AK154" s="41" t="s">
        <v>1392</v>
      </c>
      <c r="AL154" s="41" t="s">
        <v>2146</v>
      </c>
      <c r="AM154" s="41" t="s">
        <v>1393</v>
      </c>
      <c r="AN154" s="178" t="s">
        <v>1394</v>
      </c>
      <c r="AO154" s="41" t="s">
        <v>1394</v>
      </c>
      <c r="AP154" s="164">
        <v>0</v>
      </c>
      <c r="AQ154" s="153">
        <v>3706.99</v>
      </c>
      <c r="AR154" s="172">
        <v>130.78</v>
      </c>
      <c r="AS154" s="162">
        <v>1</v>
      </c>
      <c r="AT154" s="153">
        <v>4.8479999999999999</v>
      </c>
      <c r="AU154" s="153">
        <v>4.8479999999999999</v>
      </c>
      <c r="AV154" s="41"/>
      <c r="AW154" s="41"/>
      <c r="AX154" s="42" t="s">
        <v>141</v>
      </c>
      <c r="AY154" s="41" t="s">
        <v>36</v>
      </c>
      <c r="AZ154" s="164">
        <v>7.2861608489609301E-3</v>
      </c>
      <c r="BA154" s="164">
        <v>6.3866376766445206E-5</v>
      </c>
    </row>
    <row r="155" spans="1:53">
      <c r="A155" s="41">
        <v>969</v>
      </c>
      <c r="B155" s="41">
        <v>969</v>
      </c>
      <c r="C155" s="41" t="s">
        <v>2147</v>
      </c>
      <c r="D155" s="41" t="s">
        <v>134</v>
      </c>
      <c r="E155" s="41" t="s">
        <v>2158</v>
      </c>
      <c r="F155" s="41" t="s">
        <v>2159</v>
      </c>
      <c r="G155" s="41" t="s">
        <v>2138</v>
      </c>
      <c r="H155" s="41"/>
      <c r="I155" s="41" t="s">
        <v>30</v>
      </c>
      <c r="J155" s="41" t="s">
        <v>30</v>
      </c>
      <c r="K155" s="41" t="s">
        <v>151</v>
      </c>
      <c r="L155" s="41" t="s">
        <v>141</v>
      </c>
      <c r="M155" s="41" t="s">
        <v>318</v>
      </c>
      <c r="N155" s="41" t="s">
        <v>2157</v>
      </c>
      <c r="O155" s="178" t="s">
        <v>2151</v>
      </c>
      <c r="P155" s="202" t="s">
        <v>142</v>
      </c>
      <c r="Q155" s="21" t="s">
        <v>164</v>
      </c>
      <c r="R155" s="41" t="s">
        <v>2141</v>
      </c>
      <c r="S155" s="41" t="s">
        <v>34</v>
      </c>
      <c r="T155" s="153">
        <v>2.82</v>
      </c>
      <c r="U155" s="41" t="s">
        <v>2142</v>
      </c>
      <c r="V155" s="164">
        <v>5.5452000000000001E-2</v>
      </c>
      <c r="W155" s="41" t="s">
        <v>138</v>
      </c>
      <c r="X155" s="41" t="s">
        <v>2087</v>
      </c>
      <c r="Y155" s="185">
        <v>0</v>
      </c>
      <c r="Z155" s="164">
        <v>2.9100000000000001E-2</v>
      </c>
      <c r="AA155" s="41" t="s">
        <v>2153</v>
      </c>
      <c r="AB155" s="42" t="s">
        <v>146</v>
      </c>
      <c r="AC155" s="41" t="s">
        <v>1565</v>
      </c>
      <c r="AD155" s="153">
        <v>482000</v>
      </c>
      <c r="AE155" s="164">
        <v>0.73</v>
      </c>
      <c r="AF155" s="41" t="s">
        <v>1394</v>
      </c>
      <c r="AG155" s="41" t="s">
        <v>141</v>
      </c>
      <c r="AH155" s="41" t="s">
        <v>2144</v>
      </c>
      <c r="AI155" s="41" t="s">
        <v>2154</v>
      </c>
      <c r="AJ155" s="41" t="s">
        <v>318</v>
      </c>
      <c r="AK155" s="41" t="s">
        <v>1392</v>
      </c>
      <c r="AL155" s="41" t="s">
        <v>2146</v>
      </c>
      <c r="AM155" s="41" t="s">
        <v>1393</v>
      </c>
      <c r="AN155" s="178" t="s">
        <v>1394</v>
      </c>
      <c r="AO155" s="41" t="s">
        <v>1394</v>
      </c>
      <c r="AP155" s="164">
        <v>0</v>
      </c>
      <c r="AQ155" s="153">
        <v>408.44</v>
      </c>
      <c r="AR155" s="172">
        <v>130.78</v>
      </c>
      <c r="AS155" s="162">
        <v>1</v>
      </c>
      <c r="AT155" s="153">
        <v>0.53400000000000003</v>
      </c>
      <c r="AU155" s="153">
        <v>0.53400000000000003</v>
      </c>
      <c r="AV155" s="41"/>
      <c r="AW155" s="41"/>
      <c r="AX155" s="42" t="s">
        <v>141</v>
      </c>
      <c r="AY155" s="41" t="s">
        <v>36</v>
      </c>
      <c r="AZ155" s="164">
        <v>8.0279675347103799E-4</v>
      </c>
      <c r="BA155" s="164">
        <v>7.0368635810959403E-6</v>
      </c>
    </row>
    <row r="156" spans="1:53">
      <c r="A156" s="41">
        <v>969</v>
      </c>
      <c r="B156" s="41">
        <v>969</v>
      </c>
      <c r="C156" s="41" t="s">
        <v>2147</v>
      </c>
      <c r="D156" s="41" t="s">
        <v>134</v>
      </c>
      <c r="E156" s="41" t="s">
        <v>2160</v>
      </c>
      <c r="F156" s="41" t="s">
        <v>2161</v>
      </c>
      <c r="G156" s="41" t="s">
        <v>2138</v>
      </c>
      <c r="H156" s="41"/>
      <c r="I156" s="41" t="s">
        <v>30</v>
      </c>
      <c r="J156" s="41" t="s">
        <v>30</v>
      </c>
      <c r="K156" s="41" t="s">
        <v>151</v>
      </c>
      <c r="L156" s="41" t="s">
        <v>141</v>
      </c>
      <c r="M156" s="41" t="s">
        <v>318</v>
      </c>
      <c r="N156" s="41" t="s">
        <v>2162</v>
      </c>
      <c r="O156" s="178" t="s">
        <v>2163</v>
      </c>
      <c r="P156" s="202" t="s">
        <v>142</v>
      </c>
      <c r="Q156" s="21" t="s">
        <v>164</v>
      </c>
      <c r="R156" s="41" t="s">
        <v>2141</v>
      </c>
      <c r="S156" s="41" t="s">
        <v>34</v>
      </c>
      <c r="T156" s="153">
        <v>2.82</v>
      </c>
      <c r="U156" s="41" t="s">
        <v>2152</v>
      </c>
      <c r="V156" s="164">
        <v>5.5452000000000001E-2</v>
      </c>
      <c r="W156" s="41" t="s">
        <v>138</v>
      </c>
      <c r="X156" s="41" t="s">
        <v>2087</v>
      </c>
      <c r="Y156" s="185">
        <v>0</v>
      </c>
      <c r="Z156" s="164">
        <v>2.9100000000000001E-2</v>
      </c>
      <c r="AA156" s="41" t="s">
        <v>2153</v>
      </c>
      <c r="AB156" s="42" t="s">
        <v>146</v>
      </c>
      <c r="AC156" s="41" t="s">
        <v>1565</v>
      </c>
      <c r="AD156" s="153">
        <v>482000</v>
      </c>
      <c r="AE156" s="164">
        <v>0.73</v>
      </c>
      <c r="AF156" s="41" t="s">
        <v>1394</v>
      </c>
      <c r="AG156" s="41" t="s">
        <v>141</v>
      </c>
      <c r="AH156" s="41" t="s">
        <v>2144</v>
      </c>
      <c r="AI156" s="41" t="s">
        <v>2154</v>
      </c>
      <c r="AJ156" s="41" t="s">
        <v>318</v>
      </c>
      <c r="AK156" s="41" t="s">
        <v>1392</v>
      </c>
      <c r="AL156" s="41" t="s">
        <v>2146</v>
      </c>
      <c r="AM156" s="41" t="s">
        <v>1393</v>
      </c>
      <c r="AN156" s="178" t="s">
        <v>1394</v>
      </c>
      <c r="AO156" s="41" t="s">
        <v>1394</v>
      </c>
      <c r="AP156" s="164">
        <v>0</v>
      </c>
      <c r="AQ156" s="153">
        <v>5104.42</v>
      </c>
      <c r="AR156" s="172">
        <v>132.41999999999999</v>
      </c>
      <c r="AS156" s="162">
        <v>1</v>
      </c>
      <c r="AT156" s="153">
        <v>6.7590000000000003</v>
      </c>
      <c r="AU156" s="153">
        <v>6.7590000000000003</v>
      </c>
      <c r="AV156" s="41"/>
      <c r="AW156" s="41"/>
      <c r="AX156" s="42" t="s">
        <v>141</v>
      </c>
      <c r="AY156" s="41" t="s">
        <v>36</v>
      </c>
      <c r="AZ156" s="164">
        <v>1.0158649871343199E-2</v>
      </c>
      <c r="BA156" s="164">
        <v>8.90449955155914E-5</v>
      </c>
    </row>
    <row r="157" spans="1:53">
      <c r="A157" s="41">
        <v>969</v>
      </c>
      <c r="B157" s="41">
        <v>969</v>
      </c>
      <c r="C157" s="41" t="s">
        <v>2147</v>
      </c>
      <c r="D157" s="41" t="s">
        <v>134</v>
      </c>
      <c r="E157" s="41" t="s">
        <v>2164</v>
      </c>
      <c r="F157" s="41" t="s">
        <v>2165</v>
      </c>
      <c r="G157" s="41" t="s">
        <v>2138</v>
      </c>
      <c r="H157" s="41"/>
      <c r="I157" s="41" t="s">
        <v>30</v>
      </c>
      <c r="J157" s="41" t="s">
        <v>30</v>
      </c>
      <c r="K157" s="41" t="s">
        <v>151</v>
      </c>
      <c r="L157" s="41" t="s">
        <v>141</v>
      </c>
      <c r="M157" s="41" t="s">
        <v>318</v>
      </c>
      <c r="N157" s="41" t="s">
        <v>2166</v>
      </c>
      <c r="O157" s="178" t="s">
        <v>2167</v>
      </c>
      <c r="P157" s="202" t="s">
        <v>142</v>
      </c>
      <c r="Q157" s="21" t="s">
        <v>164</v>
      </c>
      <c r="R157" s="41" t="s">
        <v>2141</v>
      </c>
      <c r="S157" s="41" t="s">
        <v>34</v>
      </c>
      <c r="T157" s="153">
        <v>2.82</v>
      </c>
      <c r="U157" s="41" t="s">
        <v>2152</v>
      </c>
      <c r="V157" s="164">
        <v>5.5452000000000001E-2</v>
      </c>
      <c r="W157" s="41" t="s">
        <v>138</v>
      </c>
      <c r="X157" s="41" t="s">
        <v>2087</v>
      </c>
      <c r="Y157" s="185">
        <v>0</v>
      </c>
      <c r="Z157" s="164">
        <v>2.9100000000000001E-2</v>
      </c>
      <c r="AA157" s="41" t="s">
        <v>2153</v>
      </c>
      <c r="AB157" s="42" t="s">
        <v>146</v>
      </c>
      <c r="AC157" s="41" t="s">
        <v>1565</v>
      </c>
      <c r="AD157" s="153">
        <v>482000</v>
      </c>
      <c r="AE157" s="164">
        <v>0.73</v>
      </c>
      <c r="AF157" s="41" t="s">
        <v>1394</v>
      </c>
      <c r="AG157" s="41" t="s">
        <v>141</v>
      </c>
      <c r="AH157" s="41" t="s">
        <v>2144</v>
      </c>
      <c r="AI157" s="41" t="s">
        <v>2154</v>
      </c>
      <c r="AJ157" s="41" t="s">
        <v>318</v>
      </c>
      <c r="AK157" s="41" t="s">
        <v>1392</v>
      </c>
      <c r="AL157" s="41" t="s">
        <v>2146</v>
      </c>
      <c r="AM157" s="41" t="s">
        <v>1393</v>
      </c>
      <c r="AN157" s="178" t="s">
        <v>1394</v>
      </c>
      <c r="AO157" s="41" t="s">
        <v>1394</v>
      </c>
      <c r="AP157" s="164">
        <v>0</v>
      </c>
      <c r="AQ157" s="153">
        <v>4897.22</v>
      </c>
      <c r="AR157" s="172">
        <v>132.41</v>
      </c>
      <c r="AS157" s="162">
        <v>1</v>
      </c>
      <c r="AT157" s="153">
        <v>6.484</v>
      </c>
      <c r="AU157" s="153">
        <v>6.484</v>
      </c>
      <c r="AV157" s="41"/>
      <c r="AW157" s="41"/>
      <c r="AX157" s="42" t="s">
        <v>141</v>
      </c>
      <c r="AY157" s="41" t="s">
        <v>36</v>
      </c>
      <c r="AZ157" s="164">
        <v>9.7455511894169403E-3</v>
      </c>
      <c r="BA157" s="164">
        <v>8.5424005448457997E-5</v>
      </c>
    </row>
    <row r="158" spans="1:53">
      <c r="A158" s="41">
        <v>969</v>
      </c>
      <c r="B158" s="41">
        <v>969</v>
      </c>
      <c r="C158" s="41" t="s">
        <v>2147</v>
      </c>
      <c r="D158" s="41" t="s">
        <v>134</v>
      </c>
      <c r="E158" s="41" t="s">
        <v>2168</v>
      </c>
      <c r="F158" s="41" t="s">
        <v>2169</v>
      </c>
      <c r="G158" s="41" t="s">
        <v>2138</v>
      </c>
      <c r="H158" s="41"/>
      <c r="I158" s="41" t="s">
        <v>30</v>
      </c>
      <c r="J158" s="41" t="s">
        <v>30</v>
      </c>
      <c r="K158" s="41" t="s">
        <v>151</v>
      </c>
      <c r="L158" s="41" t="s">
        <v>141</v>
      </c>
      <c r="M158" s="41" t="s">
        <v>318</v>
      </c>
      <c r="N158" s="41" t="s">
        <v>2170</v>
      </c>
      <c r="O158" s="178" t="s">
        <v>2171</v>
      </c>
      <c r="P158" s="202" t="s">
        <v>142</v>
      </c>
      <c r="Q158" s="21" t="s">
        <v>164</v>
      </c>
      <c r="R158" s="41" t="s">
        <v>2141</v>
      </c>
      <c r="S158" s="41" t="s">
        <v>34</v>
      </c>
      <c r="T158" s="153">
        <v>2.82</v>
      </c>
      <c r="U158" s="41" t="s">
        <v>2152</v>
      </c>
      <c r="V158" s="164">
        <v>5.5453000000000002E-2</v>
      </c>
      <c r="W158" s="41" t="s">
        <v>138</v>
      </c>
      <c r="X158" s="41" t="s">
        <v>2087</v>
      </c>
      <c r="Y158" s="185">
        <v>0</v>
      </c>
      <c r="Z158" s="164">
        <v>2.9100000000000001E-2</v>
      </c>
      <c r="AA158" s="41" t="s">
        <v>2153</v>
      </c>
      <c r="AB158" s="42" t="s">
        <v>146</v>
      </c>
      <c r="AC158" s="41" t="s">
        <v>1565</v>
      </c>
      <c r="AD158" s="153">
        <v>482000</v>
      </c>
      <c r="AE158" s="164">
        <v>0.73</v>
      </c>
      <c r="AF158" s="41" t="s">
        <v>1394</v>
      </c>
      <c r="AG158" s="41" t="s">
        <v>141</v>
      </c>
      <c r="AH158" s="41" t="s">
        <v>2144</v>
      </c>
      <c r="AI158" s="41" t="s">
        <v>2154</v>
      </c>
      <c r="AJ158" s="41" t="s">
        <v>318</v>
      </c>
      <c r="AK158" s="41" t="s">
        <v>1392</v>
      </c>
      <c r="AL158" s="41" t="s">
        <v>2146</v>
      </c>
      <c r="AM158" s="41" t="s">
        <v>1393</v>
      </c>
      <c r="AN158" s="178" t="s">
        <v>1394</v>
      </c>
      <c r="AO158" s="41" t="s">
        <v>1394</v>
      </c>
      <c r="AP158" s="164">
        <v>0</v>
      </c>
      <c r="AQ158" s="153">
        <v>4925.1899999999996</v>
      </c>
      <c r="AR158" s="172">
        <v>130.78</v>
      </c>
      <c r="AS158" s="162">
        <v>1</v>
      </c>
      <c r="AT158" s="153">
        <v>6.4409999999999998</v>
      </c>
      <c r="AU158" s="153">
        <v>6.4409999999999998</v>
      </c>
      <c r="AV158" s="41"/>
      <c r="AW158" s="41"/>
      <c r="AX158" s="42" t="s">
        <v>141</v>
      </c>
      <c r="AY158" s="41" t="s">
        <v>36</v>
      </c>
      <c r="AZ158" s="164">
        <v>9.6805566110763405E-3</v>
      </c>
      <c r="BA158" s="164">
        <v>8.4854299630246596E-5</v>
      </c>
    </row>
    <row r="159" spans="1:53">
      <c r="A159" s="41">
        <v>969</v>
      </c>
      <c r="B159" s="41">
        <v>969</v>
      </c>
      <c r="C159" s="41" t="s">
        <v>2147</v>
      </c>
      <c r="D159" s="41" t="s">
        <v>134</v>
      </c>
      <c r="E159" s="41" t="s">
        <v>2172</v>
      </c>
      <c r="F159" s="41" t="s">
        <v>2173</v>
      </c>
      <c r="G159" s="41" t="s">
        <v>2138</v>
      </c>
      <c r="H159" s="41"/>
      <c r="I159" s="41" t="s">
        <v>30</v>
      </c>
      <c r="J159" s="41" t="s">
        <v>30</v>
      </c>
      <c r="K159" s="41" t="s">
        <v>151</v>
      </c>
      <c r="L159" s="41" t="s">
        <v>141</v>
      </c>
      <c r="M159" s="41" t="s">
        <v>318</v>
      </c>
      <c r="N159" s="41" t="s">
        <v>2174</v>
      </c>
      <c r="O159" s="178" t="s">
        <v>2175</v>
      </c>
      <c r="P159" s="202" t="s">
        <v>142</v>
      </c>
      <c r="Q159" s="21" t="s">
        <v>164</v>
      </c>
      <c r="R159" s="41" t="s">
        <v>2141</v>
      </c>
      <c r="S159" s="41" t="s">
        <v>34</v>
      </c>
      <c r="T159" s="153">
        <v>2.82</v>
      </c>
      <c r="U159" s="41" t="s">
        <v>2152</v>
      </c>
      <c r="V159" s="164">
        <v>5.5452000000000001E-2</v>
      </c>
      <c r="W159" s="41" t="s">
        <v>138</v>
      </c>
      <c r="X159" s="41" t="s">
        <v>2087</v>
      </c>
      <c r="Y159" s="185">
        <v>0</v>
      </c>
      <c r="Z159" s="164">
        <v>2.9100000000000001E-2</v>
      </c>
      <c r="AA159" s="41" t="s">
        <v>2153</v>
      </c>
      <c r="AB159" s="42" t="s">
        <v>146</v>
      </c>
      <c r="AC159" s="41" t="s">
        <v>1565</v>
      </c>
      <c r="AD159" s="153">
        <v>482000</v>
      </c>
      <c r="AE159" s="164">
        <v>0.73</v>
      </c>
      <c r="AF159" s="41" t="s">
        <v>1394</v>
      </c>
      <c r="AG159" s="41" t="s">
        <v>141</v>
      </c>
      <c r="AH159" s="41" t="s">
        <v>2144</v>
      </c>
      <c r="AI159" s="41" t="s">
        <v>2154</v>
      </c>
      <c r="AJ159" s="41" t="s">
        <v>318</v>
      </c>
      <c r="AK159" s="41" t="s">
        <v>1392</v>
      </c>
      <c r="AL159" s="41" t="s">
        <v>2146</v>
      </c>
      <c r="AM159" s="41" t="s">
        <v>1393</v>
      </c>
      <c r="AN159" s="178" t="s">
        <v>1394</v>
      </c>
      <c r="AO159" s="41" t="s">
        <v>1394</v>
      </c>
      <c r="AP159" s="164">
        <v>0</v>
      </c>
      <c r="AQ159" s="153">
        <v>1555.31</v>
      </c>
      <c r="AR159" s="172">
        <v>130.25</v>
      </c>
      <c r="AS159" s="162">
        <v>1</v>
      </c>
      <c r="AT159" s="153">
        <v>2.0259999999999998</v>
      </c>
      <c r="AU159" s="153">
        <v>2.0259999999999998</v>
      </c>
      <c r="AV159" s="41"/>
      <c r="AW159" s="41"/>
      <c r="AX159" s="42" t="s">
        <v>141</v>
      </c>
      <c r="AY159" s="41" t="s">
        <v>36</v>
      </c>
      <c r="AZ159" s="164">
        <v>3.0446032265234201E-3</v>
      </c>
      <c r="BA159" s="164">
        <v>2.6687274793996501E-5</v>
      </c>
    </row>
    <row r="160" spans="1:53">
      <c r="A160" s="41">
        <v>969</v>
      </c>
      <c r="B160" s="41">
        <v>969</v>
      </c>
      <c r="C160" s="41" t="s">
        <v>2147</v>
      </c>
      <c r="D160" s="41" t="s">
        <v>134</v>
      </c>
      <c r="E160" s="41" t="s">
        <v>2176</v>
      </c>
      <c r="F160" s="41" t="s">
        <v>2177</v>
      </c>
      <c r="G160" s="41" t="s">
        <v>2138</v>
      </c>
      <c r="H160" s="41"/>
      <c r="I160" s="41" t="s">
        <v>30</v>
      </c>
      <c r="J160" s="41" t="s">
        <v>30</v>
      </c>
      <c r="K160" s="41" t="s">
        <v>151</v>
      </c>
      <c r="L160" s="41" t="s">
        <v>141</v>
      </c>
      <c r="M160" s="41" t="s">
        <v>318</v>
      </c>
      <c r="N160" s="41" t="s">
        <v>2178</v>
      </c>
      <c r="O160" s="178" t="s">
        <v>2179</v>
      </c>
      <c r="P160" s="202" t="s">
        <v>142</v>
      </c>
      <c r="Q160" s="21" t="s">
        <v>164</v>
      </c>
      <c r="R160" s="41" t="s">
        <v>2141</v>
      </c>
      <c r="S160" s="41" t="s">
        <v>34</v>
      </c>
      <c r="T160" s="153">
        <v>2.81</v>
      </c>
      <c r="U160" s="41" t="s">
        <v>2142</v>
      </c>
      <c r="V160" s="164">
        <v>5.6285000000000002E-2</v>
      </c>
      <c r="W160" s="41" t="s">
        <v>138</v>
      </c>
      <c r="X160" s="41" t="s">
        <v>2087</v>
      </c>
      <c r="Y160" s="185">
        <v>0</v>
      </c>
      <c r="Z160" s="164">
        <v>2.9000000000000001E-2</v>
      </c>
      <c r="AA160" s="41" t="s">
        <v>2153</v>
      </c>
      <c r="AB160" s="42" t="s">
        <v>146</v>
      </c>
      <c r="AC160" s="41" t="s">
        <v>1565</v>
      </c>
      <c r="AD160" s="153">
        <v>482000</v>
      </c>
      <c r="AE160" s="164">
        <v>0.73</v>
      </c>
      <c r="AF160" s="41" t="s">
        <v>1394</v>
      </c>
      <c r="AG160" s="41" t="s">
        <v>141</v>
      </c>
      <c r="AH160" s="41" t="s">
        <v>2144</v>
      </c>
      <c r="AI160" s="41" t="s">
        <v>2154</v>
      </c>
      <c r="AJ160" s="41" t="s">
        <v>318</v>
      </c>
      <c r="AK160" s="41" t="s">
        <v>1392</v>
      </c>
      <c r="AL160" s="41" t="s">
        <v>2146</v>
      </c>
      <c r="AM160" s="41" t="s">
        <v>1393</v>
      </c>
      <c r="AN160" s="178" t="s">
        <v>1394</v>
      </c>
      <c r="AO160" s="41" t="s">
        <v>1394</v>
      </c>
      <c r="AP160" s="164">
        <v>0</v>
      </c>
      <c r="AQ160" s="153">
        <v>228.42</v>
      </c>
      <c r="AR160" s="172">
        <v>132.63999999999999</v>
      </c>
      <c r="AS160" s="162">
        <v>1</v>
      </c>
      <c r="AT160" s="153">
        <v>0.30299999999999999</v>
      </c>
      <c r="AU160" s="153">
        <v>0.30299999999999999</v>
      </c>
      <c r="AV160" s="41"/>
      <c r="AW160" s="41"/>
      <c r="AX160" s="42" t="s">
        <v>141</v>
      </c>
      <c r="AY160" s="41" t="s">
        <v>36</v>
      </c>
      <c r="AZ160" s="164">
        <v>4.5534927284396001E-4</v>
      </c>
      <c r="BA160" s="164">
        <v>3.9913349187077596E-6</v>
      </c>
    </row>
    <row r="161" spans="1:53">
      <c r="A161" s="41">
        <v>969</v>
      </c>
      <c r="B161" s="41">
        <v>969</v>
      </c>
      <c r="C161" s="41" t="s">
        <v>2147</v>
      </c>
      <c r="D161" s="41" t="s">
        <v>134</v>
      </c>
      <c r="E161" s="41" t="s">
        <v>2180</v>
      </c>
      <c r="F161" s="41" t="s">
        <v>2181</v>
      </c>
      <c r="G161" s="41" t="s">
        <v>2138</v>
      </c>
      <c r="H161" s="41"/>
      <c r="I161" s="41" t="s">
        <v>30</v>
      </c>
      <c r="J161" s="41" t="s">
        <v>30</v>
      </c>
      <c r="K161" s="41" t="s">
        <v>151</v>
      </c>
      <c r="L161" s="41" t="s">
        <v>141</v>
      </c>
      <c r="M161" s="41" t="s">
        <v>318</v>
      </c>
      <c r="N161" s="41" t="s">
        <v>2182</v>
      </c>
      <c r="O161" s="178" t="s">
        <v>2151</v>
      </c>
      <c r="P161" s="202" t="s">
        <v>142</v>
      </c>
      <c r="Q161" s="21" t="s">
        <v>164</v>
      </c>
      <c r="R161" s="41" t="s">
        <v>2141</v>
      </c>
      <c r="S161" s="41" t="s">
        <v>34</v>
      </c>
      <c r="T161" s="153">
        <v>2.81</v>
      </c>
      <c r="U161" s="41" t="s">
        <v>2142</v>
      </c>
      <c r="V161" s="164">
        <v>5.7277000000000002E-2</v>
      </c>
      <c r="W161" s="41" t="s">
        <v>138</v>
      </c>
      <c r="X161" s="41" t="s">
        <v>2087</v>
      </c>
      <c r="Y161" s="185">
        <v>0</v>
      </c>
      <c r="Z161" s="164">
        <v>2.9100000000000001E-2</v>
      </c>
      <c r="AA161" s="41" t="s">
        <v>2153</v>
      </c>
      <c r="AB161" s="42" t="s">
        <v>146</v>
      </c>
      <c r="AC161" s="41" t="s">
        <v>1565</v>
      </c>
      <c r="AD161" s="153">
        <v>482000</v>
      </c>
      <c r="AE161" s="164">
        <v>0.73</v>
      </c>
      <c r="AF161" s="41" t="s">
        <v>1394</v>
      </c>
      <c r="AG161" s="41" t="s">
        <v>141</v>
      </c>
      <c r="AH161" s="41" t="s">
        <v>2144</v>
      </c>
      <c r="AI161" s="41" t="s">
        <v>2154</v>
      </c>
      <c r="AJ161" s="41" t="s">
        <v>318</v>
      </c>
      <c r="AK161" s="41" t="s">
        <v>1392</v>
      </c>
      <c r="AL161" s="41" t="s">
        <v>2146</v>
      </c>
      <c r="AM161" s="41" t="s">
        <v>1393</v>
      </c>
      <c r="AN161" s="178" t="s">
        <v>1394</v>
      </c>
      <c r="AO161" s="41" t="s">
        <v>1394</v>
      </c>
      <c r="AP161" s="164">
        <v>0</v>
      </c>
      <c r="AQ161" s="153">
        <v>459.94</v>
      </c>
      <c r="AR161" s="172">
        <v>133.02000000000001</v>
      </c>
      <c r="AS161" s="162">
        <v>1</v>
      </c>
      <c r="AT161" s="153">
        <v>0.61199999999999999</v>
      </c>
      <c r="AU161" s="153">
        <v>0.61199999999999999</v>
      </c>
      <c r="AV161" s="41"/>
      <c r="AW161" s="41"/>
      <c r="AX161" s="42" t="s">
        <v>141</v>
      </c>
      <c r="AY161" s="41" t="s">
        <v>36</v>
      </c>
      <c r="AZ161" s="164">
        <v>9.1950507665759101E-4</v>
      </c>
      <c r="BA161" s="164">
        <v>8.0598629212045798E-6</v>
      </c>
    </row>
    <row r="162" spans="1:53">
      <c r="A162" s="41">
        <v>969</v>
      </c>
      <c r="B162" s="41">
        <v>969</v>
      </c>
      <c r="C162" s="41" t="s">
        <v>2147</v>
      </c>
      <c r="D162" s="41" t="s">
        <v>134</v>
      </c>
      <c r="E162" s="41" t="s">
        <v>2183</v>
      </c>
      <c r="F162" s="41" t="s">
        <v>2184</v>
      </c>
      <c r="G162" s="41" t="s">
        <v>2138</v>
      </c>
      <c r="H162" s="41"/>
      <c r="I162" s="41" t="s">
        <v>30</v>
      </c>
      <c r="J162" s="41" t="s">
        <v>30</v>
      </c>
      <c r="K162" s="41" t="s">
        <v>151</v>
      </c>
      <c r="L162" s="41" t="s">
        <v>141</v>
      </c>
      <c r="M162" s="41" t="s">
        <v>318</v>
      </c>
      <c r="N162" s="41" t="s">
        <v>2185</v>
      </c>
      <c r="O162" s="178" t="s">
        <v>2186</v>
      </c>
      <c r="P162" s="202" t="s">
        <v>142</v>
      </c>
      <c r="Q162" s="21" t="s">
        <v>164</v>
      </c>
      <c r="R162" s="41" t="s">
        <v>2141</v>
      </c>
      <c r="S162" s="41" t="s">
        <v>34</v>
      </c>
      <c r="T162" s="153">
        <v>2.81</v>
      </c>
      <c r="U162" s="41" t="s">
        <v>2142</v>
      </c>
      <c r="V162" s="164">
        <v>5.6878999999999999E-2</v>
      </c>
      <c r="W162" s="41" t="s">
        <v>138</v>
      </c>
      <c r="X162" s="41" t="s">
        <v>2087</v>
      </c>
      <c r="Y162" s="185">
        <v>0</v>
      </c>
      <c r="Z162" s="164">
        <v>2.9100000000000001E-2</v>
      </c>
      <c r="AA162" s="41" t="s">
        <v>2153</v>
      </c>
      <c r="AB162" s="42" t="s">
        <v>146</v>
      </c>
      <c r="AC162" s="41" t="s">
        <v>1565</v>
      </c>
      <c r="AD162" s="153">
        <v>482000</v>
      </c>
      <c r="AE162" s="164">
        <v>0.73</v>
      </c>
      <c r="AF162" s="41" t="s">
        <v>1394</v>
      </c>
      <c r="AG162" s="41" t="s">
        <v>141</v>
      </c>
      <c r="AH162" s="41" t="s">
        <v>2144</v>
      </c>
      <c r="AI162" s="41" t="s">
        <v>2154</v>
      </c>
      <c r="AJ162" s="41" t="s">
        <v>318</v>
      </c>
      <c r="AK162" s="41" t="s">
        <v>1392</v>
      </c>
      <c r="AL162" s="41" t="s">
        <v>2146</v>
      </c>
      <c r="AM162" s="41" t="s">
        <v>1393</v>
      </c>
      <c r="AN162" s="178" t="s">
        <v>1394</v>
      </c>
      <c r="AO162" s="41" t="s">
        <v>1394</v>
      </c>
      <c r="AP162" s="164">
        <v>0</v>
      </c>
      <c r="AQ162" s="153">
        <v>275.99</v>
      </c>
      <c r="AR162" s="172">
        <v>132.99</v>
      </c>
      <c r="AS162" s="162">
        <v>1</v>
      </c>
      <c r="AT162" s="153">
        <v>0.36699999999999999</v>
      </c>
      <c r="AU162" s="153">
        <v>0.36699999999999999</v>
      </c>
      <c r="AV162" s="41"/>
      <c r="AW162" s="41"/>
      <c r="AX162" s="42" t="s">
        <v>141</v>
      </c>
      <c r="AY162" s="41" t="s">
        <v>36</v>
      </c>
      <c r="AZ162" s="164">
        <v>5.5163058749221601E-4</v>
      </c>
      <c r="BA162" s="164">
        <v>4.8352826223562603E-6</v>
      </c>
    </row>
    <row r="163" spans="1:53">
      <c r="A163" s="41">
        <v>969</v>
      </c>
      <c r="B163" s="41">
        <v>969</v>
      </c>
      <c r="C163" s="41" t="s">
        <v>2147</v>
      </c>
      <c r="D163" s="41" t="s">
        <v>134</v>
      </c>
      <c r="E163" s="41" t="s">
        <v>2187</v>
      </c>
      <c r="F163" s="41" t="s">
        <v>2188</v>
      </c>
      <c r="G163" s="41" t="s">
        <v>2138</v>
      </c>
      <c r="H163" s="41"/>
      <c r="I163" s="41" t="s">
        <v>30</v>
      </c>
      <c r="J163" s="41" t="s">
        <v>30</v>
      </c>
      <c r="K163" s="41" t="s">
        <v>151</v>
      </c>
      <c r="L163" s="41" t="s">
        <v>141</v>
      </c>
      <c r="M163" s="41" t="s">
        <v>318</v>
      </c>
      <c r="N163" s="41" t="s">
        <v>2189</v>
      </c>
      <c r="O163" s="178" t="s">
        <v>2190</v>
      </c>
      <c r="P163" s="202" t="s">
        <v>142</v>
      </c>
      <c r="Q163" s="21" t="s">
        <v>164</v>
      </c>
      <c r="R163" s="41" t="s">
        <v>2141</v>
      </c>
      <c r="S163" s="41" t="s">
        <v>34</v>
      </c>
      <c r="T163" s="153">
        <v>2.81</v>
      </c>
      <c r="U163" s="41" t="s">
        <v>2142</v>
      </c>
      <c r="V163" s="164">
        <v>5.7158E-2</v>
      </c>
      <c r="W163" s="41" t="s">
        <v>138</v>
      </c>
      <c r="X163" s="41" t="s">
        <v>2087</v>
      </c>
      <c r="Y163" s="185">
        <v>0</v>
      </c>
      <c r="Z163" s="164">
        <v>2.9100000000000001E-2</v>
      </c>
      <c r="AA163" s="41" t="s">
        <v>2153</v>
      </c>
      <c r="AB163" s="42" t="s">
        <v>146</v>
      </c>
      <c r="AC163" s="41" t="s">
        <v>1565</v>
      </c>
      <c r="AD163" s="153">
        <v>482000</v>
      </c>
      <c r="AE163" s="164">
        <v>0.73</v>
      </c>
      <c r="AF163" s="41" t="s">
        <v>1394</v>
      </c>
      <c r="AG163" s="41" t="s">
        <v>141</v>
      </c>
      <c r="AH163" s="41" t="s">
        <v>2144</v>
      </c>
      <c r="AI163" s="41" t="s">
        <v>2154</v>
      </c>
      <c r="AJ163" s="41" t="s">
        <v>318</v>
      </c>
      <c r="AK163" s="41" t="s">
        <v>1392</v>
      </c>
      <c r="AL163" s="41" t="s">
        <v>2146</v>
      </c>
      <c r="AM163" s="41" t="s">
        <v>1393</v>
      </c>
      <c r="AN163" s="178" t="s">
        <v>1394</v>
      </c>
      <c r="AO163" s="41" t="s">
        <v>1394</v>
      </c>
      <c r="AP163" s="164">
        <v>0</v>
      </c>
      <c r="AQ163" s="153">
        <v>4970.3599999999997</v>
      </c>
      <c r="AR163" s="172">
        <v>132.94999999999999</v>
      </c>
      <c r="AS163" s="162">
        <v>1</v>
      </c>
      <c r="AT163" s="153">
        <v>6.6079999999999997</v>
      </c>
      <c r="AU163" s="153">
        <v>6.6079999999999997</v>
      </c>
      <c r="AV163" s="41"/>
      <c r="AW163" s="41"/>
      <c r="AX163" s="42" t="s">
        <v>141</v>
      </c>
      <c r="AY163" s="41" t="s">
        <v>36</v>
      </c>
      <c r="AZ163" s="164">
        <v>9.9314393367701797E-3</v>
      </c>
      <c r="BA163" s="164">
        <v>8.7053396111302296E-5</v>
      </c>
    </row>
    <row r="164" spans="1:53">
      <c r="A164" s="41">
        <v>969</v>
      </c>
      <c r="B164" s="41">
        <v>969</v>
      </c>
      <c r="C164" s="41" t="s">
        <v>2147</v>
      </c>
      <c r="D164" s="41" t="s">
        <v>134</v>
      </c>
      <c r="E164" s="41" t="s">
        <v>2191</v>
      </c>
      <c r="F164" s="41" t="s">
        <v>2192</v>
      </c>
      <c r="G164" s="41" t="s">
        <v>2138</v>
      </c>
      <c r="H164" s="41"/>
      <c r="I164" s="41" t="s">
        <v>30</v>
      </c>
      <c r="J164" s="41" t="s">
        <v>30</v>
      </c>
      <c r="K164" s="41" t="s">
        <v>151</v>
      </c>
      <c r="L164" s="41" t="s">
        <v>141</v>
      </c>
      <c r="M164" s="41" t="s">
        <v>318</v>
      </c>
      <c r="N164" s="41" t="s">
        <v>2193</v>
      </c>
      <c r="O164" s="178" t="s">
        <v>2194</v>
      </c>
      <c r="P164" s="202" t="s">
        <v>142</v>
      </c>
      <c r="Q164" s="21" t="s">
        <v>164</v>
      </c>
      <c r="R164" s="41" t="s">
        <v>2141</v>
      </c>
      <c r="S164" s="41" t="s">
        <v>34</v>
      </c>
      <c r="T164" s="153">
        <v>2.82</v>
      </c>
      <c r="U164" s="41" t="s">
        <v>2142</v>
      </c>
      <c r="V164" s="164">
        <v>5.5451E-2</v>
      </c>
      <c r="W164" s="41" t="s">
        <v>138</v>
      </c>
      <c r="X164" s="41" t="s">
        <v>2087</v>
      </c>
      <c r="Y164" s="185">
        <v>0</v>
      </c>
      <c r="Z164" s="164">
        <v>2.9000000000000001E-2</v>
      </c>
      <c r="AA164" s="41" t="s">
        <v>2153</v>
      </c>
      <c r="AB164" s="42" t="s">
        <v>146</v>
      </c>
      <c r="AC164" s="41" t="s">
        <v>1565</v>
      </c>
      <c r="AD164" s="153">
        <v>482000</v>
      </c>
      <c r="AE164" s="164">
        <v>0.73</v>
      </c>
      <c r="AF164" s="41" t="s">
        <v>1394</v>
      </c>
      <c r="AG164" s="41" t="s">
        <v>141</v>
      </c>
      <c r="AH164" s="41" t="s">
        <v>2144</v>
      </c>
      <c r="AI164" s="41" t="s">
        <v>2154</v>
      </c>
      <c r="AJ164" s="41" t="s">
        <v>318</v>
      </c>
      <c r="AK164" s="41" t="s">
        <v>1392</v>
      </c>
      <c r="AL164" s="41" t="s">
        <v>2146</v>
      </c>
      <c r="AM164" s="41" t="s">
        <v>1393</v>
      </c>
      <c r="AN164" s="178" t="s">
        <v>1394</v>
      </c>
      <c r="AO164" s="41" t="s">
        <v>1394</v>
      </c>
      <c r="AP164" s="164">
        <v>0</v>
      </c>
      <c r="AQ164" s="153">
        <v>569</v>
      </c>
      <c r="AR164" s="172">
        <v>129.76</v>
      </c>
      <c r="AS164" s="162">
        <v>1</v>
      </c>
      <c r="AT164" s="153">
        <v>0.73799999999999999</v>
      </c>
      <c r="AU164" s="153">
        <v>0.73799999999999999</v>
      </c>
      <c r="AV164" s="41"/>
      <c r="AW164" s="41"/>
      <c r="AX164" s="42" t="s">
        <v>141</v>
      </c>
      <c r="AY164" s="41" t="s">
        <v>36</v>
      </c>
      <c r="AZ164" s="164">
        <v>1.10965790219095E-3</v>
      </c>
      <c r="BA164" s="164">
        <v>9.7266353477904797E-6</v>
      </c>
    </row>
    <row r="165" spans="1:53">
      <c r="A165" s="41">
        <v>969</v>
      </c>
      <c r="B165" s="41">
        <v>969</v>
      </c>
      <c r="C165" s="41" t="s">
        <v>2147</v>
      </c>
      <c r="D165" s="41" t="s">
        <v>134</v>
      </c>
      <c r="E165" s="41" t="s">
        <v>2195</v>
      </c>
      <c r="F165" s="41" t="s">
        <v>2196</v>
      </c>
      <c r="G165" s="41" t="s">
        <v>2138</v>
      </c>
      <c r="H165" s="41"/>
      <c r="I165" s="41" t="s">
        <v>30</v>
      </c>
      <c r="J165" s="41" t="s">
        <v>30</v>
      </c>
      <c r="K165" s="41" t="s">
        <v>151</v>
      </c>
      <c r="L165" s="41" t="s">
        <v>141</v>
      </c>
      <c r="M165" s="41" t="s">
        <v>318</v>
      </c>
      <c r="N165" s="41" t="s">
        <v>2197</v>
      </c>
      <c r="O165" s="178" t="s">
        <v>2151</v>
      </c>
      <c r="P165" s="202" t="s">
        <v>142</v>
      </c>
      <c r="Q165" s="21" t="s">
        <v>164</v>
      </c>
      <c r="R165" s="41" t="s">
        <v>2141</v>
      </c>
      <c r="S165" s="41" t="s">
        <v>34</v>
      </c>
      <c r="T165" s="153">
        <v>2.82</v>
      </c>
      <c r="U165" s="41" t="s">
        <v>2152</v>
      </c>
      <c r="V165" s="164">
        <v>5.5452000000000001E-2</v>
      </c>
      <c r="W165" s="41" t="s">
        <v>138</v>
      </c>
      <c r="X165" s="41" t="s">
        <v>2087</v>
      </c>
      <c r="Y165" s="185">
        <v>0</v>
      </c>
      <c r="Z165" s="164">
        <v>2.9000000000000001E-2</v>
      </c>
      <c r="AA165" s="41" t="s">
        <v>2153</v>
      </c>
      <c r="AB165" s="42" t="s">
        <v>146</v>
      </c>
      <c r="AC165" s="41" t="s">
        <v>1565</v>
      </c>
      <c r="AD165" s="153">
        <v>482000</v>
      </c>
      <c r="AE165" s="164">
        <v>0.73</v>
      </c>
      <c r="AF165" s="41" t="s">
        <v>1394</v>
      </c>
      <c r="AG165" s="41" t="s">
        <v>141</v>
      </c>
      <c r="AH165" s="41" t="s">
        <v>2144</v>
      </c>
      <c r="AI165" s="41" t="s">
        <v>2154</v>
      </c>
      <c r="AJ165" s="41" t="s">
        <v>318</v>
      </c>
      <c r="AK165" s="41" t="s">
        <v>1392</v>
      </c>
      <c r="AL165" s="41" t="s">
        <v>2146</v>
      </c>
      <c r="AM165" s="41" t="s">
        <v>1393</v>
      </c>
      <c r="AN165" s="178" t="s">
        <v>1394</v>
      </c>
      <c r="AO165" s="41" t="s">
        <v>1394</v>
      </c>
      <c r="AP165" s="164">
        <v>0</v>
      </c>
      <c r="AQ165" s="153">
        <v>471.29</v>
      </c>
      <c r="AR165" s="172">
        <v>129.69999999999999</v>
      </c>
      <c r="AS165" s="162">
        <v>1</v>
      </c>
      <c r="AT165" s="153">
        <v>0.61099999999999999</v>
      </c>
      <c r="AU165" s="153">
        <v>0.61099999999999999</v>
      </c>
      <c r="AV165" s="41"/>
      <c r="AW165" s="41"/>
      <c r="AX165" s="42" t="s">
        <v>141</v>
      </c>
      <c r="AY165" s="41" t="s">
        <v>36</v>
      </c>
      <c r="AZ165" s="164">
        <v>9.1867988613624797E-4</v>
      </c>
      <c r="BA165" s="164">
        <v>8.0526297664839196E-6</v>
      </c>
    </row>
    <row r="166" spans="1:53">
      <c r="A166" s="41">
        <v>969</v>
      </c>
      <c r="B166" s="41">
        <v>969</v>
      </c>
      <c r="C166" s="41" t="s">
        <v>2147</v>
      </c>
      <c r="D166" s="41" t="s">
        <v>134</v>
      </c>
      <c r="E166" s="41" t="s">
        <v>2198</v>
      </c>
      <c r="F166" s="41" t="s">
        <v>2199</v>
      </c>
      <c r="G166" s="41" t="s">
        <v>2138</v>
      </c>
      <c r="H166" s="41"/>
      <c r="I166" s="41" t="s">
        <v>30</v>
      </c>
      <c r="J166" s="41" t="s">
        <v>30</v>
      </c>
      <c r="K166" s="41" t="s">
        <v>151</v>
      </c>
      <c r="L166" s="41" t="s">
        <v>141</v>
      </c>
      <c r="M166" s="41" t="s">
        <v>318</v>
      </c>
      <c r="N166" s="41" t="s">
        <v>2200</v>
      </c>
      <c r="O166" s="178" t="s">
        <v>2201</v>
      </c>
      <c r="P166" s="202" t="s">
        <v>142</v>
      </c>
      <c r="Q166" s="21" t="s">
        <v>164</v>
      </c>
      <c r="R166" s="41" t="s">
        <v>2141</v>
      </c>
      <c r="S166" s="41" t="s">
        <v>34</v>
      </c>
      <c r="T166" s="153">
        <v>2.82</v>
      </c>
      <c r="U166" s="41" t="s">
        <v>2142</v>
      </c>
      <c r="V166" s="164">
        <v>5.5548E-2</v>
      </c>
      <c r="W166" s="41" t="s">
        <v>138</v>
      </c>
      <c r="X166" s="41" t="s">
        <v>2087</v>
      </c>
      <c r="Y166" s="185">
        <v>0</v>
      </c>
      <c r="Z166" s="164">
        <v>2.9000000000000001E-2</v>
      </c>
      <c r="AA166" s="41" t="s">
        <v>2153</v>
      </c>
      <c r="AB166" s="42" t="s">
        <v>146</v>
      </c>
      <c r="AC166" s="41" t="s">
        <v>1565</v>
      </c>
      <c r="AD166" s="153">
        <v>482000</v>
      </c>
      <c r="AE166" s="164">
        <v>0.73</v>
      </c>
      <c r="AF166" s="41" t="s">
        <v>1394</v>
      </c>
      <c r="AG166" s="41" t="s">
        <v>141</v>
      </c>
      <c r="AH166" s="41" t="s">
        <v>2144</v>
      </c>
      <c r="AI166" s="41" t="s">
        <v>2154</v>
      </c>
      <c r="AJ166" s="41" t="s">
        <v>318</v>
      </c>
      <c r="AK166" s="41" t="s">
        <v>1392</v>
      </c>
      <c r="AL166" s="41" t="s">
        <v>2146</v>
      </c>
      <c r="AM166" s="41" t="s">
        <v>1393</v>
      </c>
      <c r="AN166" s="178" t="s">
        <v>1394</v>
      </c>
      <c r="AO166" s="41" t="s">
        <v>1394</v>
      </c>
      <c r="AP166" s="164">
        <v>0</v>
      </c>
      <c r="AQ166" s="153">
        <v>1077.6199999999999</v>
      </c>
      <c r="AR166" s="172">
        <v>131.97</v>
      </c>
      <c r="AS166" s="162">
        <v>1</v>
      </c>
      <c r="AT166" s="153">
        <v>1.4219999999999999</v>
      </c>
      <c r="AU166" s="153">
        <v>1.4219999999999999</v>
      </c>
      <c r="AV166" s="41"/>
      <c r="AW166" s="41"/>
      <c r="AX166" s="42" t="s">
        <v>141</v>
      </c>
      <c r="AY166" s="41" t="s">
        <v>36</v>
      </c>
      <c r="AZ166" s="164">
        <v>2.1373560100048602E-3</v>
      </c>
      <c r="BA166" s="164">
        <v>1.8734857361605299E-5</v>
      </c>
    </row>
    <row r="167" spans="1:53">
      <c r="A167" s="41">
        <v>969</v>
      </c>
      <c r="B167" s="41">
        <v>969</v>
      </c>
      <c r="C167" s="41" t="s">
        <v>2147</v>
      </c>
      <c r="D167" s="41" t="s">
        <v>134</v>
      </c>
      <c r="E167" s="41" t="s">
        <v>2202</v>
      </c>
      <c r="F167" s="41" t="s">
        <v>2203</v>
      </c>
      <c r="G167" s="41" t="s">
        <v>2138</v>
      </c>
      <c r="H167" s="41"/>
      <c r="I167" s="41" t="s">
        <v>30</v>
      </c>
      <c r="J167" s="41" t="s">
        <v>30</v>
      </c>
      <c r="K167" s="41" t="s">
        <v>151</v>
      </c>
      <c r="L167" s="41" t="s">
        <v>141</v>
      </c>
      <c r="M167" s="41" t="s">
        <v>318</v>
      </c>
      <c r="N167" s="41" t="s">
        <v>2204</v>
      </c>
      <c r="O167" s="178" t="s">
        <v>2205</v>
      </c>
      <c r="P167" s="202" t="s">
        <v>142</v>
      </c>
      <c r="Q167" s="21" t="s">
        <v>164</v>
      </c>
      <c r="R167" s="41" t="s">
        <v>2141</v>
      </c>
      <c r="S167" s="41" t="s">
        <v>34</v>
      </c>
      <c r="T167" s="153">
        <v>2.82</v>
      </c>
      <c r="U167" s="41" t="s">
        <v>2142</v>
      </c>
      <c r="V167" s="164">
        <v>5.5452000000000001E-2</v>
      </c>
      <c r="W167" s="41" t="s">
        <v>138</v>
      </c>
      <c r="X167" s="41" t="s">
        <v>2087</v>
      </c>
      <c r="Y167" s="185">
        <v>0</v>
      </c>
      <c r="Z167" s="164">
        <v>2.9100000000000001E-2</v>
      </c>
      <c r="AA167" s="41" t="s">
        <v>2153</v>
      </c>
      <c r="AB167" s="42" t="s">
        <v>146</v>
      </c>
      <c r="AC167" s="41" t="s">
        <v>1565</v>
      </c>
      <c r="AD167" s="153">
        <v>482000</v>
      </c>
      <c r="AE167" s="164">
        <v>0.73</v>
      </c>
      <c r="AF167" s="41" t="s">
        <v>1394</v>
      </c>
      <c r="AG167" s="41" t="s">
        <v>141</v>
      </c>
      <c r="AH167" s="41" t="s">
        <v>2144</v>
      </c>
      <c r="AI167" s="41" t="s">
        <v>2154</v>
      </c>
      <c r="AJ167" s="41" t="s">
        <v>318</v>
      </c>
      <c r="AK167" s="41" t="s">
        <v>1392</v>
      </c>
      <c r="AL167" s="41" t="s">
        <v>2146</v>
      </c>
      <c r="AM167" s="41" t="s">
        <v>1393</v>
      </c>
      <c r="AN167" s="178" t="s">
        <v>1394</v>
      </c>
      <c r="AO167" s="41" t="s">
        <v>1394</v>
      </c>
      <c r="AP167" s="164">
        <v>0</v>
      </c>
      <c r="AQ167" s="153">
        <v>4160</v>
      </c>
      <c r="AR167" s="172">
        <v>129.91999999999999</v>
      </c>
      <c r="AS167" s="162">
        <v>1</v>
      </c>
      <c r="AT167" s="153">
        <v>5.4050000000000002</v>
      </c>
      <c r="AU167" s="153">
        <v>5.4050000000000002</v>
      </c>
      <c r="AV167" s="41"/>
      <c r="AW167" s="41"/>
      <c r="AX167" s="42" t="s">
        <v>141</v>
      </c>
      <c r="AY167" s="41" t="s">
        <v>36</v>
      </c>
      <c r="AZ167" s="164">
        <v>8.1227923195101998E-3</v>
      </c>
      <c r="BA167" s="164">
        <v>7.1199816395407597E-5</v>
      </c>
    </row>
    <row r="168" spans="1:53">
      <c r="A168" s="41">
        <v>969</v>
      </c>
      <c r="B168" s="41">
        <v>969</v>
      </c>
      <c r="C168" s="41" t="s">
        <v>2147</v>
      </c>
      <c r="D168" s="41" t="s">
        <v>134</v>
      </c>
      <c r="E168" s="41" t="s">
        <v>2206</v>
      </c>
      <c r="F168" s="41" t="s">
        <v>2207</v>
      </c>
      <c r="G168" s="41" t="s">
        <v>2138</v>
      </c>
      <c r="H168" s="41"/>
      <c r="I168" s="41" t="s">
        <v>30</v>
      </c>
      <c r="J168" s="41" t="s">
        <v>30</v>
      </c>
      <c r="K168" s="41" t="s">
        <v>151</v>
      </c>
      <c r="L168" s="41" t="s">
        <v>141</v>
      </c>
      <c r="M168" s="41" t="s">
        <v>318</v>
      </c>
      <c r="N168" s="41" t="s">
        <v>2208</v>
      </c>
      <c r="O168" s="178" t="s">
        <v>2151</v>
      </c>
      <c r="P168" s="202" t="s">
        <v>142</v>
      </c>
      <c r="Q168" s="21" t="s">
        <v>164</v>
      </c>
      <c r="R168" s="41" t="s">
        <v>2141</v>
      </c>
      <c r="S168" s="41" t="s">
        <v>34</v>
      </c>
      <c r="T168" s="153">
        <v>2.82</v>
      </c>
      <c r="U168" s="41" t="s">
        <v>2142</v>
      </c>
      <c r="V168" s="164">
        <v>5.5514000000000001E-2</v>
      </c>
      <c r="W168" s="41" t="s">
        <v>138</v>
      </c>
      <c r="X168" s="41" t="s">
        <v>2087</v>
      </c>
      <c r="Y168" s="185">
        <v>0</v>
      </c>
      <c r="Z168" s="164">
        <v>2.9100000000000001E-2</v>
      </c>
      <c r="AA168" s="41" t="s">
        <v>2153</v>
      </c>
      <c r="AB168" s="42" t="s">
        <v>146</v>
      </c>
      <c r="AC168" s="41" t="s">
        <v>1565</v>
      </c>
      <c r="AD168" s="153">
        <v>482000</v>
      </c>
      <c r="AE168" s="164">
        <v>0.73</v>
      </c>
      <c r="AF168" s="41" t="s">
        <v>1394</v>
      </c>
      <c r="AG168" s="41" t="s">
        <v>141</v>
      </c>
      <c r="AH168" s="41" t="s">
        <v>2144</v>
      </c>
      <c r="AI168" s="41" t="s">
        <v>2154</v>
      </c>
      <c r="AJ168" s="41" t="s">
        <v>318</v>
      </c>
      <c r="AK168" s="41" t="s">
        <v>1392</v>
      </c>
      <c r="AL168" s="41" t="s">
        <v>2146</v>
      </c>
      <c r="AM168" s="41" t="s">
        <v>1393</v>
      </c>
      <c r="AN168" s="178" t="s">
        <v>1394</v>
      </c>
      <c r="AO168" s="41" t="s">
        <v>1394</v>
      </c>
      <c r="AP168" s="164">
        <v>0</v>
      </c>
      <c r="AQ168" s="153">
        <v>5052.95</v>
      </c>
      <c r="AR168" s="172">
        <v>131.93</v>
      </c>
      <c r="AS168" s="162">
        <v>1</v>
      </c>
      <c r="AT168" s="153">
        <v>6.6660000000000004</v>
      </c>
      <c r="AU168" s="153">
        <v>6.6660000000000004</v>
      </c>
      <c r="AV168" s="41"/>
      <c r="AW168" s="41"/>
      <c r="AX168" s="42" t="s">
        <v>141</v>
      </c>
      <c r="AY168" s="41" t="s">
        <v>36</v>
      </c>
      <c r="AZ168" s="164">
        <v>1.00190044670114E-2</v>
      </c>
      <c r="BA168" s="164">
        <v>8.7820942658176502E-5</v>
      </c>
    </row>
    <row r="169" spans="1:53">
      <c r="A169" s="41">
        <v>969</v>
      </c>
      <c r="B169" s="41">
        <v>969</v>
      </c>
      <c r="C169" s="41" t="s">
        <v>2147</v>
      </c>
      <c r="D169" s="41" t="s">
        <v>134</v>
      </c>
      <c r="E169" s="41" t="s">
        <v>2209</v>
      </c>
      <c r="F169" s="41" t="s">
        <v>2210</v>
      </c>
      <c r="G169" s="41" t="s">
        <v>2138</v>
      </c>
      <c r="H169" s="41"/>
      <c r="I169" s="41" t="s">
        <v>30</v>
      </c>
      <c r="J169" s="41" t="s">
        <v>30</v>
      </c>
      <c r="K169" s="41" t="s">
        <v>151</v>
      </c>
      <c r="L169" s="41" t="s">
        <v>141</v>
      </c>
      <c r="M169" s="41" t="s">
        <v>318</v>
      </c>
      <c r="N169" s="222">
        <v>11898502</v>
      </c>
      <c r="O169" s="178" t="s">
        <v>2151</v>
      </c>
      <c r="P169" s="202" t="s">
        <v>142</v>
      </c>
      <c r="Q169" s="21" t="s">
        <v>164</v>
      </c>
      <c r="R169" s="41" t="s">
        <v>2141</v>
      </c>
      <c r="S169" s="41" t="s">
        <v>34</v>
      </c>
      <c r="T169" s="153">
        <v>2.81</v>
      </c>
      <c r="U169" s="41" t="s">
        <v>2142</v>
      </c>
      <c r="V169" s="164">
        <v>5.7402000000000002E-2</v>
      </c>
      <c r="W169" s="41" t="s">
        <v>138</v>
      </c>
      <c r="X169" s="41" t="s">
        <v>2087</v>
      </c>
      <c r="Y169" s="185">
        <v>0</v>
      </c>
      <c r="Z169" s="164">
        <v>2.9000000000000001E-2</v>
      </c>
      <c r="AA169" s="41" t="s">
        <v>2153</v>
      </c>
      <c r="AB169" s="42" t="s">
        <v>146</v>
      </c>
      <c r="AC169" s="41" t="s">
        <v>1565</v>
      </c>
      <c r="AD169" s="153">
        <v>482000</v>
      </c>
      <c r="AE169" s="164">
        <v>0.73</v>
      </c>
      <c r="AF169" s="41" t="s">
        <v>1394</v>
      </c>
      <c r="AG169" s="41" t="s">
        <v>141</v>
      </c>
      <c r="AH169" s="41" t="s">
        <v>2144</v>
      </c>
      <c r="AI169" s="41" t="s">
        <v>2154</v>
      </c>
      <c r="AJ169" s="41" t="s">
        <v>318</v>
      </c>
      <c r="AK169" s="41" t="s">
        <v>1392</v>
      </c>
      <c r="AL169" s="41" t="s">
        <v>2146</v>
      </c>
      <c r="AM169" s="41" t="s">
        <v>1393</v>
      </c>
      <c r="AN169" s="178" t="s">
        <v>1394</v>
      </c>
      <c r="AO169" s="41" t="s">
        <v>1394</v>
      </c>
      <c r="AP169" s="164">
        <v>0</v>
      </c>
      <c r="AQ169" s="153">
        <v>1057.8399999999999</v>
      </c>
      <c r="AR169" s="172">
        <v>133.19999999999999</v>
      </c>
      <c r="AS169" s="162">
        <v>1</v>
      </c>
      <c r="AT169" s="153">
        <v>1.409</v>
      </c>
      <c r="AU169" s="153">
        <v>1.409</v>
      </c>
      <c r="AV169" s="41"/>
      <c r="AW169" s="41"/>
      <c r="AX169" s="42" t="s">
        <v>141</v>
      </c>
      <c r="AY169" s="41" t="s">
        <v>36</v>
      </c>
      <c r="AZ169" s="164">
        <v>2.1176794231961798E-3</v>
      </c>
      <c r="BA169" s="164">
        <v>1.8562383498805499E-5</v>
      </c>
    </row>
    <row r="170" spans="1:53">
      <c r="A170" s="41">
        <v>969</v>
      </c>
      <c r="B170" s="41">
        <v>969</v>
      </c>
      <c r="C170" s="41" t="s">
        <v>2147</v>
      </c>
      <c r="D170" s="41" t="s">
        <v>134</v>
      </c>
      <c r="E170" s="41" t="s">
        <v>2211</v>
      </c>
      <c r="F170" s="41" t="s">
        <v>2212</v>
      </c>
      <c r="G170" s="41" t="s">
        <v>2138</v>
      </c>
      <c r="H170" s="41"/>
      <c r="I170" s="41" t="s">
        <v>30</v>
      </c>
      <c r="J170" s="41" t="s">
        <v>30</v>
      </c>
      <c r="K170" s="41" t="s">
        <v>151</v>
      </c>
      <c r="L170" s="41" t="s">
        <v>141</v>
      </c>
      <c r="M170" s="41" t="s">
        <v>318</v>
      </c>
      <c r="N170" s="41" t="s">
        <v>2213</v>
      </c>
      <c r="O170" s="178" t="s">
        <v>2214</v>
      </c>
      <c r="P170" s="202" t="s">
        <v>142</v>
      </c>
      <c r="Q170" s="21" t="s">
        <v>164</v>
      </c>
      <c r="R170" s="41" t="s">
        <v>2141</v>
      </c>
      <c r="S170" s="41" t="s">
        <v>34</v>
      </c>
      <c r="T170" s="153">
        <v>2.81</v>
      </c>
      <c r="U170" s="41" t="s">
        <v>2142</v>
      </c>
      <c r="V170" s="164">
        <v>5.6347000000000001E-2</v>
      </c>
      <c r="W170" s="41" t="s">
        <v>138</v>
      </c>
      <c r="X170" s="41" t="s">
        <v>2087</v>
      </c>
      <c r="Y170" s="185">
        <v>0</v>
      </c>
      <c r="Z170" s="164">
        <v>2.9100000000000001E-2</v>
      </c>
      <c r="AA170" s="41" t="s">
        <v>2153</v>
      </c>
      <c r="AB170" s="42" t="s">
        <v>146</v>
      </c>
      <c r="AC170" s="41" t="s">
        <v>1565</v>
      </c>
      <c r="AD170" s="153">
        <v>482000</v>
      </c>
      <c r="AE170" s="164">
        <v>0.73</v>
      </c>
      <c r="AF170" s="41" t="s">
        <v>1394</v>
      </c>
      <c r="AG170" s="41" t="s">
        <v>141</v>
      </c>
      <c r="AH170" s="41" t="s">
        <v>2144</v>
      </c>
      <c r="AI170" s="41" t="s">
        <v>2154</v>
      </c>
      <c r="AJ170" s="41" t="s">
        <v>318</v>
      </c>
      <c r="AK170" s="41" t="s">
        <v>1392</v>
      </c>
      <c r="AL170" s="41" t="s">
        <v>2146</v>
      </c>
      <c r="AM170" s="41" t="s">
        <v>1393</v>
      </c>
      <c r="AN170" s="178" t="s">
        <v>1394</v>
      </c>
      <c r="AO170" s="41" t="s">
        <v>1394</v>
      </c>
      <c r="AP170" s="164">
        <v>0</v>
      </c>
      <c r="AQ170" s="153">
        <v>1486.62</v>
      </c>
      <c r="AR170" s="172">
        <v>132.63999999999999</v>
      </c>
      <c r="AS170" s="162">
        <v>1</v>
      </c>
      <c r="AT170" s="153">
        <v>1.972</v>
      </c>
      <c r="AU170" s="153">
        <v>1.972</v>
      </c>
      <c r="AV170" s="41"/>
      <c r="AW170" s="41"/>
      <c r="AX170" s="42" t="s">
        <v>141</v>
      </c>
      <c r="AY170" s="41" t="s">
        <v>36</v>
      </c>
      <c r="AZ170" s="164">
        <v>2.9635379388638799E-3</v>
      </c>
      <c r="BA170" s="164">
        <v>2.59767022014243E-5</v>
      </c>
    </row>
    <row r="171" spans="1:53">
      <c r="A171" s="41">
        <v>969</v>
      </c>
      <c r="B171" s="41">
        <v>969</v>
      </c>
      <c r="C171" s="41" t="s">
        <v>2147</v>
      </c>
      <c r="D171" s="41" t="s">
        <v>134</v>
      </c>
      <c r="E171" s="41" t="s">
        <v>2215</v>
      </c>
      <c r="F171" s="41" t="s">
        <v>2216</v>
      </c>
      <c r="G171" s="41" t="s">
        <v>2138</v>
      </c>
      <c r="H171" s="41"/>
      <c r="I171" s="41" t="s">
        <v>30</v>
      </c>
      <c r="J171" s="41" t="s">
        <v>30</v>
      </c>
      <c r="K171" s="41" t="s">
        <v>151</v>
      </c>
      <c r="L171" s="41" t="s">
        <v>141</v>
      </c>
      <c r="M171" s="41" t="s">
        <v>318</v>
      </c>
      <c r="N171" s="41" t="s">
        <v>2217</v>
      </c>
      <c r="O171" s="178" t="s">
        <v>2151</v>
      </c>
      <c r="P171" s="202" t="s">
        <v>142</v>
      </c>
      <c r="Q171" s="21" t="s">
        <v>164</v>
      </c>
      <c r="R171" s="41" t="s">
        <v>2141</v>
      </c>
      <c r="S171" s="41" t="s">
        <v>34</v>
      </c>
      <c r="T171" s="153">
        <v>2.81</v>
      </c>
      <c r="U171" s="41" t="s">
        <v>2152</v>
      </c>
      <c r="V171" s="164">
        <v>5.5452000000000001E-2</v>
      </c>
      <c r="W171" s="41" t="s">
        <v>138</v>
      </c>
      <c r="X171" s="41" t="s">
        <v>2087</v>
      </c>
      <c r="Y171" s="185">
        <v>0</v>
      </c>
      <c r="Z171" s="164">
        <v>3.0599999999999999E-2</v>
      </c>
      <c r="AA171" s="41" t="s">
        <v>2153</v>
      </c>
      <c r="AB171" s="42" t="s">
        <v>146</v>
      </c>
      <c r="AC171" s="41" t="s">
        <v>1565</v>
      </c>
      <c r="AD171" s="153">
        <v>482000</v>
      </c>
      <c r="AE171" s="164">
        <v>0.73</v>
      </c>
      <c r="AF171" s="41" t="s">
        <v>1394</v>
      </c>
      <c r="AG171" s="41" t="s">
        <v>141</v>
      </c>
      <c r="AH171" s="41" t="s">
        <v>2144</v>
      </c>
      <c r="AI171" s="41" t="s">
        <v>2154</v>
      </c>
      <c r="AJ171" s="41" t="s">
        <v>318</v>
      </c>
      <c r="AK171" s="41" t="s">
        <v>1392</v>
      </c>
      <c r="AL171" s="41" t="s">
        <v>2146</v>
      </c>
      <c r="AM171" s="41" t="s">
        <v>1393</v>
      </c>
      <c r="AN171" s="178" t="s">
        <v>1394</v>
      </c>
      <c r="AO171" s="41" t="s">
        <v>1394</v>
      </c>
      <c r="AP171" s="164">
        <v>0</v>
      </c>
      <c r="AQ171" s="153">
        <v>1883.12</v>
      </c>
      <c r="AR171" s="172">
        <v>127.45</v>
      </c>
      <c r="AS171" s="162">
        <v>1</v>
      </c>
      <c r="AT171" s="153">
        <v>2.4</v>
      </c>
      <c r="AU171" s="153">
        <v>2.4</v>
      </c>
      <c r="AV171" s="41"/>
      <c r="AW171" s="41"/>
      <c r="AX171" s="42" t="s">
        <v>141</v>
      </c>
      <c r="AY171" s="41" t="s">
        <v>36</v>
      </c>
      <c r="AZ171" s="164">
        <v>3.6070639552921299E-3</v>
      </c>
      <c r="BA171" s="164">
        <v>3.1617488326819403E-5</v>
      </c>
    </row>
    <row r="172" spans="1:53">
      <c r="A172" s="41">
        <v>969</v>
      </c>
      <c r="B172" s="41">
        <v>969</v>
      </c>
      <c r="C172" s="41" t="s">
        <v>2147</v>
      </c>
      <c r="D172" s="41" t="s">
        <v>134</v>
      </c>
      <c r="E172" s="41" t="s">
        <v>2218</v>
      </c>
      <c r="F172" s="41" t="s">
        <v>2219</v>
      </c>
      <c r="G172" s="41" t="s">
        <v>2138</v>
      </c>
      <c r="H172" s="41"/>
      <c r="I172" s="41" t="s">
        <v>30</v>
      </c>
      <c r="J172" s="41" t="s">
        <v>30</v>
      </c>
      <c r="K172" s="41" t="s">
        <v>151</v>
      </c>
      <c r="L172" s="41" t="s">
        <v>141</v>
      </c>
      <c r="M172" s="41" t="s">
        <v>318</v>
      </c>
      <c r="N172" s="41" t="s">
        <v>2220</v>
      </c>
      <c r="O172" s="178" t="s">
        <v>2151</v>
      </c>
      <c r="P172" s="202" t="s">
        <v>142</v>
      </c>
      <c r="Q172" s="21" t="s">
        <v>164</v>
      </c>
      <c r="R172" s="41" t="s">
        <v>2141</v>
      </c>
      <c r="S172" s="41" t="s">
        <v>34</v>
      </c>
      <c r="T172" s="153">
        <v>2.82</v>
      </c>
      <c r="U172" s="41" t="s">
        <v>2152</v>
      </c>
      <c r="V172" s="164">
        <v>5.5451E-2</v>
      </c>
      <c r="W172" s="41" t="s">
        <v>138</v>
      </c>
      <c r="X172" s="41" t="s">
        <v>2087</v>
      </c>
      <c r="Y172" s="185">
        <v>0</v>
      </c>
      <c r="Z172" s="164">
        <v>2.9000000000000001E-2</v>
      </c>
      <c r="AA172" s="41" t="s">
        <v>2153</v>
      </c>
      <c r="AB172" s="42" t="s">
        <v>146</v>
      </c>
      <c r="AC172" s="41" t="s">
        <v>1565</v>
      </c>
      <c r="AD172" s="153">
        <v>482000</v>
      </c>
      <c r="AE172" s="164">
        <v>0.73</v>
      </c>
      <c r="AF172" s="41" t="s">
        <v>1394</v>
      </c>
      <c r="AG172" s="41" t="s">
        <v>141</v>
      </c>
      <c r="AH172" s="41" t="s">
        <v>2144</v>
      </c>
      <c r="AI172" s="41" t="s">
        <v>2154</v>
      </c>
      <c r="AJ172" s="41" t="s">
        <v>318</v>
      </c>
      <c r="AK172" s="41" t="s">
        <v>1392</v>
      </c>
      <c r="AL172" s="41" t="s">
        <v>2146</v>
      </c>
      <c r="AM172" s="41" t="s">
        <v>1393</v>
      </c>
      <c r="AN172" s="178" t="s">
        <v>1394</v>
      </c>
      <c r="AO172" s="41" t="s">
        <v>1394</v>
      </c>
      <c r="AP172" s="164">
        <v>0</v>
      </c>
      <c r="AQ172" s="153">
        <v>233.99</v>
      </c>
      <c r="AR172" s="172">
        <v>127.61</v>
      </c>
      <c r="AS172" s="162">
        <v>1</v>
      </c>
      <c r="AT172" s="153">
        <v>0.29899999999999999</v>
      </c>
      <c r="AU172" s="153">
        <v>0.29899999999999999</v>
      </c>
      <c r="AV172" s="41"/>
      <c r="AW172" s="41"/>
      <c r="AX172" s="42" t="s">
        <v>141</v>
      </c>
      <c r="AY172" s="41" t="s">
        <v>36</v>
      </c>
      <c r="AZ172" s="164">
        <v>4.4876400275837701E-4</v>
      </c>
      <c r="BA172" s="164">
        <v>3.9336121550860103E-6</v>
      </c>
    </row>
    <row r="173" spans="1:53">
      <c r="A173" s="41">
        <v>969</v>
      </c>
      <c r="B173" s="41">
        <v>969</v>
      </c>
      <c r="C173" s="41" t="s">
        <v>2147</v>
      </c>
      <c r="D173" s="41" t="s">
        <v>134</v>
      </c>
      <c r="E173" s="41" t="s">
        <v>2221</v>
      </c>
      <c r="F173" s="41" t="s">
        <v>2222</v>
      </c>
      <c r="G173" s="41" t="s">
        <v>2138</v>
      </c>
      <c r="H173" s="41"/>
      <c r="I173" s="41" t="s">
        <v>30</v>
      </c>
      <c r="J173" s="41" t="s">
        <v>30</v>
      </c>
      <c r="K173" s="41" t="s">
        <v>151</v>
      </c>
      <c r="L173" s="41" t="s">
        <v>141</v>
      </c>
      <c r="M173" s="41" t="s">
        <v>318</v>
      </c>
      <c r="N173" s="41" t="s">
        <v>2223</v>
      </c>
      <c r="O173" s="178" t="s">
        <v>2151</v>
      </c>
      <c r="P173" s="202" t="s">
        <v>142</v>
      </c>
      <c r="Q173" s="21" t="s">
        <v>164</v>
      </c>
      <c r="R173" s="41" t="s">
        <v>2141</v>
      </c>
      <c r="S173" s="41" t="s">
        <v>34</v>
      </c>
      <c r="T173" s="153">
        <v>2.82</v>
      </c>
      <c r="U173" s="41" t="s">
        <v>2152</v>
      </c>
      <c r="V173" s="164">
        <v>5.5432000000000002E-2</v>
      </c>
      <c r="W173" s="41" t="s">
        <v>138</v>
      </c>
      <c r="X173" s="41" t="s">
        <v>2087</v>
      </c>
      <c r="Y173" s="185">
        <v>0</v>
      </c>
      <c r="Z173" s="164">
        <v>2.9100000000000001E-2</v>
      </c>
      <c r="AA173" s="41" t="s">
        <v>2153</v>
      </c>
      <c r="AB173" s="42" t="s">
        <v>146</v>
      </c>
      <c r="AC173" s="41" t="s">
        <v>1565</v>
      </c>
      <c r="AD173" s="153">
        <v>482000</v>
      </c>
      <c r="AE173" s="164">
        <v>0.73</v>
      </c>
      <c r="AF173" s="41" t="s">
        <v>1394</v>
      </c>
      <c r="AG173" s="41" t="s">
        <v>141</v>
      </c>
      <c r="AH173" s="41" t="s">
        <v>2144</v>
      </c>
      <c r="AI173" s="41" t="s">
        <v>2154</v>
      </c>
      <c r="AJ173" s="41" t="s">
        <v>318</v>
      </c>
      <c r="AK173" s="41" t="s">
        <v>1392</v>
      </c>
      <c r="AL173" s="41" t="s">
        <v>2146</v>
      </c>
      <c r="AM173" s="41" t="s">
        <v>1393</v>
      </c>
      <c r="AN173" s="178" t="s">
        <v>1394</v>
      </c>
      <c r="AO173" s="41" t="s">
        <v>1394</v>
      </c>
      <c r="AP173" s="164">
        <v>0</v>
      </c>
      <c r="AQ173" s="153">
        <v>519.62</v>
      </c>
      <c r="AR173" s="172">
        <v>127.96</v>
      </c>
      <c r="AS173" s="162">
        <v>1</v>
      </c>
      <c r="AT173" s="153">
        <v>0.66500000000000004</v>
      </c>
      <c r="AU173" s="153">
        <v>0.66500000000000004</v>
      </c>
      <c r="AV173" s="41"/>
      <c r="AW173" s="41"/>
      <c r="AX173" s="42" t="s">
        <v>141</v>
      </c>
      <c r="AY173" s="41" t="s">
        <v>36</v>
      </c>
      <c r="AZ173" s="164">
        <v>9.99300482165015E-4</v>
      </c>
      <c r="BA173" s="164">
        <v>8.7593044430171595E-6</v>
      </c>
    </row>
    <row r="174" spans="1:53">
      <c r="A174" s="41">
        <v>969</v>
      </c>
      <c r="B174" s="41">
        <v>969</v>
      </c>
      <c r="C174" s="41" t="s">
        <v>2147</v>
      </c>
      <c r="D174" s="41" t="s">
        <v>134</v>
      </c>
      <c r="E174" s="41" t="s">
        <v>2224</v>
      </c>
      <c r="F174" s="41" t="s">
        <v>2225</v>
      </c>
      <c r="G174" s="41" t="s">
        <v>2138</v>
      </c>
      <c r="H174" s="41"/>
      <c r="I174" s="41" t="s">
        <v>30</v>
      </c>
      <c r="J174" s="41" t="s">
        <v>30</v>
      </c>
      <c r="K174" s="41" t="s">
        <v>151</v>
      </c>
      <c r="L174" s="41" t="s">
        <v>141</v>
      </c>
      <c r="M174" s="41" t="s">
        <v>318</v>
      </c>
      <c r="N174" s="41" t="s">
        <v>2226</v>
      </c>
      <c r="O174" s="178" t="s">
        <v>2227</v>
      </c>
      <c r="P174" s="202" t="s">
        <v>142</v>
      </c>
      <c r="Q174" s="21" t="s">
        <v>164</v>
      </c>
      <c r="R174" s="41" t="s">
        <v>2141</v>
      </c>
      <c r="S174" s="41" t="s">
        <v>34</v>
      </c>
      <c r="T174" s="153">
        <v>2.81</v>
      </c>
      <c r="U174" s="41" t="s">
        <v>2152</v>
      </c>
      <c r="V174" s="164">
        <v>5.7388000000000002E-2</v>
      </c>
      <c r="W174" s="41" t="s">
        <v>138</v>
      </c>
      <c r="X174" s="41" t="s">
        <v>2087</v>
      </c>
      <c r="Y174" s="185">
        <v>0</v>
      </c>
      <c r="Z174" s="164">
        <v>2.9100000000000001E-2</v>
      </c>
      <c r="AA174" s="41" t="s">
        <v>2153</v>
      </c>
      <c r="AB174" s="42" t="s">
        <v>146</v>
      </c>
      <c r="AC174" s="41" t="s">
        <v>1565</v>
      </c>
      <c r="AD174" s="153">
        <v>482000</v>
      </c>
      <c r="AE174" s="164">
        <v>0.73</v>
      </c>
      <c r="AF174" s="41" t="s">
        <v>1394</v>
      </c>
      <c r="AG174" s="41" t="s">
        <v>141</v>
      </c>
      <c r="AH174" s="41" t="s">
        <v>2144</v>
      </c>
      <c r="AI174" s="41" t="s">
        <v>2154</v>
      </c>
      <c r="AJ174" s="41" t="s">
        <v>318</v>
      </c>
      <c r="AK174" s="41" t="s">
        <v>1392</v>
      </c>
      <c r="AL174" s="41" t="s">
        <v>2146</v>
      </c>
      <c r="AM174" s="41" t="s">
        <v>1393</v>
      </c>
      <c r="AN174" s="178" t="s">
        <v>1394</v>
      </c>
      <c r="AO174" s="41" t="s">
        <v>1394</v>
      </c>
      <c r="AP174" s="164">
        <v>0</v>
      </c>
      <c r="AQ174" s="153">
        <v>4991.9399999999996</v>
      </c>
      <c r="AR174" s="172">
        <v>133.16999999999999</v>
      </c>
      <c r="AS174" s="162">
        <v>1</v>
      </c>
      <c r="AT174" s="153">
        <v>6.6479999999999997</v>
      </c>
      <c r="AU174" s="153">
        <v>6.6479999999999997</v>
      </c>
      <c r="AV174" s="41"/>
      <c r="AW174" s="41"/>
      <c r="AX174" s="42" t="s">
        <v>141</v>
      </c>
      <c r="AY174" s="41" t="s">
        <v>36</v>
      </c>
      <c r="AZ174" s="164">
        <v>9.9910645182263898E-3</v>
      </c>
      <c r="BA174" s="164">
        <v>8.7576036824647596E-5</v>
      </c>
    </row>
    <row r="175" spans="1:53">
      <c r="A175" s="41">
        <v>969</v>
      </c>
      <c r="B175" s="41">
        <v>969</v>
      </c>
      <c r="C175" s="41" t="s">
        <v>2147</v>
      </c>
      <c r="D175" s="41" t="s">
        <v>134</v>
      </c>
      <c r="E175" s="41" t="s">
        <v>2228</v>
      </c>
      <c r="F175" s="41" t="s">
        <v>2229</v>
      </c>
      <c r="G175" s="41" t="s">
        <v>2138</v>
      </c>
      <c r="H175" s="41"/>
      <c r="I175" s="41" t="s">
        <v>30</v>
      </c>
      <c r="J175" s="41" t="s">
        <v>30</v>
      </c>
      <c r="K175" s="41" t="s">
        <v>151</v>
      </c>
      <c r="L175" s="41" t="s">
        <v>141</v>
      </c>
      <c r="M175" s="41" t="s">
        <v>318</v>
      </c>
      <c r="N175" s="41" t="s">
        <v>2230</v>
      </c>
      <c r="O175" s="178" t="s">
        <v>2151</v>
      </c>
      <c r="P175" s="202" t="s">
        <v>142</v>
      </c>
      <c r="Q175" s="21" t="s">
        <v>164</v>
      </c>
      <c r="R175" s="41" t="s">
        <v>2141</v>
      </c>
      <c r="S175" s="41" t="s">
        <v>34</v>
      </c>
      <c r="T175" s="153">
        <v>2.81</v>
      </c>
      <c r="U175" s="41" t="s">
        <v>2142</v>
      </c>
      <c r="V175" s="164">
        <v>5.7084999999999997E-2</v>
      </c>
      <c r="W175" s="41" t="s">
        <v>138</v>
      </c>
      <c r="X175" s="41" t="s">
        <v>2087</v>
      </c>
      <c r="Y175" s="185">
        <v>0</v>
      </c>
      <c r="Z175" s="164">
        <v>3.0499999999999999E-2</v>
      </c>
      <c r="AA175" s="41" t="s">
        <v>2153</v>
      </c>
      <c r="AB175" s="42" t="s">
        <v>146</v>
      </c>
      <c r="AC175" s="41" t="s">
        <v>1565</v>
      </c>
      <c r="AD175" s="153">
        <v>482000</v>
      </c>
      <c r="AE175" s="164">
        <v>0.73</v>
      </c>
      <c r="AF175" s="41" t="s">
        <v>1394</v>
      </c>
      <c r="AG175" s="41" t="s">
        <v>141</v>
      </c>
      <c r="AH175" s="41" t="s">
        <v>2144</v>
      </c>
      <c r="AI175" s="41" t="s">
        <v>2154</v>
      </c>
      <c r="AJ175" s="41" t="s">
        <v>318</v>
      </c>
      <c r="AK175" s="41" t="s">
        <v>1392</v>
      </c>
      <c r="AL175" s="41" t="s">
        <v>2146</v>
      </c>
      <c r="AM175" s="41" t="s">
        <v>1393</v>
      </c>
      <c r="AN175" s="178" t="s">
        <v>1394</v>
      </c>
      <c r="AO175" s="41" t="s">
        <v>1394</v>
      </c>
      <c r="AP175" s="164">
        <v>0</v>
      </c>
      <c r="AQ175" s="153">
        <v>1122.52</v>
      </c>
      <c r="AR175" s="172">
        <v>132.53</v>
      </c>
      <c r="AS175" s="162">
        <v>1</v>
      </c>
      <c r="AT175" s="153">
        <v>1.488</v>
      </c>
      <c r="AU175" s="153">
        <v>1.488</v>
      </c>
      <c r="AV175" s="41"/>
      <c r="AW175" s="41"/>
      <c r="AX175" s="42" t="s">
        <v>141</v>
      </c>
      <c r="AY175" s="41" t="s">
        <v>36</v>
      </c>
      <c r="AZ175" s="164">
        <v>2.23585838414585E-3</v>
      </c>
      <c r="BA175" s="164">
        <v>1.9598273620138101E-5</v>
      </c>
    </row>
    <row r="176" spans="1:53">
      <c r="A176" s="41">
        <v>969</v>
      </c>
      <c r="B176" s="41">
        <v>969</v>
      </c>
      <c r="C176" s="41" t="s">
        <v>2147</v>
      </c>
      <c r="D176" s="41" t="s">
        <v>134</v>
      </c>
      <c r="E176" s="41" t="s">
        <v>2231</v>
      </c>
      <c r="F176" s="41" t="s">
        <v>2232</v>
      </c>
      <c r="G176" s="41" t="s">
        <v>2138</v>
      </c>
      <c r="H176" s="41"/>
      <c r="I176" s="41" t="s">
        <v>30</v>
      </c>
      <c r="J176" s="41" t="s">
        <v>30</v>
      </c>
      <c r="K176" s="41" t="s">
        <v>151</v>
      </c>
      <c r="L176" s="41" t="s">
        <v>141</v>
      </c>
      <c r="M176" s="41" t="s">
        <v>318</v>
      </c>
      <c r="N176" s="41" t="s">
        <v>2233</v>
      </c>
      <c r="O176" s="178" t="s">
        <v>2234</v>
      </c>
      <c r="P176" s="202" t="s">
        <v>142</v>
      </c>
      <c r="Q176" s="21" t="s">
        <v>164</v>
      </c>
      <c r="R176" s="41" t="s">
        <v>2141</v>
      </c>
      <c r="S176" s="41" t="s">
        <v>34</v>
      </c>
      <c r="T176" s="153">
        <v>2.81</v>
      </c>
      <c r="U176" s="41" t="s">
        <v>2142</v>
      </c>
      <c r="V176" s="164">
        <v>5.5453000000000002E-2</v>
      </c>
      <c r="W176" s="41" t="s">
        <v>138</v>
      </c>
      <c r="X176" s="41" t="s">
        <v>2087</v>
      </c>
      <c r="Y176" s="185">
        <v>0</v>
      </c>
      <c r="Z176" s="164">
        <v>2.9100000000000001E-2</v>
      </c>
      <c r="AA176" s="41" t="s">
        <v>2153</v>
      </c>
      <c r="AB176" s="42" t="s">
        <v>146</v>
      </c>
      <c r="AC176" s="41" t="s">
        <v>1565</v>
      </c>
      <c r="AD176" s="153">
        <v>482000</v>
      </c>
      <c r="AE176" s="164">
        <v>0.73</v>
      </c>
      <c r="AF176" s="41" t="s">
        <v>1394</v>
      </c>
      <c r="AG176" s="41" t="s">
        <v>141</v>
      </c>
      <c r="AH176" s="41" t="s">
        <v>2144</v>
      </c>
      <c r="AI176" s="41" t="s">
        <v>2154</v>
      </c>
      <c r="AJ176" s="41" t="s">
        <v>318</v>
      </c>
      <c r="AK176" s="41" t="s">
        <v>1392</v>
      </c>
      <c r="AL176" s="41" t="s">
        <v>2146</v>
      </c>
      <c r="AM176" s="41" t="s">
        <v>1393</v>
      </c>
      <c r="AN176" s="178" t="s">
        <v>1394</v>
      </c>
      <c r="AO176" s="41" t="s">
        <v>1394</v>
      </c>
      <c r="AP176" s="164">
        <v>0</v>
      </c>
      <c r="AQ176" s="153">
        <v>6564.63</v>
      </c>
      <c r="AR176" s="172">
        <v>129.88999999999999</v>
      </c>
      <c r="AS176" s="162">
        <v>1</v>
      </c>
      <c r="AT176" s="153">
        <v>8.5269999999999992</v>
      </c>
      <c r="AU176" s="153">
        <v>8.5269999999999992</v>
      </c>
      <c r="AV176" s="41"/>
      <c r="AW176" s="41"/>
      <c r="AX176" s="42" t="s">
        <v>141</v>
      </c>
      <c r="AY176" s="41" t="s">
        <v>36</v>
      </c>
      <c r="AZ176" s="164">
        <v>1.2815099334241801E-2</v>
      </c>
      <c r="BA176" s="164">
        <v>1.12329933327896E-4</v>
      </c>
    </row>
    <row r="177" spans="1:53">
      <c r="A177" s="41">
        <v>969</v>
      </c>
      <c r="B177" s="41">
        <v>969</v>
      </c>
      <c r="C177" s="41" t="s">
        <v>2147</v>
      </c>
      <c r="D177" s="41" t="s">
        <v>134</v>
      </c>
      <c r="E177" s="41" t="s">
        <v>2235</v>
      </c>
      <c r="F177" s="41" t="s">
        <v>2236</v>
      </c>
      <c r="G177" s="41" t="s">
        <v>2138</v>
      </c>
      <c r="H177" s="41"/>
      <c r="I177" s="41" t="s">
        <v>30</v>
      </c>
      <c r="J177" s="41" t="s">
        <v>30</v>
      </c>
      <c r="K177" s="41" t="s">
        <v>151</v>
      </c>
      <c r="L177" s="41" t="s">
        <v>141</v>
      </c>
      <c r="M177" s="41" t="s">
        <v>318</v>
      </c>
      <c r="N177" s="41" t="s">
        <v>2237</v>
      </c>
      <c r="O177" s="178" t="s">
        <v>2238</v>
      </c>
      <c r="P177" s="202" t="s">
        <v>142</v>
      </c>
      <c r="Q177" s="21" t="s">
        <v>164</v>
      </c>
      <c r="R177" s="41" t="s">
        <v>2141</v>
      </c>
      <c r="S177" s="41" t="s">
        <v>34</v>
      </c>
      <c r="T177" s="153">
        <v>2.81</v>
      </c>
      <c r="U177" s="41" t="s">
        <v>2142</v>
      </c>
      <c r="V177" s="164">
        <v>5.5764000000000001E-2</v>
      </c>
      <c r="W177" s="41" t="s">
        <v>138</v>
      </c>
      <c r="X177" s="41" t="s">
        <v>2087</v>
      </c>
      <c r="Y177" s="185">
        <v>0</v>
      </c>
      <c r="Z177" s="164">
        <v>2.9100000000000001E-2</v>
      </c>
      <c r="AA177" s="41" t="s">
        <v>2153</v>
      </c>
      <c r="AB177" s="42" t="s">
        <v>146</v>
      </c>
      <c r="AC177" s="41" t="s">
        <v>1565</v>
      </c>
      <c r="AD177" s="153">
        <v>482000</v>
      </c>
      <c r="AE177" s="164">
        <v>0.73</v>
      </c>
      <c r="AF177" s="41" t="s">
        <v>1394</v>
      </c>
      <c r="AG177" s="41" t="s">
        <v>141</v>
      </c>
      <c r="AH177" s="41" t="s">
        <v>2144</v>
      </c>
      <c r="AI177" s="41" t="s">
        <v>2154</v>
      </c>
      <c r="AJ177" s="41" t="s">
        <v>318</v>
      </c>
      <c r="AK177" s="41" t="s">
        <v>1392</v>
      </c>
      <c r="AL177" s="41" t="s">
        <v>2146</v>
      </c>
      <c r="AM177" s="41" t="s">
        <v>1393</v>
      </c>
      <c r="AN177" s="178" t="s">
        <v>1394</v>
      </c>
      <c r="AO177" s="41" t="s">
        <v>1394</v>
      </c>
      <c r="AP177" s="164">
        <v>0</v>
      </c>
      <c r="AQ177" s="153">
        <v>4754.2700000000004</v>
      </c>
      <c r="AR177" s="172">
        <v>132.54</v>
      </c>
      <c r="AS177" s="162">
        <v>1</v>
      </c>
      <c r="AT177" s="153">
        <v>6.3010000000000002</v>
      </c>
      <c r="AU177" s="153">
        <v>6.3010000000000002</v>
      </c>
      <c r="AV177" s="41"/>
      <c r="AW177" s="41"/>
      <c r="AX177" s="42" t="s">
        <v>141</v>
      </c>
      <c r="AY177" s="41" t="s">
        <v>36</v>
      </c>
      <c r="AZ177" s="164">
        <v>9.4703671320478695E-3</v>
      </c>
      <c r="BA177" s="164">
        <v>8.3011897199357406E-5</v>
      </c>
    </row>
    <row r="178" spans="1:53">
      <c r="A178" s="41">
        <v>969</v>
      </c>
      <c r="B178" s="41">
        <v>969</v>
      </c>
      <c r="C178" s="41" t="s">
        <v>2147</v>
      </c>
      <c r="D178" s="41" t="s">
        <v>134</v>
      </c>
      <c r="E178" s="41" t="s">
        <v>2239</v>
      </c>
      <c r="F178" s="41" t="s">
        <v>2240</v>
      </c>
      <c r="G178" s="41" t="s">
        <v>2138</v>
      </c>
      <c r="H178" s="41"/>
      <c r="I178" s="41" t="s">
        <v>30</v>
      </c>
      <c r="J178" s="41" t="s">
        <v>30</v>
      </c>
      <c r="K178" s="41" t="s">
        <v>151</v>
      </c>
      <c r="L178" s="41" t="s">
        <v>141</v>
      </c>
      <c r="M178" s="41" t="s">
        <v>318</v>
      </c>
      <c r="N178" s="41" t="s">
        <v>2241</v>
      </c>
      <c r="O178" s="178" t="s">
        <v>2242</v>
      </c>
      <c r="P178" s="202" t="s">
        <v>142</v>
      </c>
      <c r="Q178" s="21" t="s">
        <v>164</v>
      </c>
      <c r="R178" s="41" t="s">
        <v>2141</v>
      </c>
      <c r="S178" s="41" t="s">
        <v>34</v>
      </c>
      <c r="T178" s="153">
        <v>2.82</v>
      </c>
      <c r="U178" s="41" t="s">
        <v>2152</v>
      </c>
      <c r="V178" s="164">
        <v>5.5453000000000002E-2</v>
      </c>
      <c r="W178" s="41" t="s">
        <v>138</v>
      </c>
      <c r="X178" s="41" t="s">
        <v>2087</v>
      </c>
      <c r="Y178" s="185">
        <v>0</v>
      </c>
      <c r="Z178" s="164">
        <v>2.9000000000000001E-2</v>
      </c>
      <c r="AA178" s="41" t="s">
        <v>2153</v>
      </c>
      <c r="AB178" s="42" t="s">
        <v>146</v>
      </c>
      <c r="AC178" s="41" t="s">
        <v>1565</v>
      </c>
      <c r="AD178" s="153">
        <v>482000</v>
      </c>
      <c r="AE178" s="164">
        <v>0.73</v>
      </c>
      <c r="AF178" s="41" t="s">
        <v>1394</v>
      </c>
      <c r="AG178" s="41" t="s">
        <v>141</v>
      </c>
      <c r="AH178" s="41" t="s">
        <v>2144</v>
      </c>
      <c r="AI178" s="41" t="s">
        <v>2154</v>
      </c>
      <c r="AJ178" s="41" t="s">
        <v>318</v>
      </c>
      <c r="AK178" s="41" t="s">
        <v>1392</v>
      </c>
      <c r="AL178" s="41" t="s">
        <v>2146</v>
      </c>
      <c r="AM178" s="41" t="s">
        <v>1393</v>
      </c>
      <c r="AN178" s="178" t="s">
        <v>1394</v>
      </c>
      <c r="AO178" s="41" t="s">
        <v>1394</v>
      </c>
      <c r="AP178" s="164">
        <v>0</v>
      </c>
      <c r="AQ178" s="153">
        <v>1134</v>
      </c>
      <c r="AR178" s="172">
        <v>130.56</v>
      </c>
      <c r="AS178" s="162">
        <v>1</v>
      </c>
      <c r="AT178" s="153">
        <v>1.4810000000000001</v>
      </c>
      <c r="AU178" s="153">
        <v>1.4810000000000001</v>
      </c>
      <c r="AV178" s="41"/>
      <c r="AW178" s="41"/>
      <c r="AX178" s="42" t="s">
        <v>141</v>
      </c>
      <c r="AY178" s="41" t="s">
        <v>36</v>
      </c>
      <c r="AZ178" s="164">
        <v>2.2251495405767002E-3</v>
      </c>
      <c r="BA178" s="164">
        <v>1.95044059369648E-5</v>
      </c>
    </row>
    <row r="179" spans="1:53">
      <c r="A179" s="41">
        <v>969</v>
      </c>
      <c r="B179" s="41">
        <v>969</v>
      </c>
      <c r="C179" s="41" t="s">
        <v>2147</v>
      </c>
      <c r="D179" s="41" t="s">
        <v>134</v>
      </c>
      <c r="E179" s="41" t="s">
        <v>2243</v>
      </c>
      <c r="F179" s="41" t="s">
        <v>2244</v>
      </c>
      <c r="G179" s="41" t="s">
        <v>2138</v>
      </c>
      <c r="H179" s="41"/>
      <c r="I179" s="41" t="s">
        <v>30</v>
      </c>
      <c r="J179" s="41" t="s">
        <v>30</v>
      </c>
      <c r="K179" s="41" t="s">
        <v>151</v>
      </c>
      <c r="L179" s="41" t="s">
        <v>141</v>
      </c>
      <c r="M179" s="41" t="s">
        <v>318</v>
      </c>
      <c r="N179" s="41" t="s">
        <v>2245</v>
      </c>
      <c r="O179" s="178" t="s">
        <v>2246</v>
      </c>
      <c r="P179" s="202" t="s">
        <v>142</v>
      </c>
      <c r="Q179" s="21" t="s">
        <v>164</v>
      </c>
      <c r="R179" s="41" t="s">
        <v>2141</v>
      </c>
      <c r="S179" s="41" t="s">
        <v>34</v>
      </c>
      <c r="T179" s="153">
        <v>2.82</v>
      </c>
      <c r="U179" s="41" t="s">
        <v>2142</v>
      </c>
      <c r="V179" s="164">
        <v>5.5451E-2</v>
      </c>
      <c r="W179" s="41" t="s">
        <v>138</v>
      </c>
      <c r="X179" s="41" t="s">
        <v>2087</v>
      </c>
      <c r="Y179" s="185">
        <v>0</v>
      </c>
      <c r="Z179" s="164">
        <v>2.9100000000000001E-2</v>
      </c>
      <c r="AA179" s="41" t="s">
        <v>2153</v>
      </c>
      <c r="AB179" s="42" t="s">
        <v>146</v>
      </c>
      <c r="AC179" s="41" t="s">
        <v>1565</v>
      </c>
      <c r="AD179" s="153">
        <v>482000</v>
      </c>
      <c r="AE179" s="164">
        <v>0.73</v>
      </c>
      <c r="AF179" s="41" t="s">
        <v>1394</v>
      </c>
      <c r="AG179" s="41" t="s">
        <v>141</v>
      </c>
      <c r="AH179" s="41" t="s">
        <v>2144</v>
      </c>
      <c r="AI179" s="41" t="s">
        <v>2154</v>
      </c>
      <c r="AJ179" s="41" t="s">
        <v>318</v>
      </c>
      <c r="AK179" s="41" t="s">
        <v>1392</v>
      </c>
      <c r="AL179" s="41" t="s">
        <v>2146</v>
      </c>
      <c r="AM179" s="41" t="s">
        <v>1393</v>
      </c>
      <c r="AN179" s="178" t="s">
        <v>1394</v>
      </c>
      <c r="AO179" s="41" t="s">
        <v>1394</v>
      </c>
      <c r="AP179" s="164">
        <v>0</v>
      </c>
      <c r="AQ179" s="153">
        <v>2295.67</v>
      </c>
      <c r="AR179" s="172">
        <v>130.28</v>
      </c>
      <c r="AS179" s="162">
        <v>1</v>
      </c>
      <c r="AT179" s="153">
        <v>2.9910000000000001</v>
      </c>
      <c r="AU179" s="153">
        <v>2.9910000000000001</v>
      </c>
      <c r="AV179" s="41"/>
      <c r="AW179" s="41"/>
      <c r="AX179" s="42" t="s">
        <v>141</v>
      </c>
      <c r="AY179" s="41" t="s">
        <v>36</v>
      </c>
      <c r="AZ179" s="164">
        <v>4.4949329282466298E-3</v>
      </c>
      <c r="BA179" s="164">
        <v>3.9400047005034097E-5</v>
      </c>
    </row>
    <row r="180" spans="1:53">
      <c r="A180" s="41">
        <v>969</v>
      </c>
      <c r="B180" s="41">
        <v>969</v>
      </c>
      <c r="C180" s="41" t="s">
        <v>2147</v>
      </c>
      <c r="D180" s="41" t="s">
        <v>134</v>
      </c>
      <c r="E180" s="41" t="s">
        <v>2247</v>
      </c>
      <c r="F180" s="41" t="s">
        <v>2248</v>
      </c>
      <c r="G180" s="41" t="s">
        <v>2138</v>
      </c>
      <c r="H180" s="41"/>
      <c r="I180" s="41" t="s">
        <v>30</v>
      </c>
      <c r="J180" s="41" t="s">
        <v>30</v>
      </c>
      <c r="K180" s="41" t="s">
        <v>151</v>
      </c>
      <c r="L180" s="41" t="s">
        <v>141</v>
      </c>
      <c r="M180" s="41" t="s">
        <v>318</v>
      </c>
      <c r="N180" s="41" t="s">
        <v>2249</v>
      </c>
      <c r="O180" s="178" t="s">
        <v>2250</v>
      </c>
      <c r="P180" s="202" t="s">
        <v>142</v>
      </c>
      <c r="Q180" s="21" t="s">
        <v>164</v>
      </c>
      <c r="R180" s="41" t="s">
        <v>2141</v>
      </c>
      <c r="S180" s="41" t="s">
        <v>34</v>
      </c>
      <c r="T180" s="153">
        <v>2.82</v>
      </c>
      <c r="U180" s="41" t="s">
        <v>2142</v>
      </c>
      <c r="V180" s="164">
        <v>5.5451E-2</v>
      </c>
      <c r="W180" s="41" t="s">
        <v>138</v>
      </c>
      <c r="X180" s="41" t="s">
        <v>2087</v>
      </c>
      <c r="Y180" s="185">
        <v>0</v>
      </c>
      <c r="Z180" s="164">
        <v>2.9100000000000001E-2</v>
      </c>
      <c r="AA180" s="41" t="s">
        <v>2153</v>
      </c>
      <c r="AB180" s="42" t="s">
        <v>146</v>
      </c>
      <c r="AC180" s="41" t="s">
        <v>1565</v>
      </c>
      <c r="AD180" s="153">
        <v>482000</v>
      </c>
      <c r="AE180" s="164">
        <v>0.73</v>
      </c>
      <c r="AF180" s="41" t="s">
        <v>1394</v>
      </c>
      <c r="AG180" s="41" t="s">
        <v>141</v>
      </c>
      <c r="AH180" s="41" t="s">
        <v>2144</v>
      </c>
      <c r="AI180" s="41" t="s">
        <v>2154</v>
      </c>
      <c r="AJ180" s="41" t="s">
        <v>318</v>
      </c>
      <c r="AK180" s="41" t="s">
        <v>1392</v>
      </c>
      <c r="AL180" s="41" t="s">
        <v>2146</v>
      </c>
      <c r="AM180" s="41" t="s">
        <v>1393</v>
      </c>
      <c r="AN180" s="178" t="s">
        <v>1394</v>
      </c>
      <c r="AO180" s="41" t="s">
        <v>1394</v>
      </c>
      <c r="AP180" s="164">
        <v>0</v>
      </c>
      <c r="AQ180" s="153">
        <v>3559.63</v>
      </c>
      <c r="AR180" s="172">
        <v>130.51</v>
      </c>
      <c r="AS180" s="162">
        <v>1</v>
      </c>
      <c r="AT180" s="153">
        <v>4.6459999999999999</v>
      </c>
      <c r="AU180" s="153">
        <v>4.6459999999999999</v>
      </c>
      <c r="AV180" s="41"/>
      <c r="AW180" s="41"/>
      <c r="AX180" s="42" t="s">
        <v>141</v>
      </c>
      <c r="AY180" s="41" t="s">
        <v>36</v>
      </c>
      <c r="AZ180" s="164">
        <v>6.9820773362808102E-3</v>
      </c>
      <c r="BA180" s="164">
        <v>6.1200952190749395E-5</v>
      </c>
    </row>
    <row r="181" spans="1:53">
      <c r="A181" s="41">
        <v>969</v>
      </c>
      <c r="B181" s="41">
        <v>969</v>
      </c>
      <c r="C181" s="41" t="s">
        <v>2147</v>
      </c>
      <c r="D181" s="41" t="s">
        <v>134</v>
      </c>
      <c r="E181" s="41" t="s">
        <v>2251</v>
      </c>
      <c r="F181" s="41" t="s">
        <v>2252</v>
      </c>
      <c r="G181" s="41" t="s">
        <v>2138</v>
      </c>
      <c r="H181" s="41"/>
      <c r="I181" s="41" t="s">
        <v>30</v>
      </c>
      <c r="J181" s="41" t="s">
        <v>30</v>
      </c>
      <c r="K181" s="41" t="s">
        <v>151</v>
      </c>
      <c r="L181" s="41" t="s">
        <v>141</v>
      </c>
      <c r="M181" s="41" t="s">
        <v>318</v>
      </c>
      <c r="N181" s="41" t="s">
        <v>2253</v>
      </c>
      <c r="O181" s="178" t="s">
        <v>2242</v>
      </c>
      <c r="P181" s="202" t="s">
        <v>142</v>
      </c>
      <c r="Q181" s="21" t="s">
        <v>164</v>
      </c>
      <c r="R181" s="41" t="s">
        <v>2141</v>
      </c>
      <c r="S181" s="41" t="s">
        <v>34</v>
      </c>
      <c r="T181" s="153">
        <v>2.82</v>
      </c>
      <c r="U181" s="41" t="s">
        <v>2152</v>
      </c>
      <c r="V181" s="164">
        <v>5.5453000000000002E-2</v>
      </c>
      <c r="W181" s="41" t="s">
        <v>138</v>
      </c>
      <c r="X181" s="41" t="s">
        <v>2087</v>
      </c>
      <c r="Y181" s="185">
        <v>0</v>
      </c>
      <c r="Z181" s="164">
        <v>2.9000000000000001E-2</v>
      </c>
      <c r="AA181" s="41" t="s">
        <v>2153</v>
      </c>
      <c r="AB181" s="42" t="s">
        <v>146</v>
      </c>
      <c r="AC181" s="41" t="s">
        <v>1565</v>
      </c>
      <c r="AD181" s="153">
        <v>482000</v>
      </c>
      <c r="AE181" s="164">
        <v>0.73</v>
      </c>
      <c r="AF181" s="41" t="s">
        <v>1394</v>
      </c>
      <c r="AG181" s="41" t="s">
        <v>141</v>
      </c>
      <c r="AH181" s="41" t="s">
        <v>2144</v>
      </c>
      <c r="AI181" s="41" t="s">
        <v>2154</v>
      </c>
      <c r="AJ181" s="41" t="s">
        <v>318</v>
      </c>
      <c r="AK181" s="41" t="s">
        <v>1392</v>
      </c>
      <c r="AL181" s="41" t="s">
        <v>2146</v>
      </c>
      <c r="AM181" s="41" t="s">
        <v>1393</v>
      </c>
      <c r="AN181" s="178" t="s">
        <v>1394</v>
      </c>
      <c r="AO181" s="41" t="s">
        <v>1394</v>
      </c>
      <c r="AP181" s="164">
        <v>0</v>
      </c>
      <c r="AQ181" s="153">
        <v>939.05</v>
      </c>
      <c r="AR181" s="172">
        <v>129.63</v>
      </c>
      <c r="AS181" s="162">
        <v>1</v>
      </c>
      <c r="AT181" s="153">
        <v>1.2170000000000001</v>
      </c>
      <c r="AU181" s="153">
        <v>1.2170000000000001</v>
      </c>
      <c r="AV181" s="41"/>
      <c r="AW181" s="41"/>
      <c r="AX181" s="42" t="s">
        <v>141</v>
      </c>
      <c r="AY181" s="41" t="s">
        <v>36</v>
      </c>
      <c r="AZ181" s="164">
        <v>1.8294908638035101E-3</v>
      </c>
      <c r="BA181" s="164">
        <v>1.60362851192211E-5</v>
      </c>
    </row>
    <row r="182" spans="1:53">
      <c r="A182" s="41">
        <v>969</v>
      </c>
      <c r="B182" s="41">
        <v>969</v>
      </c>
      <c r="C182" s="41" t="s">
        <v>2147</v>
      </c>
      <c r="D182" s="41" t="s">
        <v>134</v>
      </c>
      <c r="E182" s="41" t="s">
        <v>2254</v>
      </c>
      <c r="F182" s="41" t="s">
        <v>2255</v>
      </c>
      <c r="G182" s="41" t="s">
        <v>2138</v>
      </c>
      <c r="H182" s="41"/>
      <c r="I182" s="41" t="s">
        <v>30</v>
      </c>
      <c r="J182" s="41" t="s">
        <v>30</v>
      </c>
      <c r="K182" s="41" t="s">
        <v>151</v>
      </c>
      <c r="L182" s="41" t="s">
        <v>141</v>
      </c>
      <c r="M182" s="41" t="s">
        <v>318</v>
      </c>
      <c r="N182" s="41" t="s">
        <v>2256</v>
      </c>
      <c r="O182" s="178" t="s">
        <v>2257</v>
      </c>
      <c r="P182" s="202" t="s">
        <v>142</v>
      </c>
      <c r="Q182" s="21" t="s">
        <v>164</v>
      </c>
      <c r="R182" s="41" t="s">
        <v>2141</v>
      </c>
      <c r="S182" s="41" t="s">
        <v>34</v>
      </c>
      <c r="T182" s="153">
        <v>2.82</v>
      </c>
      <c r="U182" s="41" t="s">
        <v>2142</v>
      </c>
      <c r="V182" s="164">
        <v>5.5453000000000002E-2</v>
      </c>
      <c r="W182" s="41" t="s">
        <v>138</v>
      </c>
      <c r="X182" s="41" t="s">
        <v>2087</v>
      </c>
      <c r="Y182" s="185">
        <v>0</v>
      </c>
      <c r="Z182" s="164">
        <v>2.9100000000000001E-2</v>
      </c>
      <c r="AA182" s="41" t="s">
        <v>2153</v>
      </c>
      <c r="AB182" s="42" t="s">
        <v>146</v>
      </c>
      <c r="AC182" s="41" t="s">
        <v>1565</v>
      </c>
      <c r="AD182" s="153">
        <v>482000</v>
      </c>
      <c r="AE182" s="164">
        <v>0.73</v>
      </c>
      <c r="AF182" s="41" t="s">
        <v>1394</v>
      </c>
      <c r="AG182" s="41" t="s">
        <v>141</v>
      </c>
      <c r="AH182" s="41" t="s">
        <v>2144</v>
      </c>
      <c r="AI182" s="41" t="s">
        <v>2154</v>
      </c>
      <c r="AJ182" s="41" t="s">
        <v>318</v>
      </c>
      <c r="AK182" s="41" t="s">
        <v>1392</v>
      </c>
      <c r="AL182" s="41" t="s">
        <v>2146</v>
      </c>
      <c r="AM182" s="41" t="s">
        <v>1393</v>
      </c>
      <c r="AN182" s="178" t="s">
        <v>1394</v>
      </c>
      <c r="AO182" s="41" t="s">
        <v>1394</v>
      </c>
      <c r="AP182" s="164">
        <v>0</v>
      </c>
      <c r="AQ182" s="153">
        <v>824.26</v>
      </c>
      <c r="AR182" s="172">
        <v>128.61000000000001</v>
      </c>
      <c r="AS182" s="162">
        <v>1</v>
      </c>
      <c r="AT182" s="153">
        <v>1.06</v>
      </c>
      <c r="AU182" s="153">
        <v>1.06</v>
      </c>
      <c r="AV182" s="41"/>
      <c r="AW182" s="41"/>
      <c r="AX182" s="42" t="s">
        <v>141</v>
      </c>
      <c r="AY182" s="41" t="s">
        <v>36</v>
      </c>
      <c r="AZ182" s="164">
        <v>1.59321714001907E-3</v>
      </c>
      <c r="BA182" s="164">
        <v>1.3965242909745399E-5</v>
      </c>
    </row>
    <row r="183" spans="1:53">
      <c r="A183" s="41">
        <v>969</v>
      </c>
      <c r="B183" s="41">
        <v>969</v>
      </c>
      <c r="C183" s="41" t="s">
        <v>2147</v>
      </c>
      <c r="D183" s="41" t="s">
        <v>134</v>
      </c>
      <c r="E183" s="41" t="s">
        <v>2258</v>
      </c>
      <c r="F183" s="41" t="s">
        <v>2259</v>
      </c>
      <c r="G183" s="41" t="s">
        <v>2138</v>
      </c>
      <c r="H183" s="41"/>
      <c r="I183" s="41" t="s">
        <v>30</v>
      </c>
      <c r="J183" s="41" t="s">
        <v>30</v>
      </c>
      <c r="K183" s="41" t="s">
        <v>151</v>
      </c>
      <c r="L183" s="41" t="s">
        <v>141</v>
      </c>
      <c r="M183" s="41" t="s">
        <v>318</v>
      </c>
      <c r="N183" s="41" t="s">
        <v>2260</v>
      </c>
      <c r="O183" s="178" t="s">
        <v>2261</v>
      </c>
      <c r="P183" s="202" t="s">
        <v>142</v>
      </c>
      <c r="Q183" s="21" t="s">
        <v>164</v>
      </c>
      <c r="R183" s="41" t="s">
        <v>2141</v>
      </c>
      <c r="S183" s="41" t="s">
        <v>34</v>
      </c>
      <c r="T183" s="153">
        <v>2.82</v>
      </c>
      <c r="U183" s="41" t="s">
        <v>2142</v>
      </c>
      <c r="V183" s="164">
        <v>5.5452000000000001E-2</v>
      </c>
      <c r="W183" s="41" t="s">
        <v>138</v>
      </c>
      <c r="X183" s="41" t="s">
        <v>2087</v>
      </c>
      <c r="Y183" s="185">
        <v>0</v>
      </c>
      <c r="Z183" s="164">
        <v>2.9100000000000001E-2</v>
      </c>
      <c r="AA183" s="41" t="s">
        <v>2153</v>
      </c>
      <c r="AB183" s="42" t="s">
        <v>146</v>
      </c>
      <c r="AC183" s="41" t="s">
        <v>1565</v>
      </c>
      <c r="AD183" s="153">
        <v>482000</v>
      </c>
      <c r="AE183" s="164">
        <v>0.73</v>
      </c>
      <c r="AF183" s="41" t="s">
        <v>1394</v>
      </c>
      <c r="AG183" s="41" t="s">
        <v>141</v>
      </c>
      <c r="AH183" s="41" t="s">
        <v>2144</v>
      </c>
      <c r="AI183" s="41" t="s">
        <v>2154</v>
      </c>
      <c r="AJ183" s="41" t="s">
        <v>318</v>
      </c>
      <c r="AK183" s="41" t="s">
        <v>1392</v>
      </c>
      <c r="AL183" s="41" t="s">
        <v>2146</v>
      </c>
      <c r="AM183" s="41" t="s">
        <v>1393</v>
      </c>
      <c r="AN183" s="178" t="s">
        <v>1394</v>
      </c>
      <c r="AO183" s="41" t="s">
        <v>1394</v>
      </c>
      <c r="AP183" s="164">
        <v>0</v>
      </c>
      <c r="AQ183" s="153">
        <v>918.83</v>
      </c>
      <c r="AR183" s="172">
        <v>127.98</v>
      </c>
      <c r="AS183" s="162">
        <v>1</v>
      </c>
      <c r="AT183" s="153">
        <v>1.1759999999999999</v>
      </c>
      <c r="AU183" s="153">
        <v>1.1759999999999999</v>
      </c>
      <c r="AV183" s="41"/>
      <c r="AW183" s="41"/>
      <c r="AX183" s="42" t="s">
        <v>141</v>
      </c>
      <c r="AY183" s="41" t="s">
        <v>36</v>
      </c>
      <c r="AZ183" s="164">
        <v>1.76731221591692E-3</v>
      </c>
      <c r="BA183" s="164">
        <v>1.54912621592464E-5</v>
      </c>
    </row>
    <row r="184" spans="1:53">
      <c r="A184" s="41">
        <v>969</v>
      </c>
      <c r="B184" s="41">
        <v>969</v>
      </c>
      <c r="C184" s="41" t="s">
        <v>2147</v>
      </c>
      <c r="D184" s="41" t="s">
        <v>134</v>
      </c>
      <c r="E184" s="41" t="s">
        <v>2262</v>
      </c>
      <c r="F184" s="41" t="s">
        <v>2263</v>
      </c>
      <c r="G184" s="41" t="s">
        <v>2138</v>
      </c>
      <c r="H184" s="41"/>
      <c r="I184" s="41" t="s">
        <v>30</v>
      </c>
      <c r="J184" s="41" t="s">
        <v>30</v>
      </c>
      <c r="K184" s="41" t="s">
        <v>151</v>
      </c>
      <c r="L184" s="41" t="s">
        <v>141</v>
      </c>
      <c r="M184" s="41" t="s">
        <v>318</v>
      </c>
      <c r="N184" s="41" t="s">
        <v>2264</v>
      </c>
      <c r="O184" s="178" t="s">
        <v>2265</v>
      </c>
      <c r="P184" s="202" t="s">
        <v>142</v>
      </c>
      <c r="Q184" s="21" t="s">
        <v>164</v>
      </c>
      <c r="R184" s="41" t="s">
        <v>2141</v>
      </c>
      <c r="S184" s="41" t="s">
        <v>34</v>
      </c>
      <c r="T184" s="153">
        <v>2.82</v>
      </c>
      <c r="U184" s="41" t="s">
        <v>2142</v>
      </c>
      <c r="V184" s="164">
        <v>5.5452000000000001E-2</v>
      </c>
      <c r="W184" s="41" t="s">
        <v>138</v>
      </c>
      <c r="X184" s="41" t="s">
        <v>2087</v>
      </c>
      <c r="Y184" s="185">
        <v>0</v>
      </c>
      <c r="Z184" s="164">
        <v>2.9100000000000001E-2</v>
      </c>
      <c r="AA184" s="41" t="s">
        <v>2153</v>
      </c>
      <c r="AB184" s="42" t="s">
        <v>146</v>
      </c>
      <c r="AC184" s="41" t="s">
        <v>1565</v>
      </c>
      <c r="AD184" s="153">
        <v>482000</v>
      </c>
      <c r="AE184" s="164">
        <v>0.73</v>
      </c>
      <c r="AF184" s="41" t="s">
        <v>1394</v>
      </c>
      <c r="AG184" s="41" t="s">
        <v>141</v>
      </c>
      <c r="AH184" s="41" t="s">
        <v>2144</v>
      </c>
      <c r="AI184" s="41" t="s">
        <v>2154</v>
      </c>
      <c r="AJ184" s="41" t="s">
        <v>318</v>
      </c>
      <c r="AK184" s="41" t="s">
        <v>1392</v>
      </c>
      <c r="AL184" s="41" t="s">
        <v>2146</v>
      </c>
      <c r="AM184" s="41" t="s">
        <v>1393</v>
      </c>
      <c r="AN184" s="178" t="s">
        <v>1394</v>
      </c>
      <c r="AO184" s="41" t="s">
        <v>1394</v>
      </c>
      <c r="AP184" s="164">
        <v>0</v>
      </c>
      <c r="AQ184" s="153">
        <v>2697.85</v>
      </c>
      <c r="AR184" s="172">
        <v>128.09</v>
      </c>
      <c r="AS184" s="162">
        <v>1</v>
      </c>
      <c r="AT184" s="153">
        <v>3.456</v>
      </c>
      <c r="AU184" s="153">
        <v>3.456</v>
      </c>
      <c r="AV184" s="41"/>
      <c r="AW184" s="41"/>
      <c r="AX184" s="42" t="s">
        <v>141</v>
      </c>
      <c r="AY184" s="41" t="s">
        <v>36</v>
      </c>
      <c r="AZ184" s="164">
        <v>5.1936063834210899E-3</v>
      </c>
      <c r="BA184" s="164">
        <v>4.5524224476527799E-5</v>
      </c>
    </row>
    <row r="185" spans="1:53">
      <c r="A185" s="41">
        <v>969</v>
      </c>
      <c r="B185" s="41">
        <v>969</v>
      </c>
      <c r="C185" s="41" t="s">
        <v>2147</v>
      </c>
      <c r="D185" s="41" t="s">
        <v>134</v>
      </c>
      <c r="E185" s="41" t="s">
        <v>2266</v>
      </c>
      <c r="F185" s="41" t="s">
        <v>2267</v>
      </c>
      <c r="G185" s="41" t="s">
        <v>2138</v>
      </c>
      <c r="H185" s="41"/>
      <c r="I185" s="41" t="s">
        <v>30</v>
      </c>
      <c r="J185" s="41" t="s">
        <v>30</v>
      </c>
      <c r="K185" s="41" t="s">
        <v>151</v>
      </c>
      <c r="L185" s="41" t="s">
        <v>141</v>
      </c>
      <c r="M185" s="41" t="s">
        <v>318</v>
      </c>
      <c r="N185" s="41" t="s">
        <v>2268</v>
      </c>
      <c r="O185" s="178" t="s">
        <v>2269</v>
      </c>
      <c r="P185" s="202" t="s">
        <v>142</v>
      </c>
      <c r="Q185" s="21" t="s">
        <v>164</v>
      </c>
      <c r="R185" s="41" t="s">
        <v>2141</v>
      </c>
      <c r="S185" s="41" t="s">
        <v>34</v>
      </c>
      <c r="T185" s="153">
        <v>2.82</v>
      </c>
      <c r="U185" s="41" t="s">
        <v>2142</v>
      </c>
      <c r="V185" s="164">
        <v>5.5453000000000002E-2</v>
      </c>
      <c r="W185" s="41" t="s">
        <v>138</v>
      </c>
      <c r="X185" s="41" t="s">
        <v>2087</v>
      </c>
      <c r="Y185" s="185">
        <v>0</v>
      </c>
      <c r="Z185" s="164">
        <v>2.9100000000000001E-2</v>
      </c>
      <c r="AA185" s="41" t="s">
        <v>2153</v>
      </c>
      <c r="AB185" s="42" t="s">
        <v>146</v>
      </c>
      <c r="AC185" s="41" t="s">
        <v>1565</v>
      </c>
      <c r="AD185" s="153">
        <v>482000</v>
      </c>
      <c r="AE185" s="164">
        <v>0.73</v>
      </c>
      <c r="AF185" s="41" t="s">
        <v>1394</v>
      </c>
      <c r="AG185" s="41" t="s">
        <v>141</v>
      </c>
      <c r="AH185" s="41" t="s">
        <v>2144</v>
      </c>
      <c r="AI185" s="41" t="s">
        <v>2154</v>
      </c>
      <c r="AJ185" s="41" t="s">
        <v>318</v>
      </c>
      <c r="AK185" s="41" t="s">
        <v>1392</v>
      </c>
      <c r="AL185" s="41" t="s">
        <v>2146</v>
      </c>
      <c r="AM185" s="41" t="s">
        <v>1393</v>
      </c>
      <c r="AN185" s="178" t="s">
        <v>1394</v>
      </c>
      <c r="AO185" s="41" t="s">
        <v>1394</v>
      </c>
      <c r="AP185" s="164">
        <v>0</v>
      </c>
      <c r="AQ185" s="153">
        <v>500.79</v>
      </c>
      <c r="AR185" s="172">
        <v>128.72</v>
      </c>
      <c r="AS185" s="162">
        <v>1</v>
      </c>
      <c r="AT185" s="153">
        <v>0.64500000000000002</v>
      </c>
      <c r="AU185" s="153">
        <v>0.64500000000000002</v>
      </c>
      <c r="AV185" s="41"/>
      <c r="AW185" s="41"/>
      <c r="AX185" s="42" t="s">
        <v>141</v>
      </c>
      <c r="AY185" s="41" t="s">
        <v>36</v>
      </c>
      <c r="AZ185" s="164">
        <v>9.6880793263179896E-4</v>
      </c>
      <c r="BA185" s="164">
        <v>8.49202395094078E-6</v>
      </c>
    </row>
    <row r="186" spans="1:53">
      <c r="A186" s="41">
        <v>969</v>
      </c>
      <c r="B186" s="41">
        <v>969</v>
      </c>
      <c r="C186" s="41" t="s">
        <v>2147</v>
      </c>
      <c r="D186" s="41" t="s">
        <v>134</v>
      </c>
      <c r="E186" s="41" t="s">
        <v>2270</v>
      </c>
      <c r="F186" s="41" t="s">
        <v>2271</v>
      </c>
      <c r="G186" s="41" t="s">
        <v>2138</v>
      </c>
      <c r="H186" s="41"/>
      <c r="I186" s="41" t="s">
        <v>30</v>
      </c>
      <c r="J186" s="41" t="s">
        <v>30</v>
      </c>
      <c r="K186" s="41" t="s">
        <v>151</v>
      </c>
      <c r="L186" s="41" t="s">
        <v>141</v>
      </c>
      <c r="M186" s="41" t="s">
        <v>318</v>
      </c>
      <c r="N186" s="41" t="s">
        <v>2272</v>
      </c>
      <c r="O186" s="178" t="s">
        <v>2273</v>
      </c>
      <c r="P186" s="202" t="s">
        <v>142</v>
      </c>
      <c r="Q186" s="21" t="s">
        <v>164</v>
      </c>
      <c r="R186" s="41" t="s">
        <v>2141</v>
      </c>
      <c r="S186" s="41" t="s">
        <v>34</v>
      </c>
      <c r="T186" s="153">
        <v>2.82</v>
      </c>
      <c r="U186" s="41" t="s">
        <v>2142</v>
      </c>
      <c r="V186" s="164">
        <v>5.5452000000000001E-2</v>
      </c>
      <c r="W186" s="41" t="s">
        <v>138</v>
      </c>
      <c r="X186" s="41" t="s">
        <v>2087</v>
      </c>
      <c r="Y186" s="185">
        <v>0</v>
      </c>
      <c r="Z186" s="164">
        <v>2.9100000000000001E-2</v>
      </c>
      <c r="AA186" s="41" t="s">
        <v>2153</v>
      </c>
      <c r="AB186" s="42" t="s">
        <v>146</v>
      </c>
      <c r="AC186" s="41" t="s">
        <v>1565</v>
      </c>
      <c r="AD186" s="153">
        <v>482000</v>
      </c>
      <c r="AE186" s="164">
        <v>0.73</v>
      </c>
      <c r="AF186" s="41" t="s">
        <v>1394</v>
      </c>
      <c r="AG186" s="41" t="s">
        <v>141</v>
      </c>
      <c r="AH186" s="41" t="s">
        <v>2144</v>
      </c>
      <c r="AI186" s="41" t="s">
        <v>2154</v>
      </c>
      <c r="AJ186" s="41" t="s">
        <v>318</v>
      </c>
      <c r="AK186" s="41" t="s">
        <v>1392</v>
      </c>
      <c r="AL186" s="41" t="s">
        <v>2146</v>
      </c>
      <c r="AM186" s="41" t="s">
        <v>1393</v>
      </c>
      <c r="AN186" s="178" t="s">
        <v>1394</v>
      </c>
      <c r="AO186" s="41" t="s">
        <v>1394</v>
      </c>
      <c r="AP186" s="164">
        <v>0</v>
      </c>
      <c r="AQ186" s="153">
        <v>999.35</v>
      </c>
      <c r="AR186" s="172">
        <v>128.97</v>
      </c>
      <c r="AS186" s="162">
        <v>1</v>
      </c>
      <c r="AT186" s="153">
        <v>1.2889999999999999</v>
      </c>
      <c r="AU186" s="153">
        <v>1.2889999999999999</v>
      </c>
      <c r="AV186" s="41"/>
      <c r="AW186" s="41"/>
      <c r="AX186" s="42" t="s">
        <v>141</v>
      </c>
      <c r="AY186" s="41" t="s">
        <v>36</v>
      </c>
      <c r="AZ186" s="164">
        <v>1.9370566571027599E-3</v>
      </c>
      <c r="BA186" s="164">
        <v>1.6979146198524899E-5</v>
      </c>
    </row>
    <row r="187" spans="1:53">
      <c r="A187" s="41">
        <v>969</v>
      </c>
      <c r="B187" s="41">
        <v>969</v>
      </c>
      <c r="C187" s="41" t="s">
        <v>2147</v>
      </c>
      <c r="D187" s="41" t="s">
        <v>134</v>
      </c>
      <c r="E187" s="41" t="s">
        <v>2274</v>
      </c>
      <c r="F187" s="41" t="s">
        <v>2275</v>
      </c>
      <c r="G187" s="41" t="s">
        <v>2138</v>
      </c>
      <c r="H187" s="41"/>
      <c r="I187" s="41" t="s">
        <v>30</v>
      </c>
      <c r="J187" s="41" t="s">
        <v>30</v>
      </c>
      <c r="K187" s="41" t="s">
        <v>151</v>
      </c>
      <c r="L187" s="41" t="s">
        <v>141</v>
      </c>
      <c r="M187" s="41" t="s">
        <v>318</v>
      </c>
      <c r="N187" s="41" t="s">
        <v>2276</v>
      </c>
      <c r="O187" s="178" t="s">
        <v>2277</v>
      </c>
      <c r="P187" s="202" t="s">
        <v>142</v>
      </c>
      <c r="Q187" s="21" t="s">
        <v>164</v>
      </c>
      <c r="R187" s="41" t="s">
        <v>2141</v>
      </c>
      <c r="S187" s="41" t="s">
        <v>34</v>
      </c>
      <c r="T187" s="153">
        <v>2.82</v>
      </c>
      <c r="U187" s="41" t="s">
        <v>2142</v>
      </c>
      <c r="V187" s="164">
        <v>5.5451E-2</v>
      </c>
      <c r="W187" s="41" t="s">
        <v>138</v>
      </c>
      <c r="X187" s="41" t="s">
        <v>2087</v>
      </c>
      <c r="Y187" s="185">
        <v>0</v>
      </c>
      <c r="Z187" s="164">
        <v>2.9100000000000001E-2</v>
      </c>
      <c r="AA187" s="41" t="s">
        <v>2153</v>
      </c>
      <c r="AB187" s="42" t="s">
        <v>146</v>
      </c>
      <c r="AC187" s="41" t="s">
        <v>1565</v>
      </c>
      <c r="AD187" s="153">
        <v>482000</v>
      </c>
      <c r="AE187" s="164">
        <v>0.73</v>
      </c>
      <c r="AF187" s="41" t="s">
        <v>1394</v>
      </c>
      <c r="AG187" s="41" t="s">
        <v>141</v>
      </c>
      <c r="AH187" s="41" t="s">
        <v>2144</v>
      </c>
      <c r="AI187" s="41" t="s">
        <v>2154</v>
      </c>
      <c r="AJ187" s="41" t="s">
        <v>318</v>
      </c>
      <c r="AK187" s="41" t="s">
        <v>1392</v>
      </c>
      <c r="AL187" s="41" t="s">
        <v>2146</v>
      </c>
      <c r="AM187" s="41" t="s">
        <v>1393</v>
      </c>
      <c r="AN187" s="178" t="s">
        <v>1394</v>
      </c>
      <c r="AO187" s="41" t="s">
        <v>1394</v>
      </c>
      <c r="AP187" s="164">
        <v>0</v>
      </c>
      <c r="AQ187" s="153">
        <v>626.22</v>
      </c>
      <c r="AR187" s="172">
        <v>128.46</v>
      </c>
      <c r="AS187" s="162">
        <v>1</v>
      </c>
      <c r="AT187" s="153">
        <v>0.80400000000000005</v>
      </c>
      <c r="AU187" s="153">
        <v>0.80400000000000005</v>
      </c>
      <c r="AV187" s="41"/>
      <c r="AW187" s="41"/>
      <c r="AX187" s="42" t="s">
        <v>141</v>
      </c>
      <c r="AY187" s="41" t="s">
        <v>36</v>
      </c>
      <c r="AZ187" s="164">
        <v>1.2090126877493E-3</v>
      </c>
      <c r="BA187" s="164">
        <v>1.05975233640664E-5</v>
      </c>
    </row>
    <row r="188" spans="1:53">
      <c r="A188" s="41">
        <v>969</v>
      </c>
      <c r="B188" s="41">
        <v>969</v>
      </c>
      <c r="C188" s="41" t="s">
        <v>2147</v>
      </c>
      <c r="D188" s="41" t="s">
        <v>134</v>
      </c>
      <c r="E188" s="41" t="s">
        <v>2278</v>
      </c>
      <c r="F188" s="41" t="s">
        <v>2279</v>
      </c>
      <c r="G188" s="41" t="s">
        <v>2138</v>
      </c>
      <c r="H188" s="41"/>
      <c r="I188" s="41" t="s">
        <v>30</v>
      </c>
      <c r="J188" s="41" t="s">
        <v>30</v>
      </c>
      <c r="K188" s="41" t="s">
        <v>151</v>
      </c>
      <c r="L188" s="41" t="s">
        <v>141</v>
      </c>
      <c r="M188" s="41" t="s">
        <v>318</v>
      </c>
      <c r="N188" s="41" t="s">
        <v>2280</v>
      </c>
      <c r="O188" s="178" t="s">
        <v>2281</v>
      </c>
      <c r="P188" s="202" t="s">
        <v>142</v>
      </c>
      <c r="Q188" s="21" t="s">
        <v>164</v>
      </c>
      <c r="R188" s="41" t="s">
        <v>2141</v>
      </c>
      <c r="S188" s="41" t="s">
        <v>34</v>
      </c>
      <c r="T188" s="153">
        <v>2.82</v>
      </c>
      <c r="U188" s="41" t="s">
        <v>2142</v>
      </c>
      <c r="V188" s="164">
        <v>5.5451E-2</v>
      </c>
      <c r="W188" s="41" t="s">
        <v>138</v>
      </c>
      <c r="X188" s="41" t="s">
        <v>2087</v>
      </c>
      <c r="Y188" s="185">
        <v>0</v>
      </c>
      <c r="Z188" s="164">
        <v>2.9100000000000001E-2</v>
      </c>
      <c r="AA188" s="41" t="s">
        <v>2153</v>
      </c>
      <c r="AB188" s="42" t="s">
        <v>146</v>
      </c>
      <c r="AC188" s="41" t="s">
        <v>1565</v>
      </c>
      <c r="AD188" s="153">
        <v>482000</v>
      </c>
      <c r="AE188" s="164">
        <v>0.73</v>
      </c>
      <c r="AF188" s="41" t="s">
        <v>1394</v>
      </c>
      <c r="AG188" s="41" t="s">
        <v>141</v>
      </c>
      <c r="AH188" s="41" t="s">
        <v>2144</v>
      </c>
      <c r="AI188" s="41" t="s">
        <v>2154</v>
      </c>
      <c r="AJ188" s="41" t="s">
        <v>318</v>
      </c>
      <c r="AK188" s="41" t="s">
        <v>1392</v>
      </c>
      <c r="AL188" s="41" t="s">
        <v>2146</v>
      </c>
      <c r="AM188" s="41" t="s">
        <v>1393</v>
      </c>
      <c r="AN188" s="178" t="s">
        <v>1394</v>
      </c>
      <c r="AO188" s="41" t="s">
        <v>1394</v>
      </c>
      <c r="AP188" s="164">
        <v>0</v>
      </c>
      <c r="AQ188" s="153">
        <v>352.64</v>
      </c>
      <c r="AR188" s="172">
        <v>128.34</v>
      </c>
      <c r="AS188" s="162">
        <v>1</v>
      </c>
      <c r="AT188" s="153">
        <v>0.45300000000000001</v>
      </c>
      <c r="AU188" s="153">
        <v>0.45300000000000001</v>
      </c>
      <c r="AV188" s="41"/>
      <c r="AW188" s="41"/>
      <c r="AX188" s="42" t="s">
        <v>141</v>
      </c>
      <c r="AY188" s="41" t="s">
        <v>36</v>
      </c>
      <c r="AZ188" s="164">
        <v>6.8018901646403997E-4</v>
      </c>
      <c r="BA188" s="164">
        <v>5.9621533065778002E-6</v>
      </c>
    </row>
    <row r="189" spans="1:53">
      <c r="A189" s="41">
        <v>969</v>
      </c>
      <c r="B189" s="41">
        <v>969</v>
      </c>
      <c r="C189" s="41" t="s">
        <v>2147</v>
      </c>
      <c r="D189" s="41" t="s">
        <v>134</v>
      </c>
      <c r="E189" s="41" t="s">
        <v>2282</v>
      </c>
      <c r="F189" s="41" t="s">
        <v>2283</v>
      </c>
      <c r="G189" s="41" t="s">
        <v>2138</v>
      </c>
      <c r="H189" s="41"/>
      <c r="I189" s="41" t="s">
        <v>30</v>
      </c>
      <c r="J189" s="41" t="s">
        <v>30</v>
      </c>
      <c r="K189" s="41" t="s">
        <v>151</v>
      </c>
      <c r="L189" s="41" t="s">
        <v>141</v>
      </c>
      <c r="M189" s="41" t="s">
        <v>318</v>
      </c>
      <c r="N189" s="41" t="s">
        <v>2284</v>
      </c>
      <c r="O189" s="178" t="s">
        <v>2285</v>
      </c>
      <c r="P189" s="202" t="s">
        <v>142</v>
      </c>
      <c r="Q189" s="21" t="s">
        <v>164</v>
      </c>
      <c r="R189" s="41" t="s">
        <v>2141</v>
      </c>
      <c r="S189" s="41" t="s">
        <v>34</v>
      </c>
      <c r="T189" s="153">
        <v>2.82</v>
      </c>
      <c r="U189" s="41" t="s">
        <v>2142</v>
      </c>
      <c r="V189" s="164">
        <v>5.5451E-2</v>
      </c>
      <c r="W189" s="41" t="s">
        <v>138</v>
      </c>
      <c r="X189" s="41" t="s">
        <v>2087</v>
      </c>
      <c r="Y189" s="185">
        <v>0</v>
      </c>
      <c r="Z189" s="164">
        <v>2.9100000000000001E-2</v>
      </c>
      <c r="AA189" s="41" t="s">
        <v>2153</v>
      </c>
      <c r="AB189" s="42" t="s">
        <v>146</v>
      </c>
      <c r="AC189" s="41" t="s">
        <v>1565</v>
      </c>
      <c r="AD189" s="153">
        <v>482000</v>
      </c>
      <c r="AE189" s="164">
        <v>0.73</v>
      </c>
      <c r="AF189" s="41" t="s">
        <v>1394</v>
      </c>
      <c r="AG189" s="41" t="s">
        <v>141</v>
      </c>
      <c r="AH189" s="41" t="s">
        <v>2144</v>
      </c>
      <c r="AI189" s="41" t="s">
        <v>2154</v>
      </c>
      <c r="AJ189" s="41" t="s">
        <v>318</v>
      </c>
      <c r="AK189" s="41" t="s">
        <v>1392</v>
      </c>
      <c r="AL189" s="41" t="s">
        <v>2146</v>
      </c>
      <c r="AM189" s="41" t="s">
        <v>1393</v>
      </c>
      <c r="AN189" s="178" t="s">
        <v>1394</v>
      </c>
      <c r="AO189" s="41" t="s">
        <v>1394</v>
      </c>
      <c r="AP189" s="164">
        <v>0</v>
      </c>
      <c r="AQ189" s="153">
        <v>1051.8599999999999</v>
      </c>
      <c r="AR189" s="172">
        <v>127.96</v>
      </c>
      <c r="AS189" s="162">
        <v>1</v>
      </c>
      <c r="AT189" s="153">
        <v>1.3460000000000001</v>
      </c>
      <c r="AU189" s="153">
        <v>1.3460000000000001</v>
      </c>
      <c r="AV189" s="41"/>
      <c r="AW189" s="41"/>
      <c r="AX189" s="42" t="s">
        <v>141</v>
      </c>
      <c r="AY189" s="41" t="s">
        <v>36</v>
      </c>
      <c r="AZ189" s="164">
        <v>2.0228709541012498E-3</v>
      </c>
      <c r="BA189" s="164">
        <v>1.7731345928624799E-5</v>
      </c>
    </row>
    <row r="190" spans="1:53">
      <c r="A190" s="41">
        <v>969</v>
      </c>
      <c r="B190" s="41">
        <v>969</v>
      </c>
      <c r="C190" s="41" t="s">
        <v>2147</v>
      </c>
      <c r="D190" s="41" t="s">
        <v>134</v>
      </c>
      <c r="E190" s="41" t="s">
        <v>2286</v>
      </c>
      <c r="F190" s="41" t="s">
        <v>2287</v>
      </c>
      <c r="G190" s="41" t="s">
        <v>2138</v>
      </c>
      <c r="H190" s="41"/>
      <c r="I190" s="41" t="s">
        <v>30</v>
      </c>
      <c r="J190" s="41" t="s">
        <v>30</v>
      </c>
      <c r="K190" s="41" t="s">
        <v>151</v>
      </c>
      <c r="L190" s="41" t="s">
        <v>141</v>
      </c>
      <c r="M190" s="41" t="s">
        <v>318</v>
      </c>
      <c r="N190" s="41" t="s">
        <v>2288</v>
      </c>
      <c r="O190" s="178" t="s">
        <v>2242</v>
      </c>
      <c r="P190" s="202" t="s">
        <v>142</v>
      </c>
      <c r="Q190" s="21" t="s">
        <v>164</v>
      </c>
      <c r="R190" s="41" t="s">
        <v>2141</v>
      </c>
      <c r="S190" s="41" t="s">
        <v>34</v>
      </c>
      <c r="T190" s="153">
        <v>2.82</v>
      </c>
      <c r="U190" s="41" t="s">
        <v>2152</v>
      </c>
      <c r="V190" s="164">
        <v>5.5451E-2</v>
      </c>
      <c r="W190" s="41" t="s">
        <v>138</v>
      </c>
      <c r="X190" s="41" t="s">
        <v>2087</v>
      </c>
      <c r="Y190" s="185">
        <v>0</v>
      </c>
      <c r="Z190" s="164">
        <v>2.9100000000000001E-2</v>
      </c>
      <c r="AA190" s="41" t="s">
        <v>2153</v>
      </c>
      <c r="AB190" s="42" t="s">
        <v>146</v>
      </c>
      <c r="AC190" s="41" t="s">
        <v>1565</v>
      </c>
      <c r="AD190" s="153">
        <v>482000</v>
      </c>
      <c r="AE190" s="164">
        <v>0.73</v>
      </c>
      <c r="AF190" s="41" t="s">
        <v>1394</v>
      </c>
      <c r="AG190" s="41" t="s">
        <v>141</v>
      </c>
      <c r="AH190" s="41" t="s">
        <v>2144</v>
      </c>
      <c r="AI190" s="41" t="s">
        <v>2154</v>
      </c>
      <c r="AJ190" s="41" t="s">
        <v>318</v>
      </c>
      <c r="AK190" s="41" t="s">
        <v>1392</v>
      </c>
      <c r="AL190" s="41" t="s">
        <v>2146</v>
      </c>
      <c r="AM190" s="41" t="s">
        <v>1393</v>
      </c>
      <c r="AN190" s="178" t="s">
        <v>1394</v>
      </c>
      <c r="AO190" s="41" t="s">
        <v>1394</v>
      </c>
      <c r="AP190" s="164">
        <v>0</v>
      </c>
      <c r="AQ190" s="153">
        <v>409.48</v>
      </c>
      <c r="AR190" s="172">
        <v>127.96</v>
      </c>
      <c r="AS190" s="162">
        <v>1</v>
      </c>
      <c r="AT190" s="153">
        <v>0.52400000000000002</v>
      </c>
      <c r="AU190" s="153">
        <v>0.52400000000000002</v>
      </c>
      <c r="AV190" s="41"/>
      <c r="AW190" s="41"/>
      <c r="AX190" s="42" t="s">
        <v>141</v>
      </c>
      <c r="AY190" s="41" t="s">
        <v>36</v>
      </c>
      <c r="AZ190" s="164">
        <v>7.8748616573059201E-4</v>
      </c>
      <c r="BA190" s="164">
        <v>6.9026596038002099E-6</v>
      </c>
    </row>
    <row r="191" spans="1:53">
      <c r="A191" s="41">
        <v>969</v>
      </c>
      <c r="B191" s="41">
        <v>969</v>
      </c>
      <c r="C191" s="41" t="s">
        <v>2147</v>
      </c>
      <c r="D191" s="41" t="s">
        <v>134</v>
      </c>
      <c r="E191" s="41" t="s">
        <v>2289</v>
      </c>
      <c r="F191" s="41" t="s">
        <v>2290</v>
      </c>
      <c r="G191" s="41" t="s">
        <v>2138</v>
      </c>
      <c r="H191" s="41"/>
      <c r="I191" s="41" t="s">
        <v>30</v>
      </c>
      <c r="J191" s="41" t="s">
        <v>30</v>
      </c>
      <c r="K191" s="41" t="s">
        <v>151</v>
      </c>
      <c r="L191" s="41" t="s">
        <v>141</v>
      </c>
      <c r="M191" s="41" t="s">
        <v>318</v>
      </c>
      <c r="N191" s="41" t="s">
        <v>2291</v>
      </c>
      <c r="O191" s="178" t="s">
        <v>2292</v>
      </c>
      <c r="P191" s="202" t="s">
        <v>142</v>
      </c>
      <c r="Q191" s="21" t="s">
        <v>164</v>
      </c>
      <c r="R191" s="41" t="s">
        <v>2141</v>
      </c>
      <c r="S191" s="41" t="s">
        <v>34</v>
      </c>
      <c r="T191" s="153">
        <v>2.82</v>
      </c>
      <c r="U191" s="41" t="s">
        <v>2142</v>
      </c>
      <c r="V191" s="164">
        <v>5.5453000000000002E-2</v>
      </c>
      <c r="W191" s="41" t="s">
        <v>138</v>
      </c>
      <c r="X191" s="41" t="s">
        <v>2087</v>
      </c>
      <c r="Y191" s="185">
        <v>0</v>
      </c>
      <c r="Z191" s="164">
        <v>2.9100000000000001E-2</v>
      </c>
      <c r="AA191" s="41" t="s">
        <v>2153</v>
      </c>
      <c r="AB191" s="42" t="s">
        <v>146</v>
      </c>
      <c r="AC191" s="41" t="s">
        <v>1565</v>
      </c>
      <c r="AD191" s="153">
        <v>482000</v>
      </c>
      <c r="AE191" s="164">
        <v>0.73</v>
      </c>
      <c r="AF191" s="41" t="s">
        <v>1394</v>
      </c>
      <c r="AG191" s="41" t="s">
        <v>141</v>
      </c>
      <c r="AH191" s="41" t="s">
        <v>2144</v>
      </c>
      <c r="AI191" s="41" t="s">
        <v>2154</v>
      </c>
      <c r="AJ191" s="41" t="s">
        <v>318</v>
      </c>
      <c r="AK191" s="41" t="s">
        <v>1392</v>
      </c>
      <c r="AL191" s="41" t="s">
        <v>2146</v>
      </c>
      <c r="AM191" s="41" t="s">
        <v>1393</v>
      </c>
      <c r="AN191" s="178" t="s">
        <v>1394</v>
      </c>
      <c r="AO191" s="41" t="s">
        <v>1394</v>
      </c>
      <c r="AP191" s="164">
        <v>0</v>
      </c>
      <c r="AQ191" s="153">
        <v>2751.92</v>
      </c>
      <c r="AR191" s="172">
        <v>128.21</v>
      </c>
      <c r="AS191" s="162">
        <v>1</v>
      </c>
      <c r="AT191" s="153">
        <v>3.528</v>
      </c>
      <c r="AU191" s="153">
        <v>3.528</v>
      </c>
      <c r="AV191" s="41"/>
      <c r="AW191" s="41"/>
      <c r="AX191" s="42" t="s">
        <v>141</v>
      </c>
      <c r="AY191" s="41" t="s">
        <v>36</v>
      </c>
      <c r="AZ191" s="164">
        <v>5.3026591467204998E-3</v>
      </c>
      <c r="BA191" s="164">
        <v>4.6480119496234199E-5</v>
      </c>
    </row>
    <row r="192" spans="1:53">
      <c r="A192" s="41">
        <v>969</v>
      </c>
      <c r="B192" s="41">
        <v>969</v>
      </c>
      <c r="C192" s="41" t="s">
        <v>2147</v>
      </c>
      <c r="D192" s="41" t="s">
        <v>134</v>
      </c>
      <c r="E192" s="41" t="s">
        <v>2293</v>
      </c>
      <c r="F192" s="41" t="s">
        <v>2294</v>
      </c>
      <c r="G192" s="41" t="s">
        <v>2138</v>
      </c>
      <c r="H192" s="41"/>
      <c r="I192" s="41" t="s">
        <v>30</v>
      </c>
      <c r="J192" s="41" t="s">
        <v>30</v>
      </c>
      <c r="K192" s="41" t="s">
        <v>151</v>
      </c>
      <c r="L192" s="41" t="s">
        <v>141</v>
      </c>
      <c r="M192" s="41" t="s">
        <v>318</v>
      </c>
      <c r="N192" s="41" t="s">
        <v>2295</v>
      </c>
      <c r="O192" s="178" t="s">
        <v>2296</v>
      </c>
      <c r="P192" s="202" t="s">
        <v>142</v>
      </c>
      <c r="Q192" s="21" t="s">
        <v>164</v>
      </c>
      <c r="R192" s="41" t="s">
        <v>2141</v>
      </c>
      <c r="S192" s="41" t="s">
        <v>34</v>
      </c>
      <c r="T192" s="153">
        <v>2.82</v>
      </c>
      <c r="U192" s="41" t="s">
        <v>2142</v>
      </c>
      <c r="V192" s="164">
        <v>5.5453000000000002E-2</v>
      </c>
      <c r="W192" s="41" t="s">
        <v>138</v>
      </c>
      <c r="X192" s="41" t="s">
        <v>2087</v>
      </c>
      <c r="Y192" s="185">
        <v>0</v>
      </c>
      <c r="Z192" s="164">
        <v>2.9100000000000001E-2</v>
      </c>
      <c r="AA192" s="41" t="s">
        <v>2153</v>
      </c>
      <c r="AB192" s="42" t="s">
        <v>146</v>
      </c>
      <c r="AC192" s="41" t="s">
        <v>1565</v>
      </c>
      <c r="AD192" s="153">
        <v>482000</v>
      </c>
      <c r="AE192" s="164">
        <v>0.73</v>
      </c>
      <c r="AF192" s="41" t="s">
        <v>1394</v>
      </c>
      <c r="AG192" s="41" t="s">
        <v>141</v>
      </c>
      <c r="AH192" s="41" t="s">
        <v>2144</v>
      </c>
      <c r="AI192" s="41" t="s">
        <v>2154</v>
      </c>
      <c r="AJ192" s="41" t="s">
        <v>318</v>
      </c>
      <c r="AK192" s="41" t="s">
        <v>1392</v>
      </c>
      <c r="AL192" s="41" t="s">
        <v>2146</v>
      </c>
      <c r="AM192" s="41" t="s">
        <v>1393</v>
      </c>
      <c r="AN192" s="178" t="s">
        <v>1394</v>
      </c>
      <c r="AO192" s="41" t="s">
        <v>1394</v>
      </c>
      <c r="AP192" s="164">
        <v>0</v>
      </c>
      <c r="AQ192" s="153">
        <v>5375.61</v>
      </c>
      <c r="AR192" s="172">
        <v>129.37</v>
      </c>
      <c r="AS192" s="162">
        <v>1</v>
      </c>
      <c r="AT192" s="153">
        <v>6.9539999999999997</v>
      </c>
      <c r="AU192" s="153">
        <v>6.9539999999999997</v>
      </c>
      <c r="AV192" s="41"/>
      <c r="AW192" s="41"/>
      <c r="AX192" s="42" t="s">
        <v>141</v>
      </c>
      <c r="AY192" s="41" t="s">
        <v>36</v>
      </c>
      <c r="AZ192" s="164">
        <v>1.0451950356298499E-2</v>
      </c>
      <c r="BA192" s="164">
        <v>9.1615902151643696E-5</v>
      </c>
    </row>
    <row r="193" spans="1:53">
      <c r="A193" s="41">
        <v>969</v>
      </c>
      <c r="B193" s="41">
        <v>969</v>
      </c>
      <c r="C193" s="41" t="s">
        <v>2147</v>
      </c>
      <c r="D193" s="41" t="s">
        <v>134</v>
      </c>
      <c r="E193" s="41" t="s">
        <v>2297</v>
      </c>
      <c r="F193" s="41" t="s">
        <v>2298</v>
      </c>
      <c r="G193" s="41" t="s">
        <v>2138</v>
      </c>
      <c r="H193" s="41"/>
      <c r="I193" s="41" t="s">
        <v>30</v>
      </c>
      <c r="J193" s="41" t="s">
        <v>30</v>
      </c>
      <c r="K193" s="41" t="s">
        <v>151</v>
      </c>
      <c r="L193" s="41" t="s">
        <v>141</v>
      </c>
      <c r="M193" s="41" t="s">
        <v>318</v>
      </c>
      <c r="N193" s="41" t="s">
        <v>2299</v>
      </c>
      <c r="O193" s="178" t="s">
        <v>2242</v>
      </c>
      <c r="P193" s="202" t="s">
        <v>142</v>
      </c>
      <c r="Q193" s="21" t="s">
        <v>164</v>
      </c>
      <c r="R193" s="41" t="s">
        <v>2141</v>
      </c>
      <c r="S193" s="41" t="s">
        <v>34</v>
      </c>
      <c r="T193" s="153">
        <v>2.81</v>
      </c>
      <c r="U193" s="41" t="s">
        <v>2152</v>
      </c>
      <c r="V193" s="164">
        <v>5.5905999999999997E-2</v>
      </c>
      <c r="W193" s="41" t="s">
        <v>138</v>
      </c>
      <c r="X193" s="41" t="s">
        <v>2087</v>
      </c>
      <c r="Y193" s="185">
        <v>0</v>
      </c>
      <c r="Z193" s="164">
        <v>2.9100000000000001E-2</v>
      </c>
      <c r="AA193" s="41" t="s">
        <v>2153</v>
      </c>
      <c r="AB193" s="42" t="s">
        <v>146</v>
      </c>
      <c r="AC193" s="41" t="s">
        <v>1565</v>
      </c>
      <c r="AD193" s="153">
        <v>482000</v>
      </c>
      <c r="AE193" s="164">
        <v>0.73</v>
      </c>
      <c r="AF193" s="41" t="s">
        <v>1394</v>
      </c>
      <c r="AG193" s="41" t="s">
        <v>141</v>
      </c>
      <c r="AH193" s="41" t="s">
        <v>2144</v>
      </c>
      <c r="AI193" s="41" t="s">
        <v>2154</v>
      </c>
      <c r="AJ193" s="41" t="s">
        <v>318</v>
      </c>
      <c r="AK193" s="41" t="s">
        <v>1392</v>
      </c>
      <c r="AL193" s="41" t="s">
        <v>2146</v>
      </c>
      <c r="AM193" s="41" t="s">
        <v>1393</v>
      </c>
      <c r="AN193" s="178" t="s">
        <v>1394</v>
      </c>
      <c r="AO193" s="41" t="s">
        <v>1394</v>
      </c>
      <c r="AP193" s="164">
        <v>0</v>
      </c>
      <c r="AQ193" s="153">
        <v>3963.68</v>
      </c>
      <c r="AR193" s="172">
        <v>132.59</v>
      </c>
      <c r="AS193" s="162">
        <v>1</v>
      </c>
      <c r="AT193" s="153">
        <v>5.2549999999999999</v>
      </c>
      <c r="AU193" s="153">
        <v>5.2549999999999999</v>
      </c>
      <c r="AV193" s="41"/>
      <c r="AW193" s="41"/>
      <c r="AX193" s="42" t="s">
        <v>141</v>
      </c>
      <c r="AY193" s="41" t="s">
        <v>36</v>
      </c>
      <c r="AZ193" s="164">
        <v>7.8985134658190008E-3</v>
      </c>
      <c r="BA193" s="164">
        <v>6.9233914452324403E-5</v>
      </c>
    </row>
    <row r="194" spans="1:53">
      <c r="A194" s="41">
        <v>969</v>
      </c>
      <c r="B194" s="41">
        <v>969</v>
      </c>
      <c r="C194" s="41" t="s">
        <v>2147</v>
      </c>
      <c r="D194" s="41" t="s">
        <v>134</v>
      </c>
      <c r="E194" s="41" t="s">
        <v>2300</v>
      </c>
      <c r="F194" s="41" t="s">
        <v>2301</v>
      </c>
      <c r="G194" s="41" t="s">
        <v>2138</v>
      </c>
      <c r="H194" s="41"/>
      <c r="I194" s="41" t="s">
        <v>30</v>
      </c>
      <c r="J194" s="41" t="s">
        <v>30</v>
      </c>
      <c r="K194" s="41" t="s">
        <v>151</v>
      </c>
      <c r="L194" s="41" t="s">
        <v>141</v>
      </c>
      <c r="M194" s="41" t="s">
        <v>318</v>
      </c>
      <c r="N194" s="41" t="s">
        <v>2302</v>
      </c>
      <c r="O194" s="178" t="s">
        <v>2303</v>
      </c>
      <c r="P194" s="202" t="s">
        <v>142</v>
      </c>
      <c r="Q194" s="21" t="s">
        <v>164</v>
      </c>
      <c r="R194" s="41" t="s">
        <v>2141</v>
      </c>
      <c r="S194" s="41" t="s">
        <v>34</v>
      </c>
      <c r="T194" s="153">
        <v>2.82</v>
      </c>
      <c r="U194" s="41" t="s">
        <v>2142</v>
      </c>
      <c r="V194" s="164">
        <v>5.5452000000000001E-2</v>
      </c>
      <c r="W194" s="41" t="s">
        <v>138</v>
      </c>
      <c r="X194" s="41" t="s">
        <v>2087</v>
      </c>
      <c r="Y194" s="185">
        <v>0</v>
      </c>
      <c r="Z194" s="164">
        <v>2.9100000000000001E-2</v>
      </c>
      <c r="AA194" s="41" t="s">
        <v>2153</v>
      </c>
      <c r="AB194" s="42" t="s">
        <v>146</v>
      </c>
      <c r="AC194" s="41" t="s">
        <v>1565</v>
      </c>
      <c r="AD194" s="153">
        <v>482000</v>
      </c>
      <c r="AE194" s="164">
        <v>0.73</v>
      </c>
      <c r="AF194" s="41" t="s">
        <v>1394</v>
      </c>
      <c r="AG194" s="41" t="s">
        <v>141</v>
      </c>
      <c r="AH194" s="41" t="s">
        <v>2144</v>
      </c>
      <c r="AI194" s="41" t="s">
        <v>2154</v>
      </c>
      <c r="AJ194" s="41" t="s">
        <v>318</v>
      </c>
      <c r="AK194" s="41" t="s">
        <v>1392</v>
      </c>
      <c r="AL194" s="41" t="s">
        <v>2146</v>
      </c>
      <c r="AM194" s="41" t="s">
        <v>1393</v>
      </c>
      <c r="AN194" s="178" t="s">
        <v>1394</v>
      </c>
      <c r="AO194" s="41" t="s">
        <v>1394</v>
      </c>
      <c r="AP194" s="164">
        <v>0</v>
      </c>
      <c r="AQ194" s="153">
        <v>1739.58</v>
      </c>
      <c r="AR194" s="172">
        <v>130.78</v>
      </c>
      <c r="AS194" s="162">
        <v>1</v>
      </c>
      <c r="AT194" s="153">
        <v>2.2749999999999999</v>
      </c>
      <c r="AU194" s="153">
        <v>2.2749999999999999</v>
      </c>
      <c r="AV194" s="41"/>
      <c r="AW194" s="41"/>
      <c r="AX194" s="42" t="s">
        <v>141</v>
      </c>
      <c r="AY194" s="41" t="s">
        <v>36</v>
      </c>
      <c r="AZ194" s="164">
        <v>3.41917827931434E-3</v>
      </c>
      <c r="BA194" s="164">
        <v>2.9970588454614802E-5</v>
      </c>
    </row>
    <row r="195" spans="1:53">
      <c r="A195" s="41">
        <v>969</v>
      </c>
      <c r="B195" s="41">
        <v>969</v>
      </c>
      <c r="C195" s="41" t="s">
        <v>2147</v>
      </c>
      <c r="D195" s="41" t="s">
        <v>134</v>
      </c>
      <c r="E195" s="41" t="s">
        <v>2304</v>
      </c>
      <c r="F195" s="41" t="s">
        <v>2305</v>
      </c>
      <c r="G195" s="41" t="s">
        <v>2138</v>
      </c>
      <c r="H195" s="41"/>
      <c r="I195" s="41" t="s">
        <v>30</v>
      </c>
      <c r="J195" s="41" t="s">
        <v>30</v>
      </c>
      <c r="K195" s="41" t="s">
        <v>151</v>
      </c>
      <c r="L195" s="41" t="s">
        <v>141</v>
      </c>
      <c r="M195" s="41" t="s">
        <v>318</v>
      </c>
      <c r="N195" s="41" t="s">
        <v>2306</v>
      </c>
      <c r="O195" s="178" t="s">
        <v>2307</v>
      </c>
      <c r="P195" s="202" t="s">
        <v>142</v>
      </c>
      <c r="Q195" s="21" t="s">
        <v>164</v>
      </c>
      <c r="R195" s="41" t="s">
        <v>2141</v>
      </c>
      <c r="S195" s="41" t="s">
        <v>34</v>
      </c>
      <c r="T195" s="153">
        <v>2.82</v>
      </c>
      <c r="U195" s="41" t="s">
        <v>2142</v>
      </c>
      <c r="V195" s="164">
        <v>5.5452000000000001E-2</v>
      </c>
      <c r="W195" s="41" t="s">
        <v>138</v>
      </c>
      <c r="X195" s="41" t="s">
        <v>2087</v>
      </c>
      <c r="Y195" s="185">
        <v>0</v>
      </c>
      <c r="Z195" s="164">
        <v>2.9100000000000001E-2</v>
      </c>
      <c r="AA195" s="41" t="s">
        <v>2153</v>
      </c>
      <c r="AB195" s="42" t="s">
        <v>146</v>
      </c>
      <c r="AC195" s="41" t="s">
        <v>1565</v>
      </c>
      <c r="AD195" s="153">
        <v>482000</v>
      </c>
      <c r="AE195" s="164">
        <v>0.73</v>
      </c>
      <c r="AF195" s="41" t="s">
        <v>1394</v>
      </c>
      <c r="AG195" s="41" t="s">
        <v>141</v>
      </c>
      <c r="AH195" s="41" t="s">
        <v>2144</v>
      </c>
      <c r="AI195" s="41" t="s">
        <v>2154</v>
      </c>
      <c r="AJ195" s="41" t="s">
        <v>318</v>
      </c>
      <c r="AK195" s="41" t="s">
        <v>1392</v>
      </c>
      <c r="AL195" s="41" t="s">
        <v>2146</v>
      </c>
      <c r="AM195" s="41" t="s">
        <v>1393</v>
      </c>
      <c r="AN195" s="178" t="s">
        <v>1394</v>
      </c>
      <c r="AO195" s="41" t="s">
        <v>1394</v>
      </c>
      <c r="AP195" s="164">
        <v>0</v>
      </c>
      <c r="AQ195" s="153">
        <v>1623.94</v>
      </c>
      <c r="AR195" s="172">
        <v>131.15</v>
      </c>
      <c r="AS195" s="162">
        <v>1</v>
      </c>
      <c r="AT195" s="153">
        <v>2.13</v>
      </c>
      <c r="AU195" s="153">
        <v>2.13</v>
      </c>
      <c r="AV195" s="41"/>
      <c r="AW195" s="41"/>
      <c r="AX195" s="42" t="s">
        <v>141</v>
      </c>
      <c r="AY195" s="41" t="s">
        <v>36</v>
      </c>
      <c r="AZ195" s="164">
        <v>3.2009160281662799E-3</v>
      </c>
      <c r="BA195" s="164">
        <v>2.80574246561925E-5</v>
      </c>
    </row>
    <row r="196" spans="1:53">
      <c r="A196" s="41">
        <v>969</v>
      </c>
      <c r="B196" s="41">
        <v>969</v>
      </c>
      <c r="C196" s="41" t="s">
        <v>2147</v>
      </c>
      <c r="D196" s="41" t="s">
        <v>134</v>
      </c>
      <c r="E196" s="41" t="s">
        <v>2308</v>
      </c>
      <c r="F196" s="41" t="s">
        <v>2309</v>
      </c>
      <c r="G196" s="41" t="s">
        <v>2138</v>
      </c>
      <c r="H196" s="41"/>
      <c r="I196" s="41" t="s">
        <v>30</v>
      </c>
      <c r="J196" s="41" t="s">
        <v>30</v>
      </c>
      <c r="K196" s="41" t="s">
        <v>151</v>
      </c>
      <c r="L196" s="41" t="s">
        <v>141</v>
      </c>
      <c r="M196" s="41" t="s">
        <v>318</v>
      </c>
      <c r="N196" s="41" t="s">
        <v>2310</v>
      </c>
      <c r="O196" s="178" t="s">
        <v>2242</v>
      </c>
      <c r="P196" s="202" t="s">
        <v>142</v>
      </c>
      <c r="Q196" s="21" t="s">
        <v>164</v>
      </c>
      <c r="R196" s="41" t="s">
        <v>2141</v>
      </c>
      <c r="S196" s="41" t="s">
        <v>34</v>
      </c>
      <c r="T196" s="153">
        <v>2.82</v>
      </c>
      <c r="U196" s="41" t="s">
        <v>2152</v>
      </c>
      <c r="V196" s="164">
        <v>5.5452000000000001E-2</v>
      </c>
      <c r="W196" s="41" t="s">
        <v>138</v>
      </c>
      <c r="X196" s="41" t="s">
        <v>2087</v>
      </c>
      <c r="Y196" s="185">
        <v>0</v>
      </c>
      <c r="Z196" s="164">
        <v>2.9100000000000001E-2</v>
      </c>
      <c r="AA196" s="41" t="s">
        <v>2153</v>
      </c>
      <c r="AB196" s="42" t="s">
        <v>146</v>
      </c>
      <c r="AC196" s="41" t="s">
        <v>1565</v>
      </c>
      <c r="AD196" s="153">
        <v>482000</v>
      </c>
      <c r="AE196" s="164">
        <v>0.73</v>
      </c>
      <c r="AF196" s="41" t="s">
        <v>1394</v>
      </c>
      <c r="AG196" s="41" t="s">
        <v>141</v>
      </c>
      <c r="AH196" s="41" t="s">
        <v>2144</v>
      </c>
      <c r="AI196" s="41" t="s">
        <v>2154</v>
      </c>
      <c r="AJ196" s="41" t="s">
        <v>318</v>
      </c>
      <c r="AK196" s="41" t="s">
        <v>1392</v>
      </c>
      <c r="AL196" s="41" t="s">
        <v>2146</v>
      </c>
      <c r="AM196" s="41" t="s">
        <v>1393</v>
      </c>
      <c r="AN196" s="178" t="s">
        <v>1394</v>
      </c>
      <c r="AO196" s="41" t="s">
        <v>1394</v>
      </c>
      <c r="AP196" s="164">
        <v>0</v>
      </c>
      <c r="AQ196" s="153">
        <v>2078.9</v>
      </c>
      <c r="AR196" s="172">
        <v>129.66999999999999</v>
      </c>
      <c r="AS196" s="162">
        <v>1</v>
      </c>
      <c r="AT196" s="153">
        <v>2.6960000000000002</v>
      </c>
      <c r="AU196" s="153">
        <v>2.6960000000000002</v>
      </c>
      <c r="AV196" s="41"/>
      <c r="AW196" s="41"/>
      <c r="AX196" s="42" t="s">
        <v>141</v>
      </c>
      <c r="AY196" s="41" t="s">
        <v>36</v>
      </c>
      <c r="AZ196" s="164">
        <v>4.0514372524722503E-3</v>
      </c>
      <c r="BA196" s="164">
        <v>3.5512614033068499E-5</v>
      </c>
    </row>
    <row r="197" spans="1:53">
      <c r="A197" s="3">
        <v>969</v>
      </c>
      <c r="B197" s="3">
        <v>969</v>
      </c>
      <c r="C197" s="3" t="s">
        <v>2311</v>
      </c>
      <c r="D197" s="3" t="s">
        <v>134</v>
      </c>
      <c r="E197" s="3" t="s">
        <v>2312</v>
      </c>
      <c r="F197" s="3" t="s">
        <v>2313</v>
      </c>
      <c r="G197" s="3" t="s">
        <v>2138</v>
      </c>
      <c r="I197" s="3" t="s">
        <v>30</v>
      </c>
      <c r="J197" s="3" t="s">
        <v>30</v>
      </c>
      <c r="K197" s="3" t="s">
        <v>1565</v>
      </c>
      <c r="L197" s="3" t="s">
        <v>141</v>
      </c>
      <c r="M197" s="3" t="s">
        <v>318</v>
      </c>
      <c r="N197" s="3" t="s">
        <v>2314</v>
      </c>
      <c r="O197" s="178" t="s">
        <v>2315</v>
      </c>
      <c r="P197" s="3" t="s">
        <v>142</v>
      </c>
      <c r="Q197" s="3" t="s">
        <v>143</v>
      </c>
      <c r="R197" s="3" t="s">
        <v>2141</v>
      </c>
      <c r="S197" s="3" t="s">
        <v>34</v>
      </c>
      <c r="T197" s="153">
        <v>1.43</v>
      </c>
      <c r="U197" s="3" t="s">
        <v>2142</v>
      </c>
      <c r="V197" s="164">
        <v>2.562E-2</v>
      </c>
      <c r="W197" s="3" t="s">
        <v>138</v>
      </c>
      <c r="X197" s="3" t="s">
        <v>2143</v>
      </c>
      <c r="Y197" s="185">
        <v>0</v>
      </c>
      <c r="Z197" s="164">
        <v>2.8199999999999999E-2</v>
      </c>
      <c r="AA197" s="3" t="s">
        <v>511</v>
      </c>
      <c r="AB197" s="5" t="s">
        <v>146</v>
      </c>
      <c r="AC197" s="3" t="s">
        <v>1565</v>
      </c>
      <c r="AD197" s="153">
        <v>60116.983060975603</v>
      </c>
      <c r="AE197" s="164">
        <v>0.82</v>
      </c>
      <c r="AF197" s="3" t="s">
        <v>1394</v>
      </c>
      <c r="AG197" s="3" t="s">
        <v>141</v>
      </c>
      <c r="AH197" s="3" t="s">
        <v>2144</v>
      </c>
      <c r="AI197" s="3" t="s">
        <v>2316</v>
      </c>
      <c r="AJ197" s="3" t="s">
        <v>318</v>
      </c>
      <c r="AK197" s="3" t="s">
        <v>1392</v>
      </c>
      <c r="AL197" s="3" t="s">
        <v>2146</v>
      </c>
      <c r="AM197" s="3" t="s">
        <v>1393</v>
      </c>
      <c r="AN197" s="178" t="s">
        <v>1394</v>
      </c>
      <c r="AO197" s="3" t="s">
        <v>1394</v>
      </c>
      <c r="AP197" s="164">
        <v>0</v>
      </c>
      <c r="AQ197" s="153">
        <v>120449.12</v>
      </c>
      <c r="AR197" s="172">
        <v>118.73</v>
      </c>
      <c r="AS197" s="162">
        <v>1</v>
      </c>
      <c r="AT197" s="153">
        <v>143.00899999999999</v>
      </c>
      <c r="AU197" s="153">
        <v>143.00899999999999</v>
      </c>
      <c r="AX197" s="5" t="s">
        <v>141</v>
      </c>
      <c r="AY197" s="3" t="s">
        <v>36</v>
      </c>
      <c r="AZ197" s="164">
        <v>0.21493151808668601</v>
      </c>
      <c r="BA197" s="164">
        <v>1.88396847086705E-3</v>
      </c>
    </row>
    <row r="198" spans="1:53">
      <c r="A198" s="3">
        <v>969</v>
      </c>
      <c r="B198" s="3">
        <v>969</v>
      </c>
      <c r="C198" s="3" t="s">
        <v>2317</v>
      </c>
      <c r="D198" s="3" t="s">
        <v>134</v>
      </c>
      <c r="E198" s="3" t="s">
        <v>2318</v>
      </c>
      <c r="F198" s="3" t="s">
        <v>2319</v>
      </c>
      <c r="G198" s="3" t="s">
        <v>2138</v>
      </c>
      <c r="H198" s="3" t="s">
        <v>2320</v>
      </c>
      <c r="I198" s="3" t="s">
        <v>30</v>
      </c>
      <c r="J198" s="3" t="s">
        <v>30</v>
      </c>
      <c r="K198" s="3" t="s">
        <v>465</v>
      </c>
      <c r="L198" s="3" t="s">
        <v>141</v>
      </c>
      <c r="M198" s="3" t="s">
        <v>318</v>
      </c>
      <c r="N198" s="3" t="s">
        <v>2321</v>
      </c>
      <c r="O198" s="178" t="s">
        <v>2322</v>
      </c>
      <c r="P198" s="147" t="s">
        <v>3307</v>
      </c>
      <c r="Q198" s="147" t="s">
        <v>3306</v>
      </c>
      <c r="R198" s="3" t="s">
        <v>2141</v>
      </c>
      <c r="S198" s="3" t="s">
        <v>34</v>
      </c>
      <c r="T198" s="153">
        <v>0.08</v>
      </c>
      <c r="U198" s="3" t="s">
        <v>2142</v>
      </c>
      <c r="V198" s="164">
        <v>8.6499999999999994E-2</v>
      </c>
      <c r="W198" s="3" t="s">
        <v>2323</v>
      </c>
      <c r="X198" s="3" t="s">
        <v>2087</v>
      </c>
      <c r="Y198" s="185">
        <v>0</v>
      </c>
      <c r="Z198" s="164">
        <v>8.0399999999999999E-2</v>
      </c>
      <c r="AA198" s="3" t="s">
        <v>102</v>
      </c>
      <c r="AB198" s="5" t="s">
        <v>146</v>
      </c>
      <c r="AC198" s="3" t="s">
        <v>2324</v>
      </c>
      <c r="AD198" s="153">
        <v>782791</v>
      </c>
      <c r="AE198" s="164">
        <v>0.43</v>
      </c>
      <c r="AF198" s="3" t="s">
        <v>1394</v>
      </c>
      <c r="AG198" s="3" t="s">
        <v>318</v>
      </c>
      <c r="AH198" s="3" t="s">
        <v>2325</v>
      </c>
      <c r="AI198" s="3" t="s">
        <v>2326</v>
      </c>
      <c r="AJ198" s="3" t="s">
        <v>318</v>
      </c>
      <c r="AK198" s="3" t="s">
        <v>1392</v>
      </c>
      <c r="AL198" s="3" t="s">
        <v>2146</v>
      </c>
      <c r="AM198" s="3" t="s">
        <v>1393</v>
      </c>
      <c r="AN198" s="178" t="s">
        <v>1394</v>
      </c>
      <c r="AO198" s="3" t="s">
        <v>1394</v>
      </c>
      <c r="AP198" s="164">
        <v>0</v>
      </c>
      <c r="AQ198" s="153">
        <v>140000</v>
      </c>
      <c r="AR198" s="172">
        <v>106.22</v>
      </c>
      <c r="AS198" s="162">
        <v>1</v>
      </c>
      <c r="AT198" s="153">
        <v>148.708</v>
      </c>
      <c r="AU198" s="153">
        <v>148.708</v>
      </c>
      <c r="AX198" s="5" t="s">
        <v>141</v>
      </c>
      <c r="AY198" s="3" t="s">
        <v>36</v>
      </c>
      <c r="AZ198" s="164">
        <v>0.223496301024322</v>
      </c>
      <c r="BA198" s="164">
        <v>1.9590425277478999E-3</v>
      </c>
    </row>
    <row r="199" spans="1:53">
      <c r="A199" s="3">
        <v>969</v>
      </c>
      <c r="B199" s="3">
        <v>969</v>
      </c>
      <c r="C199" s="3" t="s">
        <v>2333</v>
      </c>
      <c r="D199" s="3" t="s">
        <v>134</v>
      </c>
      <c r="E199" s="3" t="s">
        <v>2334</v>
      </c>
      <c r="F199" s="3" t="s">
        <v>2335</v>
      </c>
      <c r="G199" s="3" t="s">
        <v>2138</v>
      </c>
      <c r="I199" s="3" t="s">
        <v>30</v>
      </c>
      <c r="J199" s="3" t="s">
        <v>30</v>
      </c>
      <c r="K199" s="3" t="s">
        <v>151</v>
      </c>
      <c r="L199" s="3" t="s">
        <v>141</v>
      </c>
      <c r="M199" s="3" t="s">
        <v>318</v>
      </c>
      <c r="N199" s="3" t="s">
        <v>2336</v>
      </c>
      <c r="O199" s="178" t="s">
        <v>2140</v>
      </c>
      <c r="P199" s="3" t="s">
        <v>163</v>
      </c>
      <c r="Q199" s="3" t="s">
        <v>164</v>
      </c>
      <c r="R199" s="3" t="s">
        <v>2141</v>
      </c>
      <c r="S199" s="3" t="s">
        <v>34</v>
      </c>
      <c r="T199" s="153">
        <v>4.3499999999999996</v>
      </c>
      <c r="U199" s="3" t="s">
        <v>2142</v>
      </c>
      <c r="V199" s="164">
        <v>4.55E-4</v>
      </c>
      <c r="W199" s="3" t="s">
        <v>138</v>
      </c>
      <c r="X199" s="3" t="s">
        <v>2143</v>
      </c>
      <c r="Y199" s="185">
        <v>0</v>
      </c>
      <c r="Z199" s="164">
        <v>4.2099999999999999E-2</v>
      </c>
      <c r="AA199" s="3" t="s">
        <v>2337</v>
      </c>
      <c r="AB199" s="5" t="s">
        <v>146</v>
      </c>
      <c r="AC199" s="3" t="s">
        <v>1565</v>
      </c>
      <c r="AD199" s="153">
        <v>104760.857253165</v>
      </c>
      <c r="AE199" s="164">
        <v>0.79</v>
      </c>
      <c r="AF199" s="3" t="s">
        <v>1394</v>
      </c>
      <c r="AG199" s="3" t="s">
        <v>318</v>
      </c>
      <c r="AH199" s="3" t="s">
        <v>2144</v>
      </c>
      <c r="AI199" s="3" t="s">
        <v>2145</v>
      </c>
      <c r="AJ199" s="3" t="s">
        <v>318</v>
      </c>
      <c r="AK199" s="3" t="s">
        <v>1392</v>
      </c>
      <c r="AL199" s="3" t="s">
        <v>2146</v>
      </c>
      <c r="AM199" s="3" t="s">
        <v>1393</v>
      </c>
      <c r="AN199" s="178" t="s">
        <v>1394</v>
      </c>
      <c r="AO199" s="3" t="s">
        <v>1394</v>
      </c>
      <c r="AP199" s="164">
        <v>0</v>
      </c>
      <c r="AQ199" s="153">
        <v>152119.37</v>
      </c>
      <c r="AR199" s="172">
        <v>110.77</v>
      </c>
      <c r="AS199" s="162">
        <v>1</v>
      </c>
      <c r="AT199" s="153">
        <v>168.50299999999999</v>
      </c>
      <c r="AU199" s="153">
        <v>168.50299999999999</v>
      </c>
      <c r="AX199" s="5" t="s">
        <v>141</v>
      </c>
      <c r="AY199" s="3" t="s">
        <v>36</v>
      </c>
      <c r="AZ199" s="164">
        <v>0.25324605036168601</v>
      </c>
      <c r="BA199" s="164">
        <v>2.2198120522305201E-3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105:Q148 Q55:Q98 Q153:Q196 Q2:Q46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125</v>
      </c>
      <c r="M1" s="19" t="s">
        <v>1328</v>
      </c>
      <c r="N1" s="19" t="s">
        <v>1343</v>
      </c>
      <c r="O1" s="19" t="s">
        <v>9</v>
      </c>
      <c r="P1" s="19" t="s">
        <v>10</v>
      </c>
      <c r="Q1" s="19" t="s">
        <v>126</v>
      </c>
      <c r="R1" s="19" t="s">
        <v>11</v>
      </c>
      <c r="S1" s="19" t="s">
        <v>12</v>
      </c>
      <c r="T1" s="19" t="s">
        <v>14</v>
      </c>
      <c r="U1" s="19" t="s">
        <v>15</v>
      </c>
      <c r="V1" s="19" t="s">
        <v>1349</v>
      </c>
      <c r="W1" s="19" t="s">
        <v>1350</v>
      </c>
      <c r="X1" s="19" t="s">
        <v>1352</v>
      </c>
      <c r="Y1" s="19" t="s">
        <v>17</v>
      </c>
      <c r="Z1" s="19" t="s">
        <v>18</v>
      </c>
      <c r="AA1" s="19" t="s">
        <v>19</v>
      </c>
      <c r="AB1" s="19" t="s">
        <v>20</v>
      </c>
      <c r="AC1" s="19" t="s">
        <v>24</v>
      </c>
      <c r="AD1" s="19" t="s">
        <v>25</v>
      </c>
    </row>
    <row r="2" spans="1:30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1"/>
      <c r="N2" s="20"/>
      <c r="O2" s="20"/>
      <c r="P2" s="20"/>
      <c r="Q2" s="20"/>
      <c r="R2" s="18"/>
      <c r="S2" s="20"/>
      <c r="T2" s="20"/>
      <c r="U2" s="20"/>
      <c r="V2" s="20"/>
      <c r="W2" s="20"/>
      <c r="Y2" s="20"/>
      <c r="Z2" s="20"/>
      <c r="AA2" s="20"/>
      <c r="AB2" s="20"/>
      <c r="AC2" s="20"/>
      <c r="AD2" s="20"/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1"/>
      <c r="N3" s="20"/>
      <c r="O3" s="20"/>
      <c r="P3" s="20"/>
      <c r="Q3" s="20"/>
      <c r="R3" s="18"/>
      <c r="S3" s="20"/>
      <c r="T3" s="20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1"/>
      <c r="N4" s="20"/>
      <c r="O4" s="20"/>
      <c r="P4" s="20"/>
      <c r="Q4" s="20"/>
      <c r="R4" s="18"/>
      <c r="S4" s="20"/>
      <c r="T4" s="20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1"/>
      <c r="N5" s="20"/>
      <c r="O5" s="20"/>
      <c r="P5" s="20"/>
      <c r="Q5" s="20"/>
      <c r="R5" s="18"/>
      <c r="S5" s="20"/>
      <c r="T5" s="20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1"/>
      <c r="N6" s="20"/>
      <c r="O6" s="20"/>
      <c r="P6" s="20"/>
      <c r="Q6" s="20"/>
      <c r="R6" s="18"/>
      <c r="S6" s="20"/>
      <c r="T6" s="20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1"/>
      <c r="N7" s="20"/>
      <c r="O7" s="20"/>
      <c r="P7" s="20"/>
      <c r="Q7" s="20"/>
      <c r="R7" s="18"/>
      <c r="S7" s="20"/>
      <c r="T7" s="20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1"/>
      <c r="N8" s="20"/>
      <c r="O8" s="20"/>
      <c r="P8" s="20"/>
      <c r="Q8" s="20"/>
      <c r="R8" s="18"/>
      <c r="S8" s="20"/>
      <c r="T8" s="20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1"/>
      <c r="N9" s="20"/>
      <c r="O9" s="20"/>
      <c r="P9" s="20"/>
      <c r="Q9" s="20"/>
      <c r="R9" s="18"/>
      <c r="S9" s="20"/>
      <c r="T9" s="20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1"/>
      <c r="N10" s="20"/>
      <c r="O10" s="20"/>
      <c r="P10" s="20"/>
      <c r="Q10" s="20"/>
      <c r="R10" s="18"/>
      <c r="S10" s="20"/>
      <c r="T10" s="20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1"/>
      <c r="N11" s="20"/>
      <c r="O11" s="20"/>
      <c r="P11" s="20"/>
      <c r="Q11" s="20"/>
      <c r="R11" s="18"/>
      <c r="S11" s="20"/>
      <c r="T11" s="20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1"/>
      <c r="N12" s="20"/>
      <c r="O12" s="20"/>
      <c r="P12" s="20"/>
      <c r="Q12" s="20"/>
      <c r="R12" s="18"/>
      <c r="S12" s="20"/>
      <c r="T12" s="20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1"/>
      <c r="N13" s="20"/>
      <c r="O13" s="20"/>
      <c r="P13" s="20"/>
      <c r="Q13" s="20"/>
      <c r="R13" s="18"/>
      <c r="S13" s="20"/>
      <c r="T13" s="20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1"/>
      <c r="N14" s="20"/>
      <c r="O14" s="20"/>
      <c r="P14" s="20"/>
      <c r="Q14" s="20"/>
      <c r="R14" s="18"/>
      <c r="S14" s="20"/>
      <c r="T14" s="20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1"/>
      <c r="N15" s="20"/>
      <c r="O15" s="20"/>
      <c r="P15" s="20"/>
      <c r="Q15" s="20"/>
      <c r="R15" s="18"/>
      <c r="S15" s="20"/>
      <c r="T15" s="20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1"/>
      <c r="N16" s="20"/>
      <c r="O16" s="20"/>
      <c r="P16" s="20"/>
      <c r="Q16" s="20"/>
      <c r="R16" s="18"/>
      <c r="S16" s="20"/>
      <c r="T16" s="20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1"/>
      <c r="N17" s="20"/>
      <c r="O17" s="20"/>
      <c r="P17" s="20"/>
      <c r="Q17" s="20"/>
      <c r="R17" s="18"/>
      <c r="S17" s="20"/>
      <c r="T17" s="20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1"/>
      <c r="N18" s="20"/>
      <c r="O18" s="20"/>
      <c r="P18" s="20"/>
      <c r="Q18" s="20"/>
      <c r="R18" s="18"/>
      <c r="S18" s="20"/>
      <c r="T18" s="20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1"/>
      <c r="N19" s="20"/>
      <c r="O19" s="20"/>
      <c r="P19" s="20"/>
      <c r="Q19" s="20"/>
      <c r="R19" s="18"/>
      <c r="S19" s="20"/>
      <c r="T19" s="20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1"/>
      <c r="P20" s="20"/>
      <c r="Q20" s="20"/>
      <c r="V20" s="20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39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19" t="s">
        <v>0</v>
      </c>
      <c r="B1" s="19" t="s">
        <v>1</v>
      </c>
      <c r="C1" s="19" t="s">
        <v>2349</v>
      </c>
      <c r="D1" s="19" t="s">
        <v>2350</v>
      </c>
      <c r="E1" s="19" t="s">
        <v>2351</v>
      </c>
      <c r="F1" s="19" t="s">
        <v>5</v>
      </c>
      <c r="G1" s="176" t="s">
        <v>2352</v>
      </c>
      <c r="H1" s="19" t="s">
        <v>6</v>
      </c>
      <c r="I1" s="19" t="s">
        <v>7</v>
      </c>
      <c r="J1" s="19" t="s">
        <v>125</v>
      </c>
      <c r="K1" s="19" t="s">
        <v>2353</v>
      </c>
      <c r="L1" s="19" t="s">
        <v>10</v>
      </c>
      <c r="M1" s="19" t="s">
        <v>11</v>
      </c>
      <c r="N1" s="19" t="s">
        <v>12</v>
      </c>
      <c r="O1" s="163" t="s">
        <v>14</v>
      </c>
      <c r="P1" s="163" t="s">
        <v>15</v>
      </c>
      <c r="Q1" s="19" t="s">
        <v>2354</v>
      </c>
      <c r="R1" s="161" t="s">
        <v>18</v>
      </c>
      <c r="S1" s="167" t="s">
        <v>2355</v>
      </c>
      <c r="T1" s="19" t="s">
        <v>20</v>
      </c>
      <c r="U1" s="163" t="s">
        <v>24</v>
      </c>
      <c r="V1" s="163" t="s">
        <v>25</v>
      </c>
    </row>
    <row r="2" spans="1:22">
      <c r="A2" s="20">
        <v>424</v>
      </c>
      <c r="B2" s="20">
        <v>7228</v>
      </c>
      <c r="C2" s="21" t="s">
        <v>2356</v>
      </c>
      <c r="D2" s="39" t="s">
        <v>2357</v>
      </c>
      <c r="E2" s="28" t="s">
        <v>2358</v>
      </c>
      <c r="F2" s="20" t="s">
        <v>138</v>
      </c>
      <c r="G2" s="177" t="s">
        <v>2359</v>
      </c>
      <c r="H2" s="28" t="s">
        <v>30</v>
      </c>
      <c r="I2" s="28" t="s">
        <v>30</v>
      </c>
      <c r="J2" s="20" t="s">
        <v>141</v>
      </c>
      <c r="K2" s="21" t="s">
        <v>286</v>
      </c>
      <c r="L2" s="3" t="s">
        <v>143</v>
      </c>
      <c r="M2" s="18" t="s">
        <v>34</v>
      </c>
      <c r="N2" s="155">
        <v>4.38</v>
      </c>
      <c r="O2" s="169">
        <v>5.2999999999999999E-2</v>
      </c>
      <c r="P2" s="169">
        <v>2.3009999999999999E-2</v>
      </c>
      <c r="Q2" s="153">
        <v>250</v>
      </c>
      <c r="R2" s="170">
        <v>1</v>
      </c>
      <c r="S2" s="171">
        <v>172.89</v>
      </c>
      <c r="T2" s="155">
        <v>432.22500000000002</v>
      </c>
      <c r="U2" s="169">
        <v>1</v>
      </c>
      <c r="V2" s="169">
        <v>1.6913761355684699E-4</v>
      </c>
    </row>
    <row r="3" spans="1:22">
      <c r="A3" s="20"/>
      <c r="B3" s="20"/>
      <c r="C3" s="21"/>
      <c r="E3" s="18"/>
      <c r="F3" s="20"/>
      <c r="G3" s="20"/>
      <c r="H3" s="28"/>
      <c r="I3" s="28"/>
      <c r="J3" s="20"/>
      <c r="K3" s="20"/>
      <c r="M3" s="18"/>
      <c r="N3" s="20"/>
      <c r="O3" s="20"/>
      <c r="P3" s="20"/>
      <c r="R3" s="20"/>
      <c r="T3" s="20"/>
      <c r="U3" s="20"/>
      <c r="V3" s="20"/>
    </row>
    <row r="4" spans="1:22">
      <c r="A4" s="20"/>
      <c r="B4" s="20"/>
      <c r="C4" s="21"/>
      <c r="E4" s="18"/>
      <c r="F4" s="20"/>
      <c r="G4" s="20"/>
      <c r="H4" s="28"/>
      <c r="I4" s="28"/>
      <c r="J4" s="20"/>
      <c r="K4" s="20"/>
      <c r="M4" s="18"/>
      <c r="N4" s="20"/>
      <c r="O4" s="20"/>
      <c r="P4" s="20"/>
      <c r="R4" s="20"/>
      <c r="T4" s="20"/>
      <c r="U4" s="20"/>
      <c r="V4" s="20"/>
    </row>
    <row r="5" spans="1:22">
      <c r="A5" s="20"/>
      <c r="B5" s="20"/>
      <c r="C5" s="21"/>
      <c r="E5" s="18"/>
      <c r="F5" s="20"/>
      <c r="G5" s="20"/>
      <c r="H5" s="28"/>
      <c r="I5" s="28"/>
      <c r="J5" s="20"/>
      <c r="K5" s="20"/>
      <c r="M5" s="18"/>
      <c r="N5" s="20"/>
      <c r="O5" s="20"/>
      <c r="P5" s="20"/>
      <c r="R5" s="20"/>
      <c r="T5" s="20"/>
      <c r="U5" s="20"/>
      <c r="V5" s="20"/>
    </row>
    <row r="6" spans="1:22">
      <c r="A6" s="20"/>
      <c r="B6" s="20"/>
      <c r="C6" s="21"/>
      <c r="E6" s="18"/>
      <c r="F6" s="20"/>
      <c r="G6" s="20"/>
      <c r="H6" s="28"/>
      <c r="I6" s="28"/>
      <c r="J6" s="20"/>
      <c r="K6" s="20"/>
      <c r="M6" s="18"/>
      <c r="N6" s="20"/>
      <c r="O6" s="20"/>
      <c r="P6" s="20"/>
      <c r="R6" s="20"/>
      <c r="T6" s="20"/>
      <c r="U6" s="20"/>
      <c r="V6" s="20"/>
    </row>
    <row r="7" spans="1:22">
      <c r="A7" s="20"/>
      <c r="B7" s="20"/>
      <c r="C7" s="21"/>
      <c r="E7" s="18"/>
      <c r="F7" s="20"/>
      <c r="G7" s="20"/>
      <c r="H7" s="28"/>
      <c r="I7" s="28"/>
      <c r="J7" s="20"/>
      <c r="K7" s="20"/>
      <c r="M7" s="18"/>
      <c r="N7" s="20"/>
      <c r="O7" s="20"/>
      <c r="P7" s="20"/>
      <c r="R7" s="20"/>
      <c r="S7" s="20"/>
      <c r="T7" s="20"/>
      <c r="U7" s="20"/>
      <c r="V7" s="20"/>
    </row>
    <row r="8" spans="1:22">
      <c r="A8" s="20"/>
      <c r="B8" s="20"/>
      <c r="C8" s="21"/>
      <c r="E8" s="18"/>
      <c r="F8" s="20"/>
      <c r="G8" s="20"/>
      <c r="H8" s="28"/>
      <c r="I8" s="28"/>
      <c r="J8" s="20"/>
      <c r="K8" s="20"/>
      <c r="M8" s="18"/>
      <c r="N8" s="20"/>
      <c r="O8" s="20"/>
      <c r="P8" s="20"/>
      <c r="R8" s="20"/>
      <c r="S8" s="20"/>
      <c r="T8" s="20"/>
      <c r="U8" s="20"/>
      <c r="V8" s="20"/>
    </row>
    <row r="9" spans="1:22">
      <c r="A9" s="20"/>
      <c r="B9" s="20"/>
      <c r="C9" s="21"/>
      <c r="E9" s="18"/>
      <c r="F9" s="20"/>
      <c r="G9" s="20"/>
      <c r="H9" s="28"/>
      <c r="I9" s="28"/>
      <c r="J9" s="20"/>
      <c r="K9" s="20"/>
      <c r="M9" s="18"/>
      <c r="N9" s="20"/>
      <c r="O9" s="20"/>
      <c r="P9" s="20"/>
      <c r="R9" s="20"/>
      <c r="S9" s="20"/>
      <c r="T9" s="20"/>
      <c r="U9" s="20"/>
      <c r="V9" s="20"/>
    </row>
    <row r="10" spans="1:22">
      <c r="A10" s="20"/>
      <c r="B10" s="20"/>
      <c r="C10" s="21"/>
      <c r="E10" s="18"/>
      <c r="F10" s="20"/>
      <c r="G10" s="20"/>
      <c r="H10" s="28"/>
      <c r="I10" s="28"/>
      <c r="J10" s="20"/>
      <c r="K10" s="20"/>
      <c r="M10" s="18"/>
      <c r="N10" s="20"/>
      <c r="O10" s="20"/>
      <c r="P10" s="20"/>
      <c r="R10" s="20"/>
      <c r="S10" s="20"/>
      <c r="T10" s="20"/>
      <c r="U10" s="20"/>
      <c r="V10" s="20"/>
    </row>
    <row r="11" spans="1:22">
      <c r="A11" s="20"/>
      <c r="B11" s="20"/>
      <c r="C11" s="21"/>
      <c r="E11" s="18"/>
      <c r="F11" s="20"/>
      <c r="G11" s="20"/>
      <c r="H11" s="28"/>
      <c r="I11" s="28"/>
      <c r="J11" s="20"/>
      <c r="K11" s="20"/>
      <c r="M11" s="18"/>
      <c r="N11" s="20"/>
      <c r="O11" s="20"/>
      <c r="P11" s="20"/>
      <c r="R11" s="20"/>
      <c r="S11" s="20"/>
      <c r="T11" s="20"/>
      <c r="U11" s="20"/>
      <c r="V11" s="20"/>
    </row>
    <row r="12" spans="1:22">
      <c r="A12" s="20"/>
      <c r="B12" s="20"/>
      <c r="C12" s="21"/>
      <c r="E12" s="18"/>
      <c r="F12" s="20"/>
      <c r="G12" s="20"/>
      <c r="H12" s="28"/>
      <c r="I12" s="28"/>
      <c r="J12" s="20"/>
      <c r="K12" s="20"/>
      <c r="M12" s="18"/>
      <c r="N12" s="20"/>
      <c r="O12" s="20"/>
      <c r="P12" s="20"/>
      <c r="R12" s="20"/>
      <c r="S12" s="20"/>
      <c r="T12" s="20"/>
      <c r="U12" s="20"/>
      <c r="V12" s="20"/>
    </row>
    <row r="13" spans="1:22">
      <c r="A13" s="20"/>
      <c r="B13" s="20"/>
      <c r="C13" s="21"/>
      <c r="E13" s="18"/>
      <c r="F13" s="20"/>
      <c r="G13" s="20"/>
      <c r="H13" s="28"/>
      <c r="I13" s="28"/>
      <c r="J13" s="20"/>
      <c r="K13" s="20"/>
      <c r="M13" s="18"/>
      <c r="N13" s="20"/>
      <c r="O13" s="20"/>
      <c r="P13" s="20"/>
      <c r="R13" s="20"/>
      <c r="S13" s="20"/>
      <c r="T13" s="20"/>
      <c r="U13" s="20"/>
      <c r="V13" s="20"/>
    </row>
    <row r="14" spans="1:22">
      <c r="A14" s="20"/>
      <c r="B14" s="20"/>
      <c r="C14" s="21"/>
      <c r="E14" s="18"/>
      <c r="F14" s="20"/>
      <c r="G14" s="20"/>
      <c r="H14" s="28"/>
      <c r="I14" s="28"/>
      <c r="J14" s="20"/>
      <c r="K14" s="20"/>
      <c r="M14" s="18"/>
      <c r="N14" s="20"/>
      <c r="O14" s="20"/>
      <c r="P14" s="20"/>
      <c r="R14" s="20"/>
      <c r="S14" s="20"/>
      <c r="T14" s="20"/>
      <c r="U14" s="20"/>
      <c r="V14" s="20"/>
    </row>
    <row r="15" spans="1:22">
      <c r="A15" s="20"/>
      <c r="B15" s="20"/>
      <c r="C15" s="21"/>
      <c r="E15" s="18"/>
      <c r="F15" s="20"/>
      <c r="G15" s="20"/>
      <c r="H15" s="28"/>
      <c r="I15" s="28"/>
      <c r="J15" s="20"/>
      <c r="K15" s="20"/>
      <c r="M15" s="18"/>
      <c r="N15" s="20"/>
      <c r="O15" s="20"/>
      <c r="P15" s="20"/>
      <c r="R15" s="20"/>
      <c r="S15" s="20"/>
      <c r="T15" s="20"/>
      <c r="U15" s="20"/>
      <c r="V15" s="20"/>
    </row>
    <row r="16" spans="1:22">
      <c r="A16" s="20"/>
      <c r="B16" s="20"/>
      <c r="C16" s="21"/>
      <c r="E16" s="18"/>
      <c r="F16" s="20"/>
      <c r="G16" s="20"/>
      <c r="H16" s="28"/>
      <c r="I16" s="28"/>
      <c r="J16" s="20"/>
      <c r="K16" s="20"/>
      <c r="M16" s="18"/>
      <c r="N16" s="20"/>
      <c r="O16" s="20"/>
      <c r="P16" s="20"/>
      <c r="R16" s="20"/>
      <c r="S16" s="20"/>
      <c r="T16" s="20"/>
      <c r="U16" s="20"/>
      <c r="V16" s="20"/>
    </row>
    <row r="17" spans="1:22">
      <c r="A17" s="20"/>
      <c r="B17" s="20"/>
      <c r="C17" s="21"/>
      <c r="E17" s="18"/>
      <c r="F17" s="20"/>
      <c r="G17" s="20"/>
      <c r="H17" s="28"/>
      <c r="I17" s="28"/>
      <c r="J17" s="20"/>
      <c r="K17" s="20"/>
      <c r="M17" s="18"/>
      <c r="N17" s="20"/>
      <c r="O17" s="20"/>
      <c r="P17" s="20"/>
      <c r="R17" s="20"/>
      <c r="S17" s="20"/>
      <c r="T17" s="20"/>
      <c r="U17" s="20"/>
      <c r="V17" s="20"/>
    </row>
    <row r="18" spans="1:22">
      <c r="A18" s="20"/>
      <c r="B18" s="20"/>
      <c r="C18" s="21"/>
      <c r="E18" s="18"/>
      <c r="F18" s="20"/>
      <c r="G18" s="20"/>
      <c r="H18" s="28"/>
      <c r="I18" s="28"/>
      <c r="J18" s="20"/>
      <c r="K18" s="20"/>
      <c r="M18" s="18"/>
      <c r="N18" s="20"/>
      <c r="O18" s="20"/>
      <c r="P18" s="20"/>
      <c r="R18" s="20"/>
      <c r="S18" s="20"/>
      <c r="T18" s="20"/>
      <c r="U18" s="20"/>
      <c r="V18" s="20"/>
    </row>
    <row r="19" spans="1:22">
      <c r="A19" s="20"/>
      <c r="B19" s="20"/>
      <c r="C19" s="21"/>
      <c r="E19" s="18"/>
      <c r="F19" s="20"/>
      <c r="G19" s="20"/>
      <c r="H19" s="28"/>
      <c r="I19" s="28"/>
      <c r="J19" s="20"/>
      <c r="K19" s="20"/>
      <c r="M19" s="18"/>
      <c r="N19" s="20"/>
      <c r="O19" s="20"/>
      <c r="P19" s="20"/>
      <c r="R19" s="20"/>
      <c r="S19" s="20"/>
      <c r="T19" s="20"/>
      <c r="U19" s="20"/>
      <c r="V19" s="20"/>
    </row>
    <row r="20" spans="1:22">
      <c r="E20" s="18"/>
      <c r="F20" s="20"/>
      <c r="H20" s="28"/>
      <c r="I20" s="28"/>
      <c r="J20" s="20"/>
    </row>
    <row r="21" spans="1:22" s="39" customFormat="1">
      <c r="E21" s="42"/>
      <c r="L21" s="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57"/>
  <sheetViews>
    <sheetView rightToLeft="1" workbookViewId="0">
      <selection activeCell="E12" sqref="E1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19" t="s">
        <v>0</v>
      </c>
      <c r="B1" s="19" t="s">
        <v>1</v>
      </c>
      <c r="C1" s="19" t="s">
        <v>2360</v>
      </c>
      <c r="D1" s="19" t="s">
        <v>5</v>
      </c>
      <c r="E1" s="19" t="s">
        <v>2361</v>
      </c>
      <c r="F1" s="19" t="s">
        <v>125</v>
      </c>
      <c r="G1" s="176" t="s">
        <v>1343</v>
      </c>
      <c r="H1" s="19" t="s">
        <v>2362</v>
      </c>
      <c r="I1" s="19" t="s">
        <v>2363</v>
      </c>
      <c r="J1" s="19" t="s">
        <v>2364</v>
      </c>
      <c r="K1" s="186" t="s">
        <v>2365</v>
      </c>
      <c r="L1" s="19" t="s">
        <v>2366</v>
      </c>
      <c r="M1" s="19" t="s">
        <v>1349</v>
      </c>
      <c r="N1" s="19" t="s">
        <v>1351</v>
      </c>
      <c r="O1" s="19" t="s">
        <v>1350</v>
      </c>
      <c r="P1" s="176" t="s">
        <v>1352</v>
      </c>
      <c r="Q1" s="19" t="s">
        <v>11</v>
      </c>
      <c r="R1" s="19" t="s">
        <v>2134</v>
      </c>
      <c r="S1" s="19" t="s">
        <v>20</v>
      </c>
      <c r="T1" s="19" t="s">
        <v>21</v>
      </c>
      <c r="U1" s="19" t="s">
        <v>130</v>
      </c>
      <c r="V1" s="19" t="s">
        <v>22</v>
      </c>
      <c r="W1" s="163" t="s">
        <v>24</v>
      </c>
      <c r="X1" s="163" t="s">
        <v>25</v>
      </c>
    </row>
    <row r="2" spans="1:24" s="202" customFormat="1">
      <c r="A2" s="194">
        <v>424</v>
      </c>
      <c r="B2" s="194">
        <v>7228</v>
      </c>
      <c r="C2" s="213" t="s">
        <v>3291</v>
      </c>
      <c r="D2" s="194" t="s">
        <v>2367</v>
      </c>
      <c r="E2" s="214" t="s">
        <v>30</v>
      </c>
      <c r="F2" s="194" t="s">
        <v>141</v>
      </c>
      <c r="G2" s="215">
        <v>30317</v>
      </c>
      <c r="H2" s="194" t="s">
        <v>2910</v>
      </c>
      <c r="I2" s="194" t="s">
        <v>2921</v>
      </c>
      <c r="J2" s="213" t="s">
        <v>3291</v>
      </c>
      <c r="K2" s="216">
        <v>1.5686274509803866E-2</v>
      </c>
      <c r="L2" s="194" t="s">
        <v>2931</v>
      </c>
      <c r="M2" s="194" t="s">
        <v>2938</v>
      </c>
      <c r="N2" s="214" t="s">
        <v>3292</v>
      </c>
      <c r="O2" s="194" t="s">
        <v>1393</v>
      </c>
      <c r="P2" s="217">
        <v>45717</v>
      </c>
      <c r="Q2" s="196" t="s">
        <v>34</v>
      </c>
      <c r="R2" s="218">
        <v>2077977.1086348607</v>
      </c>
      <c r="S2" s="219">
        <v>2077.9771086348605</v>
      </c>
      <c r="V2" s="194" t="s">
        <v>36</v>
      </c>
      <c r="W2" s="220">
        <v>5.7363857935473451E-3</v>
      </c>
      <c r="X2" s="220">
        <v>8.0893185694956018E-4</v>
      </c>
    </row>
    <row r="3" spans="1:24" s="202" customFormat="1">
      <c r="A3" s="194">
        <v>424</v>
      </c>
      <c r="B3" s="194">
        <v>7228</v>
      </c>
      <c r="C3" s="213" t="s">
        <v>3293</v>
      </c>
      <c r="D3" s="194" t="s">
        <v>2367</v>
      </c>
      <c r="E3" s="214" t="s">
        <v>30</v>
      </c>
      <c r="F3" s="194" t="s">
        <v>141</v>
      </c>
      <c r="G3" s="215">
        <v>30317</v>
      </c>
      <c r="H3" s="194" t="s">
        <v>2908</v>
      </c>
      <c r="I3" s="194" t="s">
        <v>2921</v>
      </c>
      <c r="J3" s="213" t="s">
        <v>3293</v>
      </c>
      <c r="K3" s="216">
        <v>9.0499145628102351E-2</v>
      </c>
      <c r="L3" s="194" t="s">
        <v>2931</v>
      </c>
      <c r="M3" s="194" t="s">
        <v>2938</v>
      </c>
      <c r="N3" s="214" t="s">
        <v>3292</v>
      </c>
      <c r="O3" s="194" t="s">
        <v>1393</v>
      </c>
      <c r="P3" s="217">
        <v>45689</v>
      </c>
      <c r="Q3" s="196" t="s">
        <v>34</v>
      </c>
      <c r="R3" s="218">
        <v>28642560.295044415</v>
      </c>
      <c r="S3" s="219">
        <v>28642.560295044415</v>
      </c>
      <c r="V3" s="194" t="s">
        <v>36</v>
      </c>
      <c r="W3" s="220">
        <v>7.906957939265126E-2</v>
      </c>
      <c r="X3" s="220">
        <v>1.115020920633799E-2</v>
      </c>
    </row>
    <row r="4" spans="1:24" s="202" customFormat="1">
      <c r="A4" s="194">
        <v>424</v>
      </c>
      <c r="B4" s="194">
        <v>7228</v>
      </c>
      <c r="C4" s="213" t="s">
        <v>3294</v>
      </c>
      <c r="D4" s="194" t="s">
        <v>2367</v>
      </c>
      <c r="E4" s="214" t="s">
        <v>30</v>
      </c>
      <c r="F4" s="194" t="s">
        <v>141</v>
      </c>
      <c r="G4" s="215">
        <v>30317</v>
      </c>
      <c r="H4" s="194" t="s">
        <v>2908</v>
      </c>
      <c r="I4" s="194" t="s">
        <v>2921</v>
      </c>
      <c r="J4" s="213" t="s">
        <v>3294</v>
      </c>
      <c r="K4" s="216">
        <v>1.8716577540107027E-2</v>
      </c>
      <c r="L4" s="194" t="s">
        <v>2931</v>
      </c>
      <c r="M4" s="194" t="s">
        <v>2938</v>
      </c>
      <c r="N4" s="214" t="s">
        <v>3292</v>
      </c>
      <c r="O4" s="194" t="s">
        <v>1393</v>
      </c>
      <c r="P4" s="217">
        <v>45870</v>
      </c>
      <c r="Q4" s="196" t="s">
        <v>34</v>
      </c>
      <c r="R4" s="218">
        <v>30567925.806559149</v>
      </c>
      <c r="S4" s="219">
        <v>30567.925806559149</v>
      </c>
      <c r="V4" s="194" t="s">
        <v>36</v>
      </c>
      <c r="W4" s="220">
        <v>8.438467132592814E-2</v>
      </c>
      <c r="X4" s="220">
        <v>1.1899731177520557E-2</v>
      </c>
    </row>
    <row r="5" spans="1:24" s="202" customFormat="1">
      <c r="A5" s="194">
        <v>424</v>
      </c>
      <c r="B5" s="194">
        <v>7228</v>
      </c>
      <c r="C5" s="213" t="s">
        <v>3295</v>
      </c>
      <c r="D5" s="194" t="s">
        <v>2367</v>
      </c>
      <c r="E5" s="214" t="s">
        <v>30</v>
      </c>
      <c r="F5" s="194" t="s">
        <v>141</v>
      </c>
      <c r="G5" s="215">
        <v>30317</v>
      </c>
      <c r="H5" s="194" t="s">
        <v>2908</v>
      </c>
      <c r="I5" s="194" t="s">
        <v>2921</v>
      </c>
      <c r="J5" s="213" t="s">
        <v>3295</v>
      </c>
      <c r="K5" s="216">
        <v>2.108433734939763E-2</v>
      </c>
      <c r="L5" s="194" t="s">
        <v>2931</v>
      </c>
      <c r="M5" s="194" t="s">
        <v>2938</v>
      </c>
      <c r="N5" s="214" t="s">
        <v>3292</v>
      </c>
      <c r="O5" s="194" t="s">
        <v>1393</v>
      </c>
      <c r="P5" s="217">
        <v>45870</v>
      </c>
      <c r="Q5" s="196" t="s">
        <v>34</v>
      </c>
      <c r="R5" s="218">
        <v>27198233.197962075</v>
      </c>
      <c r="S5" s="219">
        <v>27198.233197962076</v>
      </c>
      <c r="T5" s="194"/>
      <c r="U5" s="194"/>
      <c r="V5" s="194" t="s">
        <v>36</v>
      </c>
      <c r="W5" s="220">
        <v>7.508242409314865E-2</v>
      </c>
      <c r="X5" s="220">
        <v>1.0587949787872622E-2</v>
      </c>
    </row>
    <row r="6" spans="1:24" s="202" customFormat="1">
      <c r="A6" s="194">
        <v>424</v>
      </c>
      <c r="B6" s="194">
        <v>7228</v>
      </c>
      <c r="C6" s="213" t="s">
        <v>3296</v>
      </c>
      <c r="D6" s="194" t="s">
        <v>2367</v>
      </c>
      <c r="E6" s="214" t="s">
        <v>30</v>
      </c>
      <c r="F6" s="194" t="s">
        <v>141</v>
      </c>
      <c r="G6" s="215">
        <v>30317</v>
      </c>
      <c r="H6" s="194" t="s">
        <v>2908</v>
      </c>
      <c r="I6" s="194" t="s">
        <v>2921</v>
      </c>
      <c r="J6" s="213" t="s">
        <v>3296</v>
      </c>
      <c r="K6" s="216">
        <v>-0.13658536585365855</v>
      </c>
      <c r="L6" s="194" t="s">
        <v>2931</v>
      </c>
      <c r="M6" s="194" t="s">
        <v>2938</v>
      </c>
      <c r="N6" s="214" t="s">
        <v>3292</v>
      </c>
      <c r="O6" s="194" t="s">
        <v>1393</v>
      </c>
      <c r="P6" s="217">
        <v>45808</v>
      </c>
      <c r="Q6" s="196" t="s">
        <v>34</v>
      </c>
      <c r="R6" s="218">
        <v>7100423.7109724004</v>
      </c>
      <c r="S6" s="219">
        <v>7100.4237109723999</v>
      </c>
      <c r="T6" s="194"/>
      <c r="U6" s="194"/>
      <c r="V6" s="194" t="s">
        <v>36</v>
      </c>
      <c r="W6" s="220">
        <v>1.9601163811928189E-2</v>
      </c>
      <c r="X6" s="220">
        <v>2.764110785329578E-3</v>
      </c>
    </row>
    <row r="7" spans="1:24" s="202" customFormat="1">
      <c r="A7" s="194">
        <v>424</v>
      </c>
      <c r="B7" s="194">
        <v>7228</v>
      </c>
      <c r="C7" s="221" t="s">
        <v>3297</v>
      </c>
      <c r="D7" s="194" t="s">
        <v>2367</v>
      </c>
      <c r="E7" s="214" t="s">
        <v>30</v>
      </c>
      <c r="F7" s="194" t="s">
        <v>141</v>
      </c>
      <c r="G7" s="215">
        <v>30317</v>
      </c>
      <c r="H7" s="194" t="s">
        <v>2908</v>
      </c>
      <c r="I7" s="194" t="s">
        <v>2921</v>
      </c>
      <c r="J7" s="221" t="s">
        <v>3297</v>
      </c>
      <c r="K7" s="216">
        <v>0</v>
      </c>
      <c r="L7" s="194" t="s">
        <v>2931</v>
      </c>
      <c r="M7" s="194" t="s">
        <v>2938</v>
      </c>
      <c r="N7" s="214" t="s">
        <v>3292</v>
      </c>
      <c r="O7" s="194" t="s">
        <v>1393</v>
      </c>
      <c r="P7" s="217">
        <v>45717</v>
      </c>
      <c r="Q7" s="196" t="s">
        <v>34</v>
      </c>
      <c r="R7" s="218">
        <v>11464977.94686956</v>
      </c>
      <c r="S7" s="219">
        <v>11464.97794686956</v>
      </c>
      <c r="T7" s="194"/>
      <c r="U7" s="194"/>
      <c r="V7" s="194" t="s">
        <v>36</v>
      </c>
      <c r="W7" s="220">
        <v>3.1649788799147323E-2</v>
      </c>
      <c r="X7" s="220">
        <v>4.4631800138259523E-3</v>
      </c>
    </row>
    <row r="8" spans="1:24" s="202" customFormat="1">
      <c r="A8" s="194">
        <v>424</v>
      </c>
      <c r="B8" s="194">
        <v>7228</v>
      </c>
      <c r="C8" s="221" t="s">
        <v>3298</v>
      </c>
      <c r="D8" s="194" t="s">
        <v>2367</v>
      </c>
      <c r="E8" s="214" t="s">
        <v>30</v>
      </c>
      <c r="F8" s="194" t="s">
        <v>141</v>
      </c>
      <c r="G8" s="215">
        <v>30317</v>
      </c>
      <c r="H8" s="194" t="s">
        <v>2908</v>
      </c>
      <c r="I8" s="194" t="s">
        <v>2921</v>
      </c>
      <c r="J8" s="221" t="s">
        <v>3298</v>
      </c>
      <c r="K8" s="216">
        <v>0</v>
      </c>
      <c r="L8" s="194" t="s">
        <v>2931</v>
      </c>
      <c r="M8" s="194" t="s">
        <v>2938</v>
      </c>
      <c r="N8" s="214" t="s">
        <v>3292</v>
      </c>
      <c r="O8" s="194" t="s">
        <v>1393</v>
      </c>
      <c r="P8" s="217">
        <v>45717</v>
      </c>
      <c r="Q8" s="196" t="s">
        <v>34</v>
      </c>
      <c r="R8" s="218">
        <v>38109618.787704974</v>
      </c>
      <c r="S8" s="219">
        <v>38109.618787704974</v>
      </c>
      <c r="T8" s="194"/>
      <c r="U8" s="194"/>
      <c r="V8" s="194" t="s">
        <v>36</v>
      </c>
      <c r="W8" s="220">
        <v>0.10520398656119649</v>
      </c>
      <c r="X8" s="220">
        <v>1.4835622859113556E-2</v>
      </c>
    </row>
    <row r="9" spans="1:24" s="202" customFormat="1">
      <c r="A9" s="194">
        <v>424</v>
      </c>
      <c r="B9" s="194">
        <v>7228</v>
      </c>
      <c r="C9" s="213" t="s">
        <v>3299</v>
      </c>
      <c r="D9" s="194" t="s">
        <v>2367</v>
      </c>
      <c r="E9" s="214" t="s">
        <v>30</v>
      </c>
      <c r="F9" s="194" t="s">
        <v>141</v>
      </c>
      <c r="G9" s="215">
        <v>30317</v>
      </c>
      <c r="H9" s="194" t="s">
        <v>2908</v>
      </c>
      <c r="I9" s="194" t="s">
        <v>2921</v>
      </c>
      <c r="J9" s="213" t="s">
        <v>3299</v>
      </c>
      <c r="K9" s="216">
        <v>-6.5306122448979598E-2</v>
      </c>
      <c r="L9" s="194" t="s">
        <v>2931</v>
      </c>
      <c r="M9" s="194" t="s">
        <v>2938</v>
      </c>
      <c r="N9" s="214" t="s">
        <v>3292</v>
      </c>
      <c r="O9" s="194" t="s">
        <v>1393</v>
      </c>
      <c r="P9" s="217">
        <v>45808</v>
      </c>
      <c r="Q9" s="196" t="s">
        <v>34</v>
      </c>
      <c r="R9" s="218">
        <v>9186423.897246778</v>
      </c>
      <c r="S9" s="219">
        <v>9186.4238972467774</v>
      </c>
      <c r="T9" s="194"/>
      <c r="U9" s="194"/>
      <c r="V9" s="194" t="s">
        <v>36</v>
      </c>
      <c r="W9" s="220">
        <v>2.5359697813172627E-2</v>
      </c>
      <c r="X9" s="220">
        <v>3.5761659313021097E-3</v>
      </c>
    </row>
    <row r="10" spans="1:24" s="202" customFormat="1">
      <c r="A10" s="194">
        <v>424</v>
      </c>
      <c r="B10" s="194">
        <v>7228</v>
      </c>
      <c r="C10" s="213" t="s">
        <v>3300</v>
      </c>
      <c r="D10" s="194" t="s">
        <v>2367</v>
      </c>
      <c r="E10" s="214" t="s">
        <v>30</v>
      </c>
      <c r="F10" s="194" t="s">
        <v>141</v>
      </c>
      <c r="G10" s="215">
        <v>30317</v>
      </c>
      <c r="H10" s="194" t="s">
        <v>2908</v>
      </c>
      <c r="I10" s="194" t="s">
        <v>2921</v>
      </c>
      <c r="J10" s="213" t="s">
        <v>3300</v>
      </c>
      <c r="K10" s="216">
        <v>-1.8631285053263835E-2</v>
      </c>
      <c r="L10" s="194" t="s">
        <v>2931</v>
      </c>
      <c r="M10" s="194" t="s">
        <v>2938</v>
      </c>
      <c r="N10" s="214" t="s">
        <v>3292</v>
      </c>
      <c r="O10" s="194" t="s">
        <v>1393</v>
      </c>
      <c r="P10" s="217">
        <v>45689</v>
      </c>
      <c r="Q10" s="196" t="s">
        <v>34</v>
      </c>
      <c r="R10" s="218">
        <v>10269539.378581552</v>
      </c>
      <c r="S10" s="219">
        <v>10269.539378581552</v>
      </c>
      <c r="T10" s="194"/>
      <c r="U10" s="194"/>
      <c r="V10" s="194" t="s">
        <v>36</v>
      </c>
      <c r="W10" s="220">
        <v>2.8349705852280319E-2</v>
      </c>
      <c r="X10" s="220">
        <v>3.9978099494032329E-3</v>
      </c>
    </row>
    <row r="11" spans="1:24" s="202" customFormat="1">
      <c r="A11" s="194">
        <v>424</v>
      </c>
      <c r="B11" s="194">
        <v>7228</v>
      </c>
      <c r="C11" s="221" t="s">
        <v>3301</v>
      </c>
      <c r="D11" s="194" t="s">
        <v>2367</v>
      </c>
      <c r="E11" s="214" t="s">
        <v>30</v>
      </c>
      <c r="F11" s="194" t="s">
        <v>141</v>
      </c>
      <c r="G11" s="215">
        <v>30317</v>
      </c>
      <c r="H11" s="194" t="s">
        <v>2908</v>
      </c>
      <c r="I11" s="194" t="s">
        <v>2921</v>
      </c>
      <c r="J11" s="221" t="s">
        <v>3301</v>
      </c>
      <c r="K11" s="216">
        <v>-0.11386861313868613</v>
      </c>
      <c r="L11" s="194" t="s">
        <v>2931</v>
      </c>
      <c r="M11" s="194" t="s">
        <v>2938</v>
      </c>
      <c r="N11" s="214" t="s">
        <v>3292</v>
      </c>
      <c r="O11" s="194" t="s">
        <v>1393</v>
      </c>
      <c r="P11" s="217">
        <v>45808</v>
      </c>
      <c r="Q11" s="196" t="s">
        <v>34</v>
      </c>
      <c r="R11" s="218">
        <v>24350040.6359336</v>
      </c>
      <c r="S11" s="219">
        <v>24350.040635933601</v>
      </c>
      <c r="T11" s="194"/>
      <c r="U11" s="194"/>
      <c r="V11" s="194" t="s">
        <v>36</v>
      </c>
      <c r="W11" s="220">
        <v>6.7219810360680282E-2</v>
      </c>
      <c r="X11" s="220">
        <v>9.4791821847178201E-3</v>
      </c>
    </row>
    <row r="12" spans="1:24" s="202" customFormat="1">
      <c r="A12" s="194">
        <v>424</v>
      </c>
      <c r="B12" s="194">
        <v>7228</v>
      </c>
      <c r="C12" s="213" t="s">
        <v>3302</v>
      </c>
      <c r="D12" s="194" t="s">
        <v>2367</v>
      </c>
      <c r="E12" s="214" t="s">
        <v>30</v>
      </c>
      <c r="F12" s="194" t="s">
        <v>141</v>
      </c>
      <c r="G12" s="215">
        <v>30317</v>
      </c>
      <c r="H12" s="194" t="s">
        <v>2908</v>
      </c>
      <c r="I12" s="194" t="s">
        <v>2921</v>
      </c>
      <c r="J12" s="213" t="s">
        <v>3302</v>
      </c>
      <c r="K12" s="216">
        <v>2.0325203252032464E-2</v>
      </c>
      <c r="L12" s="194" t="s">
        <v>2931</v>
      </c>
      <c r="M12" s="194" t="s">
        <v>2938</v>
      </c>
      <c r="N12" s="214" t="s">
        <v>3292</v>
      </c>
      <c r="O12" s="194" t="s">
        <v>1393</v>
      </c>
      <c r="P12" s="217">
        <v>45808</v>
      </c>
      <c r="Q12" s="196" t="s">
        <v>34</v>
      </c>
      <c r="R12" s="218">
        <v>20137924.875187259</v>
      </c>
      <c r="S12" s="219">
        <v>20137.924875187258</v>
      </c>
      <c r="T12" s="194"/>
      <c r="U12" s="194"/>
      <c r="V12" s="194" t="s">
        <v>36</v>
      </c>
      <c r="W12" s="220">
        <v>5.559200131970593E-2</v>
      </c>
      <c r="X12" s="220">
        <v>7.839455447657899E-3</v>
      </c>
    </row>
    <row r="13" spans="1:24" s="202" customFormat="1">
      <c r="A13" s="194">
        <v>424</v>
      </c>
      <c r="B13" s="194">
        <v>7228</v>
      </c>
      <c r="C13" s="221" t="s">
        <v>3303</v>
      </c>
      <c r="D13" s="194" t="s">
        <v>2367</v>
      </c>
      <c r="E13" s="214" t="s">
        <v>30</v>
      </c>
      <c r="F13" s="194" t="s">
        <v>141</v>
      </c>
      <c r="G13" s="215">
        <v>30317</v>
      </c>
      <c r="H13" s="194" t="s">
        <v>2908</v>
      </c>
      <c r="I13" s="194" t="s">
        <v>2921</v>
      </c>
      <c r="J13" s="221" t="s">
        <v>3303</v>
      </c>
      <c r="K13" s="216">
        <v>0.15422258244041775</v>
      </c>
      <c r="L13" s="194" t="s">
        <v>2931</v>
      </c>
      <c r="M13" s="194" t="s">
        <v>2938</v>
      </c>
      <c r="N13" s="214" t="s">
        <v>3292</v>
      </c>
      <c r="O13" s="194" t="s">
        <v>1393</v>
      </c>
      <c r="P13" s="217">
        <v>45689</v>
      </c>
      <c r="Q13" s="196" t="s">
        <v>34</v>
      </c>
      <c r="R13" s="218">
        <v>61941037.255048051</v>
      </c>
      <c r="S13" s="219">
        <v>61941.037255048053</v>
      </c>
      <c r="T13" s="194"/>
      <c r="U13" s="194"/>
      <c r="V13" s="194" t="s">
        <v>36</v>
      </c>
      <c r="W13" s="220">
        <v>0.17099210798374606</v>
      </c>
      <c r="X13" s="220">
        <v>2.4112911581121985E-2</v>
      </c>
    </row>
    <row r="14" spans="1:24" s="202" customFormat="1">
      <c r="A14" s="194">
        <v>424</v>
      </c>
      <c r="B14" s="194">
        <v>7228</v>
      </c>
      <c r="C14" s="213" t="s">
        <v>3304</v>
      </c>
      <c r="D14" s="194" t="s">
        <v>2367</v>
      </c>
      <c r="E14" s="214" t="s">
        <v>30</v>
      </c>
      <c r="F14" s="194" t="s">
        <v>141</v>
      </c>
      <c r="G14" s="215">
        <v>30317</v>
      </c>
      <c r="H14" s="194" t="s">
        <v>2908</v>
      </c>
      <c r="I14" s="194" t="s">
        <v>2921</v>
      </c>
      <c r="J14" s="213" t="s">
        <v>3304</v>
      </c>
      <c r="K14" s="216">
        <v>-5.8333333333333348E-2</v>
      </c>
      <c r="L14" s="194" t="s">
        <v>2931</v>
      </c>
      <c r="M14" s="194" t="s">
        <v>2938</v>
      </c>
      <c r="N14" s="214" t="s">
        <v>3292</v>
      </c>
      <c r="O14" s="194" t="s">
        <v>1393</v>
      </c>
      <c r="P14" s="217">
        <v>45870</v>
      </c>
      <c r="Q14" s="196" t="s">
        <v>34</v>
      </c>
      <c r="R14" s="218">
        <v>27198233.197962075</v>
      </c>
      <c r="S14" s="219">
        <v>27198.233197962076</v>
      </c>
      <c r="T14" s="194"/>
      <c r="U14" s="194"/>
      <c r="V14" s="194" t="s">
        <v>36</v>
      </c>
      <c r="W14" s="220">
        <v>7.508242409314865E-2</v>
      </c>
      <c r="X14" s="220">
        <v>1.0587949787872622E-2</v>
      </c>
    </row>
    <row r="15" spans="1:24" s="202" customFormat="1">
      <c r="A15" s="194">
        <v>424</v>
      </c>
      <c r="B15" s="194">
        <v>7228</v>
      </c>
      <c r="C15" s="221" t="s">
        <v>3305</v>
      </c>
      <c r="D15" s="194" t="s">
        <v>2367</v>
      </c>
      <c r="E15" s="214" t="s">
        <v>30</v>
      </c>
      <c r="F15" s="194" t="s">
        <v>141</v>
      </c>
      <c r="G15" s="215">
        <v>30317</v>
      </c>
      <c r="H15" s="194" t="s">
        <v>2908</v>
      </c>
      <c r="I15" s="194" t="s">
        <v>2921</v>
      </c>
      <c r="J15" s="221" t="s">
        <v>3305</v>
      </c>
      <c r="K15" s="216">
        <v>3.9077764751856092E-2</v>
      </c>
      <c r="L15" s="194" t="s">
        <v>2931</v>
      </c>
      <c r="M15" s="194" t="s">
        <v>2938</v>
      </c>
      <c r="N15" s="214" t="s">
        <v>3292</v>
      </c>
      <c r="O15" s="194" t="s">
        <v>1393</v>
      </c>
      <c r="P15" s="217">
        <v>45870</v>
      </c>
      <c r="Q15" s="196" t="s">
        <v>34</v>
      </c>
      <c r="R15" s="218">
        <v>64000090.330425806</v>
      </c>
      <c r="S15" s="219">
        <v>64000.09033042581</v>
      </c>
      <c r="T15" s="194"/>
      <c r="U15" s="194"/>
      <c r="V15" s="194" t="s">
        <v>36</v>
      </c>
      <c r="W15" s="220">
        <v>0.17667625279971882</v>
      </c>
      <c r="X15" s="220">
        <v>2.4914476536241861E-2</v>
      </c>
    </row>
    <row r="16" spans="1:24" s="202" customFormat="1">
      <c r="A16" s="194">
        <v>424</v>
      </c>
      <c r="B16" s="194">
        <v>7229</v>
      </c>
      <c r="C16" s="213" t="s">
        <v>3291</v>
      </c>
      <c r="D16" s="194" t="s">
        <v>2367</v>
      </c>
      <c r="E16" s="214" t="s">
        <v>30</v>
      </c>
      <c r="F16" s="194" t="s">
        <v>141</v>
      </c>
      <c r="G16" s="215">
        <v>30317</v>
      </c>
      <c r="H16" s="194" t="s">
        <v>2910</v>
      </c>
      <c r="I16" s="194" t="s">
        <v>2921</v>
      </c>
      <c r="J16" s="213" t="s">
        <v>3291</v>
      </c>
      <c r="K16" s="216">
        <v>1.5686274509803866E-2</v>
      </c>
      <c r="L16" s="194" t="s">
        <v>2931</v>
      </c>
      <c r="M16" s="194" t="s">
        <v>2938</v>
      </c>
      <c r="N16" s="214" t="s">
        <v>3292</v>
      </c>
      <c r="O16" s="194" t="s">
        <v>1393</v>
      </c>
      <c r="P16" s="217">
        <v>45717</v>
      </c>
      <c r="Q16" s="196" t="s">
        <v>34</v>
      </c>
      <c r="R16" s="218">
        <v>103276.64382757542</v>
      </c>
      <c r="S16" s="219">
        <v>103.27664382757541</v>
      </c>
      <c r="T16" s="194"/>
      <c r="U16" s="194"/>
      <c r="V16" s="194" t="s">
        <v>36</v>
      </c>
      <c r="W16" s="220">
        <v>5.7363857935473443E-3</v>
      </c>
      <c r="X16" s="220">
        <v>6.7725297492759724E-4</v>
      </c>
    </row>
    <row r="17" spans="1:24" s="202" customFormat="1">
      <c r="A17" s="194">
        <v>424</v>
      </c>
      <c r="B17" s="194">
        <v>7229</v>
      </c>
      <c r="C17" s="213" t="s">
        <v>3293</v>
      </c>
      <c r="D17" s="194" t="s">
        <v>2367</v>
      </c>
      <c r="E17" s="214" t="s">
        <v>30</v>
      </c>
      <c r="F17" s="194" t="s">
        <v>141</v>
      </c>
      <c r="G17" s="215">
        <v>30317</v>
      </c>
      <c r="H17" s="194" t="s">
        <v>2908</v>
      </c>
      <c r="I17" s="194" t="s">
        <v>2921</v>
      </c>
      <c r="J17" s="213" t="s">
        <v>3293</v>
      </c>
      <c r="K17" s="216">
        <v>9.0499145628102351E-2</v>
      </c>
      <c r="L17" s="194" t="s">
        <v>2931</v>
      </c>
      <c r="M17" s="194" t="s">
        <v>2938</v>
      </c>
      <c r="N17" s="214" t="s">
        <v>3292</v>
      </c>
      <c r="O17" s="194" t="s">
        <v>1393</v>
      </c>
      <c r="P17" s="217">
        <v>45689</v>
      </c>
      <c r="Q17" s="196" t="s">
        <v>34</v>
      </c>
      <c r="R17" s="218">
        <v>1423551.5326944585</v>
      </c>
      <c r="S17" s="219">
        <v>1423.5515326944585</v>
      </c>
      <c r="T17" s="194"/>
      <c r="U17" s="194"/>
      <c r="V17" s="194" t="s">
        <v>36</v>
      </c>
      <c r="W17" s="220">
        <v>7.9069579392651246E-2</v>
      </c>
      <c r="X17" s="220">
        <v>9.3351649971282445E-3</v>
      </c>
    </row>
    <row r="18" spans="1:24" s="202" customFormat="1">
      <c r="A18" s="194">
        <v>424</v>
      </c>
      <c r="B18" s="194">
        <v>7229</v>
      </c>
      <c r="C18" s="213" t="s">
        <v>3294</v>
      </c>
      <c r="D18" s="194" t="s">
        <v>2367</v>
      </c>
      <c r="E18" s="214" t="s">
        <v>30</v>
      </c>
      <c r="F18" s="194" t="s">
        <v>141</v>
      </c>
      <c r="G18" s="215">
        <v>30317</v>
      </c>
      <c r="H18" s="194" t="s">
        <v>2908</v>
      </c>
      <c r="I18" s="194" t="s">
        <v>2921</v>
      </c>
      <c r="J18" s="213" t="s">
        <v>3294</v>
      </c>
      <c r="K18" s="216">
        <v>1.8716577540107027E-2</v>
      </c>
      <c r="L18" s="194" t="s">
        <v>2931</v>
      </c>
      <c r="M18" s="194" t="s">
        <v>2938</v>
      </c>
      <c r="N18" s="214" t="s">
        <v>3292</v>
      </c>
      <c r="O18" s="194" t="s">
        <v>1393</v>
      </c>
      <c r="P18" s="217">
        <v>45870</v>
      </c>
      <c r="Q18" s="196" t="s">
        <v>34</v>
      </c>
      <c r="R18" s="218">
        <v>1519243.293370897</v>
      </c>
      <c r="S18" s="219">
        <v>1519.2432933708969</v>
      </c>
      <c r="V18" s="194" t="s">
        <v>36</v>
      </c>
      <c r="W18" s="220">
        <v>8.4384671325928112E-2</v>
      </c>
      <c r="X18" s="220">
        <v>9.9626788975835743E-3</v>
      </c>
    </row>
    <row r="19" spans="1:24" s="202" customFormat="1">
      <c r="A19" s="194">
        <v>424</v>
      </c>
      <c r="B19" s="194">
        <v>7229</v>
      </c>
      <c r="C19" s="213" t="s">
        <v>3295</v>
      </c>
      <c r="D19" s="194" t="s">
        <v>2367</v>
      </c>
      <c r="E19" s="214" t="s">
        <v>30</v>
      </c>
      <c r="F19" s="194" t="s">
        <v>141</v>
      </c>
      <c r="G19" s="215">
        <v>30317</v>
      </c>
      <c r="H19" s="194" t="s">
        <v>2908</v>
      </c>
      <c r="I19" s="194" t="s">
        <v>2921</v>
      </c>
      <c r="J19" s="213" t="s">
        <v>3295</v>
      </c>
      <c r="K19" s="216">
        <v>2.108433734939763E-2</v>
      </c>
      <c r="L19" s="194" t="s">
        <v>2931</v>
      </c>
      <c r="M19" s="194" t="s">
        <v>2938</v>
      </c>
      <c r="N19" s="214" t="s">
        <v>3292</v>
      </c>
      <c r="O19" s="194" t="s">
        <v>1393</v>
      </c>
      <c r="P19" s="217">
        <v>45870</v>
      </c>
      <c r="Q19" s="196" t="s">
        <v>34</v>
      </c>
      <c r="R19" s="218">
        <v>1351767.6547315856</v>
      </c>
      <c r="S19" s="219">
        <v>1351.7676547315857</v>
      </c>
      <c r="V19" s="194" t="s">
        <v>36</v>
      </c>
      <c r="W19" s="220">
        <v>7.5082424093148636E-2</v>
      </c>
      <c r="X19" s="220">
        <v>8.8644308301334181E-3</v>
      </c>
    </row>
    <row r="20" spans="1:24" s="202" customFormat="1">
      <c r="A20" s="194">
        <v>424</v>
      </c>
      <c r="B20" s="194">
        <v>7229</v>
      </c>
      <c r="C20" s="213" t="s">
        <v>3296</v>
      </c>
      <c r="D20" s="194" t="s">
        <v>2367</v>
      </c>
      <c r="E20" s="214" t="s">
        <v>30</v>
      </c>
      <c r="F20" s="194" t="s">
        <v>141</v>
      </c>
      <c r="G20" s="215">
        <v>30317</v>
      </c>
      <c r="H20" s="194" t="s">
        <v>2908</v>
      </c>
      <c r="I20" s="194" t="s">
        <v>2921</v>
      </c>
      <c r="J20" s="213" t="s">
        <v>3296</v>
      </c>
      <c r="K20" s="216">
        <v>-0.13658536585365855</v>
      </c>
      <c r="L20" s="194" t="s">
        <v>2931</v>
      </c>
      <c r="M20" s="194" t="s">
        <v>2938</v>
      </c>
      <c r="N20" s="214" t="s">
        <v>3292</v>
      </c>
      <c r="O20" s="194" t="s">
        <v>1393</v>
      </c>
      <c r="P20" s="217">
        <v>45808</v>
      </c>
      <c r="Q20" s="196" t="s">
        <v>34</v>
      </c>
      <c r="R20" s="218">
        <v>352895.09570426348</v>
      </c>
      <c r="S20" s="219">
        <v>352.8950957042635</v>
      </c>
      <c r="V20" s="194" t="s">
        <v>36</v>
      </c>
      <c r="W20" s="220">
        <v>1.9601163811928186E-2</v>
      </c>
      <c r="X20" s="220">
        <v>2.314165570698547E-3</v>
      </c>
    </row>
    <row r="21" spans="1:24" s="202" customFormat="1">
      <c r="A21" s="194">
        <v>424</v>
      </c>
      <c r="B21" s="194">
        <v>7229</v>
      </c>
      <c r="C21" s="221" t="s">
        <v>3297</v>
      </c>
      <c r="D21" s="194" t="s">
        <v>2367</v>
      </c>
      <c r="E21" s="214" t="s">
        <v>30</v>
      </c>
      <c r="F21" s="194" t="s">
        <v>141</v>
      </c>
      <c r="G21" s="215">
        <v>30317</v>
      </c>
      <c r="H21" s="194" t="s">
        <v>2908</v>
      </c>
      <c r="I21" s="194" t="s">
        <v>2921</v>
      </c>
      <c r="J21" s="221" t="s">
        <v>3297</v>
      </c>
      <c r="K21" s="216">
        <v>0</v>
      </c>
      <c r="L21" s="194" t="s">
        <v>2931</v>
      </c>
      <c r="M21" s="194" t="s">
        <v>2938</v>
      </c>
      <c r="N21" s="214" t="s">
        <v>3292</v>
      </c>
      <c r="O21" s="194" t="s">
        <v>1393</v>
      </c>
      <c r="P21" s="217">
        <v>45717</v>
      </c>
      <c r="Q21" s="196" t="s">
        <v>34</v>
      </c>
      <c r="R21" s="218">
        <v>569815.92289422883</v>
      </c>
      <c r="S21" s="219">
        <v>569.81592289422883</v>
      </c>
      <c r="V21" s="194" t="s">
        <v>36</v>
      </c>
      <c r="W21" s="220">
        <v>3.1649788799147316E-2</v>
      </c>
      <c r="X21" s="220">
        <v>3.7366583056816084E-3</v>
      </c>
    </row>
    <row r="22" spans="1:24" s="202" customFormat="1">
      <c r="A22" s="194">
        <v>424</v>
      </c>
      <c r="B22" s="194">
        <v>7229</v>
      </c>
      <c r="C22" s="221" t="s">
        <v>3298</v>
      </c>
      <c r="D22" s="194" t="s">
        <v>2367</v>
      </c>
      <c r="E22" s="214" t="s">
        <v>30</v>
      </c>
      <c r="F22" s="194" t="s">
        <v>141</v>
      </c>
      <c r="G22" s="215">
        <v>30317</v>
      </c>
      <c r="H22" s="194" t="s">
        <v>2908</v>
      </c>
      <c r="I22" s="194" t="s">
        <v>2921</v>
      </c>
      <c r="J22" s="221" t="s">
        <v>3298</v>
      </c>
      <c r="K22" s="216">
        <v>0</v>
      </c>
      <c r="L22" s="194" t="s">
        <v>2931</v>
      </c>
      <c r="M22" s="194" t="s">
        <v>2938</v>
      </c>
      <c r="N22" s="214" t="s">
        <v>3292</v>
      </c>
      <c r="O22" s="194" t="s">
        <v>1393</v>
      </c>
      <c r="P22" s="217">
        <v>45717</v>
      </c>
      <c r="Q22" s="196" t="s">
        <v>34</v>
      </c>
      <c r="R22" s="218">
        <v>1894069.722706499</v>
      </c>
      <c r="S22" s="219">
        <v>1894.0697227064991</v>
      </c>
      <c r="V22" s="194" t="s">
        <v>36</v>
      </c>
      <c r="W22" s="220">
        <v>0.10520398656119648</v>
      </c>
      <c r="X22" s="220">
        <v>1.2420662667591072E-2</v>
      </c>
    </row>
    <row r="23" spans="1:24" s="202" customFormat="1">
      <c r="A23" s="194">
        <v>424</v>
      </c>
      <c r="B23" s="194">
        <v>7229</v>
      </c>
      <c r="C23" s="213" t="s">
        <v>3299</v>
      </c>
      <c r="D23" s="194" t="s">
        <v>2367</v>
      </c>
      <c r="E23" s="214" t="s">
        <v>30</v>
      </c>
      <c r="F23" s="194" t="s">
        <v>141</v>
      </c>
      <c r="G23" s="215">
        <v>30317</v>
      </c>
      <c r="H23" s="194" t="s">
        <v>2908</v>
      </c>
      <c r="I23" s="194" t="s">
        <v>2921</v>
      </c>
      <c r="J23" s="213" t="s">
        <v>3299</v>
      </c>
      <c r="K23" s="216">
        <v>-6.5306122448979598E-2</v>
      </c>
      <c r="L23" s="194" t="s">
        <v>2931</v>
      </c>
      <c r="M23" s="194" t="s">
        <v>2938</v>
      </c>
      <c r="N23" s="214" t="s">
        <v>3292</v>
      </c>
      <c r="O23" s="194" t="s">
        <v>1393</v>
      </c>
      <c r="P23" s="217">
        <v>45808</v>
      </c>
      <c r="Q23" s="196" t="s">
        <v>34</v>
      </c>
      <c r="R23" s="218">
        <v>456570.4910524087</v>
      </c>
      <c r="S23" s="219">
        <v>456.57049105240873</v>
      </c>
      <c r="V23" s="194" t="s">
        <v>36</v>
      </c>
      <c r="W23" s="220">
        <v>2.5359697813172623E-2</v>
      </c>
      <c r="X23" s="220">
        <v>2.9940334219772163E-3</v>
      </c>
    </row>
    <row r="24" spans="1:24" s="202" customFormat="1">
      <c r="A24" s="194">
        <v>424</v>
      </c>
      <c r="B24" s="194">
        <v>7229</v>
      </c>
      <c r="C24" s="213" t="s">
        <v>3300</v>
      </c>
      <c r="D24" s="194" t="s">
        <v>2367</v>
      </c>
      <c r="E24" s="214" t="s">
        <v>30</v>
      </c>
      <c r="F24" s="194" t="s">
        <v>141</v>
      </c>
      <c r="G24" s="215">
        <v>30317</v>
      </c>
      <c r="H24" s="194" t="s">
        <v>2908</v>
      </c>
      <c r="I24" s="194" t="s">
        <v>2921</v>
      </c>
      <c r="J24" s="213" t="s">
        <v>3300</v>
      </c>
      <c r="K24" s="216">
        <v>-1.8631285053263835E-2</v>
      </c>
      <c r="L24" s="194" t="s">
        <v>2931</v>
      </c>
      <c r="M24" s="194" t="s">
        <v>2938</v>
      </c>
      <c r="N24" s="214" t="s">
        <v>3292</v>
      </c>
      <c r="O24" s="194" t="s">
        <v>1393</v>
      </c>
      <c r="P24" s="217">
        <v>45689</v>
      </c>
      <c r="Q24" s="196" t="s">
        <v>34</v>
      </c>
      <c r="R24" s="218">
        <v>510401.94632933027</v>
      </c>
      <c r="S24" s="219">
        <v>510.40194632933026</v>
      </c>
      <c r="V24" s="194" t="s">
        <v>36</v>
      </c>
      <c r="W24" s="220">
        <v>2.8349705852280312E-2</v>
      </c>
      <c r="X24" s="220">
        <v>3.3470417293719095E-3</v>
      </c>
    </row>
    <row r="25" spans="1:24" s="202" customFormat="1">
      <c r="A25" s="194">
        <v>424</v>
      </c>
      <c r="B25" s="194">
        <v>7229</v>
      </c>
      <c r="C25" s="221" t="s">
        <v>3301</v>
      </c>
      <c r="D25" s="194" t="s">
        <v>2367</v>
      </c>
      <c r="E25" s="214" t="s">
        <v>30</v>
      </c>
      <c r="F25" s="194" t="s">
        <v>141</v>
      </c>
      <c r="G25" s="215">
        <v>30317</v>
      </c>
      <c r="H25" s="194" t="s">
        <v>2908</v>
      </c>
      <c r="I25" s="194" t="s">
        <v>2921</v>
      </c>
      <c r="J25" s="221" t="s">
        <v>3301</v>
      </c>
      <c r="K25" s="216">
        <v>-0.11386861313868613</v>
      </c>
      <c r="L25" s="194" t="s">
        <v>2931</v>
      </c>
      <c r="M25" s="194" t="s">
        <v>2938</v>
      </c>
      <c r="N25" s="214" t="s">
        <v>3292</v>
      </c>
      <c r="O25" s="194" t="s">
        <v>1393</v>
      </c>
      <c r="P25" s="217">
        <v>45808</v>
      </c>
      <c r="Q25" s="196" t="s">
        <v>34</v>
      </c>
      <c r="R25" s="218">
        <v>1210210.8649293103</v>
      </c>
      <c r="S25" s="219">
        <v>1210.2108649293102</v>
      </c>
      <c r="V25" s="194" t="s">
        <v>36</v>
      </c>
      <c r="W25" s="220">
        <v>6.7219810360680268E-2</v>
      </c>
      <c r="X25" s="220">
        <v>7.9361497255029251E-3</v>
      </c>
    </row>
    <row r="26" spans="1:24" s="202" customFormat="1">
      <c r="A26" s="194">
        <v>424</v>
      </c>
      <c r="B26" s="194">
        <v>7229</v>
      </c>
      <c r="C26" s="213" t="s">
        <v>3302</v>
      </c>
      <c r="D26" s="194" t="s">
        <v>2367</v>
      </c>
      <c r="E26" s="214" t="s">
        <v>30</v>
      </c>
      <c r="F26" s="194" t="s">
        <v>141</v>
      </c>
      <c r="G26" s="215">
        <v>30317</v>
      </c>
      <c r="H26" s="194" t="s">
        <v>2908</v>
      </c>
      <c r="I26" s="194" t="s">
        <v>2921</v>
      </c>
      <c r="J26" s="213" t="s">
        <v>3302</v>
      </c>
      <c r="K26" s="216">
        <v>2.0325203252032464E-2</v>
      </c>
      <c r="L26" s="194" t="s">
        <v>2931</v>
      </c>
      <c r="M26" s="194" t="s">
        <v>2938</v>
      </c>
      <c r="N26" s="214" t="s">
        <v>3292</v>
      </c>
      <c r="O26" s="194" t="s">
        <v>1393</v>
      </c>
      <c r="P26" s="217">
        <v>45808</v>
      </c>
      <c r="Q26" s="196" t="s">
        <v>34</v>
      </c>
      <c r="R26" s="218">
        <v>1000866.316630171</v>
      </c>
      <c r="S26" s="219">
        <v>1000.866316630171</v>
      </c>
      <c r="V26" s="194" t="s">
        <v>36</v>
      </c>
      <c r="W26" s="220">
        <v>5.5592001319705923E-2</v>
      </c>
      <c r="X26" s="220">
        <v>6.563339641190229E-3</v>
      </c>
    </row>
    <row r="27" spans="1:24" s="202" customFormat="1">
      <c r="A27" s="194">
        <v>424</v>
      </c>
      <c r="B27" s="194">
        <v>7229</v>
      </c>
      <c r="C27" s="221" t="s">
        <v>3303</v>
      </c>
      <c r="D27" s="194" t="s">
        <v>2367</v>
      </c>
      <c r="E27" s="214" t="s">
        <v>30</v>
      </c>
      <c r="F27" s="194" t="s">
        <v>141</v>
      </c>
      <c r="G27" s="215">
        <v>30317</v>
      </c>
      <c r="H27" s="194" t="s">
        <v>2908</v>
      </c>
      <c r="I27" s="194" t="s">
        <v>2921</v>
      </c>
      <c r="J27" s="221" t="s">
        <v>3303</v>
      </c>
      <c r="K27" s="216">
        <v>0.15422258244041775</v>
      </c>
      <c r="L27" s="194" t="s">
        <v>2931</v>
      </c>
      <c r="M27" s="194" t="s">
        <v>2938</v>
      </c>
      <c r="N27" s="214" t="s">
        <v>3292</v>
      </c>
      <c r="O27" s="194" t="s">
        <v>1393</v>
      </c>
      <c r="P27" s="217">
        <v>45689</v>
      </c>
      <c r="Q27" s="196" t="s">
        <v>34</v>
      </c>
      <c r="R27" s="218">
        <v>3078504.7709706319</v>
      </c>
      <c r="S27" s="219">
        <v>3078.5047709706319</v>
      </c>
      <c r="V27" s="194" t="s">
        <v>36</v>
      </c>
      <c r="W27" s="220">
        <v>0.17099210798374603</v>
      </c>
      <c r="X27" s="220">
        <v>2.018778338643084E-2</v>
      </c>
    </row>
    <row r="28" spans="1:24" s="202" customFormat="1">
      <c r="A28" s="194">
        <v>424</v>
      </c>
      <c r="B28" s="194">
        <v>7229</v>
      </c>
      <c r="C28" s="213" t="s">
        <v>3304</v>
      </c>
      <c r="D28" s="194" t="s">
        <v>2367</v>
      </c>
      <c r="E28" s="214" t="s">
        <v>30</v>
      </c>
      <c r="F28" s="194" t="s">
        <v>141</v>
      </c>
      <c r="G28" s="215">
        <v>30317</v>
      </c>
      <c r="H28" s="194" t="s">
        <v>2908</v>
      </c>
      <c r="I28" s="194" t="s">
        <v>2921</v>
      </c>
      <c r="J28" s="213" t="s">
        <v>3304</v>
      </c>
      <c r="K28" s="216">
        <v>-5.8333333333333348E-2</v>
      </c>
      <c r="L28" s="194" t="s">
        <v>2931</v>
      </c>
      <c r="M28" s="194" t="s">
        <v>2938</v>
      </c>
      <c r="N28" s="214" t="s">
        <v>3292</v>
      </c>
      <c r="O28" s="194" t="s">
        <v>1393</v>
      </c>
      <c r="P28" s="217">
        <v>45870</v>
      </c>
      <c r="Q28" s="196" t="s">
        <v>34</v>
      </c>
      <c r="R28" s="218">
        <v>1351767.6547315856</v>
      </c>
      <c r="S28" s="219">
        <v>1351.7676547315857</v>
      </c>
      <c r="V28" s="194" t="s">
        <v>36</v>
      </c>
      <c r="W28" s="220">
        <v>7.5082424093148636E-2</v>
      </c>
      <c r="X28" s="220">
        <v>8.8644308301334181E-3</v>
      </c>
    </row>
    <row r="29" spans="1:24" s="202" customFormat="1">
      <c r="A29" s="194">
        <v>424</v>
      </c>
      <c r="B29" s="194">
        <v>7229</v>
      </c>
      <c r="C29" s="221" t="s">
        <v>3305</v>
      </c>
      <c r="D29" s="194" t="s">
        <v>2367</v>
      </c>
      <c r="E29" s="214" t="s">
        <v>30</v>
      </c>
      <c r="F29" s="194" t="s">
        <v>141</v>
      </c>
      <c r="G29" s="215">
        <v>30317</v>
      </c>
      <c r="H29" s="194" t="s">
        <v>2908</v>
      </c>
      <c r="I29" s="194" t="s">
        <v>2921</v>
      </c>
      <c r="J29" s="221" t="s">
        <v>3305</v>
      </c>
      <c r="K29" s="216">
        <v>3.9077764751856092E-2</v>
      </c>
      <c r="L29" s="194" t="s">
        <v>2931</v>
      </c>
      <c r="M29" s="194" t="s">
        <v>2938</v>
      </c>
      <c r="N29" s="214" t="s">
        <v>3292</v>
      </c>
      <c r="O29" s="194" t="s">
        <v>1393</v>
      </c>
      <c r="P29" s="217">
        <v>45870</v>
      </c>
      <c r="Q29" s="196" t="s">
        <v>34</v>
      </c>
      <c r="R29" s="218">
        <v>3180840.8795852088</v>
      </c>
      <c r="S29" s="219">
        <v>3180.8408795852088</v>
      </c>
      <c r="V29" s="194" t="s">
        <v>36</v>
      </c>
      <c r="W29" s="220">
        <v>0.1766762527997188</v>
      </c>
      <c r="X29" s="220">
        <v>2.0858868652499783E-2</v>
      </c>
    </row>
    <row r="30" spans="1:24" s="202" customFormat="1">
      <c r="A30" s="194">
        <v>1182</v>
      </c>
      <c r="B30" s="194">
        <v>1182</v>
      </c>
      <c r="C30" s="213" t="s">
        <v>3291</v>
      </c>
      <c r="D30" s="194" t="s">
        <v>2367</v>
      </c>
      <c r="E30" s="214" t="s">
        <v>30</v>
      </c>
      <c r="F30" s="194" t="s">
        <v>141</v>
      </c>
      <c r="G30" s="215">
        <v>30317</v>
      </c>
      <c r="H30" s="194" t="s">
        <v>2910</v>
      </c>
      <c r="I30" s="194" t="s">
        <v>2921</v>
      </c>
      <c r="J30" s="213" t="s">
        <v>3291</v>
      </c>
      <c r="K30" s="216">
        <v>1.5686274509803866E-2</v>
      </c>
      <c r="L30" s="194" t="s">
        <v>2931</v>
      </c>
      <c r="M30" s="194" t="s">
        <v>2938</v>
      </c>
      <c r="N30" s="214" t="s">
        <v>3292</v>
      </c>
      <c r="O30" s="194" t="s">
        <v>1393</v>
      </c>
      <c r="P30" s="217">
        <v>45717</v>
      </c>
      <c r="Q30" s="196" t="s">
        <v>34</v>
      </c>
      <c r="R30" s="218">
        <v>372061.65558571758</v>
      </c>
      <c r="S30" s="219">
        <v>372.06165558571757</v>
      </c>
      <c r="V30" s="194" t="s">
        <v>36</v>
      </c>
      <c r="W30" s="220">
        <v>5.7363857935473451E-3</v>
      </c>
      <c r="X30" s="220">
        <v>8.01074887313914E-4</v>
      </c>
    </row>
    <row r="31" spans="1:24" s="202" customFormat="1">
      <c r="A31" s="194">
        <v>1182</v>
      </c>
      <c r="B31" s="194">
        <v>1182</v>
      </c>
      <c r="C31" s="213" t="s">
        <v>3293</v>
      </c>
      <c r="D31" s="194" t="s">
        <v>2367</v>
      </c>
      <c r="E31" s="214" t="s">
        <v>30</v>
      </c>
      <c r="F31" s="194" t="s">
        <v>141</v>
      </c>
      <c r="G31" s="215">
        <v>30317</v>
      </c>
      <c r="H31" s="194" t="s">
        <v>2908</v>
      </c>
      <c r="I31" s="194" t="s">
        <v>2921</v>
      </c>
      <c r="J31" s="213" t="s">
        <v>3293</v>
      </c>
      <c r="K31" s="216">
        <v>9.0499145628102351E-2</v>
      </c>
      <c r="L31" s="194" t="s">
        <v>2931</v>
      </c>
      <c r="M31" s="194" t="s">
        <v>2938</v>
      </c>
      <c r="N31" s="214" t="s">
        <v>3292</v>
      </c>
      <c r="O31" s="194" t="s">
        <v>1393</v>
      </c>
      <c r="P31" s="217">
        <v>45689</v>
      </c>
      <c r="Q31" s="196" t="s">
        <v>34</v>
      </c>
      <c r="R31" s="218">
        <v>5128448.4123066263</v>
      </c>
      <c r="S31" s="219">
        <v>5128.4484123066268</v>
      </c>
      <c r="V31" s="194" t="s">
        <v>36</v>
      </c>
      <c r="W31" s="220">
        <v>7.906957939265126E-2</v>
      </c>
      <c r="X31" s="220">
        <v>1.1041909781098811E-2</v>
      </c>
    </row>
    <row r="32" spans="1:24" s="202" customFormat="1">
      <c r="A32" s="194">
        <v>1182</v>
      </c>
      <c r="B32" s="194">
        <v>1182</v>
      </c>
      <c r="C32" s="213" t="s">
        <v>3294</v>
      </c>
      <c r="D32" s="194" t="s">
        <v>2367</v>
      </c>
      <c r="E32" s="214" t="s">
        <v>30</v>
      </c>
      <c r="F32" s="194" t="s">
        <v>141</v>
      </c>
      <c r="G32" s="215">
        <v>30317</v>
      </c>
      <c r="H32" s="194" t="s">
        <v>2908</v>
      </c>
      <c r="I32" s="194" t="s">
        <v>2921</v>
      </c>
      <c r="J32" s="213" t="s">
        <v>3294</v>
      </c>
      <c r="K32" s="216">
        <v>1.8716577540107027E-2</v>
      </c>
      <c r="L32" s="194" t="s">
        <v>2931</v>
      </c>
      <c r="M32" s="194" t="s">
        <v>2938</v>
      </c>
      <c r="N32" s="214" t="s">
        <v>3292</v>
      </c>
      <c r="O32" s="194" t="s">
        <v>1393</v>
      </c>
      <c r="P32" s="217">
        <v>45870</v>
      </c>
      <c r="Q32" s="196" t="s">
        <v>34</v>
      </c>
      <c r="R32" s="218">
        <v>5473184.9721296681</v>
      </c>
      <c r="S32" s="219">
        <v>5473.1849721296685</v>
      </c>
      <c r="V32" s="194" t="s">
        <v>36</v>
      </c>
      <c r="W32" s="220">
        <v>8.4384671325928126E-2</v>
      </c>
      <c r="X32" s="220">
        <v>1.1784151817243292E-2</v>
      </c>
    </row>
    <row r="33" spans="1:24" s="202" customFormat="1">
      <c r="A33" s="194">
        <v>1182</v>
      </c>
      <c r="B33" s="194">
        <v>1182</v>
      </c>
      <c r="C33" s="213" t="s">
        <v>3295</v>
      </c>
      <c r="D33" s="194" t="s">
        <v>2367</v>
      </c>
      <c r="E33" s="214" t="s">
        <v>30</v>
      </c>
      <c r="F33" s="194" t="s">
        <v>141</v>
      </c>
      <c r="G33" s="215">
        <v>30317</v>
      </c>
      <c r="H33" s="194" t="s">
        <v>2908</v>
      </c>
      <c r="I33" s="194" t="s">
        <v>2921</v>
      </c>
      <c r="J33" s="213" t="s">
        <v>3295</v>
      </c>
      <c r="K33" s="216">
        <v>2.108433734939763E-2</v>
      </c>
      <c r="L33" s="194" t="s">
        <v>2931</v>
      </c>
      <c r="M33" s="194" t="s">
        <v>2938</v>
      </c>
      <c r="N33" s="214" t="s">
        <v>3292</v>
      </c>
      <c r="O33" s="194" t="s">
        <v>1393</v>
      </c>
      <c r="P33" s="217">
        <v>45870</v>
      </c>
      <c r="Q33" s="196" t="s">
        <v>34</v>
      </c>
      <c r="R33" s="218">
        <v>4869841.7468555318</v>
      </c>
      <c r="S33" s="219">
        <v>4869.8417468555317</v>
      </c>
      <c r="V33" s="194" t="s">
        <v>36</v>
      </c>
      <c r="W33" s="220">
        <v>7.508242409314865E-2</v>
      </c>
      <c r="X33" s="220">
        <v>1.0485111459436945E-2</v>
      </c>
    </row>
    <row r="34" spans="1:24" s="202" customFormat="1">
      <c r="A34" s="194">
        <v>1182</v>
      </c>
      <c r="B34" s="194">
        <v>1182</v>
      </c>
      <c r="C34" s="213" t="s">
        <v>3296</v>
      </c>
      <c r="D34" s="194" t="s">
        <v>2367</v>
      </c>
      <c r="E34" s="214" t="s">
        <v>30</v>
      </c>
      <c r="F34" s="194" t="s">
        <v>141</v>
      </c>
      <c r="G34" s="215">
        <v>30317</v>
      </c>
      <c r="H34" s="194" t="s">
        <v>2908</v>
      </c>
      <c r="I34" s="194" t="s">
        <v>2921</v>
      </c>
      <c r="J34" s="213" t="s">
        <v>3296</v>
      </c>
      <c r="K34" s="216">
        <v>-0.13658536585365855</v>
      </c>
      <c r="L34" s="194" t="s">
        <v>2931</v>
      </c>
      <c r="M34" s="194" t="s">
        <v>2938</v>
      </c>
      <c r="N34" s="214" t="s">
        <v>3292</v>
      </c>
      <c r="O34" s="194" t="s">
        <v>1393</v>
      </c>
      <c r="P34" s="217">
        <v>45808</v>
      </c>
      <c r="Q34" s="196" t="s">
        <v>34</v>
      </c>
      <c r="R34" s="218">
        <v>1271330.3675419309</v>
      </c>
      <c r="S34" s="219">
        <v>1271.3303675419309</v>
      </c>
      <c r="V34" s="194" t="s">
        <v>36</v>
      </c>
      <c r="W34" s="220">
        <v>1.9601163811928189E-2</v>
      </c>
      <c r="X34" s="220">
        <v>2.7372636110919455E-3</v>
      </c>
    </row>
    <row r="35" spans="1:24" s="202" customFormat="1">
      <c r="A35" s="194">
        <v>1182</v>
      </c>
      <c r="B35" s="194">
        <v>1182</v>
      </c>
      <c r="C35" s="221" t="s">
        <v>3297</v>
      </c>
      <c r="D35" s="194" t="s">
        <v>2367</v>
      </c>
      <c r="E35" s="214" t="s">
        <v>30</v>
      </c>
      <c r="F35" s="194" t="s">
        <v>141</v>
      </c>
      <c r="G35" s="215">
        <v>30317</v>
      </c>
      <c r="H35" s="194" t="s">
        <v>2908</v>
      </c>
      <c r="I35" s="194" t="s">
        <v>2921</v>
      </c>
      <c r="J35" s="221" t="s">
        <v>3297</v>
      </c>
      <c r="K35" s="216">
        <v>0</v>
      </c>
      <c r="L35" s="194" t="s">
        <v>2931</v>
      </c>
      <c r="M35" s="194" t="s">
        <v>2938</v>
      </c>
      <c r="N35" s="214" t="s">
        <v>3292</v>
      </c>
      <c r="O35" s="194" t="s">
        <v>1393</v>
      </c>
      <c r="P35" s="217">
        <v>45717</v>
      </c>
      <c r="Q35" s="196" t="s">
        <v>34</v>
      </c>
      <c r="R35" s="218">
        <v>2052803.4974208125</v>
      </c>
      <c r="S35" s="219">
        <v>2052.8034974208126</v>
      </c>
      <c r="V35" s="194" t="s">
        <v>36</v>
      </c>
      <c r="W35" s="220">
        <v>3.1649788799147323E-2</v>
      </c>
      <c r="X35" s="220">
        <v>4.4198301697744528E-3</v>
      </c>
    </row>
    <row r="36" spans="1:24" s="202" customFormat="1">
      <c r="A36" s="194">
        <v>1182</v>
      </c>
      <c r="B36" s="194">
        <v>1182</v>
      </c>
      <c r="C36" s="221" t="s">
        <v>3298</v>
      </c>
      <c r="D36" s="194" t="s">
        <v>2367</v>
      </c>
      <c r="E36" s="214" t="s">
        <v>30</v>
      </c>
      <c r="F36" s="194" t="s">
        <v>141</v>
      </c>
      <c r="G36" s="215">
        <v>30317</v>
      </c>
      <c r="H36" s="194" t="s">
        <v>2908</v>
      </c>
      <c r="I36" s="194" t="s">
        <v>2921</v>
      </c>
      <c r="J36" s="221" t="s">
        <v>3298</v>
      </c>
      <c r="K36" s="216">
        <v>0</v>
      </c>
      <c r="L36" s="194" t="s">
        <v>2931</v>
      </c>
      <c r="M36" s="194" t="s">
        <v>2938</v>
      </c>
      <c r="N36" s="214" t="s">
        <v>3292</v>
      </c>
      <c r="O36" s="194" t="s">
        <v>1393</v>
      </c>
      <c r="P36" s="217">
        <v>45717</v>
      </c>
      <c r="Q36" s="196" t="s">
        <v>34</v>
      </c>
      <c r="R36" s="218">
        <v>6823524.5715527358</v>
      </c>
      <c r="S36" s="219">
        <v>6823.5245715527353</v>
      </c>
      <c r="V36" s="194" t="s">
        <v>36</v>
      </c>
      <c r="W36" s="220">
        <v>0.10520398656119648</v>
      </c>
      <c r="X36" s="220">
        <v>1.469152785614321E-2</v>
      </c>
    </row>
    <row r="37" spans="1:24" s="202" customFormat="1">
      <c r="A37" s="194">
        <v>1182</v>
      </c>
      <c r="B37" s="194">
        <v>1182</v>
      </c>
      <c r="C37" s="213" t="s">
        <v>3299</v>
      </c>
      <c r="D37" s="194" t="s">
        <v>2367</v>
      </c>
      <c r="E37" s="214" t="s">
        <v>30</v>
      </c>
      <c r="F37" s="194" t="s">
        <v>141</v>
      </c>
      <c r="G37" s="215">
        <v>30317</v>
      </c>
      <c r="H37" s="194" t="s">
        <v>2908</v>
      </c>
      <c r="I37" s="194" t="s">
        <v>2921</v>
      </c>
      <c r="J37" s="213" t="s">
        <v>3299</v>
      </c>
      <c r="K37" s="216">
        <v>-6.5306122448979598E-2</v>
      </c>
      <c r="L37" s="194" t="s">
        <v>2931</v>
      </c>
      <c r="M37" s="194" t="s">
        <v>2938</v>
      </c>
      <c r="N37" s="214" t="s">
        <v>3292</v>
      </c>
      <c r="O37" s="194" t="s">
        <v>1393</v>
      </c>
      <c r="P37" s="217">
        <v>45808</v>
      </c>
      <c r="Q37" s="196" t="s">
        <v>34</v>
      </c>
      <c r="R37" s="218">
        <v>1644828.5546163963</v>
      </c>
      <c r="S37" s="219">
        <v>1644.8285546163963</v>
      </c>
      <c r="V37" s="194" t="s">
        <v>36</v>
      </c>
      <c r="W37" s="220">
        <v>2.5359697813172623E-2</v>
      </c>
      <c r="X37" s="220">
        <v>3.5414314516387319E-3</v>
      </c>
    </row>
    <row r="38" spans="1:24" s="202" customFormat="1">
      <c r="A38" s="194">
        <v>1182</v>
      </c>
      <c r="B38" s="194">
        <v>1182</v>
      </c>
      <c r="C38" s="213" t="s">
        <v>3300</v>
      </c>
      <c r="D38" s="194" t="s">
        <v>2367</v>
      </c>
      <c r="E38" s="214" t="s">
        <v>30</v>
      </c>
      <c r="F38" s="194" t="s">
        <v>141</v>
      </c>
      <c r="G38" s="215">
        <v>30317</v>
      </c>
      <c r="H38" s="194" t="s">
        <v>2908</v>
      </c>
      <c r="I38" s="194" t="s">
        <v>2921</v>
      </c>
      <c r="J38" s="213" t="s">
        <v>3300</v>
      </c>
      <c r="K38" s="216">
        <v>-1.8631285053263835E-2</v>
      </c>
      <c r="L38" s="194" t="s">
        <v>2931</v>
      </c>
      <c r="M38" s="194" t="s">
        <v>2938</v>
      </c>
      <c r="N38" s="214" t="s">
        <v>3292</v>
      </c>
      <c r="O38" s="194" t="s">
        <v>1393</v>
      </c>
      <c r="P38" s="217">
        <v>45689</v>
      </c>
      <c r="Q38" s="196" t="s">
        <v>34</v>
      </c>
      <c r="R38" s="218">
        <v>1838760.3055973689</v>
      </c>
      <c r="S38" s="219">
        <v>1838.7603055973689</v>
      </c>
      <c r="V38" s="194" t="s">
        <v>36</v>
      </c>
      <c r="W38" s="220">
        <v>2.8349705852280315E-2</v>
      </c>
      <c r="X38" s="220">
        <v>3.958980138076486E-3</v>
      </c>
    </row>
    <row r="39" spans="1:24" s="202" customFormat="1">
      <c r="A39" s="194">
        <v>1182</v>
      </c>
      <c r="B39" s="194">
        <v>1182</v>
      </c>
      <c r="C39" s="221" t="s">
        <v>3301</v>
      </c>
      <c r="D39" s="194" t="s">
        <v>2367</v>
      </c>
      <c r="E39" s="214" t="s">
        <v>30</v>
      </c>
      <c r="F39" s="194" t="s">
        <v>141</v>
      </c>
      <c r="G39" s="215">
        <v>30317</v>
      </c>
      <c r="H39" s="194" t="s">
        <v>2908</v>
      </c>
      <c r="I39" s="194" t="s">
        <v>2921</v>
      </c>
      <c r="J39" s="221" t="s">
        <v>3301</v>
      </c>
      <c r="K39" s="216">
        <v>-0.11386861313868613</v>
      </c>
      <c r="L39" s="194" t="s">
        <v>2931</v>
      </c>
      <c r="M39" s="194" t="s">
        <v>2938</v>
      </c>
      <c r="N39" s="214" t="s">
        <v>3292</v>
      </c>
      <c r="O39" s="194" t="s">
        <v>1393</v>
      </c>
      <c r="P39" s="217">
        <v>45808</v>
      </c>
      <c r="Q39" s="196" t="s">
        <v>34</v>
      </c>
      <c r="R39" s="218">
        <v>4359873.0683500115</v>
      </c>
      <c r="S39" s="219">
        <v>4359.8730683500116</v>
      </c>
      <c r="V39" s="194" t="s">
        <v>36</v>
      </c>
      <c r="W39" s="220">
        <v>6.7219810360680282E-2</v>
      </c>
      <c r="X39" s="220">
        <v>9.3871130617672952E-3</v>
      </c>
    </row>
    <row r="40" spans="1:24" s="202" customFormat="1">
      <c r="A40" s="194">
        <v>1182</v>
      </c>
      <c r="B40" s="194">
        <v>1182</v>
      </c>
      <c r="C40" s="213" t="s">
        <v>3302</v>
      </c>
      <c r="D40" s="194" t="s">
        <v>2367</v>
      </c>
      <c r="E40" s="214" t="s">
        <v>30</v>
      </c>
      <c r="F40" s="194" t="s">
        <v>141</v>
      </c>
      <c r="G40" s="215">
        <v>30317</v>
      </c>
      <c r="H40" s="194" t="s">
        <v>2908</v>
      </c>
      <c r="I40" s="194" t="s">
        <v>2921</v>
      </c>
      <c r="J40" s="213" t="s">
        <v>3302</v>
      </c>
      <c r="K40" s="216">
        <v>2.0325203252032464E-2</v>
      </c>
      <c r="L40" s="194" t="s">
        <v>2931</v>
      </c>
      <c r="M40" s="194" t="s">
        <v>2938</v>
      </c>
      <c r="N40" s="214" t="s">
        <v>3292</v>
      </c>
      <c r="O40" s="194" t="s">
        <v>1393</v>
      </c>
      <c r="P40" s="217">
        <v>45808</v>
      </c>
      <c r="Q40" s="196" t="s">
        <v>34</v>
      </c>
      <c r="R40" s="218">
        <v>3605694.0367573407</v>
      </c>
      <c r="S40" s="219">
        <v>3605.6940367573407</v>
      </c>
      <c r="V40" s="194" t="s">
        <v>36</v>
      </c>
      <c r="W40" s="220">
        <v>5.559200131970593E-2</v>
      </c>
      <c r="X40" s="220">
        <v>7.7633126145093606E-3</v>
      </c>
    </row>
    <row r="41" spans="1:24" s="202" customFormat="1">
      <c r="A41" s="194">
        <v>1182</v>
      </c>
      <c r="B41" s="194">
        <v>1182</v>
      </c>
      <c r="C41" s="221" t="s">
        <v>3303</v>
      </c>
      <c r="D41" s="194" t="s">
        <v>2367</v>
      </c>
      <c r="E41" s="214" t="s">
        <v>30</v>
      </c>
      <c r="F41" s="194" t="s">
        <v>141</v>
      </c>
      <c r="G41" s="215">
        <v>30317</v>
      </c>
      <c r="H41" s="194" t="s">
        <v>2908</v>
      </c>
      <c r="I41" s="194" t="s">
        <v>2921</v>
      </c>
      <c r="J41" s="221" t="s">
        <v>3303</v>
      </c>
      <c r="K41" s="216">
        <v>0.15422258244041775</v>
      </c>
      <c r="L41" s="194" t="s">
        <v>2931</v>
      </c>
      <c r="M41" s="194" t="s">
        <v>2938</v>
      </c>
      <c r="N41" s="214" t="s">
        <v>3292</v>
      </c>
      <c r="O41" s="194" t="s">
        <v>1393</v>
      </c>
      <c r="P41" s="217">
        <v>45689</v>
      </c>
      <c r="Q41" s="196" t="s">
        <v>34</v>
      </c>
      <c r="R41" s="218">
        <v>11090538.376984296</v>
      </c>
      <c r="S41" s="219">
        <v>11090.538376984296</v>
      </c>
      <c r="V41" s="194" t="s">
        <v>36</v>
      </c>
      <c r="W41" s="220">
        <v>0.17099210798374603</v>
      </c>
      <c r="X41" s="220">
        <v>2.3878708400109531E-2</v>
      </c>
    </row>
    <row r="42" spans="1:24" s="202" customFormat="1">
      <c r="A42" s="194">
        <v>1182</v>
      </c>
      <c r="B42" s="194">
        <v>1182</v>
      </c>
      <c r="C42" s="213" t="s">
        <v>3304</v>
      </c>
      <c r="D42" s="194" t="s">
        <v>2367</v>
      </c>
      <c r="E42" s="214" t="s">
        <v>30</v>
      </c>
      <c r="F42" s="194" t="s">
        <v>141</v>
      </c>
      <c r="G42" s="215">
        <v>30317</v>
      </c>
      <c r="H42" s="194" t="s">
        <v>2908</v>
      </c>
      <c r="I42" s="194" t="s">
        <v>2921</v>
      </c>
      <c r="J42" s="213" t="s">
        <v>3304</v>
      </c>
      <c r="K42" s="216">
        <v>-5.8333333333333348E-2</v>
      </c>
      <c r="L42" s="194" t="s">
        <v>2931</v>
      </c>
      <c r="M42" s="194" t="s">
        <v>2938</v>
      </c>
      <c r="N42" s="214" t="s">
        <v>3292</v>
      </c>
      <c r="O42" s="194" t="s">
        <v>1393</v>
      </c>
      <c r="P42" s="217">
        <v>45870</v>
      </c>
      <c r="Q42" s="196" t="s">
        <v>34</v>
      </c>
      <c r="R42" s="218">
        <v>4869841.7468555318</v>
      </c>
      <c r="S42" s="219">
        <v>4869.8417468555317</v>
      </c>
      <c r="V42" s="194" t="s">
        <v>36</v>
      </c>
      <c r="W42" s="220">
        <v>7.508242409314865E-2</v>
      </c>
      <c r="X42" s="220">
        <v>1.0485111459436945E-2</v>
      </c>
    </row>
    <row r="43" spans="1:24" s="202" customFormat="1">
      <c r="A43" s="194">
        <v>1182</v>
      </c>
      <c r="B43" s="194">
        <v>1182</v>
      </c>
      <c r="C43" s="221" t="s">
        <v>3305</v>
      </c>
      <c r="D43" s="194" t="s">
        <v>2367</v>
      </c>
      <c r="E43" s="214" t="s">
        <v>30</v>
      </c>
      <c r="F43" s="194" t="s">
        <v>141</v>
      </c>
      <c r="G43" s="215">
        <v>30317</v>
      </c>
      <c r="H43" s="194" t="s">
        <v>2908</v>
      </c>
      <c r="I43" s="194" t="s">
        <v>2921</v>
      </c>
      <c r="J43" s="221" t="s">
        <v>3305</v>
      </c>
      <c r="K43" s="216">
        <v>3.9077764751856092E-2</v>
      </c>
      <c r="L43" s="194" t="s">
        <v>2931</v>
      </c>
      <c r="M43" s="194" t="s">
        <v>2938</v>
      </c>
      <c r="N43" s="214" t="s">
        <v>3292</v>
      </c>
      <c r="O43" s="194" t="s">
        <v>1393</v>
      </c>
      <c r="P43" s="217">
        <v>45870</v>
      </c>
      <c r="Q43" s="196" t="s">
        <v>34</v>
      </c>
      <c r="R43" s="218">
        <v>11459211.685742352</v>
      </c>
      <c r="S43" s="219">
        <v>11459.211685742352</v>
      </c>
      <c r="V43" s="194" t="s">
        <v>36</v>
      </c>
      <c r="W43" s="220">
        <v>0.1766762527997188</v>
      </c>
      <c r="X43" s="220">
        <v>2.4672487938621975E-2</v>
      </c>
    </row>
    <row r="44" spans="1:24" s="202" customFormat="1">
      <c r="A44" s="194">
        <v>12904</v>
      </c>
      <c r="B44" s="194">
        <v>12905</v>
      </c>
      <c r="C44" s="213" t="s">
        <v>3291</v>
      </c>
      <c r="D44" s="194" t="s">
        <v>2367</v>
      </c>
      <c r="E44" s="214" t="s">
        <v>30</v>
      </c>
      <c r="F44" s="194" t="s">
        <v>141</v>
      </c>
      <c r="G44" s="215">
        <v>30317</v>
      </c>
      <c r="H44" s="194" t="s">
        <v>2910</v>
      </c>
      <c r="I44" s="194" t="s">
        <v>2921</v>
      </c>
      <c r="J44" s="213" t="s">
        <v>3291</v>
      </c>
      <c r="K44" s="216">
        <v>1.5686274509803866E-2</v>
      </c>
      <c r="L44" s="194" t="s">
        <v>2931</v>
      </c>
      <c r="M44" s="194" t="s">
        <v>2938</v>
      </c>
      <c r="N44" s="214" t="s">
        <v>3292</v>
      </c>
      <c r="O44" s="194" t="s">
        <v>1393</v>
      </c>
      <c r="P44" s="217">
        <v>45717</v>
      </c>
      <c r="Q44" s="196" t="s">
        <v>34</v>
      </c>
      <c r="R44" s="218">
        <v>36684.592054171546</v>
      </c>
      <c r="S44" s="219">
        <v>36.684592054171546</v>
      </c>
      <c r="V44" s="194" t="s">
        <v>36</v>
      </c>
      <c r="W44" s="220">
        <v>5.7363857935473451E-3</v>
      </c>
      <c r="X44" s="220">
        <v>7.5966668149387564E-4</v>
      </c>
    </row>
    <row r="45" spans="1:24" s="202" customFormat="1">
      <c r="A45" s="194">
        <v>12904</v>
      </c>
      <c r="B45" s="194">
        <v>12905</v>
      </c>
      <c r="C45" s="213" t="s">
        <v>3293</v>
      </c>
      <c r="D45" s="194" t="s">
        <v>2367</v>
      </c>
      <c r="E45" s="214" t="s">
        <v>30</v>
      </c>
      <c r="F45" s="194" t="s">
        <v>141</v>
      </c>
      <c r="G45" s="215">
        <v>30317</v>
      </c>
      <c r="H45" s="194" t="s">
        <v>2908</v>
      </c>
      <c r="I45" s="194" t="s">
        <v>2921</v>
      </c>
      <c r="J45" s="213" t="s">
        <v>3293</v>
      </c>
      <c r="K45" s="216">
        <v>9.0499145628102351E-2</v>
      </c>
      <c r="L45" s="194" t="s">
        <v>2931</v>
      </c>
      <c r="M45" s="194" t="s">
        <v>2938</v>
      </c>
      <c r="N45" s="214" t="s">
        <v>3292</v>
      </c>
      <c r="O45" s="194" t="s">
        <v>1393</v>
      </c>
      <c r="P45" s="217">
        <v>45689</v>
      </c>
      <c r="Q45" s="196" t="s">
        <v>34</v>
      </c>
      <c r="R45" s="218">
        <v>505655.54136494116</v>
      </c>
      <c r="S45" s="219">
        <v>505.65554136494114</v>
      </c>
      <c r="V45" s="194" t="s">
        <v>36</v>
      </c>
      <c r="W45" s="220">
        <v>7.906957939265126E-2</v>
      </c>
      <c r="X45" s="220">
        <v>1.0471144575369842E-2</v>
      </c>
    </row>
    <row r="46" spans="1:24" s="202" customFormat="1">
      <c r="A46" s="194">
        <v>12904</v>
      </c>
      <c r="B46" s="194">
        <v>12905</v>
      </c>
      <c r="C46" s="213" t="s">
        <v>3294</v>
      </c>
      <c r="D46" s="194" t="s">
        <v>2367</v>
      </c>
      <c r="E46" s="214" t="s">
        <v>30</v>
      </c>
      <c r="F46" s="194" t="s">
        <v>141</v>
      </c>
      <c r="G46" s="215">
        <v>30317</v>
      </c>
      <c r="H46" s="194" t="s">
        <v>2908</v>
      </c>
      <c r="I46" s="194" t="s">
        <v>2921</v>
      </c>
      <c r="J46" s="213" t="s">
        <v>3294</v>
      </c>
      <c r="K46" s="216">
        <v>1.8716577540107027E-2</v>
      </c>
      <c r="L46" s="194" t="s">
        <v>2931</v>
      </c>
      <c r="M46" s="194" t="s">
        <v>2938</v>
      </c>
      <c r="N46" s="214" t="s">
        <v>3292</v>
      </c>
      <c r="O46" s="194" t="s">
        <v>1393</v>
      </c>
      <c r="P46" s="217">
        <v>45870</v>
      </c>
      <c r="Q46" s="196" t="s">
        <v>34</v>
      </c>
      <c r="R46" s="218">
        <v>539645.92944553506</v>
      </c>
      <c r="S46" s="219">
        <v>539.6459294455351</v>
      </c>
      <c r="V46" s="194" t="s">
        <v>36</v>
      </c>
      <c r="W46" s="220">
        <v>8.4384671325928126E-2</v>
      </c>
      <c r="X46" s="220">
        <v>1.1175019523133847E-2</v>
      </c>
    </row>
    <row r="47" spans="1:24" s="202" customFormat="1">
      <c r="A47" s="194">
        <v>12904</v>
      </c>
      <c r="B47" s="194">
        <v>12905</v>
      </c>
      <c r="C47" s="213" t="s">
        <v>3295</v>
      </c>
      <c r="D47" s="194" t="s">
        <v>2367</v>
      </c>
      <c r="E47" s="214" t="s">
        <v>30</v>
      </c>
      <c r="F47" s="194" t="s">
        <v>141</v>
      </c>
      <c r="G47" s="215">
        <v>30317</v>
      </c>
      <c r="H47" s="194" t="s">
        <v>2908</v>
      </c>
      <c r="I47" s="194" t="s">
        <v>2921</v>
      </c>
      <c r="J47" s="213" t="s">
        <v>3295</v>
      </c>
      <c r="K47" s="216">
        <v>2.108433734939763E-2</v>
      </c>
      <c r="L47" s="194" t="s">
        <v>2931</v>
      </c>
      <c r="M47" s="194" t="s">
        <v>2938</v>
      </c>
      <c r="N47" s="214" t="s">
        <v>3292</v>
      </c>
      <c r="O47" s="194" t="s">
        <v>1393</v>
      </c>
      <c r="P47" s="217">
        <v>45870</v>
      </c>
      <c r="Q47" s="196" t="s">
        <v>34</v>
      </c>
      <c r="R47" s="218">
        <v>480157.40179012174</v>
      </c>
      <c r="S47" s="219">
        <v>480.15740179012175</v>
      </c>
      <c r="V47" s="194" t="s">
        <v>36</v>
      </c>
      <c r="W47" s="220">
        <v>7.508242409314865E-2</v>
      </c>
      <c r="X47" s="220">
        <v>9.9431276071978315E-3</v>
      </c>
    </row>
    <row r="48" spans="1:24" s="202" customFormat="1">
      <c r="A48" s="194">
        <v>12904</v>
      </c>
      <c r="B48" s="194">
        <v>12905</v>
      </c>
      <c r="C48" s="213" t="s">
        <v>3296</v>
      </c>
      <c r="D48" s="194" t="s">
        <v>2367</v>
      </c>
      <c r="E48" s="214" t="s">
        <v>30</v>
      </c>
      <c r="F48" s="194" t="s">
        <v>141</v>
      </c>
      <c r="G48" s="215">
        <v>30317</v>
      </c>
      <c r="H48" s="194" t="s">
        <v>2908</v>
      </c>
      <c r="I48" s="194" t="s">
        <v>2921</v>
      </c>
      <c r="J48" s="213" t="s">
        <v>3296</v>
      </c>
      <c r="K48" s="216">
        <v>-0.13658536585365855</v>
      </c>
      <c r="L48" s="194" t="s">
        <v>2931</v>
      </c>
      <c r="M48" s="194" t="s">
        <v>2938</v>
      </c>
      <c r="N48" s="214" t="s">
        <v>3292</v>
      </c>
      <c r="O48" s="194" t="s">
        <v>1393</v>
      </c>
      <c r="P48" s="217">
        <v>45808</v>
      </c>
      <c r="Q48" s="196" t="s">
        <v>34</v>
      </c>
      <c r="R48" s="218">
        <v>125350.82613104949</v>
      </c>
      <c r="S48" s="219">
        <v>125.35082613104949</v>
      </c>
      <c r="V48" s="194" t="s">
        <v>36</v>
      </c>
      <c r="W48" s="220">
        <v>1.9601163811928186E-2</v>
      </c>
      <c r="X48" s="220">
        <v>2.5957722514366021E-3</v>
      </c>
    </row>
    <row r="49" spans="1:24" s="202" customFormat="1">
      <c r="A49" s="194">
        <v>12904</v>
      </c>
      <c r="B49" s="194">
        <v>12905</v>
      </c>
      <c r="C49" s="221" t="s">
        <v>3297</v>
      </c>
      <c r="D49" s="194" t="s">
        <v>2367</v>
      </c>
      <c r="E49" s="214" t="s">
        <v>30</v>
      </c>
      <c r="F49" s="194" t="s">
        <v>141</v>
      </c>
      <c r="G49" s="215">
        <v>30317</v>
      </c>
      <c r="H49" s="194" t="s">
        <v>2908</v>
      </c>
      <c r="I49" s="194" t="s">
        <v>2921</v>
      </c>
      <c r="J49" s="221" t="s">
        <v>3297</v>
      </c>
      <c r="K49" s="216">
        <v>0</v>
      </c>
      <c r="L49" s="194" t="s">
        <v>2931</v>
      </c>
      <c r="M49" s="194" t="s">
        <v>2938</v>
      </c>
      <c r="N49" s="214" t="s">
        <v>3292</v>
      </c>
      <c r="O49" s="194" t="s">
        <v>1393</v>
      </c>
      <c r="P49" s="217">
        <v>45717</v>
      </c>
      <c r="Q49" s="196" t="s">
        <v>34</v>
      </c>
      <c r="R49" s="218">
        <v>202402.63337996579</v>
      </c>
      <c r="S49" s="219">
        <v>202.40263337996578</v>
      </c>
      <c r="V49" s="194" t="s">
        <v>36</v>
      </c>
      <c r="W49" s="220">
        <v>3.1649788799147323E-2</v>
      </c>
      <c r="X49" s="220">
        <v>4.1913655901727733E-3</v>
      </c>
    </row>
    <row r="50" spans="1:24" s="202" customFormat="1">
      <c r="A50" s="194">
        <v>12904</v>
      </c>
      <c r="B50" s="194">
        <v>12905</v>
      </c>
      <c r="C50" s="221" t="s">
        <v>3298</v>
      </c>
      <c r="D50" s="194" t="s">
        <v>2367</v>
      </c>
      <c r="E50" s="214" t="s">
        <v>30</v>
      </c>
      <c r="F50" s="194" t="s">
        <v>141</v>
      </c>
      <c r="G50" s="215">
        <v>30317</v>
      </c>
      <c r="H50" s="194" t="s">
        <v>2908</v>
      </c>
      <c r="I50" s="194" t="s">
        <v>2921</v>
      </c>
      <c r="J50" s="221" t="s">
        <v>3298</v>
      </c>
      <c r="K50" s="216">
        <v>0</v>
      </c>
      <c r="L50" s="194" t="s">
        <v>2931</v>
      </c>
      <c r="M50" s="194" t="s">
        <v>2938</v>
      </c>
      <c r="N50" s="214" t="s">
        <v>3292</v>
      </c>
      <c r="O50" s="194" t="s">
        <v>1393</v>
      </c>
      <c r="P50" s="217">
        <v>45717</v>
      </c>
      <c r="Q50" s="196" t="s">
        <v>34</v>
      </c>
      <c r="R50" s="218">
        <v>672786.91991241253</v>
      </c>
      <c r="S50" s="219">
        <v>672.78691991241249</v>
      </c>
      <c r="V50" s="194" t="s">
        <v>36</v>
      </c>
      <c r="W50" s="220">
        <v>0.10520398656119649</v>
      </c>
      <c r="X50" s="220">
        <v>1.3932110954038259E-2</v>
      </c>
    </row>
    <row r="51" spans="1:24" s="202" customFormat="1">
      <c r="A51" s="194">
        <v>12904</v>
      </c>
      <c r="B51" s="194">
        <v>12905</v>
      </c>
      <c r="C51" s="213" t="s">
        <v>3299</v>
      </c>
      <c r="D51" s="194" t="s">
        <v>2367</v>
      </c>
      <c r="E51" s="214" t="s">
        <v>30</v>
      </c>
      <c r="F51" s="194" t="s">
        <v>141</v>
      </c>
      <c r="G51" s="215">
        <v>30317</v>
      </c>
      <c r="H51" s="194" t="s">
        <v>2908</v>
      </c>
      <c r="I51" s="194" t="s">
        <v>2921</v>
      </c>
      <c r="J51" s="213" t="s">
        <v>3299</v>
      </c>
      <c r="K51" s="216">
        <v>-6.5306122448979598E-2</v>
      </c>
      <c r="L51" s="194" t="s">
        <v>2931</v>
      </c>
      <c r="M51" s="194" t="s">
        <v>2938</v>
      </c>
      <c r="N51" s="214" t="s">
        <v>3292</v>
      </c>
      <c r="O51" s="194" t="s">
        <v>1393</v>
      </c>
      <c r="P51" s="217">
        <v>45808</v>
      </c>
      <c r="Q51" s="196" t="s">
        <v>34</v>
      </c>
      <c r="R51" s="218">
        <v>162177.05753678153</v>
      </c>
      <c r="S51" s="219">
        <v>162.17705753678155</v>
      </c>
      <c r="V51" s="194" t="s">
        <v>36</v>
      </c>
      <c r="W51" s="220">
        <v>2.5359697813172627E-2</v>
      </c>
      <c r="X51" s="220">
        <v>3.3583720089208017E-3</v>
      </c>
    </row>
    <row r="52" spans="1:24" s="202" customFormat="1">
      <c r="A52" s="194">
        <v>12904</v>
      </c>
      <c r="B52" s="194">
        <v>12905</v>
      </c>
      <c r="C52" s="213" t="s">
        <v>3300</v>
      </c>
      <c r="D52" s="194" t="s">
        <v>2367</v>
      </c>
      <c r="E52" s="214" t="s">
        <v>30</v>
      </c>
      <c r="F52" s="194" t="s">
        <v>141</v>
      </c>
      <c r="G52" s="215">
        <v>30317</v>
      </c>
      <c r="H52" s="194" t="s">
        <v>2908</v>
      </c>
      <c r="I52" s="194" t="s">
        <v>2921</v>
      </c>
      <c r="J52" s="213" t="s">
        <v>3300</v>
      </c>
      <c r="K52" s="216">
        <v>-1.8631285053263835E-2</v>
      </c>
      <c r="L52" s="194" t="s">
        <v>2931</v>
      </c>
      <c r="M52" s="194" t="s">
        <v>2938</v>
      </c>
      <c r="N52" s="214" t="s">
        <v>3292</v>
      </c>
      <c r="O52" s="194" t="s">
        <v>1393</v>
      </c>
      <c r="P52" s="217">
        <v>45689</v>
      </c>
      <c r="Q52" s="196" t="s">
        <v>34</v>
      </c>
      <c r="R52" s="218">
        <v>181298.36999745009</v>
      </c>
      <c r="S52" s="219">
        <v>181.2983699974501</v>
      </c>
      <c r="V52" s="194" t="s">
        <v>36</v>
      </c>
      <c r="W52" s="220">
        <v>2.8349705852280315E-2</v>
      </c>
      <c r="X52" s="220">
        <v>3.7543372676145203E-3</v>
      </c>
    </row>
    <row r="53" spans="1:24" s="202" customFormat="1">
      <c r="A53" s="194">
        <v>12904</v>
      </c>
      <c r="B53" s="194">
        <v>12905</v>
      </c>
      <c r="C53" s="221" t="s">
        <v>3301</v>
      </c>
      <c r="D53" s="194" t="s">
        <v>2367</v>
      </c>
      <c r="E53" s="214" t="s">
        <v>30</v>
      </c>
      <c r="F53" s="194" t="s">
        <v>141</v>
      </c>
      <c r="G53" s="215">
        <v>30317</v>
      </c>
      <c r="H53" s="194" t="s">
        <v>2908</v>
      </c>
      <c r="I53" s="194" t="s">
        <v>2921</v>
      </c>
      <c r="J53" s="221" t="s">
        <v>3301</v>
      </c>
      <c r="K53" s="216">
        <v>-0.11386861313868613</v>
      </c>
      <c r="L53" s="194" t="s">
        <v>2931</v>
      </c>
      <c r="M53" s="194" t="s">
        <v>2938</v>
      </c>
      <c r="N53" s="214" t="s">
        <v>3292</v>
      </c>
      <c r="O53" s="194" t="s">
        <v>1393</v>
      </c>
      <c r="P53" s="217">
        <v>45808</v>
      </c>
      <c r="Q53" s="196" t="s">
        <v>34</v>
      </c>
      <c r="R53" s="218">
        <v>429875.43198614148</v>
      </c>
      <c r="S53" s="219">
        <v>429.87543198614151</v>
      </c>
      <c r="V53" s="194" t="s">
        <v>36</v>
      </c>
      <c r="W53" s="220">
        <v>6.7219810360680282E-2</v>
      </c>
      <c r="X53" s="220">
        <v>8.9018856306328671E-3</v>
      </c>
    </row>
    <row r="54" spans="1:24" s="202" customFormat="1">
      <c r="A54" s="194">
        <v>12904</v>
      </c>
      <c r="B54" s="194">
        <v>12905</v>
      </c>
      <c r="C54" s="213" t="s">
        <v>3302</v>
      </c>
      <c r="D54" s="194" t="s">
        <v>2367</v>
      </c>
      <c r="E54" s="214" t="s">
        <v>30</v>
      </c>
      <c r="F54" s="194" t="s">
        <v>141</v>
      </c>
      <c r="G54" s="215">
        <v>30317</v>
      </c>
      <c r="H54" s="194" t="s">
        <v>2908</v>
      </c>
      <c r="I54" s="194" t="s">
        <v>2921</v>
      </c>
      <c r="J54" s="213" t="s">
        <v>3302</v>
      </c>
      <c r="K54" s="216">
        <v>2.0325203252032464E-2</v>
      </c>
      <c r="L54" s="194" t="s">
        <v>2931</v>
      </c>
      <c r="M54" s="194" t="s">
        <v>2938</v>
      </c>
      <c r="N54" s="214" t="s">
        <v>3292</v>
      </c>
      <c r="O54" s="194" t="s">
        <v>1393</v>
      </c>
      <c r="P54" s="217">
        <v>45808</v>
      </c>
      <c r="Q54" s="196" t="s">
        <v>34</v>
      </c>
      <c r="R54" s="218">
        <v>355514.77241687482</v>
      </c>
      <c r="S54" s="219">
        <v>355.51477241687485</v>
      </c>
      <c r="V54" s="194" t="s">
        <v>36</v>
      </c>
      <c r="W54" s="220">
        <v>5.5592001319705937E-2</v>
      </c>
      <c r="X54" s="220">
        <v>7.3620207357128495E-3</v>
      </c>
    </row>
    <row r="55" spans="1:24" s="202" customFormat="1">
      <c r="A55" s="194">
        <v>12904</v>
      </c>
      <c r="B55" s="194">
        <v>12905</v>
      </c>
      <c r="C55" s="221" t="s">
        <v>3303</v>
      </c>
      <c r="D55" s="194" t="s">
        <v>2367</v>
      </c>
      <c r="E55" s="214" t="s">
        <v>30</v>
      </c>
      <c r="F55" s="194" t="s">
        <v>141</v>
      </c>
      <c r="G55" s="215">
        <v>30317</v>
      </c>
      <c r="H55" s="194" t="s">
        <v>2908</v>
      </c>
      <c r="I55" s="194" t="s">
        <v>2921</v>
      </c>
      <c r="J55" s="221" t="s">
        <v>3303</v>
      </c>
      <c r="K55" s="216">
        <v>0.15422258244041775</v>
      </c>
      <c r="L55" s="194" t="s">
        <v>2931</v>
      </c>
      <c r="M55" s="194" t="s">
        <v>2938</v>
      </c>
      <c r="N55" s="214" t="s">
        <v>3292</v>
      </c>
      <c r="O55" s="194" t="s">
        <v>1393</v>
      </c>
      <c r="P55" s="217">
        <v>45689</v>
      </c>
      <c r="Q55" s="196" t="s">
        <v>34</v>
      </c>
      <c r="R55" s="218">
        <v>1093506.6000830338</v>
      </c>
      <c r="S55" s="219">
        <v>1093.5066000830338</v>
      </c>
      <c r="V55" s="194" t="s">
        <v>36</v>
      </c>
      <c r="W55" s="220">
        <v>0.17099210798374606</v>
      </c>
      <c r="X55" s="220">
        <v>2.2644398739668326E-2</v>
      </c>
    </row>
    <row r="56" spans="1:24" s="202" customFormat="1">
      <c r="A56" s="194">
        <v>12904</v>
      </c>
      <c r="B56" s="194">
        <v>12905</v>
      </c>
      <c r="C56" s="213" t="s">
        <v>3304</v>
      </c>
      <c r="D56" s="194" t="s">
        <v>2367</v>
      </c>
      <c r="E56" s="214" t="s">
        <v>30</v>
      </c>
      <c r="F56" s="194" t="s">
        <v>141</v>
      </c>
      <c r="G56" s="215">
        <v>30317</v>
      </c>
      <c r="H56" s="194" t="s">
        <v>2908</v>
      </c>
      <c r="I56" s="194" t="s">
        <v>2921</v>
      </c>
      <c r="J56" s="213" t="s">
        <v>3304</v>
      </c>
      <c r="K56" s="216">
        <v>-5.8333333333333348E-2</v>
      </c>
      <c r="L56" s="194" t="s">
        <v>2931</v>
      </c>
      <c r="M56" s="194" t="s">
        <v>2938</v>
      </c>
      <c r="N56" s="214" t="s">
        <v>3292</v>
      </c>
      <c r="O56" s="194" t="s">
        <v>1393</v>
      </c>
      <c r="P56" s="217">
        <v>45870</v>
      </c>
      <c r="Q56" s="196" t="s">
        <v>34</v>
      </c>
      <c r="R56" s="218">
        <v>480157.40179012174</v>
      </c>
      <c r="S56" s="219">
        <v>480.15740179012175</v>
      </c>
      <c r="V56" s="194" t="s">
        <v>36</v>
      </c>
      <c r="W56" s="220">
        <v>7.508242409314865E-2</v>
      </c>
      <c r="X56" s="220">
        <v>9.9431276071978315E-3</v>
      </c>
    </row>
    <row r="57" spans="1:24" s="202" customFormat="1">
      <c r="A57" s="194">
        <v>12904</v>
      </c>
      <c r="B57" s="194">
        <v>12905</v>
      </c>
      <c r="C57" s="221" t="s">
        <v>3305</v>
      </c>
      <c r="D57" s="194" t="s">
        <v>2367</v>
      </c>
      <c r="E57" s="214" t="s">
        <v>30</v>
      </c>
      <c r="F57" s="194" t="s">
        <v>141</v>
      </c>
      <c r="G57" s="215">
        <v>30317</v>
      </c>
      <c r="H57" s="194" t="s">
        <v>2908</v>
      </c>
      <c r="I57" s="194" t="s">
        <v>2921</v>
      </c>
      <c r="J57" s="221" t="s">
        <v>3305</v>
      </c>
      <c r="K57" s="216">
        <v>3.9077764751856092E-2</v>
      </c>
      <c r="L57" s="194" t="s">
        <v>2931</v>
      </c>
      <c r="M57" s="194" t="s">
        <v>2938</v>
      </c>
      <c r="N57" s="214" t="s">
        <v>3292</v>
      </c>
      <c r="O57" s="194" t="s">
        <v>1393</v>
      </c>
      <c r="P57" s="217">
        <v>45870</v>
      </c>
      <c r="Q57" s="196" t="s">
        <v>34</v>
      </c>
      <c r="R57" s="218">
        <v>1129857.1073981714</v>
      </c>
      <c r="S57" s="219">
        <v>1129.8571073981714</v>
      </c>
      <c r="V57" s="194" t="s">
        <v>36</v>
      </c>
      <c r="W57" s="220">
        <v>0.1766762527997188</v>
      </c>
      <c r="X57" s="220">
        <v>2.3397147174813303E-2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57" xr:uid="{E15FDCC5-5D7E-49F9-BC4E-2593ADC88A04}">
      <formula1>Holding_interest</formula1>
    </dataValidation>
    <dataValidation type="list" allowBlank="1" showInputMessage="1" showErrorMessage="1" sqref="V2:V57" xr:uid="{754C7A8E-7F8E-4FD4-ACF6-33ED3675F03B}">
      <formula1>In_the_books</formula1>
    </dataValidation>
    <dataValidation type="list" allowBlank="1" showInputMessage="1" showErrorMessage="1" sqref="L2:L57" xr:uid="{F2D21AA9-0707-45B8-9FF4-268178507DAB}">
      <formula1>Valuation_Method</formula1>
    </dataValidation>
    <dataValidation type="list" allowBlank="1" showInputMessage="1" showErrorMessage="1" sqref="O2:O57" xr:uid="{D2DDB12A-07A6-4C55-A650-585E69882415}">
      <formula1>Dependence_Independence</formula1>
    </dataValidation>
    <dataValidation type="list" allowBlank="1" showInputMessage="1" showErrorMessage="1" sqref="E2:E57" xr:uid="{093D737A-122E-4CDB-B5A6-0ADD4247D408}">
      <formula1>Country_list</formula1>
    </dataValidation>
    <dataValidation type="list" allowBlank="1" showInputMessage="1" showErrorMessage="1" sqref="I2:I57" xr:uid="{726ECAAD-D8D5-4C92-84F2-9F52DA1A706A}">
      <formula1>real_estate_lifestage</formula1>
    </dataValidation>
    <dataValidation type="list" allowBlank="1" showInputMessage="1" showErrorMessage="1" sqref="M2:M57" xr:uid="{2A65F6DA-239B-4807-8F5A-5D7743D40AE9}">
      <formula1>Valuation_Realestate</formula1>
    </dataValidation>
    <dataValidation type="list" allowBlank="1" showInputMessage="1" showErrorMessage="1" sqref="H2:H57" xr:uid="{E2B32EC7-91FE-4202-A7B9-2AD665B9A679}">
      <formula1>Real_Estate_Main_Use</formula1>
    </dataValidation>
  </dataValidation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121</v>
      </c>
      <c r="E1" s="19" t="s">
        <v>122</v>
      </c>
      <c r="F1" s="19" t="s">
        <v>3</v>
      </c>
      <c r="G1" s="19" t="s">
        <v>4</v>
      </c>
      <c r="H1" s="19" t="s">
        <v>123</v>
      </c>
      <c r="I1" s="19" t="s">
        <v>5</v>
      </c>
      <c r="J1" s="19" t="s">
        <v>6</v>
      </c>
      <c r="K1" s="19" t="s">
        <v>7</v>
      </c>
      <c r="L1" s="19" t="s">
        <v>124</v>
      </c>
      <c r="M1" s="19" t="s">
        <v>125</v>
      </c>
      <c r="N1" s="19" t="s">
        <v>11</v>
      </c>
      <c r="O1" s="19" t="s">
        <v>1349</v>
      </c>
      <c r="P1" s="19" t="s">
        <v>1350</v>
      </c>
      <c r="Q1" s="19" t="s">
        <v>1352</v>
      </c>
      <c r="R1" s="19" t="s">
        <v>1353</v>
      </c>
      <c r="S1" s="19" t="s">
        <v>2368</v>
      </c>
      <c r="T1" s="19" t="s">
        <v>2369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1"/>
      <c r="M2" s="20"/>
      <c r="N2" s="18"/>
      <c r="O2" s="20"/>
      <c r="P2" s="20"/>
      <c r="Q2" s="20"/>
      <c r="R2" s="20"/>
      <c r="S2" s="20"/>
      <c r="T2" s="21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1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1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1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1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1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1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1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1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1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1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1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1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1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1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1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1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1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9"/>
      <c r="E20" s="18"/>
      <c r="H20" s="20"/>
      <c r="I20" s="20"/>
      <c r="J20" s="18"/>
      <c r="K20" s="18"/>
      <c r="L20" s="21"/>
      <c r="M20" s="20"/>
      <c r="O20" s="20"/>
      <c r="P20" s="20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0"/>
  <sheetViews>
    <sheetView rightToLeft="1" workbookViewId="0">
      <selection activeCell="A2" sqref="A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2370</v>
      </c>
      <c r="D1" s="19" t="s">
        <v>2371</v>
      </c>
      <c r="E1" s="19" t="s">
        <v>5</v>
      </c>
      <c r="F1" s="19" t="s">
        <v>6</v>
      </c>
      <c r="G1" s="19" t="s">
        <v>7</v>
      </c>
      <c r="H1" s="19" t="s">
        <v>125</v>
      </c>
      <c r="I1" s="176" t="s">
        <v>2372</v>
      </c>
      <c r="J1" s="19" t="s">
        <v>11</v>
      </c>
      <c r="K1" s="176" t="s">
        <v>1352</v>
      </c>
      <c r="L1" s="19" t="s">
        <v>2354</v>
      </c>
      <c r="M1" s="161" t="s">
        <v>18</v>
      </c>
      <c r="N1" s="19" t="s">
        <v>20</v>
      </c>
      <c r="O1" s="19" t="s">
        <v>21</v>
      </c>
      <c r="P1" s="19" t="s">
        <v>22</v>
      </c>
      <c r="Q1" s="163" t="s">
        <v>24</v>
      </c>
      <c r="R1" s="163" t="s">
        <v>25</v>
      </c>
    </row>
    <row r="2" spans="1:18">
      <c r="A2" s="20">
        <v>1182</v>
      </c>
      <c r="B2" s="20">
        <v>1182</v>
      </c>
      <c r="C2" s="37" t="s">
        <v>2373</v>
      </c>
      <c r="D2" s="37" t="s">
        <v>2374</v>
      </c>
      <c r="E2" s="37" t="s">
        <v>2375</v>
      </c>
      <c r="F2" s="18" t="s">
        <v>30</v>
      </c>
      <c r="G2" s="18" t="s">
        <v>30</v>
      </c>
      <c r="H2" s="20" t="s">
        <v>141</v>
      </c>
      <c r="I2" s="20"/>
      <c r="J2" s="18" t="s">
        <v>34</v>
      </c>
      <c r="K2" s="177" t="s">
        <v>1394</v>
      </c>
      <c r="L2" s="153">
        <v>-170.101</v>
      </c>
      <c r="M2" s="170">
        <v>1</v>
      </c>
      <c r="N2" s="155">
        <v>-170.101</v>
      </c>
      <c r="O2" s="20"/>
      <c r="P2" s="18" t="s">
        <v>36</v>
      </c>
      <c r="Q2" s="169">
        <v>1.19749359100271</v>
      </c>
      <c r="R2" s="169">
        <v>-3.6841519762310102E-4</v>
      </c>
    </row>
    <row r="3" spans="1:18">
      <c r="A3" s="20">
        <v>1182</v>
      </c>
      <c r="B3" s="20">
        <v>1182</v>
      </c>
      <c r="C3" s="27" t="s">
        <v>2376</v>
      </c>
      <c r="D3" s="20" t="s">
        <v>2377</v>
      </c>
      <c r="E3" s="37" t="s">
        <v>2375</v>
      </c>
      <c r="F3" s="18" t="s">
        <v>30</v>
      </c>
      <c r="G3" s="18" t="s">
        <v>30</v>
      </c>
      <c r="H3" s="20" t="s">
        <v>141</v>
      </c>
      <c r="I3" s="20"/>
      <c r="J3" s="18" t="s">
        <v>34</v>
      </c>
      <c r="K3" s="177" t="s">
        <v>1394</v>
      </c>
      <c r="L3" s="153">
        <v>28.956</v>
      </c>
      <c r="M3" s="170">
        <v>1</v>
      </c>
      <c r="N3" s="155">
        <v>28.956</v>
      </c>
      <c r="O3" s="20"/>
      <c r="P3" s="18" t="s">
        <v>36</v>
      </c>
      <c r="Q3" s="169">
        <v>-0.20384699255373401</v>
      </c>
      <c r="R3" s="169">
        <v>6.2714598734239294E-5</v>
      </c>
    </row>
    <row r="4" spans="1:18">
      <c r="A4" s="20">
        <v>1182</v>
      </c>
      <c r="B4" s="20">
        <v>1182</v>
      </c>
      <c r="C4" s="27" t="s">
        <v>2378</v>
      </c>
      <c r="D4" s="20" t="s">
        <v>2379</v>
      </c>
      <c r="E4" s="37" t="s">
        <v>2380</v>
      </c>
      <c r="F4" s="18" t="s">
        <v>30</v>
      </c>
      <c r="G4" s="18" t="s">
        <v>30</v>
      </c>
      <c r="H4" s="20" t="s">
        <v>141</v>
      </c>
      <c r="I4" s="20" t="s">
        <v>2322</v>
      </c>
      <c r="J4" s="18" t="s">
        <v>34</v>
      </c>
      <c r="K4" s="177" t="s">
        <v>1394</v>
      </c>
      <c r="L4" s="153">
        <v>2.9409999999999998</v>
      </c>
      <c r="M4" s="170">
        <v>1</v>
      </c>
      <c r="N4" s="155">
        <v>2.3929999999999998</v>
      </c>
      <c r="O4" s="20"/>
      <c r="P4" s="18" t="s">
        <v>36</v>
      </c>
      <c r="Q4" s="169">
        <v>-1.6842950501442799E-2</v>
      </c>
      <c r="R4" s="169">
        <v>5.1818222528850901E-6</v>
      </c>
    </row>
    <row r="5" spans="1:18">
      <c r="A5" s="20">
        <v>1182</v>
      </c>
      <c r="B5" s="20">
        <v>1182</v>
      </c>
      <c r="C5" s="27" t="s">
        <v>2381</v>
      </c>
      <c r="D5" s="20" t="s">
        <v>2382</v>
      </c>
      <c r="E5" s="37" t="s">
        <v>2383</v>
      </c>
      <c r="F5" s="18" t="s">
        <v>30</v>
      </c>
      <c r="G5" s="18" t="s">
        <v>30</v>
      </c>
      <c r="H5" s="20" t="s">
        <v>141</v>
      </c>
      <c r="I5" s="20"/>
      <c r="J5" s="18" t="s">
        <v>34</v>
      </c>
      <c r="K5" s="177" t="s">
        <v>1394</v>
      </c>
      <c r="L5" s="153">
        <v>-3.2949999999999999</v>
      </c>
      <c r="M5" s="170">
        <v>1</v>
      </c>
      <c r="N5" s="155">
        <v>-3.2949999999999999</v>
      </c>
      <c r="O5" s="20"/>
      <c r="P5" s="18" t="s">
        <v>36</v>
      </c>
      <c r="Q5" s="169">
        <v>2.31963520524626E-2</v>
      </c>
      <c r="R5" s="169">
        <v>-7.1364796352581504E-6</v>
      </c>
    </row>
    <row r="6" spans="1:18">
      <c r="A6" s="20">
        <v>1182</v>
      </c>
      <c r="B6" s="20">
        <v>14769</v>
      </c>
      <c r="C6" s="27" t="s">
        <v>2373</v>
      </c>
      <c r="D6" s="20" t="s">
        <v>2374</v>
      </c>
      <c r="E6" s="37" t="s">
        <v>2375</v>
      </c>
      <c r="F6" s="18" t="s">
        <v>30</v>
      </c>
      <c r="G6" s="18" t="s">
        <v>30</v>
      </c>
      <c r="H6" s="20" t="s">
        <v>141</v>
      </c>
      <c r="I6" s="20"/>
      <c r="J6" s="18" t="s">
        <v>34</v>
      </c>
      <c r="K6" s="177" t="s">
        <v>1394</v>
      </c>
      <c r="L6" s="153">
        <v>-10.678000000000001</v>
      </c>
      <c r="M6" s="170">
        <v>1</v>
      </c>
      <c r="N6" s="155">
        <v>-10.678000000000001</v>
      </c>
      <c r="O6" s="20"/>
      <c r="P6" s="18" t="s">
        <v>36</v>
      </c>
      <c r="Q6" s="169">
        <v>0.82527802316621401</v>
      </c>
      <c r="R6" s="169">
        <v>-3.70534206646616E-4</v>
      </c>
    </row>
    <row r="7" spans="1:18">
      <c r="A7" s="20">
        <v>1182</v>
      </c>
      <c r="B7" s="20">
        <v>14769</v>
      </c>
      <c r="C7" s="27" t="s">
        <v>2376</v>
      </c>
      <c r="D7" s="20" t="s">
        <v>2377</v>
      </c>
      <c r="E7" s="37" t="s">
        <v>2375</v>
      </c>
      <c r="F7" s="18" t="s">
        <v>30</v>
      </c>
      <c r="G7" s="18" t="s">
        <v>30</v>
      </c>
      <c r="H7" s="20" t="s">
        <v>141</v>
      </c>
      <c r="I7" s="20"/>
      <c r="J7" s="18" t="s">
        <v>34</v>
      </c>
      <c r="K7" s="177" t="s">
        <v>1394</v>
      </c>
      <c r="L7" s="153">
        <v>4.0000000000000001E-3</v>
      </c>
      <c r="M7" s="170">
        <v>1</v>
      </c>
      <c r="N7" s="155">
        <v>4.0000000000000001E-3</v>
      </c>
      <c r="O7" s="20"/>
      <c r="P7" s="18" t="s">
        <v>36</v>
      </c>
      <c r="Q7" s="169">
        <v>-3.1842530955654598E-4</v>
      </c>
      <c r="R7" s="169">
        <v>1.4296693494887199E-7</v>
      </c>
    </row>
    <row r="8" spans="1:18">
      <c r="A8" s="20">
        <v>1182</v>
      </c>
      <c r="B8" s="20">
        <v>14769</v>
      </c>
      <c r="C8" s="27" t="s">
        <v>2381</v>
      </c>
      <c r="D8" s="20" t="s">
        <v>2382</v>
      </c>
      <c r="E8" s="37" t="s">
        <v>2383</v>
      </c>
      <c r="F8" s="18" t="s">
        <v>30</v>
      </c>
      <c r="G8" s="18" t="s">
        <v>30</v>
      </c>
      <c r="H8" s="20" t="s">
        <v>141</v>
      </c>
      <c r="I8" s="20"/>
      <c r="J8" s="18" t="s">
        <v>34</v>
      </c>
      <c r="K8" s="177" t="s">
        <v>1394</v>
      </c>
      <c r="L8" s="153">
        <v>-2.2650000000000001</v>
      </c>
      <c r="M8" s="170">
        <v>1</v>
      </c>
      <c r="N8" s="155">
        <v>-2.2650000000000001</v>
      </c>
      <c r="O8" s="20"/>
      <c r="P8" s="18" t="s">
        <v>36</v>
      </c>
      <c r="Q8" s="169">
        <v>0.17504040214334199</v>
      </c>
      <c r="R8" s="169">
        <v>-7.8589826359916695E-5</v>
      </c>
    </row>
    <row r="9" spans="1:18">
      <c r="A9" s="20">
        <v>12904</v>
      </c>
      <c r="B9" s="20">
        <v>12905</v>
      </c>
      <c r="C9" s="27" t="s">
        <v>2373</v>
      </c>
      <c r="D9" s="20" t="s">
        <v>2374</v>
      </c>
      <c r="E9" s="37" t="s">
        <v>2375</v>
      </c>
      <c r="F9" s="18" t="s">
        <v>30</v>
      </c>
      <c r="G9" s="18" t="s">
        <v>30</v>
      </c>
      <c r="H9" s="20" t="s">
        <v>141</v>
      </c>
      <c r="I9" s="20"/>
      <c r="J9" s="18" t="s">
        <v>34</v>
      </c>
      <c r="K9" s="177" t="s">
        <v>1394</v>
      </c>
      <c r="L9" s="153">
        <v>-17.591000000000001</v>
      </c>
      <c r="M9" s="170">
        <v>1</v>
      </c>
      <c r="N9" s="155">
        <v>-17.591000000000001</v>
      </c>
      <c r="O9" s="20"/>
      <c r="P9" s="18" t="s">
        <v>36</v>
      </c>
      <c r="Q9" s="169">
        <v>1.0439385271293899</v>
      </c>
      <c r="R9" s="169">
        <v>-3.6487534837308398E-4</v>
      </c>
    </row>
    <row r="10" spans="1:18">
      <c r="A10" s="20">
        <v>12904</v>
      </c>
      <c r="B10" s="20">
        <v>12905</v>
      </c>
      <c r="C10" s="27" t="s">
        <v>2376</v>
      </c>
      <c r="D10" s="20" t="s">
        <v>2377</v>
      </c>
      <c r="E10" s="37" t="s">
        <v>2375</v>
      </c>
      <c r="F10" s="18" t="s">
        <v>30</v>
      </c>
      <c r="G10" s="18" t="s">
        <v>30</v>
      </c>
      <c r="H10" s="20" t="s">
        <v>141</v>
      </c>
      <c r="I10" s="20"/>
      <c r="J10" s="18" t="s">
        <v>34</v>
      </c>
      <c r="K10" s="177" t="s">
        <v>1394</v>
      </c>
      <c r="L10" s="153">
        <v>2.8769999999999998</v>
      </c>
      <c r="M10" s="170">
        <v>1</v>
      </c>
      <c r="N10" s="155">
        <v>2.8769999999999998</v>
      </c>
      <c r="O10" s="20"/>
      <c r="P10" s="18" t="s">
        <v>36</v>
      </c>
      <c r="Q10" s="169">
        <v>-0.17075480879933699</v>
      </c>
      <c r="R10" s="169">
        <v>5.9681886172321701E-5</v>
      </c>
    </row>
    <row r="11" spans="1:18">
      <c r="A11" s="20">
        <v>12904</v>
      </c>
      <c r="B11" s="20">
        <v>12905</v>
      </c>
      <c r="C11" s="27" t="s">
        <v>2381</v>
      </c>
      <c r="D11" s="20" t="s">
        <v>2382</v>
      </c>
      <c r="E11" s="37" t="s">
        <v>2383</v>
      </c>
      <c r="F11" s="18" t="s">
        <v>30</v>
      </c>
      <c r="G11" s="18" t="s">
        <v>30</v>
      </c>
      <c r="H11" s="20" t="s">
        <v>141</v>
      </c>
      <c r="I11" s="20"/>
      <c r="J11" s="18" t="s">
        <v>34</v>
      </c>
      <c r="K11" s="177" t="s">
        <v>1394</v>
      </c>
      <c r="L11" s="153">
        <v>-2.137</v>
      </c>
      <c r="M11" s="170">
        <v>1</v>
      </c>
      <c r="N11" s="155">
        <v>-2.137</v>
      </c>
      <c r="O11" s="20"/>
      <c r="P11" s="18" t="s">
        <v>36</v>
      </c>
      <c r="Q11" s="169">
        <v>0.12681628166994599</v>
      </c>
      <c r="R11" s="169">
        <v>-4.4324578268932499E-5</v>
      </c>
    </row>
    <row r="12" spans="1:18">
      <c r="A12" s="20">
        <v>12904</v>
      </c>
      <c r="B12" s="20">
        <v>13680</v>
      </c>
      <c r="C12" s="27" t="s">
        <v>2373</v>
      </c>
      <c r="D12" s="20" t="s">
        <v>2374</v>
      </c>
      <c r="E12" s="37" t="s">
        <v>2375</v>
      </c>
      <c r="F12" s="18" t="s">
        <v>30</v>
      </c>
      <c r="G12" s="18" t="s">
        <v>30</v>
      </c>
      <c r="H12" s="20" t="s">
        <v>141</v>
      </c>
      <c r="I12" s="20"/>
      <c r="J12" s="18" t="s">
        <v>34</v>
      </c>
      <c r="K12" s="177" t="s">
        <v>1394</v>
      </c>
      <c r="L12" s="153">
        <v>-19.940000000000001</v>
      </c>
      <c r="M12" s="170">
        <v>1</v>
      </c>
      <c r="N12" s="155">
        <v>-19.940000000000001</v>
      </c>
      <c r="O12" s="20"/>
      <c r="P12" s="18" t="s">
        <v>36</v>
      </c>
      <c r="Q12" s="169">
        <v>0.648806494647447</v>
      </c>
      <c r="R12" s="169">
        <v>-3.7224862922390301E-4</v>
      </c>
    </row>
    <row r="13" spans="1:18">
      <c r="A13" s="20">
        <v>12904</v>
      </c>
      <c r="B13" s="20">
        <v>13680</v>
      </c>
      <c r="C13" s="27" t="s">
        <v>2376</v>
      </c>
      <c r="D13" s="20" t="s">
        <v>2377</v>
      </c>
      <c r="E13" s="37" t="s">
        <v>2375</v>
      </c>
      <c r="F13" s="18" t="s">
        <v>30</v>
      </c>
      <c r="G13" s="18" t="s">
        <v>30</v>
      </c>
      <c r="H13" s="20" t="s">
        <v>141</v>
      </c>
      <c r="I13" s="20"/>
      <c r="J13" s="18" t="s">
        <v>34</v>
      </c>
      <c r="K13" s="177" t="s">
        <v>1394</v>
      </c>
      <c r="L13" s="153">
        <v>6.7000000000000004E-2</v>
      </c>
      <c r="M13" s="170">
        <v>1</v>
      </c>
      <c r="N13" s="155">
        <v>6.7000000000000004E-2</v>
      </c>
      <c r="O13" s="20"/>
      <c r="P13" s="18" t="s">
        <v>36</v>
      </c>
      <c r="Q13" s="169">
        <v>-2.16802785279667E-3</v>
      </c>
      <c r="R13" s="169">
        <v>1.2438922898904399E-6</v>
      </c>
    </row>
    <row r="14" spans="1:18">
      <c r="A14" s="20">
        <v>12904</v>
      </c>
      <c r="B14" s="20">
        <v>13680</v>
      </c>
      <c r="C14" s="27" t="s">
        <v>2381</v>
      </c>
      <c r="D14" s="20" t="s">
        <v>2382</v>
      </c>
      <c r="E14" s="37" t="s">
        <v>2383</v>
      </c>
      <c r="F14" s="18" t="s">
        <v>30</v>
      </c>
      <c r="G14" s="18" t="s">
        <v>30</v>
      </c>
      <c r="H14" s="20" t="s">
        <v>141</v>
      </c>
      <c r="I14" s="20"/>
      <c r="J14" s="18" t="s">
        <v>34</v>
      </c>
      <c r="K14" s="177" t="s">
        <v>1394</v>
      </c>
      <c r="L14" s="153">
        <v>-10.86</v>
      </c>
      <c r="M14" s="170">
        <v>1</v>
      </c>
      <c r="N14" s="155">
        <v>-10.86</v>
      </c>
      <c r="O14" s="20"/>
      <c r="P14" s="18" t="s">
        <v>36</v>
      </c>
      <c r="Q14" s="169">
        <v>0.35336153320534902</v>
      </c>
      <c r="R14" s="169">
        <v>-2.0273894827089301E-4</v>
      </c>
    </row>
    <row r="15" spans="1:18">
      <c r="A15" s="20">
        <v>424</v>
      </c>
      <c r="B15" s="20">
        <v>7228</v>
      </c>
      <c r="C15" s="27" t="s">
        <v>2373</v>
      </c>
      <c r="D15" s="20" t="s">
        <v>2374</v>
      </c>
      <c r="E15" s="37" t="s">
        <v>2375</v>
      </c>
      <c r="F15" s="18" t="s">
        <v>30</v>
      </c>
      <c r="G15" s="18" t="s">
        <v>30</v>
      </c>
      <c r="H15" s="20" t="s">
        <v>141</v>
      </c>
      <c r="I15" s="20"/>
      <c r="J15" s="18" t="s">
        <v>34</v>
      </c>
      <c r="K15" s="177" t="s">
        <v>1394</v>
      </c>
      <c r="L15" s="153">
        <v>3189.1039999999998</v>
      </c>
      <c r="M15" s="170">
        <v>1</v>
      </c>
      <c r="N15" s="155">
        <v>3189.1039999999998</v>
      </c>
      <c r="O15" s="20"/>
      <c r="P15" s="18" t="s">
        <v>36</v>
      </c>
      <c r="Q15" s="169">
        <v>0.94465831566925795</v>
      </c>
      <c r="R15" s="169">
        <v>1.2479553336078E-3</v>
      </c>
    </row>
    <row r="16" spans="1:18">
      <c r="A16" s="20">
        <v>424</v>
      </c>
      <c r="B16" s="20">
        <v>7228</v>
      </c>
      <c r="C16" s="27" t="s">
        <v>2376</v>
      </c>
      <c r="D16" s="20" t="s">
        <v>2377</v>
      </c>
      <c r="E16" s="37" t="s">
        <v>2375</v>
      </c>
      <c r="F16" s="18" t="s">
        <v>30</v>
      </c>
      <c r="G16" s="18" t="s">
        <v>30</v>
      </c>
      <c r="H16" s="20" t="s">
        <v>141</v>
      </c>
      <c r="I16" s="20"/>
      <c r="J16" s="18" t="s">
        <v>34</v>
      </c>
      <c r="K16" s="177" t="s">
        <v>1394</v>
      </c>
      <c r="L16" s="153">
        <v>536.29399999999998</v>
      </c>
      <c r="M16" s="170">
        <v>1</v>
      </c>
      <c r="N16" s="155">
        <v>536.29399999999998</v>
      </c>
      <c r="O16" s="20"/>
      <c r="P16" s="18" t="s">
        <v>36</v>
      </c>
      <c r="Q16" s="169">
        <v>0.15885805155498101</v>
      </c>
      <c r="R16" s="169">
        <v>2.0986186162361701E-4</v>
      </c>
    </row>
    <row r="17" spans="1:18">
      <c r="A17" s="20">
        <v>424</v>
      </c>
      <c r="B17" s="20">
        <v>7228</v>
      </c>
      <c r="C17" s="27" t="s">
        <v>2378</v>
      </c>
      <c r="D17" s="20" t="s">
        <v>2379</v>
      </c>
      <c r="E17" s="37" t="s">
        <v>2380</v>
      </c>
      <c r="F17" s="18" t="s">
        <v>30</v>
      </c>
      <c r="G17" s="18" t="s">
        <v>30</v>
      </c>
      <c r="H17" s="20" t="s">
        <v>141</v>
      </c>
      <c r="I17" s="20" t="s">
        <v>2322</v>
      </c>
      <c r="J17" s="18" t="s">
        <v>34</v>
      </c>
      <c r="K17" s="177" t="s">
        <v>1394</v>
      </c>
      <c r="L17" s="153">
        <v>21.765000000000001</v>
      </c>
      <c r="M17" s="170">
        <v>1</v>
      </c>
      <c r="N17" s="155">
        <v>17.706</v>
      </c>
      <c r="O17" s="20"/>
      <c r="P17" s="18" t="s">
        <v>36</v>
      </c>
      <c r="Q17" s="169">
        <v>5.2447193648655598E-3</v>
      </c>
      <c r="R17" s="169">
        <v>6.92861683012132E-6</v>
      </c>
    </row>
    <row r="18" spans="1:18">
      <c r="A18" s="20">
        <v>424</v>
      </c>
      <c r="B18" s="20">
        <v>7228</v>
      </c>
      <c r="C18" s="27" t="s">
        <v>2384</v>
      </c>
      <c r="D18" s="20" t="s">
        <v>2385</v>
      </c>
      <c r="E18" s="37" t="s">
        <v>2380</v>
      </c>
      <c r="F18" s="18"/>
      <c r="G18" s="18" t="s">
        <v>30</v>
      </c>
      <c r="H18" s="20" t="s">
        <v>141</v>
      </c>
      <c r="I18" s="20" t="s">
        <v>2386</v>
      </c>
      <c r="J18" s="18" t="s">
        <v>34</v>
      </c>
      <c r="K18" s="177" t="s">
        <v>1361</v>
      </c>
      <c r="L18" s="153">
        <v>1.3959999999999999</v>
      </c>
      <c r="M18" s="170">
        <v>1</v>
      </c>
      <c r="N18" s="155">
        <v>0.251</v>
      </c>
      <c r="O18" s="20"/>
      <c r="P18" s="18" t="s">
        <v>36</v>
      </c>
      <c r="Q18" s="169">
        <v>7.4423132897685602E-5</v>
      </c>
      <c r="R18" s="169">
        <v>9.8317819366962095E-8</v>
      </c>
    </row>
    <row r="19" spans="1:18">
      <c r="A19" s="20">
        <v>424</v>
      </c>
      <c r="B19" s="20">
        <v>7228</v>
      </c>
      <c r="C19" s="27" t="s">
        <v>2381</v>
      </c>
      <c r="D19" s="20" t="s">
        <v>2382</v>
      </c>
      <c r="E19" s="37" t="s">
        <v>2383</v>
      </c>
      <c r="F19" s="18" t="s">
        <v>30</v>
      </c>
      <c r="G19" s="18" t="s">
        <v>30</v>
      </c>
      <c r="H19" s="20" t="s">
        <v>141</v>
      </c>
      <c r="I19" s="20"/>
      <c r="J19" s="18" t="s">
        <v>34</v>
      </c>
      <c r="K19" s="177" t="s">
        <v>1394</v>
      </c>
      <c r="L19" s="153">
        <v>-367.42200000000003</v>
      </c>
      <c r="M19" s="170">
        <v>1</v>
      </c>
      <c r="N19" s="155">
        <v>-367.42200000000003</v>
      </c>
      <c r="O19" s="20"/>
      <c r="P19" s="18" t="s">
        <v>36</v>
      </c>
      <c r="Q19" s="169">
        <v>-0.108835509722002</v>
      </c>
      <c r="R19" s="169">
        <v>-1.4377881673255599E-4</v>
      </c>
    </row>
    <row r="20" spans="1:18">
      <c r="A20" s="3">
        <v>424</v>
      </c>
      <c r="B20" s="3">
        <v>7229</v>
      </c>
      <c r="C20" s="3" t="s">
        <v>2373</v>
      </c>
      <c r="D20" s="3" t="s">
        <v>2374</v>
      </c>
      <c r="E20" s="37" t="s">
        <v>2375</v>
      </c>
      <c r="F20" s="18" t="s">
        <v>30</v>
      </c>
      <c r="G20" s="18" t="s">
        <v>30</v>
      </c>
      <c r="H20" s="20" t="s">
        <v>141</v>
      </c>
      <c r="J20" s="3" t="s">
        <v>34</v>
      </c>
      <c r="K20" s="178" t="s">
        <v>1394</v>
      </c>
      <c r="L20" s="153">
        <v>-56.042999999999999</v>
      </c>
      <c r="M20" s="162">
        <v>1</v>
      </c>
      <c r="N20" s="153">
        <v>-56.042999999999999</v>
      </c>
      <c r="P20" s="18" t="s">
        <v>36</v>
      </c>
      <c r="Q20" s="164">
        <v>1.1675021562772201</v>
      </c>
      <c r="R20" s="164">
        <v>-3.6935456124396798E-4</v>
      </c>
    </row>
    <row r="21" spans="1:18" s="39" customFormat="1">
      <c r="A21" s="39">
        <v>424</v>
      </c>
      <c r="B21" s="39">
        <v>7229</v>
      </c>
      <c r="C21" s="39" t="s">
        <v>2376</v>
      </c>
      <c r="D21" s="39" t="s">
        <v>2377</v>
      </c>
      <c r="E21" s="39" t="s">
        <v>2375</v>
      </c>
      <c r="F21" s="39" t="s">
        <v>30</v>
      </c>
      <c r="G21" s="39" t="s">
        <v>30</v>
      </c>
      <c r="H21" s="39" t="s">
        <v>141</v>
      </c>
      <c r="J21" s="39" t="s">
        <v>34</v>
      </c>
      <c r="K21" s="178" t="s">
        <v>1394</v>
      </c>
      <c r="L21" s="153">
        <v>7.9749999999999996</v>
      </c>
      <c r="M21" s="162">
        <v>1</v>
      </c>
      <c r="N21" s="153">
        <v>7.9749999999999996</v>
      </c>
      <c r="P21" s="39" t="s">
        <v>36</v>
      </c>
      <c r="Q21" s="164">
        <v>-0.166132690433483</v>
      </c>
      <c r="R21" s="164">
        <v>5.2558247240417701E-5</v>
      </c>
    </row>
    <row r="22" spans="1:18">
      <c r="A22" s="3">
        <v>424</v>
      </c>
      <c r="B22" s="3">
        <v>7229</v>
      </c>
      <c r="C22" s="3" t="s">
        <v>2378</v>
      </c>
      <c r="D22" s="3" t="s">
        <v>2379</v>
      </c>
      <c r="E22" s="3" t="s">
        <v>2380</v>
      </c>
      <c r="F22" s="3" t="s">
        <v>30</v>
      </c>
      <c r="G22" s="3" t="s">
        <v>30</v>
      </c>
      <c r="H22" s="3" t="s">
        <v>141</v>
      </c>
      <c r="I22" s="3" t="s">
        <v>2322</v>
      </c>
      <c r="J22" s="3" t="s">
        <v>34</v>
      </c>
      <c r="K22" s="178" t="s">
        <v>1394</v>
      </c>
      <c r="L22" s="153">
        <v>1.7649999999999999</v>
      </c>
      <c r="M22" s="162">
        <v>1</v>
      </c>
      <c r="N22" s="153">
        <v>1.4359999999999999</v>
      </c>
      <c r="P22" s="3" t="s">
        <v>36</v>
      </c>
      <c r="Q22" s="164">
        <v>-2.9911644324070601E-2</v>
      </c>
      <c r="R22" s="164">
        <v>9.4629394952306795E-6</v>
      </c>
    </row>
    <row r="23" spans="1:18">
      <c r="A23" s="3">
        <v>424</v>
      </c>
      <c r="B23" s="3">
        <v>7229</v>
      </c>
      <c r="C23" s="3" t="s">
        <v>2381</v>
      </c>
      <c r="D23" s="3" t="s">
        <v>2382</v>
      </c>
      <c r="E23" s="3" t="s">
        <v>2383</v>
      </c>
      <c r="F23" s="3" t="s">
        <v>30</v>
      </c>
      <c r="G23" s="3" t="s">
        <v>30</v>
      </c>
      <c r="H23" s="3" t="s">
        <v>141</v>
      </c>
      <c r="J23" s="3" t="s">
        <v>34</v>
      </c>
      <c r="K23" s="178" t="s">
        <v>1394</v>
      </c>
      <c r="L23" s="153">
        <v>-1.37</v>
      </c>
      <c r="M23" s="162">
        <v>1</v>
      </c>
      <c r="N23" s="153">
        <v>-1.37</v>
      </c>
      <c r="P23" s="3" t="s">
        <v>36</v>
      </c>
      <c r="Q23" s="164">
        <v>2.8542178480329899E-2</v>
      </c>
      <c r="R23" s="164">
        <v>-9.0296910826827092E-6</v>
      </c>
    </row>
    <row r="24" spans="1:18">
      <c r="A24" s="3">
        <v>424</v>
      </c>
      <c r="B24" s="3">
        <v>9817</v>
      </c>
      <c r="C24" s="3" t="s">
        <v>2373</v>
      </c>
      <c r="D24" s="3" t="s">
        <v>2374</v>
      </c>
      <c r="E24" s="3" t="s">
        <v>2375</v>
      </c>
      <c r="F24" s="3" t="s">
        <v>30</v>
      </c>
      <c r="G24" s="3" t="s">
        <v>30</v>
      </c>
      <c r="H24" s="3" t="s">
        <v>141</v>
      </c>
      <c r="J24" s="3" t="s">
        <v>34</v>
      </c>
      <c r="K24" s="178" t="s">
        <v>1394</v>
      </c>
      <c r="L24" s="153">
        <v>-0.70499999999999996</v>
      </c>
      <c r="M24" s="162">
        <v>1</v>
      </c>
      <c r="N24" s="153">
        <v>-0.70499999999999996</v>
      </c>
      <c r="P24" s="3" t="s">
        <v>36</v>
      </c>
      <c r="Q24" s="164">
        <v>1</v>
      </c>
      <c r="R24" s="164">
        <v>-3.6565057883159E-4</v>
      </c>
    </row>
    <row r="25" spans="1:18">
      <c r="A25" s="3">
        <v>424</v>
      </c>
      <c r="B25" s="3">
        <v>15416</v>
      </c>
      <c r="C25" s="3" t="s">
        <v>2373</v>
      </c>
      <c r="D25" s="3" t="s">
        <v>2374</v>
      </c>
      <c r="E25" s="3" t="s">
        <v>2375</v>
      </c>
      <c r="F25" s="3" t="s">
        <v>30</v>
      </c>
      <c r="G25" s="3" t="s">
        <v>30</v>
      </c>
      <c r="H25" s="3" t="s">
        <v>141</v>
      </c>
      <c r="J25" s="3" t="s">
        <v>34</v>
      </c>
      <c r="K25" s="178" t="s">
        <v>1394</v>
      </c>
      <c r="L25" s="153">
        <v>-3.665</v>
      </c>
      <c r="M25" s="162">
        <v>1</v>
      </c>
      <c r="N25" s="153">
        <v>-3.665</v>
      </c>
      <c r="P25" s="3" t="s">
        <v>36</v>
      </c>
      <c r="Q25" s="164">
        <v>0.99983905594033595</v>
      </c>
      <c r="R25" s="164">
        <v>-3.5245927878678202E-4</v>
      </c>
    </row>
    <row r="26" spans="1:18">
      <c r="A26" s="3">
        <v>424</v>
      </c>
      <c r="B26" s="3">
        <v>15416</v>
      </c>
      <c r="C26" s="3" t="s">
        <v>2381</v>
      </c>
      <c r="D26" s="3" t="s">
        <v>2382</v>
      </c>
      <c r="E26" s="3" t="s">
        <v>2383</v>
      </c>
      <c r="F26" s="3" t="s">
        <v>30</v>
      </c>
      <c r="G26" s="3" t="s">
        <v>30</v>
      </c>
      <c r="H26" s="3" t="s">
        <v>141</v>
      </c>
      <c r="J26" s="3" t="s">
        <v>34</v>
      </c>
      <c r="K26" s="178" t="s">
        <v>1394</v>
      </c>
      <c r="L26" s="153">
        <v>-1E-3</v>
      </c>
      <c r="M26" s="162">
        <v>1</v>
      </c>
      <c r="N26" s="153">
        <v>-1E-3</v>
      </c>
      <c r="P26" s="3" t="s">
        <v>36</v>
      </c>
      <c r="Q26" s="164">
        <v>1.6094405966387201E-4</v>
      </c>
      <c r="R26" s="164">
        <v>-5.6735358413054803E-8</v>
      </c>
    </row>
    <row r="27" spans="1:18">
      <c r="A27" s="3">
        <v>969</v>
      </c>
      <c r="B27" s="3">
        <v>969</v>
      </c>
      <c r="C27" s="3" t="s">
        <v>2373</v>
      </c>
      <c r="D27" s="3" t="s">
        <v>2374</v>
      </c>
      <c r="E27" s="3" t="s">
        <v>2375</v>
      </c>
      <c r="F27" s="3" t="s">
        <v>30</v>
      </c>
      <c r="G27" s="3" t="s">
        <v>30</v>
      </c>
      <c r="H27" s="3" t="s">
        <v>141</v>
      </c>
      <c r="J27" s="3" t="s">
        <v>34</v>
      </c>
      <c r="K27" s="178" t="s">
        <v>1394</v>
      </c>
      <c r="L27" s="153">
        <v>-29.308</v>
      </c>
      <c r="M27" s="162">
        <v>1</v>
      </c>
      <c r="N27" s="153">
        <v>-29.308</v>
      </c>
      <c r="P27" s="3" t="s">
        <v>36</v>
      </c>
      <c r="Q27" s="164">
        <v>0.88174861111374403</v>
      </c>
      <c r="R27" s="164">
        <v>-3.8610268945617399E-4</v>
      </c>
    </row>
    <row r="28" spans="1:18">
      <c r="A28" s="3">
        <v>969</v>
      </c>
      <c r="B28" s="3">
        <v>969</v>
      </c>
      <c r="C28" s="3" t="s">
        <v>2376</v>
      </c>
      <c r="D28" s="3" t="s">
        <v>2377</v>
      </c>
      <c r="E28" s="3" t="s">
        <v>2375</v>
      </c>
      <c r="F28" s="3" t="s">
        <v>30</v>
      </c>
      <c r="G28" s="3" t="s">
        <v>30</v>
      </c>
      <c r="H28" s="3" t="s">
        <v>141</v>
      </c>
      <c r="J28" s="3" t="s">
        <v>34</v>
      </c>
      <c r="K28" s="178" t="s">
        <v>1394</v>
      </c>
      <c r="L28" s="153">
        <v>-4.0000000000000001E-3</v>
      </c>
      <c r="M28" s="162">
        <v>1</v>
      </c>
      <c r="N28" s="153">
        <v>-4.0000000000000001E-3</v>
      </c>
      <c r="P28" s="3" t="s">
        <v>36</v>
      </c>
      <c r="Q28" s="164">
        <v>1.1342083464918001E-4</v>
      </c>
      <c r="R28" s="164">
        <v>-4.9665050499028698E-8</v>
      </c>
    </row>
    <row r="29" spans="1:18">
      <c r="A29" s="3">
        <v>969</v>
      </c>
      <c r="B29" s="3">
        <v>969</v>
      </c>
      <c r="C29" s="3" t="s">
        <v>2378</v>
      </c>
      <c r="D29" s="3" t="s">
        <v>2379</v>
      </c>
      <c r="E29" s="3" t="s">
        <v>2380</v>
      </c>
      <c r="F29" s="3" t="s">
        <v>30</v>
      </c>
      <c r="G29" s="3" t="s">
        <v>30</v>
      </c>
      <c r="H29" s="3" t="s">
        <v>141</v>
      </c>
      <c r="I29" s="3" t="s">
        <v>2322</v>
      </c>
      <c r="J29" s="3" t="s">
        <v>34</v>
      </c>
      <c r="K29" s="178" t="s">
        <v>1394</v>
      </c>
      <c r="L29" s="153">
        <v>0.88200000000000001</v>
      </c>
      <c r="M29" s="162">
        <v>1</v>
      </c>
      <c r="N29" s="153">
        <v>0.71799999999999997</v>
      </c>
      <c r="P29" s="3" t="s">
        <v>36</v>
      </c>
      <c r="Q29" s="164">
        <v>-2.1586271301493199E-2</v>
      </c>
      <c r="R29" s="164">
        <v>9.4522603152272194E-6</v>
      </c>
    </row>
    <row r="30" spans="1:18">
      <c r="A30" s="3">
        <v>969</v>
      </c>
      <c r="B30" s="3">
        <v>969</v>
      </c>
      <c r="C30" s="3" t="s">
        <v>2381</v>
      </c>
      <c r="D30" s="3" t="s">
        <v>2382</v>
      </c>
      <c r="E30" s="3" t="s">
        <v>2383</v>
      </c>
      <c r="F30" s="3" t="s">
        <v>30</v>
      </c>
      <c r="G30" s="3" t="s">
        <v>30</v>
      </c>
      <c r="H30" s="3" t="s">
        <v>141</v>
      </c>
      <c r="J30" s="3" t="s">
        <v>34</v>
      </c>
      <c r="K30" s="178" t="s">
        <v>1394</v>
      </c>
      <c r="L30" s="153">
        <v>-4.6440000000000001</v>
      </c>
      <c r="M30" s="162">
        <v>1</v>
      </c>
      <c r="N30" s="153">
        <v>-4.6440000000000001</v>
      </c>
      <c r="P30" s="3" t="s">
        <v>36</v>
      </c>
      <c r="Q30" s="164">
        <v>0.13972423935310099</v>
      </c>
      <c r="R30" s="164">
        <v>-6.1182863138631096E-5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19" t="s">
        <v>0</v>
      </c>
      <c r="B1" s="19" t="s">
        <v>1</v>
      </c>
      <c r="C1" s="19" t="s">
        <v>2112</v>
      </c>
      <c r="D1" s="19" t="s">
        <v>2113</v>
      </c>
      <c r="E1" s="19" t="s">
        <v>2114</v>
      </c>
      <c r="F1" s="19" t="s">
        <v>2115</v>
      </c>
      <c r="G1" s="19" t="s">
        <v>2387</v>
      </c>
      <c r="H1" s="19" t="s">
        <v>6</v>
      </c>
      <c r="I1" s="19" t="s">
        <v>7</v>
      </c>
      <c r="J1" s="19" t="s">
        <v>125</v>
      </c>
      <c r="K1" s="19" t="s">
        <v>9</v>
      </c>
      <c r="L1" s="19" t="s">
        <v>10</v>
      </c>
      <c r="M1" s="19" t="s">
        <v>2120</v>
      </c>
      <c r="N1" s="19" t="s">
        <v>11</v>
      </c>
      <c r="O1" s="19" t="s">
        <v>18</v>
      </c>
      <c r="P1" s="19" t="s">
        <v>14</v>
      </c>
      <c r="Q1" s="19" t="s">
        <v>2121</v>
      </c>
      <c r="R1" s="19" t="s">
        <v>2388</v>
      </c>
      <c r="S1" s="19" t="s">
        <v>2389</v>
      </c>
      <c r="T1" s="19" t="s">
        <v>2390</v>
      </c>
    </row>
    <row r="2" spans="1:20" ht="14.1" customHeight="1">
      <c r="A2" s="6"/>
      <c r="B2" s="6"/>
      <c r="C2" s="41"/>
      <c r="D2" s="21"/>
      <c r="E2" s="41"/>
      <c r="F2" s="41"/>
      <c r="G2" s="28"/>
      <c r="H2" s="18"/>
      <c r="I2" s="28"/>
      <c r="J2" s="20"/>
      <c r="K2" s="20"/>
      <c r="L2" s="20"/>
      <c r="M2" s="20"/>
      <c r="N2" s="6"/>
      <c r="O2" s="6"/>
      <c r="Q2" s="21"/>
      <c r="R2" s="28"/>
      <c r="S2" s="28"/>
      <c r="T2" s="28"/>
    </row>
    <row r="3" spans="1:20" ht="14.1" customHeight="1">
      <c r="A3" s="6"/>
      <c r="B3" s="6"/>
      <c r="C3" s="6"/>
      <c r="D3" s="21"/>
      <c r="E3" s="6"/>
      <c r="F3" s="6"/>
      <c r="H3" s="18"/>
      <c r="I3" s="18"/>
      <c r="J3" s="20"/>
      <c r="K3" s="20"/>
      <c r="L3" s="20"/>
      <c r="M3" s="20"/>
      <c r="N3" s="6"/>
      <c r="O3" s="6"/>
      <c r="P3" s="6"/>
      <c r="Q3" s="20"/>
      <c r="R3" s="6"/>
      <c r="S3" s="6"/>
      <c r="T3" s="6"/>
    </row>
    <row r="4" spans="1:20" ht="14.1" customHeight="1">
      <c r="A4" s="6"/>
      <c r="B4" s="6"/>
      <c r="C4" s="6"/>
      <c r="D4" s="21"/>
      <c r="E4" s="6"/>
      <c r="F4" s="6"/>
      <c r="H4" s="18"/>
      <c r="I4" s="18"/>
      <c r="J4" s="20"/>
      <c r="K4" s="20"/>
      <c r="L4" s="20"/>
      <c r="M4" s="20"/>
      <c r="N4" s="6"/>
      <c r="O4" s="6"/>
      <c r="P4" s="6"/>
      <c r="Q4" s="20"/>
      <c r="R4" s="6"/>
      <c r="S4" s="6"/>
      <c r="T4" s="6"/>
    </row>
    <row r="5" spans="1:20" ht="14.1" customHeight="1">
      <c r="A5" s="6"/>
      <c r="B5" s="6"/>
      <c r="C5" s="6"/>
      <c r="D5" s="21"/>
      <c r="E5" s="6"/>
      <c r="F5" s="6"/>
      <c r="H5" s="18"/>
      <c r="I5" s="18"/>
      <c r="J5" s="20"/>
      <c r="K5" s="20"/>
      <c r="L5" s="20"/>
      <c r="M5" s="20"/>
      <c r="N5" s="6"/>
      <c r="O5" s="40"/>
      <c r="P5" s="6"/>
      <c r="Q5" s="20"/>
      <c r="R5" s="6"/>
      <c r="S5" s="6"/>
      <c r="T5" s="6"/>
    </row>
    <row r="6" spans="1:20" ht="14.1" customHeight="1">
      <c r="A6" s="6"/>
      <c r="B6" s="6"/>
      <c r="C6" s="6"/>
      <c r="D6" s="21"/>
      <c r="E6" s="6"/>
      <c r="F6" s="6"/>
      <c r="H6" s="18"/>
      <c r="I6" s="18"/>
      <c r="J6" s="20"/>
      <c r="K6" s="20"/>
      <c r="L6" s="20"/>
      <c r="M6" s="20"/>
      <c r="N6" s="6"/>
      <c r="O6" s="40"/>
      <c r="P6" s="6"/>
      <c r="Q6" s="20"/>
      <c r="R6" s="6"/>
      <c r="S6" s="6"/>
      <c r="T6" s="6"/>
    </row>
    <row r="7" spans="1:20" ht="14.1" customHeight="1">
      <c r="A7" s="6"/>
      <c r="B7" s="6"/>
      <c r="C7" s="6"/>
      <c r="D7" s="21"/>
      <c r="E7" s="6"/>
      <c r="F7" s="6"/>
      <c r="H7" s="18"/>
      <c r="I7" s="18"/>
      <c r="J7" s="20"/>
      <c r="K7" s="20"/>
      <c r="L7" s="20"/>
      <c r="M7" s="20"/>
      <c r="N7" s="6"/>
      <c r="O7" s="6"/>
      <c r="P7" s="6"/>
      <c r="Q7" s="20"/>
      <c r="R7" s="6"/>
      <c r="S7" s="6"/>
      <c r="T7" s="6"/>
    </row>
    <row r="8" spans="1:20" ht="14.1" customHeight="1">
      <c r="A8" s="6"/>
      <c r="B8" s="6"/>
      <c r="C8" s="6"/>
      <c r="D8" s="21"/>
      <c r="E8" s="6"/>
      <c r="F8" s="6"/>
      <c r="H8" s="18"/>
      <c r="I8" s="18"/>
      <c r="J8" s="20"/>
      <c r="K8" s="20"/>
      <c r="L8" s="20"/>
      <c r="M8" s="20"/>
      <c r="N8" s="40"/>
      <c r="O8" s="6"/>
      <c r="P8" s="6"/>
      <c r="Q8" s="20"/>
      <c r="R8" s="6"/>
      <c r="S8" s="6"/>
      <c r="T8" s="6"/>
    </row>
    <row r="9" spans="1:20" ht="14.1" customHeight="1">
      <c r="A9" s="6"/>
      <c r="B9" s="6"/>
      <c r="C9" s="6"/>
      <c r="D9" s="21"/>
      <c r="E9" s="6"/>
      <c r="F9" s="6"/>
      <c r="H9" s="18"/>
      <c r="I9" s="18"/>
      <c r="J9" s="20"/>
      <c r="K9" s="20"/>
      <c r="L9" s="20"/>
      <c r="M9" s="20"/>
      <c r="N9" s="6"/>
      <c r="O9" s="6"/>
      <c r="P9" s="6"/>
      <c r="Q9" s="20"/>
      <c r="R9" s="6"/>
      <c r="S9" s="6"/>
      <c r="T9" s="6"/>
    </row>
    <row r="10" spans="1:20" ht="13.7" customHeight="1">
      <c r="A10" s="6"/>
      <c r="B10" s="6"/>
      <c r="C10" s="6"/>
      <c r="D10" s="21"/>
      <c r="E10" s="6"/>
      <c r="F10" s="6"/>
      <c r="H10" s="18"/>
      <c r="I10" s="18"/>
      <c r="J10" s="20"/>
      <c r="K10" s="20"/>
      <c r="L10" s="20"/>
      <c r="M10" s="20"/>
      <c r="N10" s="6"/>
      <c r="O10" s="6"/>
      <c r="P10" s="6"/>
      <c r="Q10" s="20"/>
      <c r="R10" s="6"/>
      <c r="S10" s="6"/>
      <c r="T10" s="6"/>
    </row>
    <row r="11" spans="1:20" ht="13.7" customHeight="1">
      <c r="A11" s="6"/>
      <c r="B11" s="6"/>
      <c r="C11" s="6"/>
      <c r="D11" s="21"/>
      <c r="E11" s="6"/>
      <c r="F11" s="6"/>
      <c r="H11" s="18"/>
      <c r="I11" s="18"/>
      <c r="J11" s="20"/>
      <c r="K11" s="20"/>
      <c r="L11" s="20"/>
      <c r="M11" s="20"/>
      <c r="N11" s="6"/>
      <c r="O11" s="6"/>
      <c r="P11" s="6"/>
      <c r="Q11" s="20"/>
      <c r="R11" s="6"/>
      <c r="S11" s="6"/>
      <c r="T11" s="6"/>
    </row>
    <row r="12" spans="1:20" ht="14.1" customHeight="1">
      <c r="A12" s="6"/>
      <c r="B12" s="6"/>
      <c r="C12" s="6"/>
      <c r="D12" s="21"/>
      <c r="E12" s="6"/>
      <c r="F12" s="6"/>
      <c r="H12" s="18"/>
      <c r="I12" s="18"/>
      <c r="J12" s="20"/>
      <c r="K12" s="20"/>
      <c r="L12" s="20"/>
      <c r="M12" s="20"/>
      <c r="N12" s="6"/>
      <c r="O12" s="6"/>
      <c r="P12" s="6"/>
      <c r="Q12" s="20"/>
      <c r="R12" s="6"/>
      <c r="S12" s="6"/>
      <c r="T12" s="6"/>
    </row>
    <row r="13" spans="1:20" ht="14.1" customHeight="1">
      <c r="A13" s="6"/>
      <c r="B13" s="6"/>
      <c r="C13" s="6"/>
      <c r="D13" s="21"/>
      <c r="E13" s="6"/>
      <c r="F13" s="6"/>
      <c r="H13" s="18"/>
      <c r="I13" s="18"/>
      <c r="J13" s="20"/>
      <c r="K13" s="20"/>
      <c r="L13" s="20"/>
      <c r="M13" s="20"/>
      <c r="N13" s="6"/>
      <c r="O13" s="6"/>
      <c r="P13" s="6"/>
      <c r="Q13" s="20"/>
      <c r="R13" s="6"/>
      <c r="S13" s="6"/>
      <c r="T13" s="6"/>
    </row>
    <row r="14" spans="1:20" ht="14.1" customHeight="1">
      <c r="A14" s="6"/>
      <c r="B14" s="6"/>
      <c r="C14" s="6"/>
      <c r="D14" s="21"/>
      <c r="E14" s="6"/>
      <c r="F14" s="6"/>
      <c r="H14" s="18"/>
      <c r="I14" s="18"/>
      <c r="J14" s="20"/>
      <c r="K14" s="20"/>
      <c r="L14" s="20"/>
      <c r="M14" s="20"/>
      <c r="N14" s="6"/>
      <c r="O14" s="6"/>
      <c r="P14" s="6"/>
      <c r="Q14" s="20"/>
      <c r="R14" s="6"/>
      <c r="S14" s="6"/>
      <c r="T14" s="6"/>
    </row>
    <row r="15" spans="1:20" ht="14.1" customHeight="1">
      <c r="A15" s="6"/>
      <c r="B15" s="6"/>
      <c r="C15" s="6"/>
      <c r="D15" s="21"/>
      <c r="E15" s="6"/>
      <c r="F15" s="6"/>
      <c r="H15" s="18"/>
      <c r="I15" s="18"/>
      <c r="J15" s="20"/>
      <c r="K15" s="20"/>
      <c r="L15" s="20"/>
      <c r="M15" s="20"/>
      <c r="N15" s="6"/>
      <c r="O15" s="6"/>
      <c r="P15" s="6"/>
      <c r="Q15" s="20"/>
      <c r="R15" s="6"/>
      <c r="S15" s="6"/>
      <c r="T15" s="6"/>
    </row>
    <row r="16" spans="1:20" ht="14.1" customHeight="1">
      <c r="A16" s="6"/>
      <c r="B16" s="6"/>
      <c r="C16" s="6"/>
      <c r="D16" s="21"/>
      <c r="E16" s="6"/>
      <c r="F16" s="6"/>
      <c r="H16" s="18"/>
      <c r="I16" s="18"/>
      <c r="J16" s="20"/>
      <c r="K16" s="20"/>
      <c r="L16" s="20"/>
      <c r="M16" s="20"/>
      <c r="N16" s="6"/>
      <c r="O16" s="6"/>
      <c r="P16" s="6"/>
      <c r="Q16" s="20"/>
      <c r="R16" s="6"/>
      <c r="S16" s="6"/>
      <c r="T16" s="6"/>
    </row>
    <row r="17" spans="1:20" ht="14.1" customHeight="1">
      <c r="A17" s="6"/>
      <c r="B17" s="6"/>
      <c r="C17" s="6"/>
      <c r="D17" s="21"/>
      <c r="E17" s="6"/>
      <c r="F17" s="6"/>
      <c r="H17" s="18"/>
      <c r="I17" s="18"/>
      <c r="J17" s="20"/>
      <c r="K17" s="20"/>
      <c r="L17" s="20"/>
      <c r="M17" s="20"/>
      <c r="N17" s="6"/>
      <c r="O17" s="6"/>
      <c r="P17" s="6"/>
      <c r="Q17" s="20"/>
      <c r="R17" s="6"/>
      <c r="S17" s="6"/>
      <c r="T17" s="6"/>
    </row>
    <row r="18" spans="1:20" ht="14.1" customHeight="1">
      <c r="D18" s="21"/>
      <c r="H18" s="18"/>
      <c r="I18" s="18"/>
      <c r="J18" s="20"/>
      <c r="K18" s="20"/>
      <c r="L18" s="20"/>
      <c r="M18" s="20"/>
      <c r="Q18" s="20"/>
    </row>
    <row r="19" spans="1:20" ht="14.1" customHeight="1">
      <c r="D19" s="21"/>
      <c r="H19" s="18"/>
      <c r="I19" s="18"/>
      <c r="J19" s="20"/>
      <c r="K19" s="20"/>
      <c r="L19" s="20"/>
      <c r="M19" s="20"/>
      <c r="Q19" s="20"/>
    </row>
    <row r="20" spans="1:20" ht="14.1" customHeight="1">
      <c r="D20" s="21"/>
      <c r="H20" s="18"/>
      <c r="I20" s="18"/>
      <c r="J20" s="20"/>
      <c r="L20" s="20"/>
      <c r="M20" s="20"/>
      <c r="Q20" s="20"/>
    </row>
    <row r="21" spans="1:20" s="39" customFormat="1" ht="14.1" customHeight="1">
      <c r="D21" s="42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67"/>
  <sheetViews>
    <sheetView rightToLeft="1" workbookViewId="0">
      <selection activeCell="E21" sqref="E21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19" t="s">
        <v>0</v>
      </c>
      <c r="B1" s="19" t="s">
        <v>1</v>
      </c>
      <c r="C1" s="19" t="s">
        <v>5</v>
      </c>
      <c r="D1" s="19" t="s">
        <v>1593</v>
      </c>
      <c r="E1" s="19" t="s">
        <v>1594</v>
      </c>
      <c r="F1" s="19" t="s">
        <v>1595</v>
      </c>
      <c r="G1" s="19" t="s">
        <v>1596</v>
      </c>
      <c r="H1" s="19" t="s">
        <v>1597</v>
      </c>
      <c r="I1" s="19" t="s">
        <v>1598</v>
      </c>
      <c r="J1" s="19" t="s">
        <v>11</v>
      </c>
      <c r="K1" s="19" t="s">
        <v>2391</v>
      </c>
      <c r="L1" s="19" t="s">
        <v>2392</v>
      </c>
      <c r="M1" s="19" t="s">
        <v>2393</v>
      </c>
      <c r="N1" s="19" t="s">
        <v>2394</v>
      </c>
      <c r="O1" s="19" t="s">
        <v>2395</v>
      </c>
      <c r="P1" s="19" t="s">
        <v>2396</v>
      </c>
      <c r="Q1" s="19" t="s">
        <v>2397</v>
      </c>
    </row>
    <row r="2" spans="1:17" ht="14.1" customHeight="1">
      <c r="A2" s="194">
        <v>1182</v>
      </c>
      <c r="B2" s="194">
        <v>1182</v>
      </c>
      <c r="C2" s="195" t="s">
        <v>1607</v>
      </c>
      <c r="D2" s="194" t="s">
        <v>1604</v>
      </c>
      <c r="E2" s="194" t="s">
        <v>1605</v>
      </c>
      <c r="F2" s="194" t="s">
        <v>498</v>
      </c>
      <c r="G2" s="194" t="s">
        <v>1606</v>
      </c>
      <c r="H2" s="194">
        <v>50007566</v>
      </c>
      <c r="I2" s="194" t="s">
        <v>33</v>
      </c>
      <c r="J2" s="196" t="s">
        <v>34</v>
      </c>
      <c r="K2" s="197" t="s">
        <v>1609</v>
      </c>
      <c r="L2" s="198">
        <v>2200000</v>
      </c>
      <c r="M2" s="199">
        <v>2200</v>
      </c>
      <c r="N2" s="199">
        <v>358400</v>
      </c>
      <c r="O2" s="200">
        <v>358.4</v>
      </c>
      <c r="P2" s="201">
        <v>0.16290909090909092</v>
      </c>
    </row>
    <row r="3" spans="1:17" ht="14.1" customHeight="1">
      <c r="A3" s="194">
        <v>1182</v>
      </c>
      <c r="B3" s="194">
        <v>1182</v>
      </c>
      <c r="C3" s="195" t="s">
        <v>1607</v>
      </c>
      <c r="D3" s="194" t="s">
        <v>1610</v>
      </c>
      <c r="E3" s="194" t="s">
        <v>1611</v>
      </c>
      <c r="F3" s="194" t="s">
        <v>366</v>
      </c>
      <c r="G3" s="194" t="s">
        <v>1612</v>
      </c>
      <c r="H3" s="194">
        <v>62018312</v>
      </c>
      <c r="I3" s="194" t="s">
        <v>33</v>
      </c>
      <c r="J3" s="196" t="s">
        <v>664</v>
      </c>
      <c r="K3" s="197" t="s">
        <v>1614</v>
      </c>
      <c r="L3" s="198">
        <v>500000</v>
      </c>
      <c r="M3" s="199">
        <v>1653</v>
      </c>
      <c r="N3" s="199">
        <v>210000</v>
      </c>
      <c r="O3" s="200">
        <v>694.26</v>
      </c>
      <c r="P3" s="201">
        <v>0.42</v>
      </c>
    </row>
    <row r="4" spans="1:17" ht="13.7" customHeight="1">
      <c r="A4" s="194">
        <v>1182</v>
      </c>
      <c r="B4" s="194">
        <v>1182</v>
      </c>
      <c r="C4" s="195" t="s">
        <v>1607</v>
      </c>
      <c r="D4" s="194" t="s">
        <v>1615</v>
      </c>
      <c r="E4" s="194" t="s">
        <v>1616</v>
      </c>
      <c r="F4" s="194" t="s">
        <v>33</v>
      </c>
      <c r="G4" s="194" t="s">
        <v>1617</v>
      </c>
      <c r="H4" s="194">
        <v>60390093</v>
      </c>
      <c r="I4" s="194" t="s">
        <v>33</v>
      </c>
      <c r="J4" s="196" t="s">
        <v>664</v>
      </c>
      <c r="K4" s="197" t="s">
        <v>1620</v>
      </c>
      <c r="L4" s="198">
        <v>100000</v>
      </c>
      <c r="M4" s="199">
        <v>330.6</v>
      </c>
      <c r="N4" s="199">
        <v>0</v>
      </c>
      <c r="O4" s="200">
        <v>0</v>
      </c>
      <c r="P4" s="201">
        <v>0</v>
      </c>
    </row>
    <row r="5" spans="1:17" ht="13.7" customHeight="1">
      <c r="A5" s="194">
        <v>1182</v>
      </c>
      <c r="B5" s="194">
        <v>1182</v>
      </c>
      <c r="C5" s="195" t="s">
        <v>1607</v>
      </c>
      <c r="D5" s="194" t="s">
        <v>1615</v>
      </c>
      <c r="E5" s="194" t="s">
        <v>1616</v>
      </c>
      <c r="F5" s="194" t="s">
        <v>33</v>
      </c>
      <c r="G5" s="194" t="s">
        <v>1621</v>
      </c>
      <c r="H5" s="194">
        <v>62019724</v>
      </c>
      <c r="I5" s="194" t="s">
        <v>33</v>
      </c>
      <c r="J5" s="196" t="s">
        <v>664</v>
      </c>
      <c r="K5" s="197" t="s">
        <v>1622</v>
      </c>
      <c r="L5" s="198">
        <v>100000</v>
      </c>
      <c r="M5" s="199">
        <v>330.6</v>
      </c>
      <c r="N5" s="199">
        <v>10000</v>
      </c>
      <c r="O5" s="200">
        <v>33.06</v>
      </c>
      <c r="P5" s="201">
        <v>0.1</v>
      </c>
    </row>
    <row r="6" spans="1:17" ht="14.1" customHeight="1">
      <c r="A6" s="194">
        <v>1182</v>
      </c>
      <c r="B6" s="194">
        <v>1182</v>
      </c>
      <c r="C6" s="195" t="s">
        <v>1607</v>
      </c>
      <c r="D6" s="194" t="s">
        <v>1615</v>
      </c>
      <c r="E6" s="194" t="s">
        <v>1616</v>
      </c>
      <c r="F6" s="194" t="s">
        <v>33</v>
      </c>
      <c r="G6" s="194" t="s">
        <v>1623</v>
      </c>
      <c r="H6" s="194">
        <v>62000563</v>
      </c>
      <c r="I6" s="194" t="s">
        <v>33</v>
      </c>
      <c r="J6" s="196" t="s">
        <v>664</v>
      </c>
      <c r="K6" s="197" t="s">
        <v>1624</v>
      </c>
      <c r="L6" s="198">
        <v>100000</v>
      </c>
      <c r="M6" s="199">
        <v>330.6</v>
      </c>
      <c r="N6" s="199">
        <v>750</v>
      </c>
      <c r="O6" s="200">
        <v>2.4794999999999998</v>
      </c>
      <c r="P6" s="201">
        <v>7.4999999999999997E-3</v>
      </c>
    </row>
    <row r="7" spans="1:17" ht="14.1" customHeight="1">
      <c r="A7" s="194">
        <v>1182</v>
      </c>
      <c r="B7" s="194">
        <v>1182</v>
      </c>
      <c r="C7" s="195" t="s">
        <v>1607</v>
      </c>
      <c r="D7" s="194" t="s">
        <v>1625</v>
      </c>
      <c r="E7" s="194" t="s">
        <v>1626</v>
      </c>
      <c r="F7" s="194" t="s">
        <v>492</v>
      </c>
      <c r="G7" s="194" t="s">
        <v>1627</v>
      </c>
      <c r="H7" s="194">
        <v>60415775</v>
      </c>
      <c r="I7" s="194" t="s">
        <v>33</v>
      </c>
      <c r="J7" s="196" t="s">
        <v>664</v>
      </c>
      <c r="K7" s="197" t="s">
        <v>1629</v>
      </c>
      <c r="L7" s="198">
        <v>100000</v>
      </c>
      <c r="M7" s="199">
        <v>330.6</v>
      </c>
      <c r="N7" s="199">
        <v>0</v>
      </c>
      <c r="O7" s="200">
        <v>0</v>
      </c>
      <c r="P7" s="201">
        <v>0</v>
      </c>
    </row>
    <row r="8" spans="1:17" ht="14.1" customHeight="1">
      <c r="A8" s="194">
        <v>1182</v>
      </c>
      <c r="B8" s="194">
        <v>1182</v>
      </c>
      <c r="C8" s="195" t="s">
        <v>1607</v>
      </c>
      <c r="D8" s="194" t="s">
        <v>1630</v>
      </c>
      <c r="E8" s="194" t="s">
        <v>1631</v>
      </c>
      <c r="F8" s="194" t="s">
        <v>33</v>
      </c>
      <c r="G8" s="194" t="s">
        <v>1632</v>
      </c>
      <c r="H8" s="194">
        <v>62017538</v>
      </c>
      <c r="I8" s="194" t="s">
        <v>33</v>
      </c>
      <c r="J8" s="196" t="s">
        <v>664</v>
      </c>
      <c r="K8" s="197" t="s">
        <v>1633</v>
      </c>
      <c r="L8" s="198">
        <v>600000</v>
      </c>
      <c r="M8" s="199">
        <v>1983.6000000000001</v>
      </c>
      <c r="N8" s="199">
        <v>84000</v>
      </c>
      <c r="O8" s="200">
        <v>277.70400000000001</v>
      </c>
      <c r="P8" s="201">
        <v>0.14000000000000001</v>
      </c>
    </row>
    <row r="9" spans="1:17" ht="14.1" customHeight="1">
      <c r="A9" s="194">
        <v>1182</v>
      </c>
      <c r="B9" s="194">
        <v>1182</v>
      </c>
      <c r="C9" s="195" t="s">
        <v>1607</v>
      </c>
      <c r="D9" s="194" t="s">
        <v>1634</v>
      </c>
      <c r="E9" s="194" t="s">
        <v>1635</v>
      </c>
      <c r="F9" s="194" t="s">
        <v>33</v>
      </c>
      <c r="G9" s="194" t="s">
        <v>1636</v>
      </c>
      <c r="H9" s="194">
        <v>62001189</v>
      </c>
      <c r="I9" s="194" t="s">
        <v>33</v>
      </c>
      <c r="J9" s="196" t="s">
        <v>664</v>
      </c>
      <c r="K9" s="197" t="s">
        <v>1638</v>
      </c>
      <c r="L9" s="198">
        <v>150000</v>
      </c>
      <c r="M9" s="199">
        <v>495.90000000000003</v>
      </c>
      <c r="N9" s="199">
        <v>8250</v>
      </c>
      <c r="O9" s="200">
        <v>27.2745</v>
      </c>
      <c r="P9" s="201">
        <v>5.5E-2</v>
      </c>
    </row>
    <row r="10" spans="1:17" ht="14.1" customHeight="1">
      <c r="A10" s="194">
        <v>1182</v>
      </c>
      <c r="B10" s="194">
        <v>1182</v>
      </c>
      <c r="C10" s="195" t="s">
        <v>1607</v>
      </c>
      <c r="D10" s="194" t="s">
        <v>1639</v>
      </c>
      <c r="E10" s="194" t="s">
        <v>1640</v>
      </c>
      <c r="F10" s="194" t="s">
        <v>33</v>
      </c>
      <c r="G10" s="194" t="s">
        <v>1639</v>
      </c>
      <c r="H10" s="194">
        <v>60401809</v>
      </c>
      <c r="I10" s="194" t="s">
        <v>33</v>
      </c>
      <c r="J10" s="196" t="s">
        <v>664</v>
      </c>
      <c r="K10" s="197" t="s">
        <v>1642</v>
      </c>
      <c r="L10" s="198">
        <v>100000</v>
      </c>
      <c r="M10" s="199">
        <v>330.6</v>
      </c>
      <c r="N10" s="199">
        <v>1000</v>
      </c>
      <c r="O10" s="200">
        <v>3.306</v>
      </c>
      <c r="P10" s="201">
        <v>0.01</v>
      </c>
    </row>
    <row r="11" spans="1:17" ht="14.1" customHeight="1">
      <c r="A11" s="194">
        <v>1182</v>
      </c>
      <c r="B11" s="194">
        <v>1182</v>
      </c>
      <c r="C11" s="195" t="s">
        <v>1607</v>
      </c>
      <c r="D11" s="194" t="s">
        <v>1643</v>
      </c>
      <c r="E11" s="194" t="s">
        <v>1644</v>
      </c>
      <c r="F11" s="194" t="s">
        <v>492</v>
      </c>
      <c r="G11" s="194" t="s">
        <v>1645</v>
      </c>
      <c r="H11" s="194">
        <v>50000983</v>
      </c>
      <c r="I11" s="194" t="s">
        <v>33</v>
      </c>
      <c r="J11" s="196" t="s">
        <v>34</v>
      </c>
      <c r="K11" s="197" t="s">
        <v>1647</v>
      </c>
      <c r="L11" s="198">
        <v>1200000</v>
      </c>
      <c r="M11" s="199">
        <v>1200</v>
      </c>
      <c r="N11" s="199">
        <v>360000</v>
      </c>
      <c r="O11" s="200">
        <v>360</v>
      </c>
      <c r="P11" s="201">
        <v>0.3</v>
      </c>
    </row>
    <row r="12" spans="1:17" ht="14.1" customHeight="1">
      <c r="A12" s="194">
        <v>1182</v>
      </c>
      <c r="B12" s="194">
        <v>1182</v>
      </c>
      <c r="C12" s="195" t="s">
        <v>1607</v>
      </c>
      <c r="D12" s="194" t="s">
        <v>1643</v>
      </c>
      <c r="E12" s="194" t="s">
        <v>1644</v>
      </c>
      <c r="F12" s="194" t="s">
        <v>492</v>
      </c>
      <c r="G12" s="194" t="s">
        <v>1648</v>
      </c>
      <c r="H12" s="194">
        <v>50007897</v>
      </c>
      <c r="I12" s="194" t="s">
        <v>33</v>
      </c>
      <c r="J12" s="196" t="s">
        <v>34</v>
      </c>
      <c r="K12" s="197" t="s">
        <v>1649</v>
      </c>
      <c r="L12" s="198">
        <v>1200000</v>
      </c>
      <c r="M12" s="199">
        <v>1200</v>
      </c>
      <c r="N12" s="199">
        <v>636000</v>
      </c>
      <c r="O12" s="200">
        <v>636</v>
      </c>
      <c r="P12" s="201">
        <v>0.53</v>
      </c>
    </row>
    <row r="13" spans="1:17" ht="14.1" customHeight="1">
      <c r="A13" s="194">
        <v>1182</v>
      </c>
      <c r="B13" s="194">
        <v>1182</v>
      </c>
      <c r="C13" s="195" t="s">
        <v>1607</v>
      </c>
      <c r="D13" s="194" t="s">
        <v>1615</v>
      </c>
      <c r="E13" s="194" t="s">
        <v>1616</v>
      </c>
      <c r="F13" s="194" t="s">
        <v>33</v>
      </c>
      <c r="G13" s="194" t="s">
        <v>1650</v>
      </c>
      <c r="H13" s="194">
        <v>62013347</v>
      </c>
      <c r="I13" s="194" t="s">
        <v>33</v>
      </c>
      <c r="J13" s="196" t="s">
        <v>664</v>
      </c>
      <c r="K13" s="197" t="s">
        <v>1651</v>
      </c>
      <c r="L13" s="198">
        <v>200000</v>
      </c>
      <c r="M13" s="199">
        <v>661.2</v>
      </c>
      <c r="N13" s="199">
        <v>0</v>
      </c>
      <c r="O13" s="200">
        <v>0</v>
      </c>
      <c r="P13" s="201">
        <v>0</v>
      </c>
    </row>
    <row r="14" spans="1:17" ht="14.1" customHeight="1">
      <c r="A14" s="194">
        <v>1182</v>
      </c>
      <c r="B14" s="194">
        <v>1182</v>
      </c>
      <c r="C14" s="195" t="s">
        <v>1607</v>
      </c>
      <c r="D14" s="194" t="s">
        <v>1656</v>
      </c>
      <c r="E14" s="194" t="s">
        <v>1657</v>
      </c>
      <c r="F14" s="194" t="s">
        <v>134</v>
      </c>
      <c r="G14" s="194" t="s">
        <v>1658</v>
      </c>
      <c r="H14" s="194">
        <v>60364742</v>
      </c>
      <c r="I14" s="194" t="s">
        <v>33</v>
      </c>
      <c r="J14" s="196" t="s">
        <v>664</v>
      </c>
      <c r="K14" s="197" t="s">
        <v>1367</v>
      </c>
      <c r="L14" s="198">
        <v>100000</v>
      </c>
      <c r="M14" s="199">
        <v>330.6</v>
      </c>
      <c r="N14" s="199">
        <v>0</v>
      </c>
      <c r="O14" s="200">
        <v>0</v>
      </c>
      <c r="P14" s="201">
        <v>0</v>
      </c>
    </row>
    <row r="15" spans="1:17" ht="14.1" customHeight="1">
      <c r="A15" s="194">
        <v>1182</v>
      </c>
      <c r="B15" s="194">
        <v>1182</v>
      </c>
      <c r="C15" s="195" t="s">
        <v>1607</v>
      </c>
      <c r="D15" s="194" t="s">
        <v>1656</v>
      </c>
      <c r="E15" s="194" t="s">
        <v>1657</v>
      </c>
      <c r="F15" s="194" t="s">
        <v>134</v>
      </c>
      <c r="G15" s="194" t="s">
        <v>1659</v>
      </c>
      <c r="H15" s="194">
        <v>62002785</v>
      </c>
      <c r="I15" s="194" t="s">
        <v>33</v>
      </c>
      <c r="J15" s="196" t="s">
        <v>664</v>
      </c>
      <c r="K15" s="197" t="s">
        <v>1660</v>
      </c>
      <c r="L15" s="198">
        <v>100000</v>
      </c>
      <c r="M15" s="199">
        <v>330.6</v>
      </c>
      <c r="N15" s="199">
        <v>2250</v>
      </c>
      <c r="O15" s="200">
        <v>7.4385000000000003</v>
      </c>
      <c r="P15" s="201">
        <v>2.2499999999999999E-2</v>
      </c>
    </row>
    <row r="16" spans="1:17" ht="14.1" customHeight="1">
      <c r="A16" s="194">
        <v>1182</v>
      </c>
      <c r="B16" s="194">
        <v>1182</v>
      </c>
      <c r="C16" s="195" t="s">
        <v>1607</v>
      </c>
      <c r="D16" s="194" t="s">
        <v>1656</v>
      </c>
      <c r="E16" s="194" t="s">
        <v>1657</v>
      </c>
      <c r="F16" s="194" t="s">
        <v>134</v>
      </c>
      <c r="G16" s="194" t="s">
        <v>1661</v>
      </c>
      <c r="H16" s="194">
        <v>62017827</v>
      </c>
      <c r="I16" s="194" t="s">
        <v>33</v>
      </c>
      <c r="J16" s="196" t="s">
        <v>664</v>
      </c>
      <c r="K16" s="197" t="s">
        <v>1662</v>
      </c>
      <c r="L16" s="198">
        <v>75000</v>
      </c>
      <c r="M16" s="199">
        <v>247.95000000000002</v>
      </c>
      <c r="N16" s="199">
        <v>8249</v>
      </c>
      <c r="O16" s="200">
        <v>27.271194000000001</v>
      </c>
      <c r="P16" s="201">
        <v>0.10998666666666666</v>
      </c>
    </row>
    <row r="17" spans="1:16" ht="14.1" customHeight="1">
      <c r="A17" s="194">
        <v>1182</v>
      </c>
      <c r="B17" s="194">
        <v>1182</v>
      </c>
      <c r="C17" s="195" t="s">
        <v>1607</v>
      </c>
      <c r="D17" s="194" t="s">
        <v>1656</v>
      </c>
      <c r="E17" s="194" t="s">
        <v>1657</v>
      </c>
      <c r="F17" s="194" t="s">
        <v>134</v>
      </c>
      <c r="G17" s="194" t="s">
        <v>1663</v>
      </c>
      <c r="H17" s="194">
        <v>62018247</v>
      </c>
      <c r="I17" s="194" t="s">
        <v>33</v>
      </c>
      <c r="J17" s="196" t="s">
        <v>664</v>
      </c>
      <c r="K17" s="197" t="s">
        <v>1664</v>
      </c>
      <c r="L17" s="198">
        <v>250000</v>
      </c>
      <c r="M17" s="199">
        <v>826.5</v>
      </c>
      <c r="N17" s="199">
        <v>37500</v>
      </c>
      <c r="O17" s="200">
        <v>123.97500000000001</v>
      </c>
      <c r="P17" s="201">
        <v>0.15</v>
      </c>
    </row>
    <row r="18" spans="1:16" ht="14.1" customHeight="1">
      <c r="A18" s="194">
        <v>1182</v>
      </c>
      <c r="B18" s="194">
        <v>1182</v>
      </c>
      <c r="C18" s="195" t="s">
        <v>1607</v>
      </c>
      <c r="D18" s="194" t="s">
        <v>1665</v>
      </c>
      <c r="E18" s="194" t="s">
        <v>1666</v>
      </c>
      <c r="F18" s="194" t="s">
        <v>33</v>
      </c>
      <c r="G18" s="194" t="s">
        <v>1667</v>
      </c>
      <c r="H18" s="194">
        <v>62013487</v>
      </c>
      <c r="I18" s="194" t="s">
        <v>33</v>
      </c>
      <c r="J18" s="196" t="s">
        <v>664</v>
      </c>
      <c r="K18" s="197" t="s">
        <v>1668</v>
      </c>
      <c r="L18" s="198">
        <v>80000</v>
      </c>
      <c r="M18" s="199">
        <v>264.48</v>
      </c>
      <c r="N18" s="199">
        <v>0</v>
      </c>
      <c r="O18" s="200">
        <v>0</v>
      </c>
      <c r="P18" s="201">
        <v>0</v>
      </c>
    </row>
    <row r="19" spans="1:16" ht="14.1" customHeight="1">
      <c r="A19" s="202">
        <v>1182</v>
      </c>
      <c r="B19" s="202">
        <v>1182</v>
      </c>
      <c r="C19" s="195" t="s">
        <v>1607</v>
      </c>
      <c r="D19" s="194" t="s">
        <v>1669</v>
      </c>
      <c r="E19" s="194" t="s">
        <v>1670</v>
      </c>
      <c r="F19" s="194" t="s">
        <v>33</v>
      </c>
      <c r="G19" s="194" t="s">
        <v>1671</v>
      </c>
      <c r="H19" s="202">
        <v>62017694</v>
      </c>
      <c r="I19" s="194" t="s">
        <v>33</v>
      </c>
      <c r="J19" s="196" t="s">
        <v>664</v>
      </c>
      <c r="K19" s="197" t="s">
        <v>1672</v>
      </c>
      <c r="L19" s="198">
        <v>100000</v>
      </c>
      <c r="M19" s="199">
        <v>330.6</v>
      </c>
      <c r="N19" s="199">
        <v>0</v>
      </c>
      <c r="O19" s="200">
        <v>0</v>
      </c>
      <c r="P19" s="201">
        <v>0</v>
      </c>
    </row>
    <row r="20" spans="1:16" ht="14.1" customHeight="1">
      <c r="A20" s="202">
        <v>1182</v>
      </c>
      <c r="B20" s="202">
        <v>1182</v>
      </c>
      <c r="C20" s="195" t="s">
        <v>1607</v>
      </c>
      <c r="D20" s="194" t="s">
        <v>1673</v>
      </c>
      <c r="E20" s="194" t="s">
        <v>1674</v>
      </c>
      <c r="F20" s="194" t="s">
        <v>33</v>
      </c>
      <c r="G20" s="194" t="s">
        <v>1673</v>
      </c>
      <c r="H20" s="202">
        <v>62020375</v>
      </c>
      <c r="I20" s="194" t="s">
        <v>33</v>
      </c>
      <c r="J20" s="196" t="s">
        <v>664</v>
      </c>
      <c r="K20" s="197" t="s">
        <v>1676</v>
      </c>
      <c r="L20" s="198">
        <v>450000</v>
      </c>
      <c r="M20" s="199">
        <v>1487.7</v>
      </c>
      <c r="N20" s="199">
        <v>285379</v>
      </c>
      <c r="O20" s="200">
        <v>943.46297400000003</v>
      </c>
      <c r="P20" s="201">
        <v>0.6341755555555556</v>
      </c>
    </row>
    <row r="21" spans="1:16" ht="14.1" customHeight="1">
      <c r="A21" s="202">
        <v>1182</v>
      </c>
      <c r="B21" s="202">
        <v>1182</v>
      </c>
      <c r="C21" s="195" t="s">
        <v>1607</v>
      </c>
      <c r="D21" s="194" t="s">
        <v>1677</v>
      </c>
      <c r="E21" s="194" t="s">
        <v>1678</v>
      </c>
      <c r="F21" s="194" t="s">
        <v>651</v>
      </c>
      <c r="G21" s="194" t="s">
        <v>1679</v>
      </c>
      <c r="H21" s="202">
        <v>62013024</v>
      </c>
      <c r="I21" s="194" t="s">
        <v>33</v>
      </c>
      <c r="J21" s="196" t="s">
        <v>664</v>
      </c>
      <c r="K21" s="197" t="s">
        <v>1680</v>
      </c>
      <c r="L21" s="198">
        <v>200000</v>
      </c>
      <c r="M21" s="199">
        <v>661.2</v>
      </c>
      <c r="N21" s="199">
        <v>30000</v>
      </c>
      <c r="O21" s="200">
        <v>99.18</v>
      </c>
      <c r="P21" s="201">
        <v>0.15</v>
      </c>
    </row>
    <row r="22" spans="1:16" ht="14.1" customHeight="1">
      <c r="A22" s="202">
        <v>1182</v>
      </c>
      <c r="B22" s="202">
        <v>1182</v>
      </c>
      <c r="C22" s="195" t="s">
        <v>1607</v>
      </c>
      <c r="D22" s="194" t="s">
        <v>1681</v>
      </c>
      <c r="E22" s="194" t="s">
        <v>1682</v>
      </c>
      <c r="F22" s="194" t="s">
        <v>498</v>
      </c>
      <c r="G22" s="194" t="s">
        <v>1683</v>
      </c>
      <c r="H22" s="202">
        <v>60406600</v>
      </c>
      <c r="I22" s="194" t="s">
        <v>33</v>
      </c>
      <c r="J22" s="196" t="s">
        <v>664</v>
      </c>
      <c r="K22" s="197" t="s">
        <v>1685</v>
      </c>
      <c r="L22" s="198">
        <v>100000</v>
      </c>
      <c r="M22" s="199">
        <v>330.6</v>
      </c>
      <c r="N22" s="199">
        <v>7998</v>
      </c>
      <c r="O22" s="200">
        <v>26.441388</v>
      </c>
      <c r="P22" s="201">
        <v>7.9979999999999996E-2</v>
      </c>
    </row>
    <row r="23" spans="1:16" ht="14.1" customHeight="1">
      <c r="A23" s="202">
        <v>1182</v>
      </c>
      <c r="B23" s="202">
        <v>1182</v>
      </c>
      <c r="C23" s="195" t="s">
        <v>1607</v>
      </c>
      <c r="D23" s="194" t="s">
        <v>1686</v>
      </c>
      <c r="E23" s="194" t="s">
        <v>1687</v>
      </c>
      <c r="F23" s="194" t="s">
        <v>498</v>
      </c>
      <c r="G23" s="194" t="s">
        <v>1688</v>
      </c>
      <c r="H23" s="202">
        <v>62009048</v>
      </c>
      <c r="I23" s="194" t="s">
        <v>33</v>
      </c>
      <c r="J23" s="196" t="s">
        <v>664</v>
      </c>
      <c r="K23" s="197" t="s">
        <v>1689</v>
      </c>
      <c r="L23" s="198">
        <v>200000</v>
      </c>
      <c r="M23" s="199">
        <v>661.2</v>
      </c>
      <c r="N23" s="199">
        <v>6000</v>
      </c>
      <c r="O23" s="200">
        <v>19.835999999999999</v>
      </c>
      <c r="P23" s="201">
        <v>0.03</v>
      </c>
    </row>
    <row r="24" spans="1:16" ht="14.1" customHeight="1">
      <c r="A24" s="202">
        <v>1182</v>
      </c>
      <c r="B24" s="202">
        <v>1182</v>
      </c>
      <c r="C24" s="195" t="s">
        <v>1607</v>
      </c>
      <c r="D24" s="194" t="s">
        <v>1690</v>
      </c>
      <c r="E24" s="194" t="s">
        <v>1691</v>
      </c>
      <c r="F24" s="194" t="s">
        <v>498</v>
      </c>
      <c r="G24" s="194" t="s">
        <v>1692</v>
      </c>
      <c r="H24" s="202">
        <v>62015334</v>
      </c>
      <c r="I24" s="194" t="s">
        <v>33</v>
      </c>
      <c r="J24" s="196" t="s">
        <v>664</v>
      </c>
      <c r="K24" s="197" t="s">
        <v>1693</v>
      </c>
      <c r="L24" s="198">
        <v>200000</v>
      </c>
      <c r="M24" s="199">
        <v>661.2</v>
      </c>
      <c r="N24" s="199">
        <v>24000</v>
      </c>
      <c r="O24" s="200">
        <v>79.343999999999994</v>
      </c>
      <c r="P24" s="201">
        <v>0.12</v>
      </c>
    </row>
    <row r="25" spans="1:16" ht="14.1" customHeight="1">
      <c r="A25" s="202">
        <v>1182</v>
      </c>
      <c r="B25" s="202">
        <v>1182</v>
      </c>
      <c r="C25" s="195" t="s">
        <v>1607</v>
      </c>
      <c r="D25" s="194" t="s">
        <v>1694</v>
      </c>
      <c r="E25" s="194" t="s">
        <v>1695</v>
      </c>
      <c r="F25" s="194" t="s">
        <v>498</v>
      </c>
      <c r="G25" s="194" t="s">
        <v>1696</v>
      </c>
      <c r="H25" s="202">
        <v>62017835</v>
      </c>
      <c r="I25" s="194" t="s">
        <v>33</v>
      </c>
      <c r="J25" s="196" t="s">
        <v>664</v>
      </c>
      <c r="K25" s="197" t="s">
        <v>1662</v>
      </c>
      <c r="L25" s="198">
        <v>200000</v>
      </c>
      <c r="M25" s="199">
        <v>661.2</v>
      </c>
      <c r="N25" s="199">
        <v>18000</v>
      </c>
      <c r="O25" s="200">
        <v>59.508000000000003</v>
      </c>
      <c r="P25" s="201">
        <v>0.09</v>
      </c>
    </row>
    <row r="26" spans="1:16" ht="14.1" customHeight="1">
      <c r="A26" s="202">
        <v>1182</v>
      </c>
      <c r="B26" s="202">
        <v>1182</v>
      </c>
      <c r="C26" s="195" t="s">
        <v>1607</v>
      </c>
      <c r="D26" s="194" t="s">
        <v>1697</v>
      </c>
      <c r="E26" s="194" t="s">
        <v>1698</v>
      </c>
      <c r="F26" s="194" t="s">
        <v>498</v>
      </c>
      <c r="G26" s="194" t="s">
        <v>1699</v>
      </c>
      <c r="H26" s="202">
        <v>62020011</v>
      </c>
      <c r="I26" s="194" t="s">
        <v>33</v>
      </c>
      <c r="J26" s="196" t="s">
        <v>664</v>
      </c>
      <c r="K26" s="197" t="s">
        <v>1700</v>
      </c>
      <c r="L26" s="198">
        <v>200000</v>
      </c>
      <c r="M26" s="199">
        <v>661.2</v>
      </c>
      <c r="N26" s="199">
        <v>78000</v>
      </c>
      <c r="O26" s="200">
        <v>257.86799999999999</v>
      </c>
      <c r="P26" s="201">
        <v>0.39</v>
      </c>
    </row>
    <row r="27" spans="1:16" ht="14.1" customHeight="1">
      <c r="A27" s="202">
        <v>1182</v>
      </c>
      <c r="B27" s="202">
        <v>1182</v>
      </c>
      <c r="C27" s="195" t="s">
        <v>1607</v>
      </c>
      <c r="D27" s="194" t="s">
        <v>1701</v>
      </c>
      <c r="E27" s="194">
        <v>500472543</v>
      </c>
      <c r="F27" s="194" t="s">
        <v>498</v>
      </c>
      <c r="G27" s="194" t="s">
        <v>1703</v>
      </c>
      <c r="H27" s="202">
        <v>62020748</v>
      </c>
      <c r="I27" s="194" t="s">
        <v>33</v>
      </c>
      <c r="J27" s="196" t="s">
        <v>664</v>
      </c>
      <c r="K27" s="197" t="s">
        <v>1704</v>
      </c>
      <c r="L27" s="198">
        <v>250000</v>
      </c>
      <c r="M27" s="199">
        <v>826.5</v>
      </c>
      <c r="N27" s="199">
        <v>137500</v>
      </c>
      <c r="O27" s="200">
        <v>454.57499999999999</v>
      </c>
      <c r="P27" s="201">
        <v>0.55000000000000004</v>
      </c>
    </row>
    <row r="28" spans="1:16" ht="14.1" customHeight="1">
      <c r="A28" s="202">
        <v>1182</v>
      </c>
      <c r="B28" s="202">
        <v>1182</v>
      </c>
      <c r="C28" s="195" t="s">
        <v>1607</v>
      </c>
      <c r="D28" s="194" t="s">
        <v>1705</v>
      </c>
      <c r="E28" s="194" t="s">
        <v>3289</v>
      </c>
      <c r="F28" s="194" t="s">
        <v>33</v>
      </c>
      <c r="G28" s="194" t="s">
        <v>1707</v>
      </c>
      <c r="H28" s="202">
        <v>62022710</v>
      </c>
      <c r="I28" s="194" t="s">
        <v>33</v>
      </c>
      <c r="J28" s="196" t="s">
        <v>664</v>
      </c>
      <c r="K28" s="197" t="s">
        <v>1708</v>
      </c>
      <c r="L28" s="198">
        <v>300000</v>
      </c>
      <c r="M28" s="199">
        <v>991.80000000000007</v>
      </c>
      <c r="N28" s="199">
        <v>288000</v>
      </c>
      <c r="O28" s="200">
        <v>952.12800000000004</v>
      </c>
      <c r="P28" s="201">
        <v>0.96</v>
      </c>
    </row>
    <row r="29" spans="1:16" ht="14.1" customHeight="1">
      <c r="A29" s="202">
        <v>1182</v>
      </c>
      <c r="B29" s="202">
        <v>1182</v>
      </c>
      <c r="C29" s="195" t="s">
        <v>1607</v>
      </c>
      <c r="D29" s="194" t="s">
        <v>1709</v>
      </c>
      <c r="E29" s="194">
        <v>500479340</v>
      </c>
      <c r="F29" s="194" t="s">
        <v>498</v>
      </c>
      <c r="G29" s="194" t="s">
        <v>1711</v>
      </c>
      <c r="H29" s="202">
        <v>62015151</v>
      </c>
      <c r="I29" s="194" t="s">
        <v>33</v>
      </c>
      <c r="J29" s="196" t="s">
        <v>664</v>
      </c>
      <c r="K29" s="197" t="s">
        <v>1712</v>
      </c>
      <c r="L29" s="198">
        <v>300000</v>
      </c>
      <c r="M29" s="199">
        <v>991.80000000000007</v>
      </c>
      <c r="N29" s="199">
        <v>64501</v>
      </c>
      <c r="O29" s="200">
        <v>213.24030600000003</v>
      </c>
      <c r="P29" s="201">
        <v>0.21500333333333332</v>
      </c>
    </row>
    <row r="30" spans="1:16" ht="14.1" customHeight="1">
      <c r="A30" s="202">
        <v>1182</v>
      </c>
      <c r="B30" s="202">
        <v>1182</v>
      </c>
      <c r="C30" s="195" t="s">
        <v>1607</v>
      </c>
      <c r="D30" s="194" t="s">
        <v>1713</v>
      </c>
      <c r="E30" s="194">
        <v>500457361</v>
      </c>
      <c r="F30" s="194" t="s">
        <v>498</v>
      </c>
      <c r="G30" s="194" t="s">
        <v>1715</v>
      </c>
      <c r="H30" s="202">
        <v>62007349</v>
      </c>
      <c r="I30" s="194" t="s">
        <v>33</v>
      </c>
      <c r="J30" s="196" t="s">
        <v>664</v>
      </c>
      <c r="K30" s="197" t="s">
        <v>1716</v>
      </c>
      <c r="L30" s="198">
        <v>100000</v>
      </c>
      <c r="M30" s="199">
        <v>330.6</v>
      </c>
      <c r="N30" s="199">
        <v>9999</v>
      </c>
      <c r="O30" s="200">
        <v>33.056694</v>
      </c>
      <c r="P30" s="201">
        <v>9.9989999999999996E-2</v>
      </c>
    </row>
    <row r="31" spans="1:16" ht="14.1" customHeight="1">
      <c r="A31" s="202">
        <v>1182</v>
      </c>
      <c r="B31" s="202">
        <v>1182</v>
      </c>
      <c r="C31" s="195" t="s">
        <v>1607</v>
      </c>
      <c r="D31" s="194" t="s">
        <v>1717</v>
      </c>
      <c r="E31" s="194" t="s">
        <v>1718</v>
      </c>
      <c r="F31" s="194" t="s">
        <v>498</v>
      </c>
      <c r="G31" s="194" t="s">
        <v>1719</v>
      </c>
      <c r="H31" s="202">
        <v>62020755</v>
      </c>
      <c r="I31" s="194" t="s">
        <v>33</v>
      </c>
      <c r="J31" s="196" t="s">
        <v>664</v>
      </c>
      <c r="K31" s="197" t="s">
        <v>1704</v>
      </c>
      <c r="L31" s="198">
        <v>400000</v>
      </c>
      <c r="M31" s="199">
        <v>1322.4</v>
      </c>
      <c r="N31" s="199">
        <v>140000</v>
      </c>
      <c r="O31" s="200">
        <v>462.84000000000003</v>
      </c>
      <c r="P31" s="201">
        <v>0.35</v>
      </c>
    </row>
    <row r="32" spans="1:16" ht="14.1" customHeight="1">
      <c r="A32" s="202">
        <v>1182</v>
      </c>
      <c r="B32" s="202">
        <v>1182</v>
      </c>
      <c r="C32" s="195" t="s">
        <v>1607</v>
      </c>
      <c r="D32" s="194" t="s">
        <v>1724</v>
      </c>
      <c r="E32" s="194" t="s">
        <v>1725</v>
      </c>
      <c r="F32" s="194" t="s">
        <v>134</v>
      </c>
      <c r="G32" s="194" t="s">
        <v>1726</v>
      </c>
      <c r="H32" s="202">
        <v>50007004</v>
      </c>
      <c r="I32" s="194" t="s">
        <v>33</v>
      </c>
      <c r="J32" s="196" t="s">
        <v>34</v>
      </c>
      <c r="K32" s="197" t="s">
        <v>1728</v>
      </c>
      <c r="L32" s="198">
        <v>1400000</v>
      </c>
      <c r="M32" s="199">
        <v>1400</v>
      </c>
      <c r="N32" s="199">
        <v>298682</v>
      </c>
      <c r="O32" s="200">
        <v>298.68200000000002</v>
      </c>
      <c r="P32" s="201">
        <v>0.21334428571428571</v>
      </c>
    </row>
    <row r="33" spans="1:16" ht="14.1" customHeight="1">
      <c r="A33" s="202">
        <v>1182</v>
      </c>
      <c r="B33" s="202">
        <v>1182</v>
      </c>
      <c r="C33" s="195" t="s">
        <v>1607</v>
      </c>
      <c r="D33" s="194" t="s">
        <v>1729</v>
      </c>
      <c r="E33" s="194" t="s">
        <v>1730</v>
      </c>
      <c r="F33" s="194" t="s">
        <v>134</v>
      </c>
      <c r="G33" s="194" t="s">
        <v>1729</v>
      </c>
      <c r="H33" s="202">
        <v>50007350</v>
      </c>
      <c r="I33" s="194" t="s">
        <v>33</v>
      </c>
      <c r="J33" s="196" t="s">
        <v>34</v>
      </c>
      <c r="K33" s="197" t="s">
        <v>1732</v>
      </c>
      <c r="L33" s="198">
        <v>2000000</v>
      </c>
      <c r="M33" s="199">
        <v>2000</v>
      </c>
      <c r="N33" s="199">
        <v>355889</v>
      </c>
      <c r="O33" s="200">
        <v>355.88900000000001</v>
      </c>
      <c r="P33" s="201">
        <v>0.17794450000000001</v>
      </c>
    </row>
    <row r="34" spans="1:16" ht="14.1" customHeight="1">
      <c r="A34" s="202">
        <v>1182</v>
      </c>
      <c r="B34" s="202">
        <v>1182</v>
      </c>
      <c r="C34" s="195" t="s">
        <v>1607</v>
      </c>
      <c r="D34" s="194" t="s">
        <v>1733</v>
      </c>
      <c r="E34" s="194" t="s">
        <v>1734</v>
      </c>
      <c r="F34" s="194" t="s">
        <v>33</v>
      </c>
      <c r="G34" s="194" t="s">
        <v>1735</v>
      </c>
      <c r="H34" s="202">
        <v>50008325</v>
      </c>
      <c r="I34" s="194" t="s">
        <v>33</v>
      </c>
      <c r="J34" s="196" t="s">
        <v>34</v>
      </c>
      <c r="K34" s="197" t="s">
        <v>1736</v>
      </c>
      <c r="L34" s="198">
        <v>1000000</v>
      </c>
      <c r="M34" s="199">
        <v>1000</v>
      </c>
      <c r="N34" s="199">
        <v>915868</v>
      </c>
      <c r="O34" s="200">
        <v>915.86800000000005</v>
      </c>
      <c r="P34" s="201">
        <v>0.91586800000000002</v>
      </c>
    </row>
    <row r="35" spans="1:16" ht="14.1" customHeight="1">
      <c r="A35" s="202">
        <v>1182</v>
      </c>
      <c r="B35" s="202">
        <v>1182</v>
      </c>
      <c r="C35" s="195" t="s">
        <v>1607</v>
      </c>
      <c r="D35" s="194" t="s">
        <v>1610</v>
      </c>
      <c r="E35" s="194" t="s">
        <v>1611</v>
      </c>
      <c r="F35" s="194" t="s">
        <v>366</v>
      </c>
      <c r="G35" s="194" t="s">
        <v>1737</v>
      </c>
      <c r="H35" s="202">
        <v>60400892</v>
      </c>
      <c r="I35" s="194" t="s">
        <v>33</v>
      </c>
      <c r="J35" s="196" t="s">
        <v>664</v>
      </c>
      <c r="K35" s="197" t="s">
        <v>1738</v>
      </c>
      <c r="L35" s="198">
        <v>500000</v>
      </c>
      <c r="M35" s="199">
        <v>1653</v>
      </c>
      <c r="N35" s="199">
        <v>53638</v>
      </c>
      <c r="O35" s="200">
        <v>177.32722799999999</v>
      </c>
      <c r="P35" s="201">
        <v>0.107276</v>
      </c>
    </row>
    <row r="36" spans="1:16" ht="14.1" customHeight="1">
      <c r="A36" s="202">
        <v>1182</v>
      </c>
      <c r="B36" s="202">
        <v>1182</v>
      </c>
      <c r="C36" s="195" t="s">
        <v>1607</v>
      </c>
      <c r="D36" s="194" t="s">
        <v>1724</v>
      </c>
      <c r="E36" s="194" t="s">
        <v>1725</v>
      </c>
      <c r="F36" s="194" t="s">
        <v>134</v>
      </c>
      <c r="G36" s="194" t="s">
        <v>1724</v>
      </c>
      <c r="H36" s="202">
        <v>18952</v>
      </c>
      <c r="I36" s="194" t="s">
        <v>33</v>
      </c>
      <c r="J36" s="196" t="s">
        <v>34</v>
      </c>
      <c r="K36" s="197" t="s">
        <v>1739</v>
      </c>
      <c r="L36" s="198">
        <v>310000</v>
      </c>
      <c r="M36" s="199">
        <v>310</v>
      </c>
      <c r="N36" s="199">
        <v>52497</v>
      </c>
      <c r="O36" s="200">
        <v>52.497</v>
      </c>
      <c r="P36" s="201">
        <v>0.16934516129032259</v>
      </c>
    </row>
    <row r="37" spans="1:16" ht="14.1" customHeight="1">
      <c r="A37" s="202">
        <v>1182</v>
      </c>
      <c r="B37" s="202">
        <v>1182</v>
      </c>
      <c r="C37" s="195" t="s">
        <v>1607</v>
      </c>
      <c r="D37" s="194" t="s">
        <v>1740</v>
      </c>
      <c r="E37" s="194" t="s">
        <v>1741</v>
      </c>
      <c r="F37" s="194" t="s">
        <v>498</v>
      </c>
      <c r="G37" s="194" t="s">
        <v>1742</v>
      </c>
      <c r="H37" s="202">
        <v>50007160</v>
      </c>
      <c r="I37" s="194" t="s">
        <v>33</v>
      </c>
      <c r="J37" s="196" t="s">
        <v>34</v>
      </c>
      <c r="K37" s="197" t="s">
        <v>1743</v>
      </c>
      <c r="L37" s="198">
        <v>900000</v>
      </c>
      <c r="M37" s="199">
        <v>900</v>
      </c>
      <c r="N37" s="199">
        <v>430040</v>
      </c>
      <c r="O37" s="200">
        <v>430.04</v>
      </c>
      <c r="P37" s="201">
        <v>0.4778222222222222</v>
      </c>
    </row>
    <row r="38" spans="1:16" ht="14.1" customHeight="1">
      <c r="A38" s="202">
        <v>1182</v>
      </c>
      <c r="B38" s="202">
        <v>1182</v>
      </c>
      <c r="C38" s="195" t="s">
        <v>1607</v>
      </c>
      <c r="D38" s="194" t="s">
        <v>1744</v>
      </c>
      <c r="E38" s="194" t="s">
        <v>1745</v>
      </c>
      <c r="F38" s="194" t="s">
        <v>651</v>
      </c>
      <c r="G38" s="194" t="s">
        <v>1746</v>
      </c>
      <c r="H38" s="202">
        <v>62022124</v>
      </c>
      <c r="I38" s="194" t="s">
        <v>33</v>
      </c>
      <c r="J38" s="196" t="s">
        <v>576</v>
      </c>
      <c r="K38" s="197" t="s">
        <v>1748</v>
      </c>
      <c r="L38" s="198">
        <v>250000</v>
      </c>
      <c r="M38" s="199">
        <v>970.17499999999995</v>
      </c>
      <c r="N38" s="199">
        <v>112429.29000000001</v>
      </c>
      <c r="O38" s="200">
        <v>436.30434570300002</v>
      </c>
      <c r="P38" s="201">
        <v>0.44971716000000006</v>
      </c>
    </row>
    <row r="39" spans="1:16" ht="14.1" customHeight="1">
      <c r="A39" s="202">
        <v>1182</v>
      </c>
      <c r="B39" s="202">
        <v>1182</v>
      </c>
      <c r="C39" s="195" t="s">
        <v>1607</v>
      </c>
      <c r="D39" s="194" t="s">
        <v>1749</v>
      </c>
      <c r="E39" s="194" t="s">
        <v>1750</v>
      </c>
      <c r="F39" s="194" t="s">
        <v>33</v>
      </c>
      <c r="G39" s="194" t="s">
        <v>1751</v>
      </c>
      <c r="H39" s="202">
        <v>62020672</v>
      </c>
      <c r="I39" s="194" t="s">
        <v>33</v>
      </c>
      <c r="J39" s="196" t="s">
        <v>664</v>
      </c>
      <c r="K39" s="197" t="s">
        <v>1752</v>
      </c>
      <c r="L39" s="198">
        <v>100000</v>
      </c>
      <c r="M39" s="199">
        <v>330.6</v>
      </c>
      <c r="N39" s="199">
        <v>17689</v>
      </c>
      <c r="O39" s="200">
        <v>58.479834000000004</v>
      </c>
      <c r="P39" s="201">
        <v>0.17688999999999999</v>
      </c>
    </row>
    <row r="40" spans="1:16" ht="14.1" customHeight="1">
      <c r="A40" s="202">
        <v>1182</v>
      </c>
      <c r="B40" s="202">
        <v>1182</v>
      </c>
      <c r="C40" s="195" t="s">
        <v>1607</v>
      </c>
      <c r="D40" s="194" t="s">
        <v>1753</v>
      </c>
      <c r="E40" s="194" t="s">
        <v>1754</v>
      </c>
      <c r="F40" s="194" t="s">
        <v>651</v>
      </c>
      <c r="G40" s="194" t="s">
        <v>1753</v>
      </c>
      <c r="H40" s="202">
        <v>62021365</v>
      </c>
      <c r="I40" s="194" t="s">
        <v>33</v>
      </c>
      <c r="J40" s="196" t="s">
        <v>664</v>
      </c>
      <c r="K40" s="197" t="s">
        <v>1756</v>
      </c>
      <c r="L40" s="198">
        <v>400000</v>
      </c>
      <c r="M40" s="199">
        <v>1322.4</v>
      </c>
      <c r="N40" s="199">
        <v>303897.77</v>
      </c>
      <c r="O40" s="200">
        <v>1004.6860276200001</v>
      </c>
      <c r="P40" s="201">
        <v>0.75974442500000006</v>
      </c>
    </row>
    <row r="41" spans="1:16" ht="14.1" customHeight="1">
      <c r="A41" s="202">
        <v>1182</v>
      </c>
      <c r="B41" s="202">
        <v>1182</v>
      </c>
      <c r="C41" s="195" t="s">
        <v>1607</v>
      </c>
      <c r="D41" s="194" t="s">
        <v>1757</v>
      </c>
      <c r="E41" s="194" t="s">
        <v>1758</v>
      </c>
      <c r="F41" s="194" t="s">
        <v>492</v>
      </c>
      <c r="G41" s="194" t="s">
        <v>1757</v>
      </c>
      <c r="H41" s="202">
        <v>62020896</v>
      </c>
      <c r="I41" s="194" t="s">
        <v>33</v>
      </c>
      <c r="J41" s="196" t="s">
        <v>664</v>
      </c>
      <c r="K41" s="197" t="s">
        <v>1760</v>
      </c>
      <c r="L41" s="198">
        <v>300000</v>
      </c>
      <c r="M41" s="199">
        <v>991.80000000000007</v>
      </c>
      <c r="N41" s="199">
        <v>211810</v>
      </c>
      <c r="O41" s="200">
        <v>700.24386000000004</v>
      </c>
      <c r="P41" s="201">
        <v>0.70603333333333329</v>
      </c>
    </row>
    <row r="42" spans="1:16" ht="14.1" customHeight="1">
      <c r="A42" s="202">
        <v>1182</v>
      </c>
      <c r="B42" s="202">
        <v>1182</v>
      </c>
      <c r="C42" s="195" t="s">
        <v>1607</v>
      </c>
      <c r="D42" s="194" t="s">
        <v>1757</v>
      </c>
      <c r="E42" s="194" t="s">
        <v>1761</v>
      </c>
      <c r="F42" s="194" t="s">
        <v>33</v>
      </c>
      <c r="G42" s="194" t="s">
        <v>1762</v>
      </c>
      <c r="H42" s="202">
        <v>62022447</v>
      </c>
      <c r="I42" s="194" t="s">
        <v>33</v>
      </c>
      <c r="J42" s="196" t="s">
        <v>664</v>
      </c>
      <c r="K42" s="197" t="s">
        <v>1390</v>
      </c>
      <c r="L42" s="198">
        <v>400000</v>
      </c>
      <c r="M42" s="199">
        <v>1322.4</v>
      </c>
      <c r="N42" s="199">
        <v>399960</v>
      </c>
      <c r="O42" s="200">
        <v>1322.26776</v>
      </c>
      <c r="P42" s="201">
        <v>0.99990000000000001</v>
      </c>
    </row>
    <row r="43" spans="1:16" ht="14.1" customHeight="1">
      <c r="A43" s="202">
        <v>1182</v>
      </c>
      <c r="B43" s="202">
        <v>1182</v>
      </c>
      <c r="C43" s="195" t="s">
        <v>1607</v>
      </c>
      <c r="D43" s="194" t="s">
        <v>1763</v>
      </c>
      <c r="E43" s="194" t="s">
        <v>1764</v>
      </c>
      <c r="F43" s="194" t="s">
        <v>651</v>
      </c>
      <c r="G43" s="194" t="s">
        <v>1763</v>
      </c>
      <c r="H43" s="202">
        <v>62019815</v>
      </c>
      <c r="I43" s="194" t="s">
        <v>33</v>
      </c>
      <c r="J43" s="196" t="s">
        <v>664</v>
      </c>
      <c r="K43" s="197" t="s">
        <v>1765</v>
      </c>
      <c r="L43" s="198">
        <v>750000</v>
      </c>
      <c r="M43" s="199">
        <v>2479.5</v>
      </c>
      <c r="N43" s="199">
        <v>338639</v>
      </c>
      <c r="O43" s="200">
        <v>1119.540534</v>
      </c>
      <c r="P43" s="201">
        <v>0.45151866666666668</v>
      </c>
    </row>
    <row r="44" spans="1:16" ht="14.1" customHeight="1">
      <c r="A44" s="202">
        <v>1182</v>
      </c>
      <c r="B44" s="202">
        <v>1182</v>
      </c>
      <c r="C44" s="195" t="s">
        <v>1607</v>
      </c>
      <c r="D44" s="194" t="s">
        <v>1766</v>
      </c>
      <c r="E44" s="194" t="s">
        <v>1767</v>
      </c>
      <c r="F44" s="194" t="s">
        <v>492</v>
      </c>
      <c r="G44" s="194" t="s">
        <v>1768</v>
      </c>
      <c r="H44" s="202">
        <v>62019757</v>
      </c>
      <c r="I44" s="194" t="s">
        <v>33</v>
      </c>
      <c r="J44" s="196" t="s">
        <v>664</v>
      </c>
      <c r="K44" s="197" t="s">
        <v>1769</v>
      </c>
      <c r="L44" s="198">
        <v>140000</v>
      </c>
      <c r="M44" s="199">
        <v>462.84000000000003</v>
      </c>
      <c r="N44" s="199">
        <v>64008</v>
      </c>
      <c r="O44" s="200">
        <v>211.61044799999999</v>
      </c>
      <c r="P44" s="201">
        <v>0.4572</v>
      </c>
    </row>
    <row r="45" spans="1:16" ht="14.1" customHeight="1">
      <c r="A45" s="202">
        <v>1182</v>
      </c>
      <c r="B45" s="202">
        <v>1182</v>
      </c>
      <c r="C45" s="195" t="s">
        <v>1607</v>
      </c>
      <c r="D45" s="194" t="s">
        <v>1770</v>
      </c>
      <c r="E45" s="194" t="s">
        <v>1771</v>
      </c>
      <c r="F45" s="194" t="s">
        <v>492</v>
      </c>
      <c r="G45" s="194" t="s">
        <v>1772</v>
      </c>
      <c r="H45" s="202">
        <v>62013909</v>
      </c>
      <c r="I45" s="194" t="s">
        <v>33</v>
      </c>
      <c r="J45" s="196" t="s">
        <v>664</v>
      </c>
      <c r="K45" s="197" t="s">
        <v>1774</v>
      </c>
      <c r="L45" s="198">
        <v>350000</v>
      </c>
      <c r="M45" s="199">
        <v>1157.0999999999999</v>
      </c>
      <c r="N45" s="199">
        <v>0</v>
      </c>
      <c r="O45" s="200">
        <v>0</v>
      </c>
      <c r="P45" s="201">
        <v>0</v>
      </c>
    </row>
    <row r="46" spans="1:16" ht="14.1" customHeight="1">
      <c r="A46" s="202">
        <v>1182</v>
      </c>
      <c r="B46" s="202">
        <v>1182</v>
      </c>
      <c r="C46" s="195" t="s">
        <v>1607</v>
      </c>
      <c r="D46" s="194" t="s">
        <v>1780</v>
      </c>
      <c r="E46" s="194" t="s">
        <v>1781</v>
      </c>
      <c r="F46" s="194" t="s">
        <v>33</v>
      </c>
      <c r="G46" s="194" t="s">
        <v>1782</v>
      </c>
      <c r="H46" s="202">
        <v>62022348</v>
      </c>
      <c r="I46" s="194" t="s">
        <v>33</v>
      </c>
      <c r="J46" s="196" t="s">
        <v>664</v>
      </c>
      <c r="K46" s="197" t="s">
        <v>1783</v>
      </c>
      <c r="L46" s="198">
        <v>300000</v>
      </c>
      <c r="M46" s="199">
        <v>991.80000000000007</v>
      </c>
      <c r="N46" s="199">
        <v>229960.38</v>
      </c>
      <c r="O46" s="200">
        <v>760.24901628000009</v>
      </c>
      <c r="P46" s="201">
        <v>0.76653460000000007</v>
      </c>
    </row>
    <row r="47" spans="1:16" ht="14.1" customHeight="1">
      <c r="A47" s="202">
        <v>1182</v>
      </c>
      <c r="B47" s="202">
        <v>1182</v>
      </c>
      <c r="C47" s="195" t="s">
        <v>1607</v>
      </c>
      <c r="D47" s="194" t="s">
        <v>1784</v>
      </c>
      <c r="E47" s="194" t="s">
        <v>1785</v>
      </c>
      <c r="F47" s="194" t="s">
        <v>492</v>
      </c>
      <c r="G47" s="194" t="s">
        <v>1786</v>
      </c>
      <c r="H47" s="202">
        <v>62022504</v>
      </c>
      <c r="I47" s="194" t="s">
        <v>33</v>
      </c>
      <c r="J47" s="196" t="s">
        <v>664</v>
      </c>
      <c r="K47" s="197" t="s">
        <v>1787</v>
      </c>
      <c r="L47" s="198">
        <v>300000</v>
      </c>
      <c r="M47" s="199">
        <v>991.80000000000007</v>
      </c>
      <c r="N47" s="199">
        <v>227808.53999999998</v>
      </c>
      <c r="O47" s="200">
        <v>753.13503323999987</v>
      </c>
      <c r="P47" s="201">
        <v>0.75936179999999998</v>
      </c>
    </row>
    <row r="48" spans="1:16" ht="14.1" customHeight="1">
      <c r="A48" s="202">
        <v>1182</v>
      </c>
      <c r="B48" s="202">
        <v>1182</v>
      </c>
      <c r="C48" s="195" t="s">
        <v>1607</v>
      </c>
      <c r="D48" s="194" t="s">
        <v>1788</v>
      </c>
      <c r="E48" s="194" t="s">
        <v>1789</v>
      </c>
      <c r="F48" s="194" t="s">
        <v>492</v>
      </c>
      <c r="G48" s="194" t="s">
        <v>1790</v>
      </c>
      <c r="H48" s="202">
        <v>60419041</v>
      </c>
      <c r="I48" s="194" t="s">
        <v>33</v>
      </c>
      <c r="J48" s="196" t="s">
        <v>664</v>
      </c>
      <c r="K48" s="197" t="s">
        <v>1791</v>
      </c>
      <c r="L48" s="198">
        <v>100000</v>
      </c>
      <c r="M48" s="199">
        <v>330.6</v>
      </c>
      <c r="N48" s="199">
        <v>9000</v>
      </c>
      <c r="O48" s="203">
        <v>29.754000000000001</v>
      </c>
      <c r="P48" s="201">
        <v>0.09</v>
      </c>
    </row>
    <row r="49" spans="1:16" ht="14.1" customHeight="1">
      <c r="A49" s="202">
        <v>1182</v>
      </c>
      <c r="B49" s="202">
        <v>1182</v>
      </c>
      <c r="C49" s="195" t="s">
        <v>1607</v>
      </c>
      <c r="D49" s="194" t="s">
        <v>1792</v>
      </c>
      <c r="E49" s="194" t="s">
        <v>1793</v>
      </c>
      <c r="F49" s="194" t="s">
        <v>492</v>
      </c>
      <c r="G49" s="194" t="s">
        <v>1794</v>
      </c>
      <c r="H49" s="202">
        <v>62016654</v>
      </c>
      <c r="I49" s="194" t="s">
        <v>33</v>
      </c>
      <c r="J49" s="196" t="s">
        <v>664</v>
      </c>
      <c r="K49" s="197" t="s">
        <v>1795</v>
      </c>
      <c r="L49" s="198">
        <v>450000</v>
      </c>
      <c r="M49" s="199">
        <v>1487.7</v>
      </c>
      <c r="N49" s="199">
        <v>85500</v>
      </c>
      <c r="O49" s="200">
        <v>282.66300000000001</v>
      </c>
      <c r="P49" s="201">
        <v>0.19</v>
      </c>
    </row>
    <row r="50" spans="1:16" ht="14.1" customHeight="1">
      <c r="A50" s="202">
        <v>1182</v>
      </c>
      <c r="B50" s="202">
        <v>1182</v>
      </c>
      <c r="C50" s="195" t="s">
        <v>1607</v>
      </c>
      <c r="D50" s="194" t="s">
        <v>1796</v>
      </c>
      <c r="E50" s="194" t="s">
        <v>1797</v>
      </c>
      <c r="F50" s="194" t="s">
        <v>651</v>
      </c>
      <c r="G50" s="194" t="s">
        <v>1798</v>
      </c>
      <c r="H50" s="202">
        <v>62021241</v>
      </c>
      <c r="I50" s="194" t="s">
        <v>33</v>
      </c>
      <c r="J50" s="196" t="s">
        <v>664</v>
      </c>
      <c r="K50" s="197" t="s">
        <v>1799</v>
      </c>
      <c r="L50" s="198">
        <v>400000</v>
      </c>
      <c r="M50" s="199">
        <v>1322.4</v>
      </c>
      <c r="N50" s="199">
        <v>236000</v>
      </c>
      <c r="O50" s="200">
        <v>780.21600000000001</v>
      </c>
      <c r="P50" s="201">
        <v>0.59</v>
      </c>
    </row>
    <row r="51" spans="1:16" ht="14.1" customHeight="1">
      <c r="A51" s="202">
        <v>1182</v>
      </c>
      <c r="B51" s="202">
        <v>1182</v>
      </c>
      <c r="C51" s="195" t="s">
        <v>1607</v>
      </c>
      <c r="D51" s="194" t="s">
        <v>1800</v>
      </c>
      <c r="E51" s="194" t="s">
        <v>1801</v>
      </c>
      <c r="F51" s="194" t="s">
        <v>651</v>
      </c>
      <c r="G51" s="194" t="s">
        <v>1802</v>
      </c>
      <c r="H51" s="202">
        <v>62018064</v>
      </c>
      <c r="I51" s="194" t="s">
        <v>33</v>
      </c>
      <c r="J51" s="196" t="s">
        <v>664</v>
      </c>
      <c r="K51" s="197" t="s">
        <v>1554</v>
      </c>
      <c r="L51" s="198">
        <v>200000</v>
      </c>
      <c r="M51" s="199">
        <v>661.2</v>
      </c>
      <c r="N51" s="199">
        <v>24647</v>
      </c>
      <c r="O51" s="200">
        <v>81.482981999999993</v>
      </c>
      <c r="P51" s="201">
        <v>0.123235</v>
      </c>
    </row>
    <row r="52" spans="1:16" ht="14.1" customHeight="1">
      <c r="A52" s="202">
        <v>1182</v>
      </c>
      <c r="B52" s="202">
        <v>1182</v>
      </c>
      <c r="C52" s="195" t="s">
        <v>1607</v>
      </c>
      <c r="D52" s="194" t="s">
        <v>1800</v>
      </c>
      <c r="E52" s="194" t="s">
        <v>1801</v>
      </c>
      <c r="F52" s="194" t="s">
        <v>651</v>
      </c>
      <c r="G52" s="194" t="s">
        <v>1804</v>
      </c>
      <c r="H52" s="202">
        <v>62021340</v>
      </c>
      <c r="I52" s="194" t="s">
        <v>33</v>
      </c>
      <c r="J52" s="196" t="s">
        <v>664</v>
      </c>
      <c r="K52" s="197" t="s">
        <v>1806</v>
      </c>
      <c r="L52" s="198">
        <v>200000</v>
      </c>
      <c r="M52" s="199">
        <v>661.2</v>
      </c>
      <c r="N52" s="199">
        <v>31446</v>
      </c>
      <c r="O52" s="200">
        <v>103.960476</v>
      </c>
      <c r="P52" s="201">
        <v>0.15723000000000001</v>
      </c>
    </row>
    <row r="53" spans="1:16" ht="14.1" customHeight="1">
      <c r="A53" s="202">
        <v>1182</v>
      </c>
      <c r="B53" s="202">
        <v>1182</v>
      </c>
      <c r="C53" s="195" t="s">
        <v>1607</v>
      </c>
      <c r="D53" s="194" t="s">
        <v>1807</v>
      </c>
      <c r="E53" s="194" t="s">
        <v>1808</v>
      </c>
      <c r="F53" s="194" t="s">
        <v>492</v>
      </c>
      <c r="G53" s="194" t="s">
        <v>1809</v>
      </c>
      <c r="H53" s="202">
        <v>62018908</v>
      </c>
      <c r="I53" s="194" t="s">
        <v>33</v>
      </c>
      <c r="J53" s="196" t="s">
        <v>664</v>
      </c>
      <c r="K53" s="197" t="s">
        <v>1810</v>
      </c>
      <c r="L53" s="198">
        <v>600000</v>
      </c>
      <c r="M53" s="199">
        <v>1983.6000000000001</v>
      </c>
      <c r="N53" s="199">
        <v>117489.29999999999</v>
      </c>
      <c r="O53" s="200">
        <v>388.41962579999995</v>
      </c>
      <c r="P53" s="201">
        <v>0.19581549999999998</v>
      </c>
    </row>
    <row r="54" spans="1:16" ht="14.1" customHeight="1">
      <c r="A54" s="202">
        <v>1182</v>
      </c>
      <c r="B54" s="202">
        <v>1182</v>
      </c>
      <c r="C54" s="195" t="s">
        <v>1607</v>
      </c>
      <c r="D54" s="194" t="s">
        <v>1811</v>
      </c>
      <c r="E54" s="194" t="s">
        <v>1812</v>
      </c>
      <c r="F54" s="194" t="s">
        <v>492</v>
      </c>
      <c r="G54" s="194" t="s">
        <v>1813</v>
      </c>
      <c r="H54" s="202">
        <v>62019559</v>
      </c>
      <c r="I54" s="194" t="s">
        <v>33</v>
      </c>
      <c r="J54" s="196" t="s">
        <v>664</v>
      </c>
      <c r="K54" s="197" t="s">
        <v>1814</v>
      </c>
      <c r="L54" s="198">
        <v>500000</v>
      </c>
      <c r="M54" s="199">
        <v>1653</v>
      </c>
      <c r="N54" s="199">
        <v>0</v>
      </c>
      <c r="O54" s="200">
        <v>0</v>
      </c>
      <c r="P54" s="201">
        <v>0</v>
      </c>
    </row>
    <row r="55" spans="1:16" ht="14.1" customHeight="1">
      <c r="A55" s="202">
        <v>1182</v>
      </c>
      <c r="B55" s="202">
        <v>1182</v>
      </c>
      <c r="C55" s="195" t="s">
        <v>1607</v>
      </c>
      <c r="D55" s="194" t="s">
        <v>1815</v>
      </c>
      <c r="E55" s="194" t="s">
        <v>1816</v>
      </c>
      <c r="F55" s="194" t="s">
        <v>651</v>
      </c>
      <c r="G55" s="194" t="s">
        <v>1817</v>
      </c>
      <c r="H55" s="202">
        <v>62020946</v>
      </c>
      <c r="I55" s="194" t="s">
        <v>33</v>
      </c>
      <c r="J55" s="196" t="s">
        <v>664</v>
      </c>
      <c r="K55" s="197" t="s">
        <v>1818</v>
      </c>
      <c r="L55" s="198">
        <v>500000</v>
      </c>
      <c r="M55" s="199">
        <v>1653</v>
      </c>
      <c r="N55" s="199">
        <v>24988</v>
      </c>
      <c r="O55" s="200">
        <v>82.610327999999996</v>
      </c>
      <c r="P55" s="201">
        <v>4.9976E-2</v>
      </c>
    </row>
    <row r="56" spans="1:16" ht="14.1" customHeight="1">
      <c r="A56" s="202">
        <v>1182</v>
      </c>
      <c r="B56" s="202">
        <v>1182</v>
      </c>
      <c r="C56" s="195" t="s">
        <v>1607</v>
      </c>
      <c r="D56" s="194" t="s">
        <v>1819</v>
      </c>
      <c r="E56" s="194" t="s">
        <v>1820</v>
      </c>
      <c r="F56" s="194" t="s">
        <v>366</v>
      </c>
      <c r="G56" s="194" t="s">
        <v>1821</v>
      </c>
      <c r="H56" s="202">
        <v>62021431</v>
      </c>
      <c r="I56" s="194" t="s">
        <v>33</v>
      </c>
      <c r="J56" s="196" t="s">
        <v>664</v>
      </c>
      <c r="K56" s="197" t="s">
        <v>1822</v>
      </c>
      <c r="L56" s="198">
        <v>130000</v>
      </c>
      <c r="M56" s="199">
        <v>429.78000000000003</v>
      </c>
      <c r="N56" s="199">
        <v>73450</v>
      </c>
      <c r="O56" s="200">
        <v>242.82570000000001</v>
      </c>
      <c r="P56" s="201">
        <v>0.56499999999999995</v>
      </c>
    </row>
    <row r="57" spans="1:16" ht="14.1" customHeight="1">
      <c r="A57" s="202">
        <v>1182</v>
      </c>
      <c r="B57" s="202">
        <v>1182</v>
      </c>
      <c r="C57" s="195" t="s">
        <v>1607</v>
      </c>
      <c r="D57" s="194" t="s">
        <v>1827</v>
      </c>
      <c r="E57" s="194" t="s">
        <v>1828</v>
      </c>
      <c r="F57" s="194" t="s">
        <v>651</v>
      </c>
      <c r="G57" s="194" t="s">
        <v>1829</v>
      </c>
      <c r="H57" s="202">
        <v>62003800</v>
      </c>
      <c r="I57" s="194" t="s">
        <v>33</v>
      </c>
      <c r="J57" s="196" t="s">
        <v>664</v>
      </c>
      <c r="K57" s="197" t="s">
        <v>1831</v>
      </c>
      <c r="L57" s="198">
        <v>600000</v>
      </c>
      <c r="M57" s="199">
        <v>1983.6000000000001</v>
      </c>
      <c r="N57" s="199">
        <v>96000</v>
      </c>
      <c r="O57" s="200">
        <v>317.37599999999998</v>
      </c>
      <c r="P57" s="201">
        <v>0.16</v>
      </c>
    </row>
    <row r="58" spans="1:16" ht="14.1" customHeight="1">
      <c r="A58" s="202">
        <v>1182</v>
      </c>
      <c r="B58" s="202">
        <v>1182</v>
      </c>
      <c r="C58" s="195" t="s">
        <v>1607</v>
      </c>
      <c r="D58" s="194" t="s">
        <v>1827</v>
      </c>
      <c r="E58" s="194" t="s">
        <v>1828</v>
      </c>
      <c r="F58" s="194" t="s">
        <v>651</v>
      </c>
      <c r="G58" s="194" t="s">
        <v>1832</v>
      </c>
      <c r="H58" s="202">
        <v>620101031</v>
      </c>
      <c r="I58" s="194" t="s">
        <v>33</v>
      </c>
      <c r="J58" s="196" t="s">
        <v>664</v>
      </c>
      <c r="K58" s="197" t="s">
        <v>1668</v>
      </c>
      <c r="L58" s="198">
        <v>300000</v>
      </c>
      <c r="M58" s="199">
        <v>991.80000000000007</v>
      </c>
      <c r="N58" s="199">
        <v>33000</v>
      </c>
      <c r="O58" s="200">
        <v>109.098</v>
      </c>
      <c r="P58" s="201">
        <v>0.11</v>
      </c>
    </row>
    <row r="59" spans="1:16" ht="14.1" customHeight="1">
      <c r="A59" s="202">
        <v>1182</v>
      </c>
      <c r="B59" s="202">
        <v>1182</v>
      </c>
      <c r="C59" s="195" t="s">
        <v>1607</v>
      </c>
      <c r="D59" s="194" t="s">
        <v>1827</v>
      </c>
      <c r="E59" s="194" t="s">
        <v>1828</v>
      </c>
      <c r="F59" s="194" t="s">
        <v>651</v>
      </c>
      <c r="G59" s="194" t="s">
        <v>1833</v>
      </c>
      <c r="H59" s="202">
        <v>62014857</v>
      </c>
      <c r="I59" s="194" t="s">
        <v>33</v>
      </c>
      <c r="J59" s="196" t="s">
        <v>664</v>
      </c>
      <c r="K59" s="197" t="s">
        <v>1834</v>
      </c>
      <c r="L59" s="198">
        <v>300000</v>
      </c>
      <c r="M59" s="199">
        <v>991.80000000000007</v>
      </c>
      <c r="N59" s="199">
        <v>60000</v>
      </c>
      <c r="O59" s="200">
        <v>198.36</v>
      </c>
      <c r="P59" s="201">
        <v>0.2</v>
      </c>
    </row>
    <row r="60" spans="1:16" ht="14.1" customHeight="1">
      <c r="A60" s="202">
        <v>1182</v>
      </c>
      <c r="B60" s="202">
        <v>1182</v>
      </c>
      <c r="C60" s="195" t="s">
        <v>1607</v>
      </c>
      <c r="D60" s="194" t="s">
        <v>1827</v>
      </c>
      <c r="E60" s="194" t="s">
        <v>1828</v>
      </c>
      <c r="F60" s="194" t="s">
        <v>651</v>
      </c>
      <c r="G60" s="194" t="s">
        <v>1835</v>
      </c>
      <c r="H60" s="202">
        <v>62019476</v>
      </c>
      <c r="I60" s="194" t="s">
        <v>33</v>
      </c>
      <c r="J60" s="196" t="s">
        <v>664</v>
      </c>
      <c r="K60" s="197" t="s">
        <v>1728</v>
      </c>
      <c r="L60" s="198">
        <v>400000</v>
      </c>
      <c r="M60" s="199">
        <v>1322.4</v>
      </c>
      <c r="N60" s="199">
        <v>122757</v>
      </c>
      <c r="O60" s="200">
        <v>405.83464200000003</v>
      </c>
      <c r="P60" s="201">
        <v>0.30689250000000001</v>
      </c>
    </row>
    <row r="61" spans="1:16" ht="14.1" customHeight="1">
      <c r="A61" s="202">
        <v>1182</v>
      </c>
      <c r="B61" s="202">
        <v>1182</v>
      </c>
      <c r="C61" s="195" t="s">
        <v>1607</v>
      </c>
      <c r="D61" s="194" t="s">
        <v>1836</v>
      </c>
      <c r="E61" s="194" t="s">
        <v>1837</v>
      </c>
      <c r="F61" s="194" t="s">
        <v>33</v>
      </c>
      <c r="G61" s="194" t="s">
        <v>1838</v>
      </c>
      <c r="H61" s="202">
        <v>62022074</v>
      </c>
      <c r="I61" s="194" t="s">
        <v>33</v>
      </c>
      <c r="J61" s="196" t="s">
        <v>664</v>
      </c>
      <c r="K61" s="197" t="s">
        <v>1839</v>
      </c>
      <c r="L61" s="198">
        <v>400000</v>
      </c>
      <c r="M61" s="199">
        <v>1322.4</v>
      </c>
      <c r="N61" s="199">
        <v>320000</v>
      </c>
      <c r="O61" s="200">
        <v>1057.92</v>
      </c>
      <c r="P61" s="201">
        <v>0.8</v>
      </c>
    </row>
    <row r="62" spans="1:16" ht="14.1" customHeight="1">
      <c r="A62" s="202">
        <v>1182</v>
      </c>
      <c r="B62" s="202">
        <v>1182</v>
      </c>
      <c r="C62" s="195" t="s">
        <v>1607</v>
      </c>
      <c r="D62" s="194" t="s">
        <v>1827</v>
      </c>
      <c r="E62" s="194" t="s">
        <v>1828</v>
      </c>
      <c r="F62" s="194" t="s">
        <v>651</v>
      </c>
      <c r="G62" s="194" t="s">
        <v>1840</v>
      </c>
      <c r="H62" s="202">
        <v>62020458</v>
      </c>
      <c r="I62" s="194" t="s">
        <v>33</v>
      </c>
      <c r="J62" s="196" t="s">
        <v>664</v>
      </c>
      <c r="K62" s="197" t="s">
        <v>1841</v>
      </c>
      <c r="L62" s="198">
        <v>150000</v>
      </c>
      <c r="M62" s="199">
        <v>495.90000000000003</v>
      </c>
      <c r="N62" s="199">
        <v>22500</v>
      </c>
      <c r="O62" s="200">
        <v>74.385000000000005</v>
      </c>
      <c r="P62" s="201">
        <v>0.15</v>
      </c>
    </row>
    <row r="63" spans="1:16" ht="14.1" customHeight="1">
      <c r="A63" s="202">
        <v>1182</v>
      </c>
      <c r="B63" s="202">
        <v>1182</v>
      </c>
      <c r="C63" s="195" t="s">
        <v>1607</v>
      </c>
      <c r="D63" s="194" t="s">
        <v>1827</v>
      </c>
      <c r="E63" s="194" t="s">
        <v>1828</v>
      </c>
      <c r="F63" s="194" t="s">
        <v>651</v>
      </c>
      <c r="G63" s="194" t="s">
        <v>1842</v>
      </c>
      <c r="H63" s="202">
        <v>62017678</v>
      </c>
      <c r="I63" s="194" t="s">
        <v>33</v>
      </c>
      <c r="J63" s="196" t="s">
        <v>664</v>
      </c>
      <c r="K63" s="197" t="s">
        <v>1843</v>
      </c>
      <c r="L63" s="198">
        <v>600000</v>
      </c>
      <c r="M63" s="199">
        <v>1983.6000000000001</v>
      </c>
      <c r="N63" s="199">
        <v>18000</v>
      </c>
      <c r="O63" s="200">
        <v>59.508000000000003</v>
      </c>
      <c r="P63" s="201">
        <v>0.03</v>
      </c>
    </row>
    <row r="64" spans="1:16" ht="14.1" customHeight="1">
      <c r="A64" s="202">
        <v>1182</v>
      </c>
      <c r="B64" s="202">
        <v>1182</v>
      </c>
      <c r="C64" s="195" t="s">
        <v>1607</v>
      </c>
      <c r="D64" s="194" t="s">
        <v>1827</v>
      </c>
      <c r="E64" s="194" t="s">
        <v>1828</v>
      </c>
      <c r="F64" s="194" t="s">
        <v>651</v>
      </c>
      <c r="G64" s="194" t="s">
        <v>1844</v>
      </c>
      <c r="H64" s="202">
        <v>62019237</v>
      </c>
      <c r="I64" s="194" t="s">
        <v>33</v>
      </c>
      <c r="J64" s="196" t="s">
        <v>664</v>
      </c>
      <c r="K64" s="197" t="s">
        <v>1845</v>
      </c>
      <c r="L64" s="198">
        <v>600000</v>
      </c>
      <c r="M64" s="199">
        <v>1983.6000000000001</v>
      </c>
      <c r="N64" s="199">
        <v>60000</v>
      </c>
      <c r="O64" s="200">
        <v>198.36</v>
      </c>
      <c r="P64" s="201">
        <v>0.1</v>
      </c>
    </row>
    <row r="65" spans="1:16" ht="14.1" customHeight="1">
      <c r="A65" s="202">
        <v>1182</v>
      </c>
      <c r="B65" s="202">
        <v>1182</v>
      </c>
      <c r="C65" s="195" t="s">
        <v>1607</v>
      </c>
      <c r="D65" s="194" t="s">
        <v>1836</v>
      </c>
      <c r="E65" s="194" t="s">
        <v>1837</v>
      </c>
      <c r="F65" s="194" t="s">
        <v>33</v>
      </c>
      <c r="G65" s="194" t="s">
        <v>1846</v>
      </c>
      <c r="H65" s="202">
        <v>62021845</v>
      </c>
      <c r="I65" s="194" t="s">
        <v>33</v>
      </c>
      <c r="J65" s="196" t="s">
        <v>664</v>
      </c>
      <c r="K65" s="197" t="s">
        <v>1847</v>
      </c>
      <c r="L65" s="198">
        <v>200000</v>
      </c>
      <c r="M65" s="199">
        <v>661.2</v>
      </c>
      <c r="N65" s="199">
        <v>160000</v>
      </c>
      <c r="O65" s="200">
        <v>528.96</v>
      </c>
      <c r="P65" s="201">
        <v>0.8</v>
      </c>
    </row>
    <row r="66" spans="1:16" ht="14.1" customHeight="1">
      <c r="A66" s="202">
        <v>1182</v>
      </c>
      <c r="B66" s="202">
        <v>1182</v>
      </c>
      <c r="C66" s="195" t="s">
        <v>1607</v>
      </c>
      <c r="D66" s="194" t="s">
        <v>1652</v>
      </c>
      <c r="E66" s="194" t="s">
        <v>1849</v>
      </c>
      <c r="F66" s="194" t="s">
        <v>651</v>
      </c>
      <c r="G66" s="194" t="s">
        <v>1850</v>
      </c>
      <c r="H66" s="202">
        <v>62022389</v>
      </c>
      <c r="I66" s="194" t="s">
        <v>33</v>
      </c>
      <c r="J66" s="196" t="s">
        <v>664</v>
      </c>
      <c r="K66" s="197" t="s">
        <v>1851</v>
      </c>
      <c r="L66" s="198">
        <v>300000</v>
      </c>
      <c r="M66" s="199">
        <v>991.80000000000007</v>
      </c>
      <c r="N66" s="199">
        <v>285000</v>
      </c>
      <c r="O66" s="200">
        <v>942.21</v>
      </c>
      <c r="P66" s="201">
        <v>0.95</v>
      </c>
    </row>
    <row r="67" spans="1:16" ht="14.1" customHeight="1">
      <c r="A67" s="202">
        <v>1182</v>
      </c>
      <c r="B67" s="202">
        <v>1182</v>
      </c>
      <c r="C67" s="195" t="s">
        <v>1607</v>
      </c>
      <c r="D67" s="194" t="s">
        <v>1852</v>
      </c>
      <c r="E67" s="194" t="s">
        <v>1853</v>
      </c>
      <c r="F67" s="194" t="s">
        <v>651</v>
      </c>
      <c r="G67" s="194" t="s">
        <v>1854</v>
      </c>
      <c r="H67" s="202">
        <v>62020565</v>
      </c>
      <c r="I67" s="194" t="s">
        <v>33</v>
      </c>
      <c r="J67" s="196" t="s">
        <v>576</v>
      </c>
      <c r="K67" s="197" t="s">
        <v>1609</v>
      </c>
      <c r="L67" s="198">
        <v>265000</v>
      </c>
      <c r="M67" s="199">
        <v>1028.3855000000001</v>
      </c>
      <c r="N67" s="199">
        <v>88875.660000000033</v>
      </c>
      <c r="O67" s="200">
        <v>344.89977376200017</v>
      </c>
      <c r="P67" s="201">
        <v>0.3353798490566039</v>
      </c>
    </row>
    <row r="68" spans="1:16" ht="14.1" customHeight="1">
      <c r="A68" s="202">
        <v>1182</v>
      </c>
      <c r="B68" s="202">
        <v>1182</v>
      </c>
      <c r="C68" s="195" t="s">
        <v>1607</v>
      </c>
      <c r="D68" s="194" t="s">
        <v>1855</v>
      </c>
      <c r="E68" s="194" t="s">
        <v>1856</v>
      </c>
      <c r="F68" s="194" t="s">
        <v>492</v>
      </c>
      <c r="G68" s="194" t="s">
        <v>1857</v>
      </c>
      <c r="H68" s="202">
        <v>62017702</v>
      </c>
      <c r="I68" s="194" t="s">
        <v>33</v>
      </c>
      <c r="J68" s="196" t="s">
        <v>664</v>
      </c>
      <c r="K68" s="197" t="s">
        <v>1859</v>
      </c>
      <c r="L68" s="198">
        <v>500000</v>
      </c>
      <c r="M68" s="199">
        <v>1653</v>
      </c>
      <c r="N68" s="199">
        <v>18662</v>
      </c>
      <c r="O68" s="200">
        <v>61.696571999999996</v>
      </c>
      <c r="P68" s="201">
        <v>3.7324000000000003E-2</v>
      </c>
    </row>
    <row r="69" spans="1:16" ht="14.1" customHeight="1">
      <c r="A69" s="202">
        <v>1182</v>
      </c>
      <c r="B69" s="202">
        <v>1182</v>
      </c>
      <c r="C69" s="195" t="s">
        <v>1607</v>
      </c>
      <c r="D69" s="194" t="s">
        <v>1860</v>
      </c>
      <c r="E69" s="194" t="s">
        <v>1861</v>
      </c>
      <c r="F69" s="194" t="s">
        <v>492</v>
      </c>
      <c r="G69" s="194" t="s">
        <v>1862</v>
      </c>
      <c r="H69" s="202">
        <v>62022231</v>
      </c>
      <c r="I69" s="194" t="s">
        <v>33</v>
      </c>
      <c r="J69" s="196" t="s">
        <v>664</v>
      </c>
      <c r="K69" s="197" t="s">
        <v>1863</v>
      </c>
      <c r="L69" s="198">
        <v>300000</v>
      </c>
      <c r="M69" s="199">
        <v>991.80000000000007</v>
      </c>
      <c r="N69" s="199">
        <v>237806.3</v>
      </c>
      <c r="O69" s="200">
        <v>786.18762779999997</v>
      </c>
      <c r="P69" s="201">
        <v>0.79268766666666668</v>
      </c>
    </row>
    <row r="70" spans="1:16" ht="14.1" customHeight="1">
      <c r="A70" s="202">
        <v>1182</v>
      </c>
      <c r="B70" s="202">
        <v>1182</v>
      </c>
      <c r="C70" s="195" t="s">
        <v>1607</v>
      </c>
      <c r="D70" s="194" t="s">
        <v>1868</v>
      </c>
      <c r="E70" s="194" t="s">
        <v>1869</v>
      </c>
      <c r="F70" s="194" t="s">
        <v>492</v>
      </c>
      <c r="G70" s="194" t="s">
        <v>1870</v>
      </c>
      <c r="H70" s="202">
        <v>62019013</v>
      </c>
      <c r="I70" s="194" t="s">
        <v>33</v>
      </c>
      <c r="J70" s="196" t="s">
        <v>664</v>
      </c>
      <c r="K70" s="197" t="s">
        <v>1871</v>
      </c>
      <c r="L70" s="198">
        <v>300000</v>
      </c>
      <c r="M70" s="199">
        <v>991.80000000000007</v>
      </c>
      <c r="N70" s="199">
        <v>16968.640000000014</v>
      </c>
      <c r="O70" s="203">
        <v>56.098323840000049</v>
      </c>
      <c r="P70" s="201">
        <v>5.6562133333333382E-2</v>
      </c>
    </row>
    <row r="71" spans="1:16" ht="14.1" customHeight="1">
      <c r="A71" s="202">
        <v>1182</v>
      </c>
      <c r="B71" s="202">
        <v>1182</v>
      </c>
      <c r="C71" s="195" t="s">
        <v>1607</v>
      </c>
      <c r="D71" s="194" t="s">
        <v>1872</v>
      </c>
      <c r="E71" s="194" t="s">
        <v>1873</v>
      </c>
      <c r="F71" s="194" t="s">
        <v>492</v>
      </c>
      <c r="G71" s="194" t="s">
        <v>1874</v>
      </c>
      <c r="H71" s="202">
        <v>62006705</v>
      </c>
      <c r="I71" s="194" t="s">
        <v>33</v>
      </c>
      <c r="J71" s="196" t="s">
        <v>664</v>
      </c>
      <c r="K71" s="197" t="s">
        <v>1875</v>
      </c>
      <c r="L71" s="198">
        <v>200000</v>
      </c>
      <c r="M71" s="199">
        <v>661.2</v>
      </c>
      <c r="N71" s="199">
        <v>4939.7999999999593</v>
      </c>
      <c r="O71" s="203">
        <v>16.330978799999865</v>
      </c>
      <c r="P71" s="201">
        <v>2.4698999999999798E-2</v>
      </c>
    </row>
    <row r="72" spans="1:16" ht="14.1" customHeight="1">
      <c r="A72" s="202">
        <v>1182</v>
      </c>
      <c r="B72" s="202">
        <v>1182</v>
      </c>
      <c r="C72" s="195" t="s">
        <v>1607</v>
      </c>
      <c r="D72" s="194" t="s">
        <v>1876</v>
      </c>
      <c r="E72" s="194" t="s">
        <v>1877</v>
      </c>
      <c r="F72" s="194" t="s">
        <v>492</v>
      </c>
      <c r="G72" s="194" t="s">
        <v>1878</v>
      </c>
      <c r="H72" s="202">
        <v>62017652</v>
      </c>
      <c r="I72" s="194" t="s">
        <v>33</v>
      </c>
      <c r="J72" s="196" t="s">
        <v>664</v>
      </c>
      <c r="K72" s="197" t="s">
        <v>1880</v>
      </c>
      <c r="L72" s="198">
        <v>400000</v>
      </c>
      <c r="M72" s="199">
        <v>1322.4</v>
      </c>
      <c r="N72" s="199">
        <v>123248.25</v>
      </c>
      <c r="O72" s="203">
        <v>407.45871449999999</v>
      </c>
      <c r="P72" s="201">
        <v>0.30812062499999998</v>
      </c>
    </row>
    <row r="73" spans="1:16" ht="14.1" customHeight="1">
      <c r="A73" s="202">
        <v>1182</v>
      </c>
      <c r="B73" s="202">
        <v>1182</v>
      </c>
      <c r="C73" s="195" t="s">
        <v>1607</v>
      </c>
      <c r="D73" s="194" t="s">
        <v>1881</v>
      </c>
      <c r="E73" s="194" t="s">
        <v>1882</v>
      </c>
      <c r="F73" s="194" t="s">
        <v>492</v>
      </c>
      <c r="G73" s="194" t="s">
        <v>1883</v>
      </c>
      <c r="H73" s="202">
        <v>62021142</v>
      </c>
      <c r="I73" s="194" t="s">
        <v>33</v>
      </c>
      <c r="J73" s="196" t="s">
        <v>664</v>
      </c>
      <c r="K73" s="197" t="s">
        <v>1884</v>
      </c>
      <c r="L73" s="198">
        <v>300000</v>
      </c>
      <c r="M73" s="199">
        <v>991.80000000000007</v>
      </c>
      <c r="N73" s="199">
        <v>48000</v>
      </c>
      <c r="O73" s="200">
        <v>158.68799999999999</v>
      </c>
      <c r="P73" s="201">
        <v>0.16</v>
      </c>
    </row>
    <row r="74" spans="1:16" ht="14.1" customHeight="1">
      <c r="A74" s="202">
        <v>1182</v>
      </c>
      <c r="B74" s="202">
        <v>1182</v>
      </c>
      <c r="C74" s="195" t="s">
        <v>1607</v>
      </c>
      <c r="D74" s="194" t="s">
        <v>1885</v>
      </c>
      <c r="E74" s="194" t="s">
        <v>1886</v>
      </c>
      <c r="F74" s="194" t="s">
        <v>492</v>
      </c>
      <c r="G74" s="194" t="s">
        <v>1887</v>
      </c>
      <c r="H74" s="202">
        <v>62020953</v>
      </c>
      <c r="I74" s="194" t="s">
        <v>33</v>
      </c>
      <c r="J74" s="196" t="s">
        <v>664</v>
      </c>
      <c r="K74" s="197" t="s">
        <v>1888</v>
      </c>
      <c r="L74" s="198">
        <v>330000</v>
      </c>
      <c r="M74" s="199">
        <v>1090.98</v>
      </c>
      <c r="N74" s="199">
        <v>123750</v>
      </c>
      <c r="O74" s="200">
        <v>409.11750000000001</v>
      </c>
      <c r="P74" s="201">
        <v>0.375</v>
      </c>
    </row>
    <row r="75" spans="1:16" ht="14.1" customHeight="1">
      <c r="A75" s="202">
        <v>1182</v>
      </c>
      <c r="B75" s="202">
        <v>1182</v>
      </c>
      <c r="C75" s="195" t="s">
        <v>1607</v>
      </c>
      <c r="D75" s="194" t="s">
        <v>1889</v>
      </c>
      <c r="E75" s="194" t="s">
        <v>1890</v>
      </c>
      <c r="F75" s="194" t="s">
        <v>33</v>
      </c>
      <c r="G75" s="194" t="s">
        <v>1891</v>
      </c>
      <c r="H75" s="202">
        <v>62021951</v>
      </c>
      <c r="I75" s="194" t="s">
        <v>33</v>
      </c>
      <c r="J75" s="196" t="s">
        <v>664</v>
      </c>
      <c r="K75" s="197" t="s">
        <v>1892</v>
      </c>
      <c r="L75" s="198">
        <v>300000</v>
      </c>
      <c r="M75" s="199">
        <v>991.80000000000007</v>
      </c>
      <c r="N75" s="199">
        <v>211832</v>
      </c>
      <c r="O75" s="200">
        <v>700.31659200000001</v>
      </c>
      <c r="P75" s="201">
        <v>0.70610666666666666</v>
      </c>
    </row>
    <row r="76" spans="1:16" ht="14.1" customHeight="1">
      <c r="A76" s="202">
        <v>1182</v>
      </c>
      <c r="B76" s="202">
        <v>1182</v>
      </c>
      <c r="C76" s="195" t="s">
        <v>1607</v>
      </c>
      <c r="D76" s="194" t="s">
        <v>1893</v>
      </c>
      <c r="E76" s="194" t="s">
        <v>1894</v>
      </c>
      <c r="F76" s="194" t="s">
        <v>492</v>
      </c>
      <c r="G76" s="194" t="s">
        <v>1895</v>
      </c>
      <c r="H76" s="202">
        <v>62020425</v>
      </c>
      <c r="I76" s="194" t="s">
        <v>33</v>
      </c>
      <c r="J76" s="196" t="s">
        <v>664</v>
      </c>
      <c r="K76" s="197" t="s">
        <v>1896</v>
      </c>
      <c r="L76" s="198">
        <v>700000</v>
      </c>
      <c r="M76" s="199">
        <v>2314.1999999999998</v>
      </c>
      <c r="N76" s="199">
        <v>116628</v>
      </c>
      <c r="O76" s="200">
        <v>385.57216800000003</v>
      </c>
      <c r="P76" s="201">
        <v>0.16661142857142858</v>
      </c>
    </row>
    <row r="77" spans="1:16" ht="14.1" customHeight="1">
      <c r="A77" s="202">
        <v>1182</v>
      </c>
      <c r="B77" s="202">
        <v>1182</v>
      </c>
      <c r="C77" s="195" t="s">
        <v>1607</v>
      </c>
      <c r="D77" s="194" t="s">
        <v>3290</v>
      </c>
      <c r="E77" s="194" t="s">
        <v>1905</v>
      </c>
      <c r="F77" s="194" t="s">
        <v>651</v>
      </c>
      <c r="G77" s="194" t="s">
        <v>1906</v>
      </c>
      <c r="H77" s="202">
        <v>62021894</v>
      </c>
      <c r="I77" s="194" t="s">
        <v>33</v>
      </c>
      <c r="J77" s="196" t="s">
        <v>664</v>
      </c>
      <c r="K77" s="197" t="s">
        <v>1907</v>
      </c>
      <c r="L77" s="198">
        <v>300000</v>
      </c>
      <c r="M77" s="199">
        <v>991.80000000000007</v>
      </c>
      <c r="N77" s="199">
        <v>269669.49</v>
      </c>
      <c r="O77" s="200">
        <v>891.52733393999995</v>
      </c>
      <c r="P77" s="201">
        <v>0.89889829999999993</v>
      </c>
    </row>
    <row r="78" spans="1:16" ht="14.1" customHeight="1">
      <c r="A78" s="202">
        <v>1182</v>
      </c>
      <c r="B78" s="202">
        <v>1182</v>
      </c>
      <c r="C78" s="195" t="s">
        <v>1607</v>
      </c>
      <c r="D78" s="194" t="s">
        <v>1908</v>
      </c>
      <c r="E78" s="194" t="s">
        <v>1909</v>
      </c>
      <c r="F78" s="194" t="s">
        <v>651</v>
      </c>
      <c r="G78" s="194" t="s">
        <v>1910</v>
      </c>
      <c r="H78" s="202">
        <v>62021571</v>
      </c>
      <c r="I78" s="194" t="s">
        <v>33</v>
      </c>
      <c r="J78" s="196" t="s">
        <v>576</v>
      </c>
      <c r="K78" s="197" t="s">
        <v>1911</v>
      </c>
      <c r="L78" s="198">
        <v>300000</v>
      </c>
      <c r="M78" s="199">
        <v>1164.21</v>
      </c>
      <c r="N78" s="199">
        <v>89552.87</v>
      </c>
      <c r="O78" s="200">
        <v>347.527822609</v>
      </c>
      <c r="P78" s="201">
        <v>0.29850956666666667</v>
      </c>
    </row>
    <row r="79" spans="1:16" ht="14.1" customHeight="1">
      <c r="A79" s="202">
        <v>1182</v>
      </c>
      <c r="B79" s="202">
        <v>1182</v>
      </c>
      <c r="C79" s="195" t="s">
        <v>1607</v>
      </c>
      <c r="D79" s="194" t="s">
        <v>1912</v>
      </c>
      <c r="E79" s="194" t="s">
        <v>1913</v>
      </c>
      <c r="F79" s="194" t="s">
        <v>492</v>
      </c>
      <c r="G79" s="194" t="s">
        <v>1914</v>
      </c>
      <c r="H79" s="202">
        <v>62019849</v>
      </c>
      <c r="I79" s="194" t="s">
        <v>33</v>
      </c>
      <c r="J79" s="196" t="s">
        <v>664</v>
      </c>
      <c r="K79" s="197" t="s">
        <v>1915</v>
      </c>
      <c r="L79" s="198">
        <v>280000</v>
      </c>
      <c r="M79" s="199">
        <v>925.68000000000006</v>
      </c>
      <c r="N79" s="199">
        <v>58446.23000000001</v>
      </c>
      <c r="O79" s="200">
        <v>193.22323638000003</v>
      </c>
      <c r="P79" s="201">
        <v>0.20873653571428574</v>
      </c>
    </row>
    <row r="80" spans="1:16" ht="14.1" customHeight="1">
      <c r="A80" s="202">
        <v>1182</v>
      </c>
      <c r="B80" s="202">
        <v>1182</v>
      </c>
      <c r="C80" s="195" t="s">
        <v>1607</v>
      </c>
      <c r="D80" s="194" t="s">
        <v>1916</v>
      </c>
      <c r="E80" s="194" t="s">
        <v>1917</v>
      </c>
      <c r="F80" s="194" t="s">
        <v>492</v>
      </c>
      <c r="G80" s="194" t="s">
        <v>1918</v>
      </c>
      <c r="H80" s="202">
        <v>62021944</v>
      </c>
      <c r="I80" s="194" t="s">
        <v>33</v>
      </c>
      <c r="J80" s="196" t="s">
        <v>664</v>
      </c>
      <c r="K80" s="197" t="s">
        <v>1919</v>
      </c>
      <c r="L80" s="198">
        <v>300000</v>
      </c>
      <c r="M80" s="199">
        <v>991.80000000000007</v>
      </c>
      <c r="N80" s="199">
        <v>227985.41</v>
      </c>
      <c r="O80" s="200">
        <v>753.71976545999996</v>
      </c>
      <c r="P80" s="201">
        <v>0.75995136666666663</v>
      </c>
    </row>
    <row r="81" spans="1:16" ht="14.1" customHeight="1">
      <c r="A81" s="202">
        <v>1182</v>
      </c>
      <c r="B81" s="202">
        <v>1182</v>
      </c>
      <c r="C81" s="195" t="s">
        <v>1607</v>
      </c>
      <c r="D81" s="194" t="s">
        <v>1920</v>
      </c>
      <c r="E81" s="194" t="s">
        <v>1921</v>
      </c>
      <c r="F81" s="194" t="s">
        <v>492</v>
      </c>
      <c r="G81" s="194" t="s">
        <v>1922</v>
      </c>
      <c r="H81" s="202">
        <v>62009204</v>
      </c>
      <c r="I81" s="194" t="s">
        <v>33</v>
      </c>
      <c r="J81" s="196" t="s">
        <v>664</v>
      </c>
      <c r="K81" s="197" t="s">
        <v>1923</v>
      </c>
      <c r="L81" s="198">
        <v>300000</v>
      </c>
      <c r="M81" s="199">
        <v>991.80000000000007</v>
      </c>
      <c r="N81" s="199">
        <v>26025</v>
      </c>
      <c r="O81" s="200">
        <v>86.03864999999999</v>
      </c>
      <c r="P81" s="201">
        <v>8.6749999999999994E-2</v>
      </c>
    </row>
    <row r="82" spans="1:16" ht="14.1" customHeight="1">
      <c r="A82" s="202">
        <v>1182</v>
      </c>
      <c r="B82" s="202">
        <v>1182</v>
      </c>
      <c r="C82" s="195" t="s">
        <v>1607</v>
      </c>
      <c r="D82" s="194" t="s">
        <v>1924</v>
      </c>
      <c r="E82" s="194" t="s">
        <v>1925</v>
      </c>
      <c r="F82" s="194" t="s">
        <v>492</v>
      </c>
      <c r="G82" s="194" t="s">
        <v>1926</v>
      </c>
      <c r="H82" s="202">
        <v>62019807</v>
      </c>
      <c r="I82" s="194" t="s">
        <v>33</v>
      </c>
      <c r="J82" s="196" t="s">
        <v>664</v>
      </c>
      <c r="K82" s="197" t="s">
        <v>1765</v>
      </c>
      <c r="L82" s="198">
        <v>250000</v>
      </c>
      <c r="M82" s="199">
        <v>826.5</v>
      </c>
      <c r="N82" s="199">
        <v>38705</v>
      </c>
      <c r="O82" s="200">
        <v>127.95873</v>
      </c>
      <c r="P82" s="201">
        <v>0.15482000000000001</v>
      </c>
    </row>
    <row r="83" spans="1:16" ht="14.1" customHeight="1">
      <c r="A83" s="202">
        <v>1182</v>
      </c>
      <c r="B83" s="202">
        <v>1182</v>
      </c>
      <c r="C83" s="195" t="s">
        <v>1607</v>
      </c>
      <c r="D83" s="194" t="s">
        <v>1927</v>
      </c>
      <c r="E83" s="194" t="s">
        <v>1928</v>
      </c>
      <c r="F83" s="194" t="s">
        <v>33</v>
      </c>
      <c r="G83" s="194" t="s">
        <v>1929</v>
      </c>
      <c r="H83" s="202">
        <v>62022355</v>
      </c>
      <c r="I83" s="194" t="s">
        <v>33</v>
      </c>
      <c r="J83" s="196" t="s">
        <v>664</v>
      </c>
      <c r="K83" s="197" t="s">
        <v>1783</v>
      </c>
      <c r="L83" s="198">
        <v>300000</v>
      </c>
      <c r="M83" s="199">
        <v>991.80000000000007</v>
      </c>
      <c r="N83" s="199">
        <v>277984.14</v>
      </c>
      <c r="O83" s="200">
        <v>919.01556684000013</v>
      </c>
      <c r="P83" s="201">
        <v>0.92661380000000004</v>
      </c>
    </row>
    <row r="84" spans="1:16" ht="14.1" customHeight="1">
      <c r="A84" s="202">
        <v>1182</v>
      </c>
      <c r="B84" s="202">
        <v>1182</v>
      </c>
      <c r="C84" s="195" t="s">
        <v>1607</v>
      </c>
      <c r="D84" s="194" t="s">
        <v>1930</v>
      </c>
      <c r="E84" s="194" t="s">
        <v>1921</v>
      </c>
      <c r="F84" s="194" t="s">
        <v>492</v>
      </c>
      <c r="G84" s="194" t="s">
        <v>1931</v>
      </c>
      <c r="H84" s="202">
        <v>62020615</v>
      </c>
      <c r="I84" s="194" t="s">
        <v>33</v>
      </c>
      <c r="J84" s="196" t="s">
        <v>664</v>
      </c>
      <c r="K84" s="197" t="s">
        <v>1932</v>
      </c>
      <c r="L84" s="198">
        <v>500000</v>
      </c>
      <c r="M84" s="199">
        <v>1653</v>
      </c>
      <c r="N84" s="199">
        <v>152256</v>
      </c>
      <c r="O84" s="200">
        <v>503.35833600000001</v>
      </c>
      <c r="P84" s="201">
        <v>0.304512</v>
      </c>
    </row>
    <row r="85" spans="1:16" ht="14.1" customHeight="1">
      <c r="A85" s="202">
        <v>1182</v>
      </c>
      <c r="B85" s="202">
        <v>1182</v>
      </c>
      <c r="C85" s="195" t="s">
        <v>1607</v>
      </c>
      <c r="D85" s="194" t="s">
        <v>1933</v>
      </c>
      <c r="E85" s="194" t="s">
        <v>1934</v>
      </c>
      <c r="F85" s="194" t="s">
        <v>492</v>
      </c>
      <c r="G85" s="194" t="s">
        <v>1935</v>
      </c>
      <c r="H85" s="202">
        <v>62020813</v>
      </c>
      <c r="I85" s="194" t="s">
        <v>33</v>
      </c>
      <c r="J85" s="196" t="s">
        <v>664</v>
      </c>
      <c r="K85" s="197" t="s">
        <v>1936</v>
      </c>
      <c r="L85" s="198">
        <v>320000</v>
      </c>
      <c r="M85" s="199">
        <v>1057.92</v>
      </c>
      <c r="N85" s="199">
        <v>151166</v>
      </c>
      <c r="O85" s="200">
        <v>499.754796</v>
      </c>
      <c r="P85" s="201">
        <v>0.47239375</v>
      </c>
    </row>
    <row r="86" spans="1:16" ht="14.1" customHeight="1">
      <c r="A86" s="202">
        <v>1182</v>
      </c>
      <c r="B86" s="202">
        <v>1182</v>
      </c>
      <c r="C86" s="195" t="s">
        <v>1607</v>
      </c>
      <c r="D86" s="194" t="s">
        <v>1937</v>
      </c>
      <c r="E86" s="194" t="s">
        <v>1938</v>
      </c>
      <c r="F86" s="194" t="s">
        <v>492</v>
      </c>
      <c r="G86" s="194" t="s">
        <v>1939</v>
      </c>
      <c r="H86" s="202">
        <v>62010137</v>
      </c>
      <c r="I86" s="194" t="s">
        <v>33</v>
      </c>
      <c r="J86" s="196" t="s">
        <v>664</v>
      </c>
      <c r="K86" s="197" t="s">
        <v>1940</v>
      </c>
      <c r="L86" s="198">
        <v>300000</v>
      </c>
      <c r="M86" s="199">
        <v>991.80000000000007</v>
      </c>
      <c r="N86" s="199">
        <v>77779</v>
      </c>
      <c r="O86" s="200">
        <v>257.13737399999997</v>
      </c>
      <c r="P86" s="201">
        <v>0.25926333333333335</v>
      </c>
    </row>
    <row r="87" spans="1:16" ht="14.1" customHeight="1">
      <c r="A87" s="202">
        <v>1182</v>
      </c>
      <c r="B87" s="202">
        <v>1182</v>
      </c>
      <c r="C87" s="195" t="s">
        <v>1607</v>
      </c>
      <c r="D87" s="194" t="s">
        <v>1941</v>
      </c>
      <c r="E87" s="194" t="s">
        <v>1942</v>
      </c>
      <c r="F87" s="194" t="s">
        <v>33</v>
      </c>
      <c r="G87" s="194" t="s">
        <v>1943</v>
      </c>
      <c r="H87" s="202">
        <v>62006366</v>
      </c>
      <c r="I87" s="194" t="s">
        <v>33</v>
      </c>
      <c r="J87" s="196" t="s">
        <v>664</v>
      </c>
      <c r="K87" s="197" t="s">
        <v>1945</v>
      </c>
      <c r="L87" s="198">
        <v>100000</v>
      </c>
      <c r="M87" s="199">
        <v>330.6</v>
      </c>
      <c r="N87" s="199">
        <v>7000</v>
      </c>
      <c r="O87" s="200">
        <v>23.141999999999999</v>
      </c>
      <c r="P87" s="201">
        <v>7.0000000000000007E-2</v>
      </c>
    </row>
    <row r="88" spans="1:16" ht="14.1" customHeight="1">
      <c r="A88" s="202">
        <v>1182</v>
      </c>
      <c r="B88" s="202">
        <v>1182</v>
      </c>
      <c r="C88" s="195" t="s">
        <v>1607</v>
      </c>
      <c r="D88" s="194" t="s">
        <v>1946</v>
      </c>
      <c r="E88" s="194" t="s">
        <v>1947</v>
      </c>
      <c r="F88" s="194" t="s">
        <v>492</v>
      </c>
      <c r="G88" s="194" t="s">
        <v>1948</v>
      </c>
      <c r="H88" s="202">
        <v>62018387</v>
      </c>
      <c r="I88" s="194" t="s">
        <v>33</v>
      </c>
      <c r="J88" s="196" t="s">
        <v>664</v>
      </c>
      <c r="K88" s="197" t="s">
        <v>1949</v>
      </c>
      <c r="L88" s="198">
        <v>250000</v>
      </c>
      <c r="M88" s="199">
        <v>826.5</v>
      </c>
      <c r="N88" s="199">
        <v>26669.080000000016</v>
      </c>
      <c r="O88" s="200">
        <v>88.167978480000045</v>
      </c>
      <c r="P88" s="201">
        <v>0.10667632000000006</v>
      </c>
    </row>
    <row r="89" spans="1:16" ht="14.1" customHeight="1">
      <c r="A89" s="202">
        <v>1182</v>
      </c>
      <c r="B89" s="202">
        <v>1182</v>
      </c>
      <c r="C89" s="195" t="s">
        <v>1607</v>
      </c>
      <c r="D89" s="194" t="s">
        <v>1950</v>
      </c>
      <c r="E89" s="194" t="s">
        <v>1951</v>
      </c>
      <c r="F89" s="194" t="s">
        <v>651</v>
      </c>
      <c r="G89" s="194" t="s">
        <v>1952</v>
      </c>
      <c r="H89" s="202">
        <v>62018551</v>
      </c>
      <c r="I89" s="194" t="s">
        <v>33</v>
      </c>
      <c r="J89" s="196" t="s">
        <v>664</v>
      </c>
      <c r="K89" s="197" t="s">
        <v>1954</v>
      </c>
      <c r="L89" s="198">
        <v>420000</v>
      </c>
      <c r="M89" s="199">
        <v>1388.52</v>
      </c>
      <c r="N89" s="199">
        <v>79800</v>
      </c>
      <c r="O89" s="200">
        <v>263.81880000000001</v>
      </c>
      <c r="P89" s="201">
        <v>0.19</v>
      </c>
    </row>
    <row r="90" spans="1:16" ht="14.1" customHeight="1">
      <c r="A90" s="202">
        <v>1182</v>
      </c>
      <c r="B90" s="202">
        <v>1182</v>
      </c>
      <c r="C90" s="195" t="s">
        <v>1607</v>
      </c>
      <c r="D90" s="194" t="s">
        <v>1955</v>
      </c>
      <c r="E90" s="194" t="s">
        <v>1956</v>
      </c>
      <c r="F90" s="194" t="s">
        <v>651</v>
      </c>
      <c r="G90" s="194" t="s">
        <v>1957</v>
      </c>
      <c r="H90" s="202">
        <v>62022306</v>
      </c>
      <c r="I90" s="194" t="s">
        <v>33</v>
      </c>
      <c r="J90" s="196" t="s">
        <v>664</v>
      </c>
      <c r="K90" s="197" t="s">
        <v>1958</v>
      </c>
      <c r="L90" s="198">
        <v>300000</v>
      </c>
      <c r="M90" s="199">
        <v>991.80000000000007</v>
      </c>
      <c r="N90" s="199">
        <v>244270.62</v>
      </c>
      <c r="O90" s="200">
        <v>807.55866972000001</v>
      </c>
      <c r="P90" s="201">
        <v>0.81423539999999994</v>
      </c>
    </row>
    <row r="91" spans="1:16" ht="14.1" customHeight="1">
      <c r="A91" s="202">
        <v>1182</v>
      </c>
      <c r="B91" s="202">
        <v>1182</v>
      </c>
      <c r="C91" s="195" t="s">
        <v>1607</v>
      </c>
      <c r="D91" s="194" t="s">
        <v>1959</v>
      </c>
      <c r="E91" s="194" t="s">
        <v>1960</v>
      </c>
      <c r="F91" s="194" t="s">
        <v>651</v>
      </c>
      <c r="G91" s="194" t="s">
        <v>1961</v>
      </c>
      <c r="H91" s="202">
        <v>62020169</v>
      </c>
      <c r="I91" s="194" t="s">
        <v>33</v>
      </c>
      <c r="J91" s="196" t="s">
        <v>664</v>
      </c>
      <c r="K91" s="197" t="s">
        <v>1962</v>
      </c>
      <c r="L91" s="198">
        <v>500000</v>
      </c>
      <c r="M91" s="199">
        <v>1653</v>
      </c>
      <c r="N91" s="199">
        <v>80000</v>
      </c>
      <c r="O91" s="200">
        <v>264.48</v>
      </c>
      <c r="P91" s="201">
        <v>0.16</v>
      </c>
    </row>
    <row r="92" spans="1:16" ht="14.1" customHeight="1">
      <c r="A92" s="202">
        <v>1182</v>
      </c>
      <c r="B92" s="202">
        <v>1182</v>
      </c>
      <c r="C92" s="195" t="s">
        <v>1607</v>
      </c>
      <c r="D92" s="194" t="s">
        <v>1963</v>
      </c>
      <c r="E92" s="194" t="s">
        <v>1964</v>
      </c>
      <c r="F92" s="194" t="s">
        <v>134</v>
      </c>
      <c r="G92" s="194" t="s">
        <v>1965</v>
      </c>
      <c r="H92" s="202">
        <v>62022439</v>
      </c>
      <c r="I92" s="194" t="s">
        <v>33</v>
      </c>
      <c r="J92" s="196" t="s">
        <v>576</v>
      </c>
      <c r="K92" s="197" t="s">
        <v>1966</v>
      </c>
      <c r="L92" s="198">
        <v>300000</v>
      </c>
      <c r="M92" s="199">
        <v>1164.21</v>
      </c>
      <c r="N92" s="199">
        <v>194400</v>
      </c>
      <c r="O92" s="200">
        <v>754.40808000000004</v>
      </c>
      <c r="P92" s="201">
        <v>0.64800000000000002</v>
      </c>
    </row>
    <row r="93" spans="1:16" ht="14.1" customHeight="1">
      <c r="A93" s="202">
        <v>1182</v>
      </c>
      <c r="B93" s="202">
        <v>1182</v>
      </c>
      <c r="C93" s="195" t="s">
        <v>1607</v>
      </c>
      <c r="D93" s="194" t="s">
        <v>1967</v>
      </c>
      <c r="E93" s="194" t="s">
        <v>1968</v>
      </c>
      <c r="F93" s="194" t="s">
        <v>651</v>
      </c>
      <c r="G93" s="194" t="s">
        <v>1969</v>
      </c>
      <c r="H93" s="202">
        <v>62022033</v>
      </c>
      <c r="I93" s="194" t="s">
        <v>33</v>
      </c>
      <c r="J93" s="196" t="s">
        <v>664</v>
      </c>
      <c r="K93" s="197" t="s">
        <v>1970</v>
      </c>
      <c r="L93" s="198">
        <v>300000</v>
      </c>
      <c r="M93" s="199">
        <v>991.80000000000007</v>
      </c>
      <c r="N93" s="199">
        <v>223548.82</v>
      </c>
      <c r="O93" s="200">
        <v>739.05239892000009</v>
      </c>
      <c r="P93" s="201">
        <v>0.74516273333333338</v>
      </c>
    </row>
    <row r="94" spans="1:16" ht="14.1" customHeight="1">
      <c r="A94" s="202">
        <v>1182</v>
      </c>
      <c r="B94" s="202">
        <v>1182</v>
      </c>
      <c r="C94" s="195" t="s">
        <v>1607</v>
      </c>
      <c r="D94" s="194" t="s">
        <v>1967</v>
      </c>
      <c r="E94" s="194" t="s">
        <v>1968</v>
      </c>
      <c r="F94" s="194" t="s">
        <v>651</v>
      </c>
      <c r="G94" s="194" t="s">
        <v>1971</v>
      </c>
      <c r="H94" s="202">
        <v>62021852</v>
      </c>
      <c r="I94" s="194" t="s">
        <v>33</v>
      </c>
      <c r="J94" s="196" t="s">
        <v>576</v>
      </c>
      <c r="K94" s="197" t="s">
        <v>1847</v>
      </c>
      <c r="L94" s="198">
        <v>200000</v>
      </c>
      <c r="M94" s="199">
        <v>776.14</v>
      </c>
      <c r="N94" s="199">
        <v>96664.960000000006</v>
      </c>
      <c r="O94" s="200">
        <v>375.12771027200006</v>
      </c>
      <c r="P94" s="201">
        <v>0.48332480000000005</v>
      </c>
    </row>
    <row r="95" spans="1:16" ht="14.1" customHeight="1">
      <c r="A95" s="202">
        <v>1182</v>
      </c>
      <c r="B95" s="202">
        <v>1182</v>
      </c>
      <c r="C95" s="195" t="s">
        <v>1607</v>
      </c>
      <c r="D95" s="194" t="s">
        <v>1972</v>
      </c>
      <c r="E95" s="194" t="s">
        <v>1973</v>
      </c>
      <c r="F95" s="194" t="s">
        <v>498</v>
      </c>
      <c r="G95" s="194" t="s">
        <v>1974</v>
      </c>
      <c r="H95" s="202">
        <v>62020995</v>
      </c>
      <c r="I95" s="194" t="s">
        <v>33</v>
      </c>
      <c r="J95" s="196" t="s">
        <v>664</v>
      </c>
      <c r="K95" s="197" t="s">
        <v>1975</v>
      </c>
      <c r="L95" s="198">
        <v>250000</v>
      </c>
      <c r="M95" s="199">
        <v>826.5</v>
      </c>
      <c r="N95" s="199">
        <v>138750</v>
      </c>
      <c r="O95" s="200">
        <v>458.70749999999998</v>
      </c>
      <c r="P95" s="201">
        <v>0.55500000000000005</v>
      </c>
    </row>
    <row r="96" spans="1:16" ht="14.1" customHeight="1">
      <c r="A96" s="202">
        <v>424</v>
      </c>
      <c r="B96" s="202">
        <v>7228</v>
      </c>
      <c r="C96" s="195" t="s">
        <v>1607</v>
      </c>
      <c r="D96" s="194" t="s">
        <v>1977</v>
      </c>
      <c r="E96" s="194" t="s">
        <v>1978</v>
      </c>
      <c r="F96" s="194" t="s">
        <v>134</v>
      </c>
      <c r="G96" s="194" t="s">
        <v>1979</v>
      </c>
      <c r="H96" s="202">
        <v>9840847</v>
      </c>
      <c r="I96" s="194" t="s">
        <v>33</v>
      </c>
      <c r="J96" s="196" t="s">
        <v>664</v>
      </c>
      <c r="K96" s="197" t="s">
        <v>1367</v>
      </c>
      <c r="L96" s="198">
        <v>500000</v>
      </c>
      <c r="M96" s="199">
        <v>1653</v>
      </c>
      <c r="N96" s="199">
        <v>20000</v>
      </c>
      <c r="O96" s="200">
        <v>66.12</v>
      </c>
      <c r="P96" s="201">
        <v>0.04</v>
      </c>
    </row>
    <row r="97" spans="1:16" ht="14.1" customHeight="1">
      <c r="A97" s="202">
        <v>424</v>
      </c>
      <c r="B97" s="202">
        <v>7228</v>
      </c>
      <c r="C97" s="195" t="s">
        <v>1607</v>
      </c>
      <c r="D97" s="194" t="s">
        <v>1980</v>
      </c>
      <c r="E97" s="194" t="s">
        <v>1981</v>
      </c>
      <c r="F97" s="194" t="s">
        <v>134</v>
      </c>
      <c r="G97" s="194" t="s">
        <v>1982</v>
      </c>
      <c r="H97" s="202">
        <v>9840848</v>
      </c>
      <c r="I97" s="194" t="s">
        <v>33</v>
      </c>
      <c r="J97" s="196" t="s">
        <v>664</v>
      </c>
      <c r="K97" s="197" t="s">
        <v>1367</v>
      </c>
      <c r="L97" s="198">
        <v>500000</v>
      </c>
      <c r="M97" s="199">
        <v>1653</v>
      </c>
      <c r="N97" s="199">
        <v>0</v>
      </c>
      <c r="O97" s="200">
        <v>0</v>
      </c>
      <c r="P97" s="201">
        <v>0</v>
      </c>
    </row>
    <row r="98" spans="1:16" ht="14.1" customHeight="1">
      <c r="A98" s="202">
        <v>424</v>
      </c>
      <c r="B98" s="202">
        <v>7228</v>
      </c>
      <c r="C98" s="195" t="s">
        <v>1607</v>
      </c>
      <c r="D98" s="194" t="s">
        <v>1604</v>
      </c>
      <c r="E98" s="194" t="s">
        <v>1605</v>
      </c>
      <c r="F98" s="194" t="s">
        <v>498</v>
      </c>
      <c r="G98" s="194" t="s">
        <v>1606</v>
      </c>
      <c r="H98" s="202">
        <v>50007566</v>
      </c>
      <c r="I98" s="194" t="s">
        <v>33</v>
      </c>
      <c r="J98" s="196" t="s">
        <v>34</v>
      </c>
      <c r="K98" s="197" t="s">
        <v>1609</v>
      </c>
      <c r="L98" s="198">
        <v>2800000</v>
      </c>
      <c r="M98" s="199">
        <v>2800</v>
      </c>
      <c r="N98" s="199">
        <v>456200</v>
      </c>
      <c r="O98" s="200">
        <v>456.2</v>
      </c>
      <c r="P98" s="201">
        <v>0.16292857142857142</v>
      </c>
    </row>
    <row r="99" spans="1:16" ht="14.1" customHeight="1">
      <c r="A99" s="202">
        <v>424</v>
      </c>
      <c r="B99" s="202">
        <v>7228</v>
      </c>
      <c r="C99" s="195" t="s">
        <v>1607</v>
      </c>
      <c r="D99" s="194" t="s">
        <v>1610</v>
      </c>
      <c r="E99" s="194" t="s">
        <v>1611</v>
      </c>
      <c r="F99" s="194" t="s">
        <v>366</v>
      </c>
      <c r="G99" s="194" t="s">
        <v>1612</v>
      </c>
      <c r="H99" s="202">
        <v>62018312</v>
      </c>
      <c r="I99" s="194" t="s">
        <v>33</v>
      </c>
      <c r="J99" s="196" t="s">
        <v>664</v>
      </c>
      <c r="K99" s="197" t="s">
        <v>1614</v>
      </c>
      <c r="L99" s="198">
        <v>2000000</v>
      </c>
      <c r="M99" s="199">
        <v>6612</v>
      </c>
      <c r="N99" s="199">
        <v>840000</v>
      </c>
      <c r="O99" s="200">
        <v>2777.04</v>
      </c>
      <c r="P99" s="201">
        <v>0.42</v>
      </c>
    </row>
    <row r="100" spans="1:16" ht="14.1" customHeight="1">
      <c r="A100" s="202">
        <v>424</v>
      </c>
      <c r="B100" s="202">
        <v>7228</v>
      </c>
      <c r="C100" s="195" t="s">
        <v>1607</v>
      </c>
      <c r="D100" s="194" t="s">
        <v>1610</v>
      </c>
      <c r="E100" s="194" t="s">
        <v>1611</v>
      </c>
      <c r="F100" s="194" t="s">
        <v>366</v>
      </c>
      <c r="G100" s="194" t="s">
        <v>1983</v>
      </c>
      <c r="H100" s="202">
        <v>60305448</v>
      </c>
      <c r="I100" s="194" t="s">
        <v>33</v>
      </c>
      <c r="J100" s="196" t="s">
        <v>664</v>
      </c>
      <c r="K100" s="197" t="s">
        <v>1367</v>
      </c>
      <c r="L100" s="198">
        <v>2000000</v>
      </c>
      <c r="M100" s="199">
        <v>6612</v>
      </c>
      <c r="N100" s="199">
        <v>180567</v>
      </c>
      <c r="O100" s="200">
        <v>596.95450200000005</v>
      </c>
      <c r="P100" s="201">
        <v>9.0283500000000003E-2</v>
      </c>
    </row>
    <row r="101" spans="1:16" ht="14.1" customHeight="1">
      <c r="A101" s="202">
        <v>424</v>
      </c>
      <c r="B101" s="202">
        <v>7228</v>
      </c>
      <c r="C101" s="195" t="s">
        <v>1607</v>
      </c>
      <c r="D101" s="194" t="s">
        <v>1615</v>
      </c>
      <c r="E101" s="194" t="s">
        <v>1616</v>
      </c>
      <c r="F101" s="194" t="s">
        <v>33</v>
      </c>
      <c r="G101" s="194" t="s">
        <v>1617</v>
      </c>
      <c r="H101" s="202">
        <v>60390093</v>
      </c>
      <c r="I101" s="194" t="s">
        <v>33</v>
      </c>
      <c r="J101" s="196" t="s">
        <v>664</v>
      </c>
      <c r="K101" s="197" t="s">
        <v>1620</v>
      </c>
      <c r="L101" s="198">
        <v>900000</v>
      </c>
      <c r="M101" s="199">
        <v>2975.4</v>
      </c>
      <c r="N101" s="199">
        <v>0</v>
      </c>
      <c r="O101" s="200">
        <v>0</v>
      </c>
      <c r="P101" s="201">
        <v>0</v>
      </c>
    </row>
    <row r="102" spans="1:16" ht="14.1" customHeight="1">
      <c r="A102" s="202">
        <v>424</v>
      </c>
      <c r="B102" s="202">
        <v>7228</v>
      </c>
      <c r="C102" s="195" t="s">
        <v>1607</v>
      </c>
      <c r="D102" s="194" t="s">
        <v>1615</v>
      </c>
      <c r="E102" s="194" t="s">
        <v>1616</v>
      </c>
      <c r="F102" s="194" t="s">
        <v>33</v>
      </c>
      <c r="G102" s="194" t="s">
        <v>1621</v>
      </c>
      <c r="H102" s="202">
        <v>62019724</v>
      </c>
      <c r="I102" s="194" t="s">
        <v>33</v>
      </c>
      <c r="J102" s="196" t="s">
        <v>664</v>
      </c>
      <c r="K102" s="197" t="s">
        <v>1622</v>
      </c>
      <c r="L102" s="198">
        <v>900000</v>
      </c>
      <c r="M102" s="199">
        <v>2975.4</v>
      </c>
      <c r="N102" s="199">
        <v>90000</v>
      </c>
      <c r="O102" s="200">
        <v>297.54000000000002</v>
      </c>
      <c r="P102" s="201">
        <v>0.1</v>
      </c>
    </row>
    <row r="103" spans="1:16" ht="14.1" customHeight="1">
      <c r="A103" s="202">
        <v>424</v>
      </c>
      <c r="B103" s="202">
        <v>7228</v>
      </c>
      <c r="C103" s="195" t="s">
        <v>1607</v>
      </c>
      <c r="D103" s="194" t="s">
        <v>1615</v>
      </c>
      <c r="E103" s="194" t="s">
        <v>1616</v>
      </c>
      <c r="F103" s="194" t="s">
        <v>33</v>
      </c>
      <c r="G103" s="194" t="s">
        <v>1623</v>
      </c>
      <c r="H103" s="202">
        <v>62000563</v>
      </c>
      <c r="I103" s="194" t="s">
        <v>33</v>
      </c>
      <c r="J103" s="196" t="s">
        <v>664</v>
      </c>
      <c r="K103" s="197" t="s">
        <v>1624</v>
      </c>
      <c r="L103" s="198">
        <v>900000</v>
      </c>
      <c r="M103" s="199">
        <v>2975.4</v>
      </c>
      <c r="N103" s="199">
        <v>6750</v>
      </c>
      <c r="O103" s="200">
        <v>22.3155</v>
      </c>
      <c r="P103" s="201">
        <v>7.4999999999999997E-3</v>
      </c>
    </row>
    <row r="104" spans="1:16" ht="14.1" customHeight="1">
      <c r="A104" s="202">
        <v>424</v>
      </c>
      <c r="B104" s="202">
        <v>7228</v>
      </c>
      <c r="C104" s="195" t="s">
        <v>1607</v>
      </c>
      <c r="D104" s="194" t="s">
        <v>1625</v>
      </c>
      <c r="E104" s="194" t="s">
        <v>1626</v>
      </c>
      <c r="F104" s="194" t="s">
        <v>492</v>
      </c>
      <c r="G104" s="194" t="s">
        <v>1627</v>
      </c>
      <c r="H104" s="202">
        <v>60415775</v>
      </c>
      <c r="I104" s="194" t="s">
        <v>33</v>
      </c>
      <c r="J104" s="196" t="s">
        <v>664</v>
      </c>
      <c r="K104" s="197" t="s">
        <v>1629</v>
      </c>
      <c r="L104" s="198">
        <v>1000000</v>
      </c>
      <c r="M104" s="199">
        <v>3306</v>
      </c>
      <c r="N104" s="199">
        <v>0</v>
      </c>
      <c r="O104" s="200">
        <v>0</v>
      </c>
      <c r="P104" s="201">
        <v>0</v>
      </c>
    </row>
    <row r="105" spans="1:16" ht="14.1" customHeight="1">
      <c r="A105" s="202">
        <v>424</v>
      </c>
      <c r="B105" s="202">
        <v>7228</v>
      </c>
      <c r="C105" s="195" t="s">
        <v>1607</v>
      </c>
      <c r="D105" s="194" t="s">
        <v>1984</v>
      </c>
      <c r="E105" s="194" t="s">
        <v>1985</v>
      </c>
      <c r="F105" s="194" t="s">
        <v>33</v>
      </c>
      <c r="G105" s="194" t="s">
        <v>1986</v>
      </c>
      <c r="H105" s="202">
        <v>60283439</v>
      </c>
      <c r="I105" s="194" t="s">
        <v>33</v>
      </c>
      <c r="J105" s="196" t="s">
        <v>664</v>
      </c>
      <c r="K105" s="197" t="s">
        <v>1367</v>
      </c>
      <c r="L105" s="198">
        <v>1000000</v>
      </c>
      <c r="M105" s="199">
        <v>3306</v>
      </c>
      <c r="N105" s="199">
        <v>10000</v>
      </c>
      <c r="O105" s="200">
        <v>33.06</v>
      </c>
      <c r="P105" s="201">
        <v>0.01</v>
      </c>
    </row>
    <row r="106" spans="1:16" ht="14.1" customHeight="1">
      <c r="A106" s="202">
        <v>424</v>
      </c>
      <c r="B106" s="202">
        <v>7228</v>
      </c>
      <c r="C106" s="195" t="s">
        <v>1607</v>
      </c>
      <c r="D106" s="194" t="s">
        <v>1630</v>
      </c>
      <c r="E106" s="194" t="s">
        <v>1631</v>
      </c>
      <c r="F106" s="194" t="s">
        <v>33</v>
      </c>
      <c r="G106" s="194" t="s">
        <v>1632</v>
      </c>
      <c r="H106" s="202">
        <v>62017538</v>
      </c>
      <c r="I106" s="194" t="s">
        <v>33</v>
      </c>
      <c r="J106" s="196" t="s">
        <v>664</v>
      </c>
      <c r="K106" s="197" t="s">
        <v>1633</v>
      </c>
      <c r="L106" s="198">
        <v>4600000</v>
      </c>
      <c r="M106" s="199">
        <v>15207.6</v>
      </c>
      <c r="N106" s="199">
        <v>644000</v>
      </c>
      <c r="O106" s="200">
        <v>2129.0639999999999</v>
      </c>
      <c r="P106" s="201">
        <v>0.14000000000000001</v>
      </c>
    </row>
    <row r="107" spans="1:16" ht="14.1" customHeight="1">
      <c r="A107" s="202">
        <v>424</v>
      </c>
      <c r="B107" s="202">
        <v>7228</v>
      </c>
      <c r="C107" s="195" t="s">
        <v>1607</v>
      </c>
      <c r="D107" s="194" t="s">
        <v>1634</v>
      </c>
      <c r="E107" s="194" t="s">
        <v>1635</v>
      </c>
      <c r="F107" s="194" t="s">
        <v>33</v>
      </c>
      <c r="G107" s="194" t="s">
        <v>1636</v>
      </c>
      <c r="H107" s="202">
        <v>62001189</v>
      </c>
      <c r="I107" s="194" t="s">
        <v>33</v>
      </c>
      <c r="J107" s="196" t="s">
        <v>664</v>
      </c>
      <c r="K107" s="197" t="s">
        <v>1638</v>
      </c>
      <c r="L107" s="198">
        <v>730000</v>
      </c>
      <c r="M107" s="199">
        <v>2413.38</v>
      </c>
      <c r="N107" s="199">
        <v>40150</v>
      </c>
      <c r="O107" s="200">
        <v>132.73589999999999</v>
      </c>
      <c r="P107" s="201">
        <v>5.5E-2</v>
      </c>
    </row>
    <row r="108" spans="1:16" ht="14.1" customHeight="1">
      <c r="A108" s="202">
        <v>424</v>
      </c>
      <c r="B108" s="202">
        <v>7228</v>
      </c>
      <c r="C108" s="195" t="s">
        <v>1607</v>
      </c>
      <c r="D108" s="194" t="s">
        <v>1987</v>
      </c>
      <c r="E108" s="194" t="s">
        <v>1988</v>
      </c>
      <c r="F108" s="194" t="s">
        <v>33</v>
      </c>
      <c r="G108" s="194" t="s">
        <v>1989</v>
      </c>
      <c r="H108" s="202">
        <v>9840793</v>
      </c>
      <c r="I108" s="194" t="s">
        <v>33</v>
      </c>
      <c r="J108" s="196" t="s">
        <v>664</v>
      </c>
      <c r="K108" s="197" t="s">
        <v>1367</v>
      </c>
      <c r="L108" s="198">
        <v>400000</v>
      </c>
      <c r="M108" s="199">
        <v>1322.4</v>
      </c>
      <c r="N108" s="199">
        <v>0</v>
      </c>
      <c r="O108" s="200">
        <v>0</v>
      </c>
      <c r="P108" s="201">
        <v>0</v>
      </c>
    </row>
    <row r="109" spans="1:16" ht="14.1" customHeight="1">
      <c r="A109" s="202">
        <v>424</v>
      </c>
      <c r="B109" s="202">
        <v>7228</v>
      </c>
      <c r="C109" s="195" t="s">
        <v>1607</v>
      </c>
      <c r="D109" s="194" t="s">
        <v>1990</v>
      </c>
      <c r="E109" s="194" t="s">
        <v>1991</v>
      </c>
      <c r="F109" s="194" t="s">
        <v>33</v>
      </c>
      <c r="G109" s="194" t="s">
        <v>1992</v>
      </c>
      <c r="H109" s="202">
        <v>60345527</v>
      </c>
      <c r="I109" s="194" t="s">
        <v>33</v>
      </c>
      <c r="J109" s="196" t="s">
        <v>664</v>
      </c>
      <c r="K109" s="197" t="s">
        <v>1367</v>
      </c>
      <c r="L109" s="198">
        <v>500000</v>
      </c>
      <c r="M109" s="199">
        <v>1653</v>
      </c>
      <c r="N109" s="199">
        <v>10000</v>
      </c>
      <c r="O109" s="200">
        <v>33.06</v>
      </c>
      <c r="P109" s="201">
        <v>0.02</v>
      </c>
    </row>
    <row r="110" spans="1:16" ht="14.1" customHeight="1">
      <c r="A110" s="202">
        <v>424</v>
      </c>
      <c r="B110" s="202">
        <v>7228</v>
      </c>
      <c r="C110" s="195" t="s">
        <v>1607</v>
      </c>
      <c r="D110" s="194" t="s">
        <v>1639</v>
      </c>
      <c r="E110" s="194" t="s">
        <v>1640</v>
      </c>
      <c r="F110" s="194" t="s">
        <v>33</v>
      </c>
      <c r="G110" s="194" t="s">
        <v>1639</v>
      </c>
      <c r="H110" s="202">
        <v>60401809</v>
      </c>
      <c r="I110" s="194" t="s">
        <v>33</v>
      </c>
      <c r="J110" s="196" t="s">
        <v>664</v>
      </c>
      <c r="K110" s="197" t="s">
        <v>1642</v>
      </c>
      <c r="L110" s="198">
        <v>800000</v>
      </c>
      <c r="M110" s="199">
        <v>2644.8</v>
      </c>
      <c r="N110" s="199">
        <v>8000</v>
      </c>
      <c r="O110" s="200">
        <v>26.448</v>
      </c>
      <c r="P110" s="201">
        <v>0.01</v>
      </c>
    </row>
    <row r="111" spans="1:16" ht="14.1" customHeight="1">
      <c r="A111" s="202">
        <v>424</v>
      </c>
      <c r="B111" s="202">
        <v>7228</v>
      </c>
      <c r="C111" s="195" t="s">
        <v>1607</v>
      </c>
      <c r="D111" s="194" t="s">
        <v>1993</v>
      </c>
      <c r="E111" s="194" t="s">
        <v>1994</v>
      </c>
      <c r="F111" s="194" t="s">
        <v>33</v>
      </c>
      <c r="G111" s="194" t="s">
        <v>1993</v>
      </c>
      <c r="H111" s="202">
        <v>62011408</v>
      </c>
      <c r="I111" s="194" t="s">
        <v>33</v>
      </c>
      <c r="J111" s="196" t="s">
        <v>664</v>
      </c>
      <c r="K111" s="197" t="s">
        <v>1995</v>
      </c>
      <c r="L111" s="198">
        <v>1000000</v>
      </c>
      <c r="M111" s="199">
        <v>3306</v>
      </c>
      <c r="N111" s="199">
        <v>0</v>
      </c>
      <c r="O111" s="200">
        <v>0</v>
      </c>
      <c r="P111" s="201">
        <v>0</v>
      </c>
    </row>
    <row r="112" spans="1:16" ht="14.1" customHeight="1">
      <c r="A112" s="202">
        <v>424</v>
      </c>
      <c r="B112" s="202">
        <v>7228</v>
      </c>
      <c r="C112" s="195" t="s">
        <v>1607</v>
      </c>
      <c r="D112" s="194" t="s">
        <v>1643</v>
      </c>
      <c r="E112" s="194" t="s">
        <v>1644</v>
      </c>
      <c r="F112" s="194" t="s">
        <v>492</v>
      </c>
      <c r="G112" s="194" t="s">
        <v>1645</v>
      </c>
      <c r="H112" s="202">
        <v>50000983</v>
      </c>
      <c r="I112" s="194" t="s">
        <v>33</v>
      </c>
      <c r="J112" s="196" t="s">
        <v>34</v>
      </c>
      <c r="K112" s="197" t="s">
        <v>1647</v>
      </c>
      <c r="L112" s="198">
        <v>6000000</v>
      </c>
      <c r="M112" s="199">
        <v>6000</v>
      </c>
      <c r="N112" s="199">
        <v>1800000</v>
      </c>
      <c r="O112" s="200">
        <v>1800</v>
      </c>
      <c r="P112" s="201">
        <v>0.3</v>
      </c>
    </row>
    <row r="113" spans="1:16" ht="14.1" customHeight="1">
      <c r="A113" s="202">
        <v>424</v>
      </c>
      <c r="B113" s="202">
        <v>7228</v>
      </c>
      <c r="C113" s="195" t="s">
        <v>1607</v>
      </c>
      <c r="D113" s="194" t="s">
        <v>1643</v>
      </c>
      <c r="E113" s="194" t="s">
        <v>1644</v>
      </c>
      <c r="F113" s="194" t="s">
        <v>492</v>
      </c>
      <c r="G113" s="194" t="s">
        <v>1648</v>
      </c>
      <c r="H113" s="202">
        <v>50007897</v>
      </c>
      <c r="I113" s="194" t="s">
        <v>33</v>
      </c>
      <c r="J113" s="196" t="s">
        <v>34</v>
      </c>
      <c r="K113" s="197" t="s">
        <v>1649</v>
      </c>
      <c r="L113" s="198">
        <v>9900000</v>
      </c>
      <c r="M113" s="199">
        <v>9900</v>
      </c>
      <c r="N113" s="199">
        <v>5247000</v>
      </c>
      <c r="O113" s="200">
        <v>5247</v>
      </c>
      <c r="P113" s="201">
        <v>0.53</v>
      </c>
    </row>
    <row r="114" spans="1:16" ht="14.1" customHeight="1">
      <c r="A114" s="202">
        <v>424</v>
      </c>
      <c r="B114" s="202">
        <v>7228</v>
      </c>
      <c r="C114" s="195" t="s">
        <v>1607</v>
      </c>
      <c r="D114" s="194" t="s">
        <v>1615</v>
      </c>
      <c r="E114" s="194" t="s">
        <v>1616</v>
      </c>
      <c r="F114" s="194" t="s">
        <v>33</v>
      </c>
      <c r="G114" s="194" t="s">
        <v>1650</v>
      </c>
      <c r="H114" s="202">
        <v>62013347</v>
      </c>
      <c r="I114" s="194" t="s">
        <v>33</v>
      </c>
      <c r="J114" s="196" t="s">
        <v>664</v>
      </c>
      <c r="K114" s="197" t="s">
        <v>1651</v>
      </c>
      <c r="L114" s="198">
        <v>800000</v>
      </c>
      <c r="M114" s="199">
        <v>2644.8</v>
      </c>
      <c r="N114" s="199">
        <v>1</v>
      </c>
      <c r="O114" s="200">
        <v>3.3059999999999999E-3</v>
      </c>
      <c r="P114" s="201">
        <v>1.2500000000000001E-6</v>
      </c>
    </row>
    <row r="115" spans="1:16" ht="14.1" customHeight="1">
      <c r="A115" s="202">
        <v>424</v>
      </c>
      <c r="B115" s="202">
        <v>7228</v>
      </c>
      <c r="C115" s="195" t="s">
        <v>1607</v>
      </c>
      <c r="D115" s="194" t="s">
        <v>1652</v>
      </c>
      <c r="E115" s="194" t="s">
        <v>1653</v>
      </c>
      <c r="F115" s="194" t="s">
        <v>498</v>
      </c>
      <c r="G115" s="194" t="s">
        <v>1652</v>
      </c>
      <c r="H115" s="202">
        <v>50008440</v>
      </c>
      <c r="I115" s="194" t="s">
        <v>33</v>
      </c>
      <c r="J115" s="196" t="s">
        <v>34</v>
      </c>
      <c r="K115" s="197" t="s">
        <v>1655</v>
      </c>
      <c r="L115" s="198">
        <v>0</v>
      </c>
      <c r="M115" s="199">
        <v>0</v>
      </c>
      <c r="N115" s="199">
        <v>0</v>
      </c>
      <c r="O115" s="200">
        <v>0</v>
      </c>
      <c r="P115" s="201">
        <v>0</v>
      </c>
    </row>
    <row r="116" spans="1:16" ht="14.1" customHeight="1">
      <c r="A116" s="202">
        <v>424</v>
      </c>
      <c r="B116" s="202">
        <v>7228</v>
      </c>
      <c r="C116" s="195" t="s">
        <v>1607</v>
      </c>
      <c r="D116" s="194" t="s">
        <v>1656</v>
      </c>
      <c r="E116" s="194" t="s">
        <v>1657</v>
      </c>
      <c r="F116" s="194" t="s">
        <v>134</v>
      </c>
      <c r="G116" s="194" t="s">
        <v>1658</v>
      </c>
      <c r="H116" s="202">
        <v>60364742</v>
      </c>
      <c r="I116" s="194" t="s">
        <v>33</v>
      </c>
      <c r="J116" s="196" t="s">
        <v>664</v>
      </c>
      <c r="K116" s="197" t="s">
        <v>1367</v>
      </c>
      <c r="L116" s="198">
        <v>500000</v>
      </c>
      <c r="M116" s="199">
        <v>1653</v>
      </c>
      <c r="N116" s="199">
        <v>0</v>
      </c>
      <c r="O116" s="200">
        <v>0</v>
      </c>
      <c r="P116" s="201">
        <v>0</v>
      </c>
    </row>
    <row r="117" spans="1:16" ht="14.1" customHeight="1">
      <c r="A117" s="202">
        <v>424</v>
      </c>
      <c r="B117" s="202">
        <v>7228</v>
      </c>
      <c r="C117" s="195" t="s">
        <v>1607</v>
      </c>
      <c r="D117" s="194" t="s">
        <v>1656</v>
      </c>
      <c r="E117" s="194" t="s">
        <v>1657</v>
      </c>
      <c r="F117" s="194" t="s">
        <v>134</v>
      </c>
      <c r="G117" s="194" t="s">
        <v>1659</v>
      </c>
      <c r="H117" s="202">
        <v>62002785</v>
      </c>
      <c r="I117" s="194" t="s">
        <v>33</v>
      </c>
      <c r="J117" s="196" t="s">
        <v>664</v>
      </c>
      <c r="K117" s="197" t="s">
        <v>1660</v>
      </c>
      <c r="L117" s="198">
        <v>800000</v>
      </c>
      <c r="M117" s="199">
        <v>2644.8</v>
      </c>
      <c r="N117" s="199">
        <v>18000</v>
      </c>
      <c r="O117" s="200">
        <v>59.508000000000003</v>
      </c>
      <c r="P117" s="201">
        <v>2.2499999999999999E-2</v>
      </c>
    </row>
    <row r="118" spans="1:16" ht="14.1" customHeight="1">
      <c r="A118" s="202">
        <v>424</v>
      </c>
      <c r="B118" s="202">
        <v>7228</v>
      </c>
      <c r="C118" s="195" t="s">
        <v>1607</v>
      </c>
      <c r="D118" s="194" t="s">
        <v>1656</v>
      </c>
      <c r="E118" s="194" t="s">
        <v>1657</v>
      </c>
      <c r="F118" s="194" t="s">
        <v>134</v>
      </c>
      <c r="G118" s="194" t="s">
        <v>1661</v>
      </c>
      <c r="H118" s="202">
        <v>62017827</v>
      </c>
      <c r="I118" s="194" t="s">
        <v>33</v>
      </c>
      <c r="J118" s="196" t="s">
        <v>664</v>
      </c>
      <c r="K118" s="197" t="s">
        <v>1662</v>
      </c>
      <c r="L118" s="198">
        <v>600000</v>
      </c>
      <c r="M118" s="199">
        <v>1983.6000000000001</v>
      </c>
      <c r="N118" s="199">
        <v>66000</v>
      </c>
      <c r="O118" s="200">
        <v>218.196</v>
      </c>
      <c r="P118" s="201">
        <v>0.11</v>
      </c>
    </row>
    <row r="119" spans="1:16" ht="14.1" customHeight="1">
      <c r="A119" s="202">
        <v>424</v>
      </c>
      <c r="B119" s="202">
        <v>7228</v>
      </c>
      <c r="C119" s="195" t="s">
        <v>1607</v>
      </c>
      <c r="D119" s="194" t="s">
        <v>1656</v>
      </c>
      <c r="E119" s="194" t="s">
        <v>1657</v>
      </c>
      <c r="F119" s="194" t="s">
        <v>134</v>
      </c>
      <c r="G119" s="194" t="s">
        <v>1663</v>
      </c>
      <c r="H119" s="202">
        <v>62018247</v>
      </c>
      <c r="I119" s="194" t="s">
        <v>33</v>
      </c>
      <c r="J119" s="196" t="s">
        <v>664</v>
      </c>
      <c r="K119" s="197" t="s">
        <v>1664</v>
      </c>
      <c r="L119" s="198">
        <v>1200000</v>
      </c>
      <c r="M119" s="199">
        <v>3967.2000000000003</v>
      </c>
      <c r="N119" s="199">
        <v>180000</v>
      </c>
      <c r="O119" s="200">
        <v>595.08000000000004</v>
      </c>
      <c r="P119" s="201">
        <v>0.15</v>
      </c>
    </row>
    <row r="120" spans="1:16" ht="14.1" customHeight="1">
      <c r="A120" s="202">
        <v>424</v>
      </c>
      <c r="B120" s="202">
        <v>7228</v>
      </c>
      <c r="C120" s="195" t="s">
        <v>1607</v>
      </c>
      <c r="D120" s="194" t="s">
        <v>1665</v>
      </c>
      <c r="E120" s="194" t="s">
        <v>1666</v>
      </c>
      <c r="F120" s="194" t="s">
        <v>33</v>
      </c>
      <c r="G120" s="194" t="s">
        <v>1667</v>
      </c>
      <c r="H120" s="202">
        <v>62013487</v>
      </c>
      <c r="I120" s="194" t="s">
        <v>33</v>
      </c>
      <c r="J120" s="196" t="s">
        <v>664</v>
      </c>
      <c r="K120" s="197" t="s">
        <v>1668</v>
      </c>
      <c r="L120" s="198">
        <v>860000</v>
      </c>
      <c r="M120" s="199">
        <v>2843.16</v>
      </c>
      <c r="N120" s="199">
        <v>0</v>
      </c>
      <c r="O120" s="200">
        <v>0</v>
      </c>
      <c r="P120" s="201">
        <v>0</v>
      </c>
    </row>
    <row r="121" spans="1:16" ht="14.1" customHeight="1">
      <c r="A121" s="202">
        <v>424</v>
      </c>
      <c r="B121" s="202">
        <v>7228</v>
      </c>
      <c r="C121" s="195" t="s">
        <v>1607</v>
      </c>
      <c r="D121" s="194" t="s">
        <v>1669</v>
      </c>
      <c r="E121" s="194" t="s">
        <v>1670</v>
      </c>
      <c r="F121" s="194" t="s">
        <v>33</v>
      </c>
      <c r="G121" s="194" t="s">
        <v>1671</v>
      </c>
      <c r="H121" s="202">
        <v>62017694</v>
      </c>
      <c r="I121" s="194" t="s">
        <v>33</v>
      </c>
      <c r="J121" s="196" t="s">
        <v>664</v>
      </c>
      <c r="K121" s="197" t="s">
        <v>1672</v>
      </c>
      <c r="L121" s="198">
        <v>1000000</v>
      </c>
      <c r="M121" s="199">
        <v>3306</v>
      </c>
      <c r="N121" s="199">
        <v>0</v>
      </c>
      <c r="O121" s="200">
        <v>0</v>
      </c>
      <c r="P121" s="201">
        <v>0</v>
      </c>
    </row>
    <row r="122" spans="1:16" ht="14.1" customHeight="1">
      <c r="A122" s="202">
        <v>424</v>
      </c>
      <c r="B122" s="202">
        <v>7228</v>
      </c>
      <c r="C122" s="195" t="s">
        <v>1607</v>
      </c>
      <c r="D122" s="194" t="s">
        <v>1673</v>
      </c>
      <c r="E122" s="194" t="s">
        <v>1674</v>
      </c>
      <c r="F122" s="194" t="s">
        <v>33</v>
      </c>
      <c r="G122" s="194" t="s">
        <v>1673</v>
      </c>
      <c r="H122" s="202">
        <v>62020375</v>
      </c>
      <c r="I122" s="194" t="s">
        <v>33</v>
      </c>
      <c r="J122" s="196" t="s">
        <v>664</v>
      </c>
      <c r="K122" s="197" t="s">
        <v>1676</v>
      </c>
      <c r="L122" s="198">
        <v>2500000</v>
      </c>
      <c r="M122" s="199">
        <v>8265</v>
      </c>
      <c r="N122" s="199">
        <v>1585438</v>
      </c>
      <c r="O122" s="200">
        <v>5241.458028</v>
      </c>
      <c r="P122" s="201">
        <v>0.63417520000000005</v>
      </c>
    </row>
    <row r="123" spans="1:16" ht="14.1" customHeight="1">
      <c r="A123" s="202">
        <v>424</v>
      </c>
      <c r="B123" s="202">
        <v>7228</v>
      </c>
      <c r="C123" s="195" t="s">
        <v>1607</v>
      </c>
      <c r="D123" s="194" t="s">
        <v>1996</v>
      </c>
      <c r="E123" s="194" t="s">
        <v>1997</v>
      </c>
      <c r="F123" s="194" t="s">
        <v>651</v>
      </c>
      <c r="G123" s="194" t="s">
        <v>1998</v>
      </c>
      <c r="H123" s="202">
        <v>60346871</v>
      </c>
      <c r="I123" s="194" t="s">
        <v>33</v>
      </c>
      <c r="J123" s="196" t="s">
        <v>664</v>
      </c>
      <c r="K123" s="197" t="s">
        <v>1367</v>
      </c>
      <c r="L123" s="198">
        <v>500000</v>
      </c>
      <c r="M123" s="199">
        <v>1653</v>
      </c>
      <c r="N123" s="199">
        <v>43279</v>
      </c>
      <c r="O123" s="200">
        <v>143.08037400000001</v>
      </c>
      <c r="P123" s="201">
        <v>8.6557999999999996E-2</v>
      </c>
    </row>
    <row r="124" spans="1:16" ht="14.1" customHeight="1">
      <c r="A124" s="202">
        <v>424</v>
      </c>
      <c r="B124" s="202">
        <v>7228</v>
      </c>
      <c r="C124" s="195" t="s">
        <v>1607</v>
      </c>
      <c r="D124" s="194" t="s">
        <v>1677</v>
      </c>
      <c r="E124" s="194" t="s">
        <v>1678</v>
      </c>
      <c r="F124" s="194" t="s">
        <v>651</v>
      </c>
      <c r="G124" s="194" t="s">
        <v>1679</v>
      </c>
      <c r="H124" s="202">
        <v>62013024</v>
      </c>
      <c r="I124" s="194" t="s">
        <v>33</v>
      </c>
      <c r="J124" s="196" t="s">
        <v>664</v>
      </c>
      <c r="K124" s="197" t="s">
        <v>1680</v>
      </c>
      <c r="L124" s="198">
        <v>800000</v>
      </c>
      <c r="M124" s="199">
        <v>2644.8</v>
      </c>
      <c r="N124" s="199">
        <v>120000</v>
      </c>
      <c r="O124" s="200">
        <v>396.72</v>
      </c>
      <c r="P124" s="201">
        <v>0.15</v>
      </c>
    </row>
    <row r="125" spans="1:16" ht="14.1" customHeight="1">
      <c r="A125" s="202">
        <v>424</v>
      </c>
      <c r="B125" s="202">
        <v>7228</v>
      </c>
      <c r="C125" s="195" t="s">
        <v>1607</v>
      </c>
      <c r="D125" s="194" t="s">
        <v>1677</v>
      </c>
      <c r="E125" s="194" t="s">
        <v>1678</v>
      </c>
      <c r="F125" s="194" t="s">
        <v>651</v>
      </c>
      <c r="G125" s="194" t="s">
        <v>1999</v>
      </c>
      <c r="H125" s="202">
        <v>60382116</v>
      </c>
      <c r="I125" s="194" t="s">
        <v>33</v>
      </c>
      <c r="J125" s="196" t="s">
        <v>664</v>
      </c>
      <c r="K125" s="197" t="s">
        <v>2000</v>
      </c>
      <c r="L125" s="198">
        <v>500000</v>
      </c>
      <c r="M125" s="199">
        <v>1653</v>
      </c>
      <c r="N125" s="199">
        <v>25000</v>
      </c>
      <c r="O125" s="200">
        <v>82.65</v>
      </c>
      <c r="P125" s="201">
        <v>0.05</v>
      </c>
    </row>
    <row r="126" spans="1:16" ht="14.1" customHeight="1">
      <c r="A126" s="202">
        <v>424</v>
      </c>
      <c r="B126" s="202">
        <v>7228</v>
      </c>
      <c r="C126" s="195" t="s">
        <v>1607</v>
      </c>
      <c r="D126" s="194" t="s">
        <v>1681</v>
      </c>
      <c r="E126" s="194" t="s">
        <v>1682</v>
      </c>
      <c r="F126" s="194" t="s">
        <v>498</v>
      </c>
      <c r="G126" s="194" t="s">
        <v>1683</v>
      </c>
      <c r="H126" s="202">
        <v>60406600</v>
      </c>
      <c r="I126" s="194" t="s">
        <v>33</v>
      </c>
      <c r="J126" s="196" t="s">
        <v>664</v>
      </c>
      <c r="K126" s="197" t="s">
        <v>1685</v>
      </c>
      <c r="L126" s="198">
        <v>1000000</v>
      </c>
      <c r="M126" s="199">
        <v>3306</v>
      </c>
      <c r="N126" s="199">
        <v>79979</v>
      </c>
      <c r="O126" s="200">
        <v>264.410574</v>
      </c>
      <c r="P126" s="201">
        <v>7.9978999999999995E-2</v>
      </c>
    </row>
    <row r="127" spans="1:16" ht="14.1" customHeight="1">
      <c r="A127" s="202">
        <v>424</v>
      </c>
      <c r="B127" s="202">
        <v>7228</v>
      </c>
      <c r="C127" s="195" t="s">
        <v>1607</v>
      </c>
      <c r="D127" s="194" t="s">
        <v>1686</v>
      </c>
      <c r="E127" s="194" t="s">
        <v>1687</v>
      </c>
      <c r="F127" s="194" t="s">
        <v>498</v>
      </c>
      <c r="G127" s="194" t="s">
        <v>1688</v>
      </c>
      <c r="H127" s="202">
        <v>62009048</v>
      </c>
      <c r="I127" s="194" t="s">
        <v>33</v>
      </c>
      <c r="J127" s="196" t="s">
        <v>664</v>
      </c>
      <c r="K127" s="197" t="s">
        <v>1689</v>
      </c>
      <c r="L127" s="198">
        <v>800000</v>
      </c>
      <c r="M127" s="199">
        <v>2644.8</v>
      </c>
      <c r="N127" s="199">
        <v>24000</v>
      </c>
      <c r="O127" s="200">
        <v>79.343999999999994</v>
      </c>
      <c r="P127" s="201">
        <v>0.03</v>
      </c>
    </row>
    <row r="128" spans="1:16" ht="14.1" customHeight="1">
      <c r="A128" s="202">
        <v>424</v>
      </c>
      <c r="B128" s="202">
        <v>7228</v>
      </c>
      <c r="C128" s="195" t="s">
        <v>1607</v>
      </c>
      <c r="D128" s="194" t="s">
        <v>1690</v>
      </c>
      <c r="E128" s="194" t="s">
        <v>1691</v>
      </c>
      <c r="F128" s="194" t="s">
        <v>498</v>
      </c>
      <c r="G128" s="194" t="s">
        <v>1692</v>
      </c>
      <c r="H128" s="202">
        <v>62015334</v>
      </c>
      <c r="I128" s="194" t="s">
        <v>33</v>
      </c>
      <c r="J128" s="196" t="s">
        <v>664</v>
      </c>
      <c r="K128" s="197" t="s">
        <v>1693</v>
      </c>
      <c r="L128" s="198">
        <v>1200000</v>
      </c>
      <c r="M128" s="199">
        <v>3967.2000000000003</v>
      </c>
      <c r="N128" s="199">
        <v>144000</v>
      </c>
      <c r="O128" s="200">
        <v>476.06400000000002</v>
      </c>
      <c r="P128" s="201">
        <v>0.12</v>
      </c>
    </row>
    <row r="129" spans="1:16" ht="14.1" customHeight="1">
      <c r="A129" s="202">
        <v>424</v>
      </c>
      <c r="B129" s="202">
        <v>7228</v>
      </c>
      <c r="C129" s="195" t="s">
        <v>1607</v>
      </c>
      <c r="D129" s="194" t="s">
        <v>1694</v>
      </c>
      <c r="E129" s="194" t="s">
        <v>1695</v>
      </c>
      <c r="F129" s="194" t="s">
        <v>498</v>
      </c>
      <c r="G129" s="194" t="s">
        <v>1696</v>
      </c>
      <c r="H129" s="202">
        <v>62017835</v>
      </c>
      <c r="I129" s="194" t="s">
        <v>33</v>
      </c>
      <c r="J129" s="196" t="s">
        <v>664</v>
      </c>
      <c r="K129" s="197" t="s">
        <v>1662</v>
      </c>
      <c r="L129" s="198">
        <v>800000</v>
      </c>
      <c r="M129" s="199">
        <v>2644.8</v>
      </c>
      <c r="N129" s="199">
        <v>72000</v>
      </c>
      <c r="O129" s="200">
        <v>238.03200000000001</v>
      </c>
      <c r="P129" s="201">
        <v>0.09</v>
      </c>
    </row>
    <row r="130" spans="1:16" ht="14.1" customHeight="1">
      <c r="A130" s="202">
        <v>424</v>
      </c>
      <c r="B130" s="202">
        <v>7228</v>
      </c>
      <c r="C130" s="195" t="s">
        <v>1607</v>
      </c>
      <c r="D130" s="194" t="s">
        <v>1697</v>
      </c>
      <c r="E130" s="194" t="s">
        <v>1698</v>
      </c>
      <c r="F130" s="194" t="s">
        <v>498</v>
      </c>
      <c r="G130" s="194" t="s">
        <v>1699</v>
      </c>
      <c r="H130" s="202">
        <v>62020011</v>
      </c>
      <c r="I130" s="194" t="s">
        <v>33</v>
      </c>
      <c r="J130" s="196" t="s">
        <v>664</v>
      </c>
      <c r="K130" s="197" t="s">
        <v>1700</v>
      </c>
      <c r="L130" s="198">
        <v>1200000</v>
      </c>
      <c r="M130" s="199">
        <v>3967.2000000000003</v>
      </c>
      <c r="N130" s="199">
        <v>468000</v>
      </c>
      <c r="O130" s="200">
        <v>1547.2080000000001</v>
      </c>
      <c r="P130" s="201">
        <v>0.39</v>
      </c>
    </row>
    <row r="131" spans="1:16" ht="14.1" customHeight="1">
      <c r="A131" s="202">
        <v>424</v>
      </c>
      <c r="B131" s="202">
        <v>7228</v>
      </c>
      <c r="C131" s="195" t="s">
        <v>1607</v>
      </c>
      <c r="D131" s="194" t="s">
        <v>1701</v>
      </c>
      <c r="E131" s="194">
        <v>500472543</v>
      </c>
      <c r="F131" s="194" t="s">
        <v>498</v>
      </c>
      <c r="G131" s="194" t="s">
        <v>1703</v>
      </c>
      <c r="H131" s="202">
        <v>62020748</v>
      </c>
      <c r="I131" s="194" t="s">
        <v>33</v>
      </c>
      <c r="J131" s="196" t="s">
        <v>664</v>
      </c>
      <c r="K131" s="197" t="s">
        <v>1704</v>
      </c>
      <c r="L131" s="198">
        <v>1250000</v>
      </c>
      <c r="M131" s="199">
        <v>4132.5</v>
      </c>
      <c r="N131" s="199">
        <v>687500</v>
      </c>
      <c r="O131" s="200">
        <v>2272.875</v>
      </c>
      <c r="P131" s="201">
        <v>0.55000000000000004</v>
      </c>
    </row>
    <row r="132" spans="1:16" ht="14.1" customHeight="1">
      <c r="A132" s="202">
        <v>424</v>
      </c>
      <c r="B132" s="202">
        <v>7228</v>
      </c>
      <c r="C132" s="195" t="s">
        <v>1607</v>
      </c>
      <c r="D132" s="194" t="s">
        <v>1705</v>
      </c>
      <c r="E132" s="194" t="s">
        <v>3289</v>
      </c>
      <c r="F132" s="194" t="s">
        <v>33</v>
      </c>
      <c r="G132" s="194" t="s">
        <v>1707</v>
      </c>
      <c r="H132" s="202">
        <v>62022710</v>
      </c>
      <c r="I132" s="194" t="s">
        <v>33</v>
      </c>
      <c r="J132" s="196" t="s">
        <v>664</v>
      </c>
      <c r="K132" s="197" t="s">
        <v>1708</v>
      </c>
      <c r="L132" s="198">
        <v>1700000</v>
      </c>
      <c r="M132" s="199">
        <v>5620.2</v>
      </c>
      <c r="N132" s="199">
        <v>1632000</v>
      </c>
      <c r="O132" s="200">
        <v>5395.3919999999998</v>
      </c>
      <c r="P132" s="201">
        <v>0.96</v>
      </c>
    </row>
    <row r="133" spans="1:16" ht="14.1" customHeight="1">
      <c r="A133" s="202">
        <v>424</v>
      </c>
      <c r="B133" s="202">
        <v>7228</v>
      </c>
      <c r="C133" s="195" t="s">
        <v>1607</v>
      </c>
      <c r="D133" s="194" t="s">
        <v>2001</v>
      </c>
      <c r="E133" s="194" t="s">
        <v>2002</v>
      </c>
      <c r="F133" s="194" t="s">
        <v>498</v>
      </c>
      <c r="G133" s="194" t="s">
        <v>2001</v>
      </c>
      <c r="H133" s="202">
        <v>60297512</v>
      </c>
      <c r="I133" s="194" t="s">
        <v>33</v>
      </c>
      <c r="J133" s="196" t="s">
        <v>664</v>
      </c>
      <c r="K133" s="197" t="s">
        <v>1367</v>
      </c>
      <c r="L133" s="198">
        <v>600000</v>
      </c>
      <c r="M133" s="199">
        <v>1983.6000000000001</v>
      </c>
      <c r="N133" s="199">
        <v>0</v>
      </c>
      <c r="O133" s="200">
        <v>0</v>
      </c>
      <c r="P133" s="201">
        <v>0</v>
      </c>
    </row>
    <row r="134" spans="1:16" ht="14.1" customHeight="1">
      <c r="A134" s="202">
        <v>424</v>
      </c>
      <c r="B134" s="202">
        <v>7228</v>
      </c>
      <c r="C134" s="195" t="s">
        <v>1607</v>
      </c>
      <c r="D134" s="194" t="s">
        <v>1709</v>
      </c>
      <c r="E134" s="194">
        <v>500479340</v>
      </c>
      <c r="F134" s="194" t="s">
        <v>498</v>
      </c>
      <c r="G134" s="194" t="s">
        <v>1711</v>
      </c>
      <c r="H134" s="202">
        <v>62015151</v>
      </c>
      <c r="I134" s="194" t="s">
        <v>33</v>
      </c>
      <c r="J134" s="196" t="s">
        <v>664</v>
      </c>
      <c r="K134" s="197" t="s">
        <v>1712</v>
      </c>
      <c r="L134" s="198">
        <v>1000000</v>
      </c>
      <c r="M134" s="199">
        <v>3306</v>
      </c>
      <c r="N134" s="199">
        <v>215000</v>
      </c>
      <c r="O134" s="200">
        <v>710.79</v>
      </c>
      <c r="P134" s="201">
        <v>0.215</v>
      </c>
    </row>
    <row r="135" spans="1:16" ht="14.1" customHeight="1">
      <c r="A135" s="202">
        <v>424</v>
      </c>
      <c r="B135" s="202">
        <v>7228</v>
      </c>
      <c r="C135" s="195" t="s">
        <v>1607</v>
      </c>
      <c r="D135" s="194" t="s">
        <v>2003</v>
      </c>
      <c r="E135" s="194" t="s">
        <v>2004</v>
      </c>
      <c r="F135" s="194" t="s">
        <v>498</v>
      </c>
      <c r="G135" s="194" t="s">
        <v>2005</v>
      </c>
      <c r="H135" s="202">
        <v>60335908</v>
      </c>
      <c r="I135" s="194" t="s">
        <v>33</v>
      </c>
      <c r="J135" s="196" t="s">
        <v>664</v>
      </c>
      <c r="K135" s="197" t="s">
        <v>1367</v>
      </c>
      <c r="L135" s="198">
        <v>500000</v>
      </c>
      <c r="M135" s="199">
        <v>1653</v>
      </c>
      <c r="N135" s="199">
        <v>20026</v>
      </c>
      <c r="O135" s="200">
        <v>66.205956</v>
      </c>
      <c r="P135" s="201">
        <v>4.0051999999999997E-2</v>
      </c>
    </row>
    <row r="136" spans="1:16" ht="14.1" customHeight="1">
      <c r="A136" s="202">
        <v>424</v>
      </c>
      <c r="B136" s="202">
        <v>7228</v>
      </c>
      <c r="C136" s="195" t="s">
        <v>1607</v>
      </c>
      <c r="D136" s="194" t="s">
        <v>1713</v>
      </c>
      <c r="E136" s="194">
        <v>500457361</v>
      </c>
      <c r="F136" s="194" t="s">
        <v>498</v>
      </c>
      <c r="G136" s="194" t="s">
        <v>1715</v>
      </c>
      <c r="H136" s="202">
        <v>62007349</v>
      </c>
      <c r="I136" s="194" t="s">
        <v>33</v>
      </c>
      <c r="J136" s="196" t="s">
        <v>664</v>
      </c>
      <c r="K136" s="197" t="s">
        <v>1716</v>
      </c>
      <c r="L136" s="198">
        <v>800000</v>
      </c>
      <c r="M136" s="199">
        <v>2644.8</v>
      </c>
      <c r="N136" s="199">
        <v>79999</v>
      </c>
      <c r="O136" s="200">
        <v>264.47669400000001</v>
      </c>
      <c r="P136" s="201">
        <v>9.9998749999999997E-2</v>
      </c>
    </row>
    <row r="137" spans="1:16" ht="14.1" customHeight="1">
      <c r="A137" s="202">
        <v>424</v>
      </c>
      <c r="B137" s="202">
        <v>7228</v>
      </c>
      <c r="C137" s="195" t="s">
        <v>1607</v>
      </c>
      <c r="D137" s="194" t="s">
        <v>1717</v>
      </c>
      <c r="E137" s="194" t="s">
        <v>1718</v>
      </c>
      <c r="F137" s="194" t="s">
        <v>498</v>
      </c>
      <c r="G137" s="194" t="s">
        <v>1719</v>
      </c>
      <c r="H137" s="202">
        <v>62020755</v>
      </c>
      <c r="I137" s="194" t="s">
        <v>33</v>
      </c>
      <c r="J137" s="196" t="s">
        <v>664</v>
      </c>
      <c r="K137" s="197" t="s">
        <v>1704</v>
      </c>
      <c r="L137" s="198">
        <v>1600000</v>
      </c>
      <c r="M137" s="199">
        <v>5289.6</v>
      </c>
      <c r="N137" s="199">
        <v>560000</v>
      </c>
      <c r="O137" s="200">
        <v>1851.3600000000001</v>
      </c>
      <c r="P137" s="201">
        <v>0.35</v>
      </c>
    </row>
    <row r="138" spans="1:16" ht="14.1" customHeight="1">
      <c r="A138" s="202">
        <v>424</v>
      </c>
      <c r="B138" s="202">
        <v>7228</v>
      </c>
      <c r="C138" s="195" t="s">
        <v>1607</v>
      </c>
      <c r="D138" s="194" t="s">
        <v>2007</v>
      </c>
      <c r="E138" s="194" t="s">
        <v>2008</v>
      </c>
      <c r="F138" s="194" t="s">
        <v>33</v>
      </c>
      <c r="G138" s="194" t="s">
        <v>2009</v>
      </c>
      <c r="H138" s="202">
        <v>9840809</v>
      </c>
      <c r="I138" s="194" t="s">
        <v>33</v>
      </c>
      <c r="J138" s="196" t="s">
        <v>664</v>
      </c>
      <c r="K138" s="197" t="s">
        <v>1367</v>
      </c>
      <c r="L138" s="198">
        <v>750000</v>
      </c>
      <c r="M138" s="199">
        <v>2479.5</v>
      </c>
      <c r="N138" s="199">
        <v>37500</v>
      </c>
      <c r="O138" s="200">
        <v>123.97500000000001</v>
      </c>
      <c r="P138" s="201">
        <v>0.05</v>
      </c>
    </row>
    <row r="139" spans="1:16" ht="14.1" customHeight="1">
      <c r="A139" s="202">
        <v>424</v>
      </c>
      <c r="B139" s="202">
        <v>7228</v>
      </c>
      <c r="C139" s="195" t="s">
        <v>1607</v>
      </c>
      <c r="D139" s="194" t="s">
        <v>1720</v>
      </c>
      <c r="E139" s="194" t="s">
        <v>1721</v>
      </c>
      <c r="F139" s="194" t="s">
        <v>134</v>
      </c>
      <c r="G139" s="194" t="s">
        <v>2010</v>
      </c>
      <c r="H139" s="202">
        <v>50007376</v>
      </c>
      <c r="I139" s="194" t="s">
        <v>33</v>
      </c>
      <c r="J139" s="196" t="s">
        <v>34</v>
      </c>
      <c r="K139" s="197" t="s">
        <v>2011</v>
      </c>
      <c r="L139" s="198">
        <v>0</v>
      </c>
      <c r="M139" s="199">
        <v>0</v>
      </c>
      <c r="N139" s="199">
        <v>0</v>
      </c>
      <c r="O139" s="200">
        <v>0</v>
      </c>
      <c r="P139" s="201">
        <v>0</v>
      </c>
    </row>
    <row r="140" spans="1:16" ht="14.1" customHeight="1">
      <c r="A140" s="202">
        <v>424</v>
      </c>
      <c r="B140" s="202">
        <v>7228</v>
      </c>
      <c r="C140" s="195" t="s">
        <v>1607</v>
      </c>
      <c r="D140" s="194" t="s">
        <v>1724</v>
      </c>
      <c r="E140" s="194" t="s">
        <v>1725</v>
      </c>
      <c r="F140" s="194" t="s">
        <v>134</v>
      </c>
      <c r="G140" s="194" t="s">
        <v>1726</v>
      </c>
      <c r="H140" s="202">
        <v>50007004</v>
      </c>
      <c r="I140" s="194" t="s">
        <v>33</v>
      </c>
      <c r="J140" s="196" t="s">
        <v>34</v>
      </c>
      <c r="K140" s="197" t="s">
        <v>1728</v>
      </c>
      <c r="L140" s="198">
        <v>8000000</v>
      </c>
      <c r="M140" s="199">
        <v>8000</v>
      </c>
      <c r="N140" s="199">
        <v>1706740</v>
      </c>
      <c r="O140" s="200">
        <v>1706.74</v>
      </c>
      <c r="P140" s="201">
        <v>0.21334249999999999</v>
      </c>
    </row>
    <row r="141" spans="1:16" ht="14.1" customHeight="1">
      <c r="A141" s="202">
        <v>424</v>
      </c>
      <c r="B141" s="202">
        <v>7228</v>
      </c>
      <c r="C141" s="195" t="s">
        <v>1607</v>
      </c>
      <c r="D141" s="194" t="s">
        <v>1729</v>
      </c>
      <c r="E141" s="194" t="s">
        <v>1730</v>
      </c>
      <c r="F141" s="194" t="s">
        <v>134</v>
      </c>
      <c r="G141" s="194" t="s">
        <v>1729</v>
      </c>
      <c r="H141" s="202">
        <v>50007350</v>
      </c>
      <c r="I141" s="194" t="s">
        <v>33</v>
      </c>
      <c r="J141" s="196" t="s">
        <v>34</v>
      </c>
      <c r="K141" s="197" t="s">
        <v>1732</v>
      </c>
      <c r="L141" s="198">
        <v>8000000</v>
      </c>
      <c r="M141" s="199">
        <v>8000</v>
      </c>
      <c r="N141" s="199">
        <v>1423543</v>
      </c>
      <c r="O141" s="203">
        <v>1423.5429999999999</v>
      </c>
      <c r="P141" s="201">
        <v>0.177942875</v>
      </c>
    </row>
    <row r="142" spans="1:16" ht="14.1" customHeight="1">
      <c r="A142" s="202">
        <v>424</v>
      </c>
      <c r="B142" s="202">
        <v>7228</v>
      </c>
      <c r="C142" s="195" t="s">
        <v>1607</v>
      </c>
      <c r="D142" s="194" t="s">
        <v>2012</v>
      </c>
      <c r="E142" s="194" t="s">
        <v>2013</v>
      </c>
      <c r="F142" s="194" t="s">
        <v>134</v>
      </c>
      <c r="G142" s="194" t="s">
        <v>2014</v>
      </c>
      <c r="H142" s="202">
        <v>26427</v>
      </c>
      <c r="I142" s="194" t="s">
        <v>33</v>
      </c>
      <c r="J142" s="196" t="s">
        <v>34</v>
      </c>
      <c r="K142" s="197" t="s">
        <v>1367</v>
      </c>
      <c r="L142" s="198">
        <v>4000000</v>
      </c>
      <c r="M142" s="199">
        <v>4000</v>
      </c>
      <c r="N142" s="199">
        <v>15951</v>
      </c>
      <c r="O142" s="200">
        <v>15.951000000000001</v>
      </c>
      <c r="P142" s="201">
        <v>3.98775E-3</v>
      </c>
    </row>
    <row r="143" spans="1:16" ht="14.1" customHeight="1">
      <c r="A143" s="202">
        <v>424</v>
      </c>
      <c r="B143" s="202">
        <v>7228</v>
      </c>
      <c r="C143" s="195" t="s">
        <v>1607</v>
      </c>
      <c r="D143" s="194" t="s">
        <v>1733</v>
      </c>
      <c r="E143" s="194" t="s">
        <v>1734</v>
      </c>
      <c r="F143" s="194" t="s">
        <v>33</v>
      </c>
      <c r="G143" s="194" t="s">
        <v>1735</v>
      </c>
      <c r="H143" s="202">
        <v>50008325</v>
      </c>
      <c r="I143" s="194" t="s">
        <v>33</v>
      </c>
      <c r="J143" s="196" t="s">
        <v>34</v>
      </c>
      <c r="K143" s="197" t="s">
        <v>1736</v>
      </c>
      <c r="L143" s="198">
        <v>5500000</v>
      </c>
      <c r="M143" s="199">
        <v>5500</v>
      </c>
      <c r="N143" s="199">
        <v>5037279</v>
      </c>
      <c r="O143" s="200">
        <v>5037.2790000000005</v>
      </c>
      <c r="P143" s="201">
        <v>0.91586890909090912</v>
      </c>
    </row>
    <row r="144" spans="1:16" ht="14.1" customHeight="1">
      <c r="A144" s="202">
        <v>424</v>
      </c>
      <c r="B144" s="202">
        <v>7228</v>
      </c>
      <c r="C144" s="195" t="s">
        <v>1607</v>
      </c>
      <c r="D144" s="194" t="s">
        <v>1610</v>
      </c>
      <c r="E144" s="194" t="s">
        <v>1611</v>
      </c>
      <c r="F144" s="194" t="s">
        <v>366</v>
      </c>
      <c r="G144" s="194" t="s">
        <v>2015</v>
      </c>
      <c r="H144" s="202">
        <v>9840906</v>
      </c>
      <c r="I144" s="194" t="s">
        <v>33</v>
      </c>
      <c r="J144" s="196" t="s">
        <v>664</v>
      </c>
      <c r="K144" s="197" t="s">
        <v>1367</v>
      </c>
      <c r="L144" s="198">
        <v>1000000</v>
      </c>
      <c r="M144" s="199">
        <v>3306</v>
      </c>
      <c r="N144" s="199">
        <v>113280</v>
      </c>
      <c r="O144" s="200">
        <v>374.50368000000003</v>
      </c>
      <c r="P144" s="201">
        <v>0.11328000000000001</v>
      </c>
    </row>
    <row r="145" spans="1:16" ht="14.1" customHeight="1">
      <c r="A145" s="202">
        <v>424</v>
      </c>
      <c r="B145" s="202">
        <v>7228</v>
      </c>
      <c r="C145" s="195" t="s">
        <v>1607</v>
      </c>
      <c r="D145" s="194" t="s">
        <v>1610</v>
      </c>
      <c r="E145" s="194" t="s">
        <v>1611</v>
      </c>
      <c r="F145" s="194" t="s">
        <v>366</v>
      </c>
      <c r="G145" s="194" t="s">
        <v>2016</v>
      </c>
      <c r="H145" s="202">
        <v>9840909</v>
      </c>
      <c r="I145" s="194" t="s">
        <v>33</v>
      </c>
      <c r="J145" s="196" t="s">
        <v>664</v>
      </c>
      <c r="K145" s="197" t="s">
        <v>1367</v>
      </c>
      <c r="L145" s="198">
        <v>1500000</v>
      </c>
      <c r="M145" s="199">
        <v>4959</v>
      </c>
      <c r="N145" s="199">
        <v>0</v>
      </c>
      <c r="O145" s="200">
        <v>0</v>
      </c>
      <c r="P145" s="201">
        <v>0</v>
      </c>
    </row>
    <row r="146" spans="1:16" ht="14.1" customHeight="1">
      <c r="A146" s="202">
        <v>424</v>
      </c>
      <c r="B146" s="202">
        <v>7228</v>
      </c>
      <c r="C146" s="195" t="s">
        <v>1607</v>
      </c>
      <c r="D146" s="194" t="s">
        <v>1610</v>
      </c>
      <c r="E146" s="194" t="s">
        <v>1611</v>
      </c>
      <c r="F146" s="194" t="s">
        <v>366</v>
      </c>
      <c r="G146" s="194" t="s">
        <v>1737</v>
      </c>
      <c r="H146" s="202">
        <v>60400892</v>
      </c>
      <c r="I146" s="194" t="s">
        <v>33</v>
      </c>
      <c r="J146" s="196" t="s">
        <v>664</v>
      </c>
      <c r="K146" s="197" t="s">
        <v>1738</v>
      </c>
      <c r="L146" s="198">
        <v>2000000</v>
      </c>
      <c r="M146" s="199">
        <v>6612</v>
      </c>
      <c r="N146" s="199">
        <v>214547</v>
      </c>
      <c r="O146" s="200">
        <v>709.29238199999998</v>
      </c>
      <c r="P146" s="201">
        <v>0.10727349999999999</v>
      </c>
    </row>
    <row r="147" spans="1:16" ht="14.1" customHeight="1">
      <c r="A147" s="202">
        <v>424</v>
      </c>
      <c r="B147" s="202">
        <v>7228</v>
      </c>
      <c r="C147" s="195" t="s">
        <v>1607</v>
      </c>
      <c r="D147" s="194" t="s">
        <v>2017</v>
      </c>
      <c r="E147" s="194" t="s">
        <v>2018</v>
      </c>
      <c r="F147" s="194" t="s">
        <v>134</v>
      </c>
      <c r="G147" s="194" t="s">
        <v>2019</v>
      </c>
      <c r="H147" s="202">
        <v>9840913</v>
      </c>
      <c r="I147" s="194" t="s">
        <v>33</v>
      </c>
      <c r="J147" s="196" t="s">
        <v>664</v>
      </c>
      <c r="K147" s="197" t="s">
        <v>1367</v>
      </c>
      <c r="L147" s="198">
        <v>500000</v>
      </c>
      <c r="M147" s="199">
        <v>1653</v>
      </c>
      <c r="N147" s="199">
        <v>0</v>
      </c>
      <c r="O147" s="200">
        <v>0</v>
      </c>
      <c r="P147" s="201">
        <v>0</v>
      </c>
    </row>
    <row r="148" spans="1:16" ht="14.1" customHeight="1">
      <c r="A148" s="202">
        <v>424</v>
      </c>
      <c r="B148" s="202">
        <v>7228</v>
      </c>
      <c r="C148" s="195" t="s">
        <v>1607</v>
      </c>
      <c r="D148" s="194" t="s">
        <v>2020</v>
      </c>
      <c r="E148" s="194">
        <v>0</v>
      </c>
      <c r="F148" s="194" t="s">
        <v>498</v>
      </c>
      <c r="G148" s="194" t="s">
        <v>2021</v>
      </c>
      <c r="H148" s="202">
        <v>9840922</v>
      </c>
      <c r="I148" s="194" t="s">
        <v>33</v>
      </c>
      <c r="J148" s="196" t="s">
        <v>664</v>
      </c>
      <c r="K148" s="197" t="s">
        <v>1367</v>
      </c>
      <c r="L148" s="198">
        <v>500000</v>
      </c>
      <c r="M148" s="199">
        <v>1653</v>
      </c>
      <c r="N148" s="199">
        <v>0</v>
      </c>
      <c r="O148" s="200">
        <v>0</v>
      </c>
      <c r="P148" s="201">
        <v>0</v>
      </c>
    </row>
    <row r="149" spans="1:16" ht="14.1" customHeight="1">
      <c r="A149" s="202">
        <v>424</v>
      </c>
      <c r="B149" s="202">
        <v>7228</v>
      </c>
      <c r="C149" s="195" t="s">
        <v>1607</v>
      </c>
      <c r="D149" s="194" t="s">
        <v>2022</v>
      </c>
      <c r="E149" s="194" t="s">
        <v>2023</v>
      </c>
      <c r="F149" s="194" t="s">
        <v>134</v>
      </c>
      <c r="G149" s="194" t="s">
        <v>2024</v>
      </c>
      <c r="H149" s="202">
        <v>9840936</v>
      </c>
      <c r="I149" s="194" t="s">
        <v>33</v>
      </c>
      <c r="J149" s="196" t="s">
        <v>664</v>
      </c>
      <c r="K149" s="197" t="s">
        <v>1367</v>
      </c>
      <c r="L149" s="198">
        <v>600000</v>
      </c>
      <c r="M149" s="199">
        <v>1983.6000000000001</v>
      </c>
      <c r="N149" s="199">
        <v>12100</v>
      </c>
      <c r="O149" s="200">
        <v>40.002600000000001</v>
      </c>
      <c r="P149" s="201">
        <v>2.0166666666666666E-2</v>
      </c>
    </row>
    <row r="150" spans="1:16" ht="14.1" customHeight="1">
      <c r="A150" s="202">
        <v>424</v>
      </c>
      <c r="B150" s="202">
        <v>7228</v>
      </c>
      <c r="C150" s="195" t="s">
        <v>1607</v>
      </c>
      <c r="D150" s="194" t="s">
        <v>1724</v>
      </c>
      <c r="E150" s="194" t="s">
        <v>1725</v>
      </c>
      <c r="F150" s="194" t="s">
        <v>134</v>
      </c>
      <c r="G150" s="194" t="s">
        <v>1724</v>
      </c>
      <c r="H150" s="202">
        <v>18952</v>
      </c>
      <c r="I150" s="194" t="s">
        <v>33</v>
      </c>
      <c r="J150" s="196" t="s">
        <v>34</v>
      </c>
      <c r="K150" s="197" t="s">
        <v>1739</v>
      </c>
      <c r="L150" s="198">
        <v>3250000</v>
      </c>
      <c r="M150" s="199">
        <v>3250</v>
      </c>
      <c r="N150" s="199">
        <v>550402</v>
      </c>
      <c r="O150" s="200">
        <v>550.40200000000004</v>
      </c>
      <c r="P150" s="201">
        <v>0.16935446153846154</v>
      </c>
    </row>
    <row r="151" spans="1:16" ht="14.1" customHeight="1">
      <c r="A151" s="202">
        <v>424</v>
      </c>
      <c r="B151" s="202">
        <v>7228</v>
      </c>
      <c r="C151" s="195" t="s">
        <v>1607</v>
      </c>
      <c r="D151" s="194" t="s">
        <v>2025</v>
      </c>
      <c r="E151" s="194" t="s">
        <v>2026</v>
      </c>
      <c r="F151" s="194" t="s">
        <v>33</v>
      </c>
      <c r="G151" s="194" t="s">
        <v>2027</v>
      </c>
      <c r="H151" s="202">
        <v>9840777</v>
      </c>
      <c r="I151" s="194" t="s">
        <v>33</v>
      </c>
      <c r="J151" s="196" t="s">
        <v>664</v>
      </c>
      <c r="K151" s="197" t="s">
        <v>1367</v>
      </c>
      <c r="L151" s="198">
        <v>500000</v>
      </c>
      <c r="M151" s="199">
        <v>1653</v>
      </c>
      <c r="N151" s="199">
        <v>0</v>
      </c>
      <c r="O151" s="200">
        <v>0</v>
      </c>
      <c r="P151" s="201">
        <v>0</v>
      </c>
    </row>
    <row r="152" spans="1:16" ht="14.1" customHeight="1">
      <c r="A152" s="202">
        <v>424</v>
      </c>
      <c r="B152" s="202">
        <v>7228</v>
      </c>
      <c r="C152" s="195" t="s">
        <v>1607</v>
      </c>
      <c r="D152" s="194" t="s">
        <v>1740</v>
      </c>
      <c r="E152" s="194" t="s">
        <v>1741</v>
      </c>
      <c r="F152" s="194" t="s">
        <v>498</v>
      </c>
      <c r="G152" s="194" t="s">
        <v>1742</v>
      </c>
      <c r="H152" s="202">
        <v>50007160</v>
      </c>
      <c r="I152" s="194" t="s">
        <v>33</v>
      </c>
      <c r="J152" s="196" t="s">
        <v>34</v>
      </c>
      <c r="K152" s="197" t="s">
        <v>1743</v>
      </c>
      <c r="L152" s="198">
        <v>4500000</v>
      </c>
      <c r="M152" s="199">
        <v>4500</v>
      </c>
      <c r="N152" s="199">
        <v>2150197</v>
      </c>
      <c r="O152" s="200">
        <v>2150.1970000000001</v>
      </c>
      <c r="P152" s="201">
        <v>0.47782155555555555</v>
      </c>
    </row>
    <row r="153" spans="1:16" ht="14.1" customHeight="1">
      <c r="A153" s="202">
        <v>424</v>
      </c>
      <c r="B153" s="202">
        <v>7228</v>
      </c>
      <c r="C153" s="195" t="s">
        <v>1607</v>
      </c>
      <c r="D153" s="194" t="s">
        <v>2028</v>
      </c>
      <c r="E153" s="194" t="s">
        <v>2029</v>
      </c>
      <c r="F153" s="194" t="s">
        <v>134</v>
      </c>
      <c r="G153" s="194" t="s">
        <v>2030</v>
      </c>
      <c r="H153" s="202">
        <v>9840947</v>
      </c>
      <c r="I153" s="194" t="s">
        <v>33</v>
      </c>
      <c r="J153" s="196" t="s">
        <v>664</v>
      </c>
      <c r="K153" s="197" t="s">
        <v>1367</v>
      </c>
      <c r="L153" s="198">
        <v>1000000</v>
      </c>
      <c r="M153" s="199">
        <v>3306</v>
      </c>
      <c r="N153" s="199">
        <v>64979</v>
      </c>
      <c r="O153" s="200">
        <v>214.82057399999999</v>
      </c>
      <c r="P153" s="201">
        <v>6.4978999999999995E-2</v>
      </c>
    </row>
    <row r="154" spans="1:16" ht="14.1" customHeight="1">
      <c r="A154" s="202">
        <v>424</v>
      </c>
      <c r="B154" s="202">
        <v>7228</v>
      </c>
      <c r="C154" s="195" t="s">
        <v>1607</v>
      </c>
      <c r="D154" s="194" t="s">
        <v>1744</v>
      </c>
      <c r="E154" s="194" t="s">
        <v>1745</v>
      </c>
      <c r="F154" s="194" t="s">
        <v>651</v>
      </c>
      <c r="G154" s="194" t="s">
        <v>1746</v>
      </c>
      <c r="H154" s="202">
        <v>62022124</v>
      </c>
      <c r="I154" s="194" t="s">
        <v>33</v>
      </c>
      <c r="J154" s="196" t="s">
        <v>576</v>
      </c>
      <c r="K154" s="197" t="s">
        <v>1748</v>
      </c>
      <c r="L154" s="198">
        <v>1400000</v>
      </c>
      <c r="M154" s="199">
        <v>5432.9800000000005</v>
      </c>
      <c r="N154" s="199">
        <v>629604.03999999992</v>
      </c>
      <c r="O154" s="200">
        <v>2443.3043980279999</v>
      </c>
      <c r="P154" s="201">
        <v>0.44971717142857137</v>
      </c>
    </row>
    <row r="155" spans="1:16" ht="14.1" customHeight="1">
      <c r="A155" s="202">
        <v>424</v>
      </c>
      <c r="B155" s="202">
        <v>7228</v>
      </c>
      <c r="C155" s="195" t="s">
        <v>1607</v>
      </c>
      <c r="D155" s="194" t="s">
        <v>1749</v>
      </c>
      <c r="E155" s="194" t="s">
        <v>1750</v>
      </c>
      <c r="F155" s="194" t="s">
        <v>33</v>
      </c>
      <c r="G155" s="194" t="s">
        <v>1751</v>
      </c>
      <c r="H155" s="202">
        <v>62020672</v>
      </c>
      <c r="I155" s="194" t="s">
        <v>33</v>
      </c>
      <c r="J155" s="196" t="s">
        <v>664</v>
      </c>
      <c r="K155" s="197" t="s">
        <v>1752</v>
      </c>
      <c r="L155" s="198">
        <v>1100000</v>
      </c>
      <c r="M155" s="199">
        <v>3636.6</v>
      </c>
      <c r="N155" s="199">
        <v>194574</v>
      </c>
      <c r="O155" s="200">
        <v>643.26164400000005</v>
      </c>
      <c r="P155" s="201">
        <v>0.17688545454545454</v>
      </c>
    </row>
    <row r="156" spans="1:16" ht="14.1" customHeight="1">
      <c r="A156" s="202">
        <v>424</v>
      </c>
      <c r="B156" s="202">
        <v>7228</v>
      </c>
      <c r="C156" s="195" t="s">
        <v>1607</v>
      </c>
      <c r="D156" s="194" t="s">
        <v>1753</v>
      </c>
      <c r="E156" s="194" t="s">
        <v>1754</v>
      </c>
      <c r="F156" s="194" t="s">
        <v>651</v>
      </c>
      <c r="G156" s="194" t="s">
        <v>1753</v>
      </c>
      <c r="H156" s="202">
        <v>62021365</v>
      </c>
      <c r="I156" s="194" t="s">
        <v>33</v>
      </c>
      <c r="J156" s="196" t="s">
        <v>664</v>
      </c>
      <c r="K156" s="197" t="s">
        <v>1756</v>
      </c>
      <c r="L156" s="198">
        <v>3000000</v>
      </c>
      <c r="M156" s="199">
        <v>9918</v>
      </c>
      <c r="N156" s="199">
        <v>2279233.3199999998</v>
      </c>
      <c r="O156" s="200">
        <v>7535.1453559199999</v>
      </c>
      <c r="P156" s="201">
        <v>0.75974443999999997</v>
      </c>
    </row>
    <row r="157" spans="1:16" ht="14.1" customHeight="1">
      <c r="A157" s="202">
        <v>424</v>
      </c>
      <c r="B157" s="202">
        <v>7228</v>
      </c>
      <c r="C157" s="195" t="s">
        <v>1607</v>
      </c>
      <c r="D157" s="194" t="s">
        <v>1757</v>
      </c>
      <c r="E157" s="194" t="s">
        <v>1758</v>
      </c>
      <c r="F157" s="194" t="s">
        <v>492</v>
      </c>
      <c r="G157" s="194" t="s">
        <v>1757</v>
      </c>
      <c r="H157" s="202">
        <v>62020896</v>
      </c>
      <c r="I157" s="194" t="s">
        <v>33</v>
      </c>
      <c r="J157" s="196" t="s">
        <v>664</v>
      </c>
      <c r="K157" s="197" t="s">
        <v>1760</v>
      </c>
      <c r="L157" s="198">
        <v>2700000</v>
      </c>
      <c r="M157" s="199">
        <v>8926.2000000000007</v>
      </c>
      <c r="N157" s="199">
        <v>1906289</v>
      </c>
      <c r="O157" s="200">
        <v>6302.1914340000003</v>
      </c>
      <c r="P157" s="201">
        <v>0.70603296296296292</v>
      </c>
    </row>
    <row r="158" spans="1:16" ht="14.1" customHeight="1">
      <c r="A158" s="202">
        <v>424</v>
      </c>
      <c r="B158" s="202">
        <v>7228</v>
      </c>
      <c r="C158" s="195" t="s">
        <v>1607</v>
      </c>
      <c r="D158" s="194" t="s">
        <v>1757</v>
      </c>
      <c r="E158" s="194" t="s">
        <v>1761</v>
      </c>
      <c r="F158" s="194" t="s">
        <v>33</v>
      </c>
      <c r="G158" s="194" t="s">
        <v>1762</v>
      </c>
      <c r="H158" s="202">
        <v>62022447</v>
      </c>
      <c r="I158" s="194" t="s">
        <v>33</v>
      </c>
      <c r="J158" s="196" t="s">
        <v>664</v>
      </c>
      <c r="K158" s="197" t="s">
        <v>1390</v>
      </c>
      <c r="L158" s="198">
        <v>2400000</v>
      </c>
      <c r="M158" s="199">
        <v>7934.4000000000005</v>
      </c>
      <c r="N158" s="199">
        <v>2399760</v>
      </c>
      <c r="O158" s="200">
        <v>7933.6065600000011</v>
      </c>
      <c r="P158" s="201">
        <v>0.99990000000000001</v>
      </c>
    </row>
    <row r="159" spans="1:16" ht="14.1" customHeight="1">
      <c r="A159" s="202">
        <v>424</v>
      </c>
      <c r="B159" s="202">
        <v>7228</v>
      </c>
      <c r="C159" s="195" t="s">
        <v>1607</v>
      </c>
      <c r="D159" s="194" t="s">
        <v>1763</v>
      </c>
      <c r="E159" s="194" t="s">
        <v>1764</v>
      </c>
      <c r="F159" s="194" t="s">
        <v>651</v>
      </c>
      <c r="G159" s="194" t="s">
        <v>1763</v>
      </c>
      <c r="H159" s="202">
        <v>62019815</v>
      </c>
      <c r="I159" s="194" t="s">
        <v>33</v>
      </c>
      <c r="J159" s="196" t="s">
        <v>664</v>
      </c>
      <c r="K159" s="197" t="s">
        <v>1765</v>
      </c>
      <c r="L159" s="198">
        <v>4000000</v>
      </c>
      <c r="M159" s="199">
        <v>13224</v>
      </c>
      <c r="N159" s="199">
        <v>1806061</v>
      </c>
      <c r="O159" s="200">
        <v>5970.8376659999994</v>
      </c>
      <c r="P159" s="201">
        <v>0.45151524999999998</v>
      </c>
    </row>
    <row r="160" spans="1:16" ht="14.1" customHeight="1">
      <c r="A160" s="202">
        <v>424</v>
      </c>
      <c r="B160" s="202">
        <v>7228</v>
      </c>
      <c r="C160" s="195" t="s">
        <v>1607</v>
      </c>
      <c r="D160" s="194" t="s">
        <v>1766</v>
      </c>
      <c r="E160" s="194" t="s">
        <v>1767</v>
      </c>
      <c r="F160" s="194" t="s">
        <v>492</v>
      </c>
      <c r="G160" s="194" t="s">
        <v>1768</v>
      </c>
      <c r="H160" s="202">
        <v>62019757</v>
      </c>
      <c r="I160" s="194" t="s">
        <v>33</v>
      </c>
      <c r="J160" s="196" t="s">
        <v>664</v>
      </c>
      <c r="K160" s="197" t="s">
        <v>1769</v>
      </c>
      <c r="L160" s="198">
        <v>1400000</v>
      </c>
      <c r="M160" s="199">
        <v>4628.3999999999996</v>
      </c>
      <c r="N160" s="199">
        <v>640297</v>
      </c>
      <c r="O160" s="200">
        <v>2116.8218820000002</v>
      </c>
      <c r="P160" s="201">
        <v>0.45735500000000001</v>
      </c>
    </row>
    <row r="161" spans="1:16" ht="14.1" customHeight="1">
      <c r="A161" s="202">
        <v>424</v>
      </c>
      <c r="B161" s="202">
        <v>7228</v>
      </c>
      <c r="C161" s="195" t="s">
        <v>1607</v>
      </c>
      <c r="D161" s="194" t="s">
        <v>1770</v>
      </c>
      <c r="E161" s="194" t="s">
        <v>1771</v>
      </c>
      <c r="F161" s="194" t="s">
        <v>492</v>
      </c>
      <c r="G161" s="194" t="s">
        <v>1772</v>
      </c>
      <c r="H161" s="202">
        <v>62013909</v>
      </c>
      <c r="I161" s="194" t="s">
        <v>33</v>
      </c>
      <c r="J161" s="196" t="s">
        <v>664</v>
      </c>
      <c r="K161" s="197" t="s">
        <v>1774</v>
      </c>
      <c r="L161" s="198">
        <v>2000000</v>
      </c>
      <c r="M161" s="199">
        <v>6612</v>
      </c>
      <c r="N161" s="199">
        <v>0</v>
      </c>
      <c r="O161" s="200">
        <v>0</v>
      </c>
      <c r="P161" s="201">
        <v>0</v>
      </c>
    </row>
    <row r="162" spans="1:16" ht="14.1" customHeight="1">
      <c r="A162" s="202">
        <v>424</v>
      </c>
      <c r="B162" s="202">
        <v>7228</v>
      </c>
      <c r="C162" s="195" t="s">
        <v>1607</v>
      </c>
      <c r="D162" s="194" t="s">
        <v>1775</v>
      </c>
      <c r="E162" s="194" t="s">
        <v>1776</v>
      </c>
      <c r="F162" s="194" t="s">
        <v>492</v>
      </c>
      <c r="G162" s="194" t="s">
        <v>1777</v>
      </c>
      <c r="H162" s="202">
        <v>62011226</v>
      </c>
      <c r="I162" s="194" t="s">
        <v>33</v>
      </c>
      <c r="J162" s="196" t="s">
        <v>664</v>
      </c>
      <c r="K162" s="197" t="s">
        <v>1779</v>
      </c>
      <c r="L162" s="198">
        <v>0</v>
      </c>
      <c r="M162" s="199">
        <v>0</v>
      </c>
      <c r="N162" s="199">
        <v>0</v>
      </c>
      <c r="O162" s="200">
        <v>0</v>
      </c>
      <c r="P162" s="201">
        <v>0</v>
      </c>
    </row>
    <row r="163" spans="1:16" ht="14.1" customHeight="1">
      <c r="A163" s="202">
        <v>424</v>
      </c>
      <c r="B163" s="202">
        <v>7228</v>
      </c>
      <c r="C163" s="195" t="s">
        <v>1607</v>
      </c>
      <c r="D163" s="194" t="s">
        <v>1780</v>
      </c>
      <c r="E163" s="194" t="s">
        <v>1781</v>
      </c>
      <c r="F163" s="194" t="s">
        <v>33</v>
      </c>
      <c r="G163" s="194" t="s">
        <v>1782</v>
      </c>
      <c r="H163" s="202">
        <v>62022348</v>
      </c>
      <c r="I163" s="194" t="s">
        <v>33</v>
      </c>
      <c r="J163" s="196" t="s">
        <v>664</v>
      </c>
      <c r="K163" s="197" t="s">
        <v>1783</v>
      </c>
      <c r="L163" s="198">
        <v>1700000</v>
      </c>
      <c r="M163" s="199">
        <v>5620.2</v>
      </c>
      <c r="N163" s="199">
        <v>1303108.81</v>
      </c>
      <c r="O163" s="200">
        <v>4308.0777258600001</v>
      </c>
      <c r="P163" s="201">
        <v>0.76653459411764713</v>
      </c>
    </row>
    <row r="164" spans="1:16" ht="14.1" customHeight="1">
      <c r="A164" s="202">
        <v>424</v>
      </c>
      <c r="B164" s="202">
        <v>7228</v>
      </c>
      <c r="C164" s="195" t="s">
        <v>1607</v>
      </c>
      <c r="D164" s="194" t="s">
        <v>1784</v>
      </c>
      <c r="E164" s="194" t="s">
        <v>1785</v>
      </c>
      <c r="F164" s="194" t="s">
        <v>492</v>
      </c>
      <c r="G164" s="194" t="s">
        <v>1786</v>
      </c>
      <c r="H164" s="202">
        <v>62022504</v>
      </c>
      <c r="I164" s="194" t="s">
        <v>33</v>
      </c>
      <c r="J164" s="196" t="s">
        <v>664</v>
      </c>
      <c r="K164" s="197" t="s">
        <v>1787</v>
      </c>
      <c r="L164" s="198">
        <v>1700000</v>
      </c>
      <c r="M164" s="199">
        <v>5620.2</v>
      </c>
      <c r="N164" s="199">
        <v>1290915.04</v>
      </c>
      <c r="O164" s="200">
        <v>4267.76512224</v>
      </c>
      <c r="P164" s="201">
        <v>0.7593617882352941</v>
      </c>
    </row>
    <row r="165" spans="1:16" ht="14.1" customHeight="1">
      <c r="A165" s="202">
        <v>424</v>
      </c>
      <c r="B165" s="202">
        <v>7228</v>
      </c>
      <c r="C165" s="195" t="s">
        <v>1607</v>
      </c>
      <c r="D165" s="194" t="s">
        <v>1788</v>
      </c>
      <c r="E165" s="194" t="s">
        <v>1789</v>
      </c>
      <c r="F165" s="194" t="s">
        <v>492</v>
      </c>
      <c r="G165" s="194" t="s">
        <v>1790</v>
      </c>
      <c r="H165" s="202">
        <v>60419041</v>
      </c>
      <c r="I165" s="194" t="s">
        <v>33</v>
      </c>
      <c r="J165" s="196" t="s">
        <v>664</v>
      </c>
      <c r="K165" s="197" t="s">
        <v>1791</v>
      </c>
      <c r="L165" s="198">
        <v>1000000</v>
      </c>
      <c r="M165" s="199">
        <v>3306</v>
      </c>
      <c r="N165" s="199">
        <v>90000</v>
      </c>
      <c r="O165" s="200">
        <v>297.54000000000002</v>
      </c>
      <c r="P165" s="201">
        <v>0.09</v>
      </c>
    </row>
    <row r="166" spans="1:16" ht="14.1" customHeight="1">
      <c r="A166" s="202">
        <v>424</v>
      </c>
      <c r="B166" s="202">
        <v>7228</v>
      </c>
      <c r="C166" s="195" t="s">
        <v>1607</v>
      </c>
      <c r="D166" s="194" t="s">
        <v>1792</v>
      </c>
      <c r="E166" s="194" t="s">
        <v>1793</v>
      </c>
      <c r="F166" s="194" t="s">
        <v>492</v>
      </c>
      <c r="G166" s="194" t="s">
        <v>1794</v>
      </c>
      <c r="H166" s="202">
        <v>62016654</v>
      </c>
      <c r="I166" s="194" t="s">
        <v>33</v>
      </c>
      <c r="J166" s="196" t="s">
        <v>664</v>
      </c>
      <c r="K166" s="197" t="s">
        <v>1795</v>
      </c>
      <c r="L166" s="198">
        <v>2250000</v>
      </c>
      <c r="M166" s="199">
        <v>7438.5</v>
      </c>
      <c r="N166" s="199">
        <v>427500</v>
      </c>
      <c r="O166" s="200">
        <v>1413.3150000000001</v>
      </c>
      <c r="P166" s="201">
        <v>0.19</v>
      </c>
    </row>
    <row r="167" spans="1:16" ht="14.1" customHeight="1">
      <c r="A167" s="202">
        <v>424</v>
      </c>
      <c r="B167" s="202">
        <v>7228</v>
      </c>
      <c r="C167" s="195" t="s">
        <v>1607</v>
      </c>
      <c r="D167" s="194" t="s">
        <v>1796</v>
      </c>
      <c r="E167" s="194" t="s">
        <v>1797</v>
      </c>
      <c r="F167" s="194" t="s">
        <v>651</v>
      </c>
      <c r="G167" s="194" t="s">
        <v>1798</v>
      </c>
      <c r="H167" s="202">
        <v>62021241</v>
      </c>
      <c r="I167" s="194" t="s">
        <v>33</v>
      </c>
      <c r="J167" s="196" t="s">
        <v>664</v>
      </c>
      <c r="K167" s="197" t="s">
        <v>1799</v>
      </c>
      <c r="L167" s="198">
        <v>1600000</v>
      </c>
      <c r="M167" s="199">
        <v>5289.6</v>
      </c>
      <c r="N167" s="199">
        <v>944000</v>
      </c>
      <c r="O167" s="200">
        <v>3120.864</v>
      </c>
      <c r="P167" s="201">
        <v>0.59</v>
      </c>
    </row>
    <row r="168" spans="1:16" ht="14.1" customHeight="1">
      <c r="A168" s="202">
        <v>424</v>
      </c>
      <c r="B168" s="202">
        <v>7228</v>
      </c>
      <c r="C168" s="195" t="s">
        <v>1607</v>
      </c>
      <c r="D168" s="194" t="s">
        <v>1800</v>
      </c>
      <c r="E168" s="194" t="s">
        <v>1801</v>
      </c>
      <c r="F168" s="194" t="s">
        <v>651</v>
      </c>
      <c r="G168" s="194" t="s">
        <v>1802</v>
      </c>
      <c r="H168" s="202">
        <v>62018064</v>
      </c>
      <c r="I168" s="194" t="s">
        <v>33</v>
      </c>
      <c r="J168" s="196" t="s">
        <v>664</v>
      </c>
      <c r="K168" s="197" t="s">
        <v>1554</v>
      </c>
      <c r="L168" s="198">
        <v>1000000</v>
      </c>
      <c r="M168" s="199">
        <v>3306</v>
      </c>
      <c r="N168" s="199">
        <v>123255</v>
      </c>
      <c r="O168" s="200">
        <v>407.48102999999998</v>
      </c>
      <c r="P168" s="201">
        <v>0.123255</v>
      </c>
    </row>
    <row r="169" spans="1:16" ht="14.1" customHeight="1">
      <c r="A169" s="202">
        <v>424</v>
      </c>
      <c r="B169" s="202">
        <v>7228</v>
      </c>
      <c r="C169" s="195" t="s">
        <v>1607</v>
      </c>
      <c r="D169" s="194" t="s">
        <v>1800</v>
      </c>
      <c r="E169" s="194" t="s">
        <v>1801</v>
      </c>
      <c r="F169" s="194" t="s">
        <v>651</v>
      </c>
      <c r="G169" s="194" t="s">
        <v>1804</v>
      </c>
      <c r="H169" s="202">
        <v>62021340</v>
      </c>
      <c r="I169" s="194" t="s">
        <v>33</v>
      </c>
      <c r="J169" s="196" t="s">
        <v>664</v>
      </c>
      <c r="K169" s="197" t="s">
        <v>1806</v>
      </c>
      <c r="L169" s="198">
        <v>1500000</v>
      </c>
      <c r="M169" s="199">
        <v>4959</v>
      </c>
      <c r="N169" s="199">
        <v>235863</v>
      </c>
      <c r="O169" s="200">
        <v>779.76307800000006</v>
      </c>
      <c r="P169" s="201">
        <v>0.15724199999999999</v>
      </c>
    </row>
    <row r="170" spans="1:16" ht="14.1" customHeight="1">
      <c r="A170" s="202">
        <v>424</v>
      </c>
      <c r="B170" s="202">
        <v>7228</v>
      </c>
      <c r="C170" s="195" t="s">
        <v>1607</v>
      </c>
      <c r="D170" s="194" t="s">
        <v>1807</v>
      </c>
      <c r="E170" s="194" t="s">
        <v>1808</v>
      </c>
      <c r="F170" s="194" t="s">
        <v>492</v>
      </c>
      <c r="G170" s="194" t="s">
        <v>1809</v>
      </c>
      <c r="H170" s="202">
        <v>62018908</v>
      </c>
      <c r="I170" s="194" t="s">
        <v>33</v>
      </c>
      <c r="J170" s="196" t="s">
        <v>664</v>
      </c>
      <c r="K170" s="197" t="s">
        <v>1810</v>
      </c>
      <c r="L170" s="198">
        <v>3400000</v>
      </c>
      <c r="M170" s="199">
        <v>11240.4</v>
      </c>
      <c r="N170" s="199">
        <v>665786.24000000022</v>
      </c>
      <c r="O170" s="200">
        <v>2201.0893094400008</v>
      </c>
      <c r="P170" s="201">
        <v>0.19581948235294125</v>
      </c>
    </row>
    <row r="171" spans="1:16" ht="14.1" customHeight="1">
      <c r="A171" s="202">
        <v>424</v>
      </c>
      <c r="B171" s="202">
        <v>7228</v>
      </c>
      <c r="C171" s="195" t="s">
        <v>1607</v>
      </c>
      <c r="D171" s="194" t="s">
        <v>1811</v>
      </c>
      <c r="E171" s="194" t="s">
        <v>1812</v>
      </c>
      <c r="F171" s="194" t="s">
        <v>492</v>
      </c>
      <c r="G171" s="194" t="s">
        <v>1813</v>
      </c>
      <c r="H171" s="202">
        <v>62019559</v>
      </c>
      <c r="I171" s="194" t="s">
        <v>33</v>
      </c>
      <c r="J171" s="196" t="s">
        <v>664</v>
      </c>
      <c r="K171" s="197" t="s">
        <v>1814</v>
      </c>
      <c r="L171" s="198">
        <v>2700000</v>
      </c>
      <c r="M171" s="199">
        <v>8926.2000000000007</v>
      </c>
      <c r="N171" s="199">
        <v>0</v>
      </c>
      <c r="O171" s="200">
        <v>0</v>
      </c>
      <c r="P171" s="201">
        <v>0</v>
      </c>
    </row>
    <row r="172" spans="1:16" ht="14.1" customHeight="1">
      <c r="A172" s="202">
        <v>424</v>
      </c>
      <c r="B172" s="202">
        <v>7228</v>
      </c>
      <c r="C172" s="195" t="s">
        <v>1607</v>
      </c>
      <c r="D172" s="194" t="s">
        <v>1815</v>
      </c>
      <c r="E172" s="194" t="s">
        <v>1816</v>
      </c>
      <c r="F172" s="194" t="s">
        <v>651</v>
      </c>
      <c r="G172" s="194" t="s">
        <v>1817</v>
      </c>
      <c r="H172" s="202">
        <v>62020946</v>
      </c>
      <c r="I172" s="194" t="s">
        <v>33</v>
      </c>
      <c r="J172" s="196" t="s">
        <v>664</v>
      </c>
      <c r="K172" s="197" t="s">
        <v>1818</v>
      </c>
      <c r="L172" s="198">
        <v>2700000</v>
      </c>
      <c r="M172" s="199">
        <v>8926.2000000000007</v>
      </c>
      <c r="N172" s="199">
        <v>134933</v>
      </c>
      <c r="O172" s="200">
        <v>446.08849799999996</v>
      </c>
      <c r="P172" s="201">
        <v>4.9975185185185185E-2</v>
      </c>
    </row>
    <row r="173" spans="1:16" ht="14.1" customHeight="1">
      <c r="A173" s="202">
        <v>424</v>
      </c>
      <c r="B173" s="202">
        <v>7228</v>
      </c>
      <c r="C173" s="195" t="s">
        <v>1607</v>
      </c>
      <c r="D173" s="194" t="s">
        <v>1819</v>
      </c>
      <c r="E173" s="194" t="s">
        <v>1820</v>
      </c>
      <c r="F173" s="194" t="s">
        <v>366</v>
      </c>
      <c r="G173" s="194" t="s">
        <v>1821</v>
      </c>
      <c r="H173" s="202">
        <v>62021431</v>
      </c>
      <c r="I173" s="194" t="s">
        <v>33</v>
      </c>
      <c r="J173" s="196" t="s">
        <v>664</v>
      </c>
      <c r="K173" s="197" t="s">
        <v>1822</v>
      </c>
      <c r="L173" s="198">
        <v>1120000</v>
      </c>
      <c r="M173" s="199">
        <v>3702.7200000000003</v>
      </c>
      <c r="N173" s="199">
        <v>632800</v>
      </c>
      <c r="O173" s="200">
        <v>2092.0367999999999</v>
      </c>
      <c r="P173" s="201">
        <v>0.56499999999999995</v>
      </c>
    </row>
    <row r="174" spans="1:16" ht="14.1" customHeight="1">
      <c r="A174" s="202">
        <v>424</v>
      </c>
      <c r="B174" s="202">
        <v>7228</v>
      </c>
      <c r="C174" s="195" t="s">
        <v>1607</v>
      </c>
      <c r="D174" s="194" t="s">
        <v>1823</v>
      </c>
      <c r="E174" s="194" t="s">
        <v>1824</v>
      </c>
      <c r="F174" s="194" t="s">
        <v>651</v>
      </c>
      <c r="G174" s="194" t="s">
        <v>1825</v>
      </c>
      <c r="H174" s="202">
        <v>62021662</v>
      </c>
      <c r="I174" s="194" t="s">
        <v>33</v>
      </c>
      <c r="J174" s="196" t="s">
        <v>664</v>
      </c>
      <c r="K174" s="197" t="s">
        <v>1826</v>
      </c>
      <c r="L174" s="198">
        <v>0</v>
      </c>
      <c r="M174" s="199">
        <v>0</v>
      </c>
      <c r="N174" s="199">
        <v>0</v>
      </c>
      <c r="O174" s="200">
        <v>0</v>
      </c>
      <c r="P174" s="201">
        <v>0</v>
      </c>
    </row>
    <row r="175" spans="1:16" ht="14.1" customHeight="1">
      <c r="A175" s="202">
        <v>424</v>
      </c>
      <c r="B175" s="202">
        <v>7228</v>
      </c>
      <c r="C175" s="195" t="s">
        <v>1607</v>
      </c>
      <c r="D175" s="194" t="s">
        <v>1827</v>
      </c>
      <c r="E175" s="194" t="s">
        <v>1828</v>
      </c>
      <c r="F175" s="194" t="s">
        <v>651</v>
      </c>
      <c r="G175" s="194" t="s">
        <v>1829</v>
      </c>
      <c r="H175" s="202">
        <v>62003800</v>
      </c>
      <c r="I175" s="194" t="s">
        <v>33</v>
      </c>
      <c r="J175" s="196" t="s">
        <v>664</v>
      </c>
      <c r="K175" s="197" t="s">
        <v>1831</v>
      </c>
      <c r="L175" s="198">
        <v>3000000</v>
      </c>
      <c r="M175" s="199">
        <v>9918</v>
      </c>
      <c r="N175" s="199">
        <v>480000</v>
      </c>
      <c r="O175" s="200">
        <v>1586.88</v>
      </c>
      <c r="P175" s="201">
        <v>0.16</v>
      </c>
    </row>
    <row r="176" spans="1:16" ht="14.1" customHeight="1">
      <c r="A176" s="202">
        <v>424</v>
      </c>
      <c r="B176" s="202">
        <v>7228</v>
      </c>
      <c r="C176" s="195" t="s">
        <v>1607</v>
      </c>
      <c r="D176" s="194" t="s">
        <v>1827</v>
      </c>
      <c r="E176" s="194" t="s">
        <v>1828</v>
      </c>
      <c r="F176" s="194" t="s">
        <v>651</v>
      </c>
      <c r="G176" s="194" t="s">
        <v>1832</v>
      </c>
      <c r="H176" s="202">
        <v>620101031</v>
      </c>
      <c r="I176" s="194" t="s">
        <v>33</v>
      </c>
      <c r="J176" s="196" t="s">
        <v>664</v>
      </c>
      <c r="K176" s="197" t="s">
        <v>1668</v>
      </c>
      <c r="L176" s="198">
        <v>1500000</v>
      </c>
      <c r="M176" s="199">
        <v>4959</v>
      </c>
      <c r="N176" s="199">
        <v>165000</v>
      </c>
      <c r="O176" s="200">
        <v>545.49</v>
      </c>
      <c r="P176" s="201">
        <v>0.11</v>
      </c>
    </row>
    <row r="177" spans="1:16" ht="14.1" customHeight="1">
      <c r="A177" s="202">
        <v>424</v>
      </c>
      <c r="B177" s="202">
        <v>7228</v>
      </c>
      <c r="C177" s="195" t="s">
        <v>1607</v>
      </c>
      <c r="D177" s="194" t="s">
        <v>1827</v>
      </c>
      <c r="E177" s="194" t="s">
        <v>1828</v>
      </c>
      <c r="F177" s="194" t="s">
        <v>651</v>
      </c>
      <c r="G177" s="194" t="s">
        <v>1833</v>
      </c>
      <c r="H177" s="202">
        <v>62014857</v>
      </c>
      <c r="I177" s="194" t="s">
        <v>33</v>
      </c>
      <c r="J177" s="196" t="s">
        <v>664</v>
      </c>
      <c r="K177" s="197" t="s">
        <v>1834</v>
      </c>
      <c r="L177" s="198">
        <v>1500000</v>
      </c>
      <c r="M177" s="199">
        <v>4959</v>
      </c>
      <c r="N177" s="199">
        <v>300000</v>
      </c>
      <c r="O177" s="200">
        <v>991.80000000000007</v>
      </c>
      <c r="P177" s="201">
        <v>0.2</v>
      </c>
    </row>
    <row r="178" spans="1:16" ht="14.1" customHeight="1">
      <c r="A178" s="202">
        <v>424</v>
      </c>
      <c r="B178" s="202">
        <v>7228</v>
      </c>
      <c r="C178" s="195" t="s">
        <v>1607</v>
      </c>
      <c r="D178" s="194" t="s">
        <v>1827</v>
      </c>
      <c r="E178" s="194" t="s">
        <v>1828</v>
      </c>
      <c r="F178" s="194" t="s">
        <v>651</v>
      </c>
      <c r="G178" s="194" t="s">
        <v>1835</v>
      </c>
      <c r="H178" s="202">
        <v>62019476</v>
      </c>
      <c r="I178" s="194" t="s">
        <v>33</v>
      </c>
      <c r="J178" s="196" t="s">
        <v>664</v>
      </c>
      <c r="K178" s="197" t="s">
        <v>1728</v>
      </c>
      <c r="L178" s="198">
        <v>1750000</v>
      </c>
      <c r="M178" s="199">
        <v>5785.5</v>
      </c>
      <c r="N178" s="199">
        <v>537061</v>
      </c>
      <c r="O178" s="200">
        <v>1775.523666</v>
      </c>
      <c r="P178" s="201">
        <v>0.306892</v>
      </c>
    </row>
    <row r="179" spans="1:16" ht="14.1" customHeight="1">
      <c r="A179" s="202">
        <v>424</v>
      </c>
      <c r="B179" s="202">
        <v>7228</v>
      </c>
      <c r="C179" s="195" t="s">
        <v>1607</v>
      </c>
      <c r="D179" s="194" t="s">
        <v>1836</v>
      </c>
      <c r="E179" s="194" t="s">
        <v>1837</v>
      </c>
      <c r="F179" s="194" t="s">
        <v>33</v>
      </c>
      <c r="G179" s="194" t="s">
        <v>1838</v>
      </c>
      <c r="H179" s="202">
        <v>62022074</v>
      </c>
      <c r="I179" s="194" t="s">
        <v>33</v>
      </c>
      <c r="J179" s="196" t="s">
        <v>664</v>
      </c>
      <c r="K179" s="197" t="s">
        <v>1839</v>
      </c>
      <c r="L179" s="198">
        <v>1700000</v>
      </c>
      <c r="M179" s="199">
        <v>5620.2</v>
      </c>
      <c r="N179" s="199">
        <v>1360000</v>
      </c>
      <c r="O179" s="200">
        <v>4496.16</v>
      </c>
      <c r="P179" s="201">
        <v>0.8</v>
      </c>
    </row>
    <row r="180" spans="1:16" ht="14.1" customHeight="1">
      <c r="A180" s="202">
        <v>424</v>
      </c>
      <c r="B180" s="202">
        <v>7228</v>
      </c>
      <c r="C180" s="195" t="s">
        <v>1607</v>
      </c>
      <c r="D180" s="194" t="s">
        <v>1827</v>
      </c>
      <c r="E180" s="194" t="s">
        <v>1828</v>
      </c>
      <c r="F180" s="194" t="s">
        <v>651</v>
      </c>
      <c r="G180" s="194" t="s">
        <v>1840</v>
      </c>
      <c r="H180" s="202">
        <v>62020458</v>
      </c>
      <c r="I180" s="194" t="s">
        <v>33</v>
      </c>
      <c r="J180" s="196" t="s">
        <v>664</v>
      </c>
      <c r="K180" s="197" t="s">
        <v>1841</v>
      </c>
      <c r="L180" s="198">
        <v>1000000</v>
      </c>
      <c r="M180" s="199">
        <v>3306</v>
      </c>
      <c r="N180" s="199">
        <v>150000</v>
      </c>
      <c r="O180" s="200">
        <v>495.90000000000003</v>
      </c>
      <c r="P180" s="201">
        <v>0.15</v>
      </c>
    </row>
    <row r="181" spans="1:16" ht="14.1" customHeight="1">
      <c r="A181" s="202">
        <v>424</v>
      </c>
      <c r="B181" s="202">
        <v>7228</v>
      </c>
      <c r="C181" s="195" t="s">
        <v>1607</v>
      </c>
      <c r="D181" s="194" t="s">
        <v>1827</v>
      </c>
      <c r="E181" s="194" t="s">
        <v>1828</v>
      </c>
      <c r="F181" s="194" t="s">
        <v>651</v>
      </c>
      <c r="G181" s="194" t="s">
        <v>1842</v>
      </c>
      <c r="H181" s="202">
        <v>62017678</v>
      </c>
      <c r="I181" s="194" t="s">
        <v>33</v>
      </c>
      <c r="J181" s="196" t="s">
        <v>664</v>
      </c>
      <c r="K181" s="197" t="s">
        <v>1843</v>
      </c>
      <c r="L181" s="198">
        <v>3000000</v>
      </c>
      <c r="M181" s="199">
        <v>9918</v>
      </c>
      <c r="N181" s="199">
        <v>90000</v>
      </c>
      <c r="O181" s="200">
        <v>297.54000000000002</v>
      </c>
      <c r="P181" s="201">
        <v>0.03</v>
      </c>
    </row>
    <row r="182" spans="1:16" ht="14.1" customHeight="1">
      <c r="A182" s="202">
        <v>424</v>
      </c>
      <c r="B182" s="202">
        <v>7228</v>
      </c>
      <c r="C182" s="195" t="s">
        <v>1607</v>
      </c>
      <c r="D182" s="194" t="s">
        <v>1827</v>
      </c>
      <c r="E182" s="194" t="s">
        <v>1828</v>
      </c>
      <c r="F182" s="194" t="s">
        <v>651</v>
      </c>
      <c r="G182" s="194" t="s">
        <v>1844</v>
      </c>
      <c r="H182" s="202">
        <v>62019237</v>
      </c>
      <c r="I182" s="194" t="s">
        <v>33</v>
      </c>
      <c r="J182" s="196" t="s">
        <v>664</v>
      </c>
      <c r="K182" s="197" t="s">
        <v>1845</v>
      </c>
      <c r="L182" s="198">
        <v>3000000</v>
      </c>
      <c r="M182" s="199">
        <v>9918</v>
      </c>
      <c r="N182" s="199">
        <v>300000</v>
      </c>
      <c r="O182" s="200">
        <v>991.80000000000007</v>
      </c>
      <c r="P182" s="201">
        <v>0.1</v>
      </c>
    </row>
    <row r="183" spans="1:16" ht="14.1" customHeight="1">
      <c r="A183" s="202">
        <v>424</v>
      </c>
      <c r="B183" s="202">
        <v>7228</v>
      </c>
      <c r="C183" s="195" t="s">
        <v>1607</v>
      </c>
      <c r="D183" s="194" t="s">
        <v>1836</v>
      </c>
      <c r="E183" s="194" t="s">
        <v>1837</v>
      </c>
      <c r="F183" s="194" t="s">
        <v>33</v>
      </c>
      <c r="G183" s="194" t="s">
        <v>1846</v>
      </c>
      <c r="H183" s="202">
        <v>62021845</v>
      </c>
      <c r="I183" s="194" t="s">
        <v>33</v>
      </c>
      <c r="J183" s="196" t="s">
        <v>664</v>
      </c>
      <c r="K183" s="197" t="s">
        <v>1847</v>
      </c>
      <c r="L183" s="198">
        <v>1500000</v>
      </c>
      <c r="M183" s="199">
        <v>4959</v>
      </c>
      <c r="N183" s="199">
        <v>1200000</v>
      </c>
      <c r="O183" s="200">
        <v>3967.2000000000003</v>
      </c>
      <c r="P183" s="201">
        <v>0.8</v>
      </c>
    </row>
    <row r="184" spans="1:16" ht="14.1" customHeight="1">
      <c r="A184" s="202">
        <v>424</v>
      </c>
      <c r="B184" s="202">
        <v>7228</v>
      </c>
      <c r="C184" s="195" t="s">
        <v>1607</v>
      </c>
      <c r="D184" s="194" t="s">
        <v>1652</v>
      </c>
      <c r="E184" s="194" t="s">
        <v>1849</v>
      </c>
      <c r="F184" s="194" t="s">
        <v>651</v>
      </c>
      <c r="G184" s="194" t="s">
        <v>1850</v>
      </c>
      <c r="H184" s="202">
        <v>62022389</v>
      </c>
      <c r="I184" s="194" t="s">
        <v>33</v>
      </c>
      <c r="J184" s="196" t="s">
        <v>664</v>
      </c>
      <c r="K184" s="197" t="s">
        <v>1851</v>
      </c>
      <c r="L184" s="198">
        <v>1700000</v>
      </c>
      <c r="M184" s="199">
        <v>5620.2</v>
      </c>
      <c r="N184" s="199">
        <v>1615000</v>
      </c>
      <c r="O184" s="200">
        <v>5339.1900000000005</v>
      </c>
      <c r="P184" s="201">
        <v>0.95</v>
      </c>
    </row>
    <row r="185" spans="1:16" ht="14.1" customHeight="1">
      <c r="A185" s="202">
        <v>424</v>
      </c>
      <c r="B185" s="202">
        <v>7228</v>
      </c>
      <c r="C185" s="195" t="s">
        <v>1607</v>
      </c>
      <c r="D185" s="194" t="s">
        <v>2033</v>
      </c>
      <c r="E185" s="194" t="s">
        <v>2034</v>
      </c>
      <c r="F185" s="194" t="s">
        <v>492</v>
      </c>
      <c r="G185" s="194" t="s">
        <v>2035</v>
      </c>
      <c r="H185" s="202">
        <v>62001875</v>
      </c>
      <c r="I185" s="194" t="s">
        <v>33</v>
      </c>
      <c r="J185" s="196" t="s">
        <v>664</v>
      </c>
      <c r="K185" s="197" t="s">
        <v>2036</v>
      </c>
      <c r="L185" s="198">
        <v>1000000</v>
      </c>
      <c r="M185" s="199">
        <v>3306</v>
      </c>
      <c r="N185" s="199">
        <v>241075.00000000012</v>
      </c>
      <c r="O185" s="200">
        <v>796.99395000000038</v>
      </c>
      <c r="P185" s="201">
        <v>0.24107500000000012</v>
      </c>
    </row>
    <row r="186" spans="1:16" ht="14.1" customHeight="1">
      <c r="A186" s="202">
        <v>424</v>
      </c>
      <c r="B186" s="202">
        <v>7228</v>
      </c>
      <c r="C186" s="195" t="s">
        <v>1607</v>
      </c>
      <c r="D186" s="194" t="s">
        <v>1852</v>
      </c>
      <c r="E186" s="194" t="s">
        <v>1853</v>
      </c>
      <c r="F186" s="194" t="s">
        <v>651</v>
      </c>
      <c r="G186" s="194" t="s">
        <v>1854</v>
      </c>
      <c r="H186" s="202">
        <v>62020565</v>
      </c>
      <c r="I186" s="194" t="s">
        <v>33</v>
      </c>
      <c r="J186" s="196" t="s">
        <v>576</v>
      </c>
      <c r="K186" s="197" t="s">
        <v>1609</v>
      </c>
      <c r="L186" s="198">
        <v>1320000</v>
      </c>
      <c r="M186" s="199">
        <v>5122.5240000000003</v>
      </c>
      <c r="N186" s="199">
        <v>442701.66000000015</v>
      </c>
      <c r="O186" s="200">
        <v>1717.9923319620007</v>
      </c>
      <c r="P186" s="201">
        <v>0.33538004545454558</v>
      </c>
    </row>
    <row r="187" spans="1:16" ht="14.1" customHeight="1">
      <c r="A187" s="202">
        <v>424</v>
      </c>
      <c r="B187" s="202">
        <v>7228</v>
      </c>
      <c r="C187" s="195" t="s">
        <v>1607</v>
      </c>
      <c r="D187" s="194" t="s">
        <v>1855</v>
      </c>
      <c r="E187" s="194" t="s">
        <v>1856</v>
      </c>
      <c r="F187" s="194" t="s">
        <v>492</v>
      </c>
      <c r="G187" s="194" t="s">
        <v>1857</v>
      </c>
      <c r="H187" s="202">
        <v>62017702</v>
      </c>
      <c r="I187" s="194" t="s">
        <v>33</v>
      </c>
      <c r="J187" s="196" t="s">
        <v>664</v>
      </c>
      <c r="K187" s="197" t="s">
        <v>1859</v>
      </c>
      <c r="L187" s="198">
        <v>2500000</v>
      </c>
      <c r="M187" s="199">
        <v>8265</v>
      </c>
      <c r="N187" s="199">
        <v>93338</v>
      </c>
      <c r="O187" s="200">
        <v>308.57542799999999</v>
      </c>
      <c r="P187" s="201">
        <v>3.7335199999999999E-2</v>
      </c>
    </row>
    <row r="188" spans="1:16" ht="14.1" customHeight="1">
      <c r="A188" s="202">
        <v>424</v>
      </c>
      <c r="B188" s="202">
        <v>7228</v>
      </c>
      <c r="C188" s="195" t="s">
        <v>1607</v>
      </c>
      <c r="D188" s="194" t="s">
        <v>1860</v>
      </c>
      <c r="E188" s="194" t="s">
        <v>1861</v>
      </c>
      <c r="F188" s="194" t="s">
        <v>492</v>
      </c>
      <c r="G188" s="194" t="s">
        <v>2037</v>
      </c>
      <c r="H188" s="202">
        <v>62006754</v>
      </c>
      <c r="I188" s="194" t="s">
        <v>33</v>
      </c>
      <c r="J188" s="196" t="s">
        <v>664</v>
      </c>
      <c r="K188" s="197" t="s">
        <v>2038</v>
      </c>
      <c r="L188" s="198">
        <v>750000</v>
      </c>
      <c r="M188" s="199">
        <v>2479.5</v>
      </c>
      <c r="N188" s="199">
        <v>60702.929999999818</v>
      </c>
      <c r="O188" s="200">
        <v>200.68388657999941</v>
      </c>
      <c r="P188" s="201">
        <v>8.0937239999999758E-2</v>
      </c>
    </row>
    <row r="189" spans="1:16" ht="14.1" customHeight="1">
      <c r="A189" s="202">
        <v>424</v>
      </c>
      <c r="B189" s="202">
        <v>7228</v>
      </c>
      <c r="C189" s="195" t="s">
        <v>1607</v>
      </c>
      <c r="D189" s="194" t="s">
        <v>1860</v>
      </c>
      <c r="E189" s="194" t="s">
        <v>1861</v>
      </c>
      <c r="F189" s="194" t="s">
        <v>492</v>
      </c>
      <c r="G189" s="194" t="s">
        <v>1862</v>
      </c>
      <c r="H189" s="202">
        <v>62022231</v>
      </c>
      <c r="I189" s="194" t="s">
        <v>33</v>
      </c>
      <c r="J189" s="196" t="s">
        <v>664</v>
      </c>
      <c r="K189" s="197" t="s">
        <v>1863</v>
      </c>
      <c r="L189" s="198">
        <v>1700000</v>
      </c>
      <c r="M189" s="199">
        <v>5620.2</v>
      </c>
      <c r="N189" s="199">
        <v>1347562.19</v>
      </c>
      <c r="O189" s="200">
        <v>4455.0406001399997</v>
      </c>
      <c r="P189" s="201">
        <v>0.79268364117647061</v>
      </c>
    </row>
    <row r="190" spans="1:16" ht="14.1" customHeight="1">
      <c r="A190" s="202">
        <v>424</v>
      </c>
      <c r="B190" s="202">
        <v>7228</v>
      </c>
      <c r="C190" s="195" t="s">
        <v>1607</v>
      </c>
      <c r="D190" s="194" t="s">
        <v>1864</v>
      </c>
      <c r="E190" s="194" t="s">
        <v>1865</v>
      </c>
      <c r="F190" s="194" t="s">
        <v>651</v>
      </c>
      <c r="G190" s="194" t="s">
        <v>1866</v>
      </c>
      <c r="H190" s="202">
        <v>77847846</v>
      </c>
      <c r="I190" s="194" t="s">
        <v>33</v>
      </c>
      <c r="J190" s="196" t="s">
        <v>664</v>
      </c>
      <c r="K190" s="197" t="s">
        <v>1867</v>
      </c>
      <c r="L190" s="198">
        <v>0</v>
      </c>
      <c r="M190" s="199">
        <v>0</v>
      </c>
      <c r="N190" s="199">
        <v>0</v>
      </c>
      <c r="O190" s="200">
        <v>0</v>
      </c>
      <c r="P190" s="201">
        <v>0</v>
      </c>
    </row>
    <row r="191" spans="1:16" ht="14.1" customHeight="1">
      <c r="A191" s="202">
        <v>424</v>
      </c>
      <c r="B191" s="202">
        <v>7228</v>
      </c>
      <c r="C191" s="195" t="s">
        <v>1607</v>
      </c>
      <c r="D191" s="194" t="s">
        <v>1868</v>
      </c>
      <c r="E191" s="194" t="s">
        <v>1869</v>
      </c>
      <c r="F191" s="194" t="s">
        <v>492</v>
      </c>
      <c r="G191" s="194" t="s">
        <v>1870</v>
      </c>
      <c r="H191" s="202">
        <v>62019013</v>
      </c>
      <c r="I191" s="194" t="s">
        <v>33</v>
      </c>
      <c r="J191" s="196" t="s">
        <v>664</v>
      </c>
      <c r="K191" s="197" t="s">
        <v>1871</v>
      </c>
      <c r="L191" s="198">
        <v>2700000</v>
      </c>
      <c r="M191" s="199">
        <v>8926.2000000000007</v>
      </c>
      <c r="N191" s="199">
        <v>152717.5700000003</v>
      </c>
      <c r="O191" s="200">
        <v>504.88428642000105</v>
      </c>
      <c r="P191" s="201">
        <v>5.6562062962963074E-2</v>
      </c>
    </row>
    <row r="192" spans="1:16" ht="14.1" customHeight="1">
      <c r="A192" s="202">
        <v>424</v>
      </c>
      <c r="B192" s="202">
        <v>7228</v>
      </c>
      <c r="C192" s="195" t="s">
        <v>1607</v>
      </c>
      <c r="D192" s="194" t="s">
        <v>1872</v>
      </c>
      <c r="E192" s="194" t="s">
        <v>1873</v>
      </c>
      <c r="F192" s="194" t="s">
        <v>492</v>
      </c>
      <c r="G192" s="194" t="s">
        <v>1874</v>
      </c>
      <c r="H192" s="202">
        <v>62006705</v>
      </c>
      <c r="I192" s="194" t="s">
        <v>33</v>
      </c>
      <c r="J192" s="196" t="s">
        <v>664</v>
      </c>
      <c r="K192" s="197" t="s">
        <v>1875</v>
      </c>
      <c r="L192" s="198">
        <v>1000000</v>
      </c>
      <c r="M192" s="199">
        <v>3306</v>
      </c>
      <c r="N192" s="199">
        <v>26665.850000000093</v>
      </c>
      <c r="O192" s="200">
        <v>88.157300100000313</v>
      </c>
      <c r="P192" s="201">
        <v>2.6665850000000092E-2</v>
      </c>
    </row>
    <row r="193" spans="1:16" ht="14.1" customHeight="1">
      <c r="A193" s="202">
        <v>424</v>
      </c>
      <c r="B193" s="202">
        <v>7228</v>
      </c>
      <c r="C193" s="195" t="s">
        <v>1607</v>
      </c>
      <c r="D193" s="194" t="s">
        <v>1876</v>
      </c>
      <c r="E193" s="194" t="s">
        <v>1877</v>
      </c>
      <c r="F193" s="194" t="s">
        <v>492</v>
      </c>
      <c r="G193" s="194" t="s">
        <v>1878</v>
      </c>
      <c r="H193" s="202">
        <v>62017652</v>
      </c>
      <c r="I193" s="194" t="s">
        <v>33</v>
      </c>
      <c r="J193" s="196" t="s">
        <v>664</v>
      </c>
      <c r="K193" s="197" t="s">
        <v>1880</v>
      </c>
      <c r="L193" s="198">
        <v>2200000</v>
      </c>
      <c r="M193" s="199">
        <v>7273.2</v>
      </c>
      <c r="N193" s="199">
        <v>677862.35999999987</v>
      </c>
      <c r="O193" s="200">
        <v>2241.0129621599995</v>
      </c>
      <c r="P193" s="201">
        <v>0.30811925454545447</v>
      </c>
    </row>
    <row r="194" spans="1:16" ht="14.1" customHeight="1">
      <c r="A194" s="202">
        <v>424</v>
      </c>
      <c r="B194" s="202">
        <v>7228</v>
      </c>
      <c r="C194" s="195" t="s">
        <v>1607</v>
      </c>
      <c r="D194" s="194" t="s">
        <v>1881</v>
      </c>
      <c r="E194" s="194" t="s">
        <v>1882</v>
      </c>
      <c r="F194" s="194" t="s">
        <v>492</v>
      </c>
      <c r="G194" s="194" t="s">
        <v>1883</v>
      </c>
      <c r="H194" s="202">
        <v>62021142</v>
      </c>
      <c r="I194" s="194" t="s">
        <v>33</v>
      </c>
      <c r="J194" s="196" t="s">
        <v>664</v>
      </c>
      <c r="K194" s="197" t="s">
        <v>1884</v>
      </c>
      <c r="L194" s="198">
        <v>2800000</v>
      </c>
      <c r="M194" s="199">
        <v>9256.7999999999993</v>
      </c>
      <c r="N194" s="199">
        <v>448000</v>
      </c>
      <c r="O194" s="200">
        <v>1481.088</v>
      </c>
      <c r="P194" s="201">
        <v>0.16</v>
      </c>
    </row>
    <row r="195" spans="1:16" ht="14.1" customHeight="1">
      <c r="A195" s="202">
        <v>424</v>
      </c>
      <c r="B195" s="202">
        <v>7228</v>
      </c>
      <c r="C195" s="195" t="s">
        <v>1607</v>
      </c>
      <c r="D195" s="194" t="s">
        <v>1885</v>
      </c>
      <c r="E195" s="194" t="s">
        <v>1886</v>
      </c>
      <c r="F195" s="194" t="s">
        <v>492</v>
      </c>
      <c r="G195" s="194" t="s">
        <v>1887</v>
      </c>
      <c r="H195" s="202">
        <v>62020953</v>
      </c>
      <c r="I195" s="194" t="s">
        <v>33</v>
      </c>
      <c r="J195" s="196" t="s">
        <v>664</v>
      </c>
      <c r="K195" s="197" t="s">
        <v>1888</v>
      </c>
      <c r="L195" s="198">
        <v>1800000</v>
      </c>
      <c r="M195" s="199">
        <v>5950.8</v>
      </c>
      <c r="N195" s="199">
        <v>675000</v>
      </c>
      <c r="O195" s="200">
        <v>2231.5500000000002</v>
      </c>
      <c r="P195" s="201">
        <v>0.375</v>
      </c>
    </row>
    <row r="196" spans="1:16" ht="14.1" customHeight="1">
      <c r="A196" s="202">
        <v>424</v>
      </c>
      <c r="B196" s="202">
        <v>7228</v>
      </c>
      <c r="C196" s="195" t="s">
        <v>1607</v>
      </c>
      <c r="D196" s="194" t="s">
        <v>1889</v>
      </c>
      <c r="E196" s="194" t="s">
        <v>1890</v>
      </c>
      <c r="F196" s="194" t="s">
        <v>33</v>
      </c>
      <c r="G196" s="194" t="s">
        <v>1891</v>
      </c>
      <c r="H196" s="202">
        <v>62021951</v>
      </c>
      <c r="I196" s="194" t="s">
        <v>33</v>
      </c>
      <c r="J196" s="196" t="s">
        <v>664</v>
      </c>
      <c r="K196" s="197" t="s">
        <v>1892</v>
      </c>
      <c r="L196" s="198">
        <v>1700000</v>
      </c>
      <c r="M196" s="199">
        <v>5620.2</v>
      </c>
      <c r="N196" s="199">
        <v>1200388</v>
      </c>
      <c r="O196" s="200">
        <v>3968.482728</v>
      </c>
      <c r="P196" s="201">
        <v>0.70611058823529416</v>
      </c>
    </row>
    <row r="197" spans="1:16" ht="14.1" customHeight="1">
      <c r="A197" s="202">
        <v>424</v>
      </c>
      <c r="B197" s="202">
        <v>7228</v>
      </c>
      <c r="C197" s="195" t="s">
        <v>1607</v>
      </c>
      <c r="D197" s="194" t="s">
        <v>1893</v>
      </c>
      <c r="E197" s="194" t="s">
        <v>1894</v>
      </c>
      <c r="F197" s="194" t="s">
        <v>492</v>
      </c>
      <c r="G197" s="194" t="s">
        <v>1895</v>
      </c>
      <c r="H197" s="202">
        <v>62020425</v>
      </c>
      <c r="I197" s="194" t="s">
        <v>33</v>
      </c>
      <c r="J197" s="196" t="s">
        <v>664</v>
      </c>
      <c r="K197" s="197" t="s">
        <v>1896</v>
      </c>
      <c r="L197" s="198">
        <v>3000000</v>
      </c>
      <c r="M197" s="199">
        <v>9918</v>
      </c>
      <c r="N197" s="199">
        <v>499837</v>
      </c>
      <c r="O197" s="200">
        <v>1652.4611219999999</v>
      </c>
      <c r="P197" s="201">
        <v>0.16661233333333333</v>
      </c>
    </row>
    <row r="198" spans="1:16" ht="14.1" customHeight="1">
      <c r="A198" s="202">
        <v>424</v>
      </c>
      <c r="B198" s="202">
        <v>7228</v>
      </c>
      <c r="C198" s="195" t="s">
        <v>1607</v>
      </c>
      <c r="D198" s="194" t="s">
        <v>1897</v>
      </c>
      <c r="E198" s="194" t="s">
        <v>1898</v>
      </c>
      <c r="F198" s="194" t="s">
        <v>492</v>
      </c>
      <c r="G198" s="194" t="s">
        <v>1899</v>
      </c>
      <c r="H198" s="202">
        <v>62021332</v>
      </c>
      <c r="I198" s="194" t="s">
        <v>33</v>
      </c>
      <c r="J198" s="196" t="s">
        <v>664</v>
      </c>
      <c r="K198" s="197" t="s">
        <v>1900</v>
      </c>
      <c r="L198" s="198">
        <v>0</v>
      </c>
      <c r="M198" s="199">
        <v>0</v>
      </c>
      <c r="N198" s="199">
        <v>0</v>
      </c>
      <c r="O198" s="200">
        <v>0</v>
      </c>
      <c r="P198" s="201">
        <v>0</v>
      </c>
    </row>
    <row r="199" spans="1:16" ht="14.1" customHeight="1">
      <c r="A199" s="202">
        <v>424</v>
      </c>
      <c r="B199" s="202">
        <v>7228</v>
      </c>
      <c r="C199" s="195" t="s">
        <v>1607</v>
      </c>
      <c r="D199" s="194" t="s">
        <v>1901</v>
      </c>
      <c r="E199" s="194" t="s">
        <v>1902</v>
      </c>
      <c r="F199" s="194" t="s">
        <v>492</v>
      </c>
      <c r="G199" s="194" t="s">
        <v>1903</v>
      </c>
      <c r="H199" s="202">
        <v>62021324</v>
      </c>
      <c r="I199" s="194" t="s">
        <v>33</v>
      </c>
      <c r="J199" s="196" t="s">
        <v>664</v>
      </c>
      <c r="K199" s="197" t="s">
        <v>1900</v>
      </c>
      <c r="L199" s="198">
        <v>0</v>
      </c>
      <c r="M199" s="199">
        <v>0</v>
      </c>
      <c r="N199" s="199">
        <v>0</v>
      </c>
      <c r="O199" s="200">
        <v>0</v>
      </c>
      <c r="P199" s="201">
        <v>0</v>
      </c>
    </row>
    <row r="200" spans="1:16" ht="14.1" customHeight="1">
      <c r="A200" s="202">
        <v>424</v>
      </c>
      <c r="B200" s="202">
        <v>7228</v>
      </c>
      <c r="C200" s="195" t="s">
        <v>1607</v>
      </c>
      <c r="D200" s="194" t="s">
        <v>3290</v>
      </c>
      <c r="E200" s="194" t="s">
        <v>1905</v>
      </c>
      <c r="F200" s="194" t="s">
        <v>651</v>
      </c>
      <c r="G200" s="194" t="s">
        <v>1906</v>
      </c>
      <c r="H200" s="202">
        <v>62021894</v>
      </c>
      <c r="I200" s="194" t="s">
        <v>33</v>
      </c>
      <c r="J200" s="196" t="s">
        <v>664</v>
      </c>
      <c r="K200" s="197" t="s">
        <v>1907</v>
      </c>
      <c r="L200" s="198">
        <v>1500000</v>
      </c>
      <c r="M200" s="199">
        <v>4959</v>
      </c>
      <c r="N200" s="199">
        <v>1348346.96</v>
      </c>
      <c r="O200" s="200">
        <v>4457.6350497599997</v>
      </c>
      <c r="P200" s="201">
        <v>0.89889797333333332</v>
      </c>
    </row>
    <row r="201" spans="1:16" ht="14.1" customHeight="1">
      <c r="A201" s="202">
        <v>424</v>
      </c>
      <c r="B201" s="202">
        <v>7228</v>
      </c>
      <c r="C201" s="195" t="s">
        <v>1607</v>
      </c>
      <c r="D201" s="194" t="s">
        <v>1908</v>
      </c>
      <c r="E201" s="194" t="s">
        <v>1909</v>
      </c>
      <c r="F201" s="194" t="s">
        <v>651</v>
      </c>
      <c r="G201" s="194" t="s">
        <v>1910</v>
      </c>
      <c r="H201" s="202">
        <v>62021571</v>
      </c>
      <c r="I201" s="194" t="s">
        <v>33</v>
      </c>
      <c r="J201" s="196" t="s">
        <v>576</v>
      </c>
      <c r="K201" s="197" t="s">
        <v>1911</v>
      </c>
      <c r="L201" s="198">
        <v>1600000</v>
      </c>
      <c r="M201" s="199">
        <v>6209.12</v>
      </c>
      <c r="N201" s="199">
        <v>477615.32000000007</v>
      </c>
      <c r="O201" s="200">
        <v>1853.4817723240003</v>
      </c>
      <c r="P201" s="201">
        <v>0.29850957500000003</v>
      </c>
    </row>
    <row r="202" spans="1:16" ht="14.1" customHeight="1">
      <c r="A202" s="202">
        <v>424</v>
      </c>
      <c r="B202" s="202">
        <v>7228</v>
      </c>
      <c r="C202" s="195" t="s">
        <v>1607</v>
      </c>
      <c r="D202" s="194" t="s">
        <v>1912</v>
      </c>
      <c r="E202" s="194" t="s">
        <v>1913</v>
      </c>
      <c r="F202" s="194" t="s">
        <v>492</v>
      </c>
      <c r="G202" s="194" t="s">
        <v>1914</v>
      </c>
      <c r="H202" s="202">
        <v>62019849</v>
      </c>
      <c r="I202" s="194" t="s">
        <v>33</v>
      </c>
      <c r="J202" s="196" t="s">
        <v>664</v>
      </c>
      <c r="K202" s="197" t="s">
        <v>1915</v>
      </c>
      <c r="L202" s="198">
        <v>2800000</v>
      </c>
      <c r="M202" s="199">
        <v>9256.7999999999993</v>
      </c>
      <c r="N202" s="199">
        <v>584447.3200000003</v>
      </c>
      <c r="O202" s="200">
        <v>1932.182839920001</v>
      </c>
      <c r="P202" s="201">
        <v>0.20873118571428581</v>
      </c>
    </row>
    <row r="203" spans="1:16" ht="14.1" customHeight="1">
      <c r="A203" s="202">
        <v>424</v>
      </c>
      <c r="B203" s="202">
        <v>7228</v>
      </c>
      <c r="C203" s="195" t="s">
        <v>1607</v>
      </c>
      <c r="D203" s="194" t="s">
        <v>1916</v>
      </c>
      <c r="E203" s="194" t="s">
        <v>1917</v>
      </c>
      <c r="F203" s="194" t="s">
        <v>492</v>
      </c>
      <c r="G203" s="194" t="s">
        <v>1918</v>
      </c>
      <c r="H203" s="202">
        <v>62021944</v>
      </c>
      <c r="I203" s="194" t="s">
        <v>33</v>
      </c>
      <c r="J203" s="196" t="s">
        <v>664</v>
      </c>
      <c r="K203" s="197" t="s">
        <v>1919</v>
      </c>
      <c r="L203" s="198">
        <v>1500000</v>
      </c>
      <c r="M203" s="199">
        <v>4959</v>
      </c>
      <c r="N203" s="199">
        <v>1139927.0899999999</v>
      </c>
      <c r="O203" s="200">
        <v>3768.5989595399997</v>
      </c>
      <c r="P203" s="201">
        <v>0.75995139333333328</v>
      </c>
    </row>
    <row r="204" spans="1:16" ht="14.1" customHeight="1">
      <c r="A204" s="202">
        <v>424</v>
      </c>
      <c r="B204" s="202">
        <v>7228</v>
      </c>
      <c r="C204" s="195" t="s">
        <v>1607</v>
      </c>
      <c r="D204" s="194" t="s">
        <v>1920</v>
      </c>
      <c r="E204" s="194" t="s">
        <v>1921</v>
      </c>
      <c r="F204" s="194" t="s">
        <v>492</v>
      </c>
      <c r="G204" s="194" t="s">
        <v>1922</v>
      </c>
      <c r="H204" s="202">
        <v>62009204</v>
      </c>
      <c r="I204" s="194" t="s">
        <v>33</v>
      </c>
      <c r="J204" s="196" t="s">
        <v>664</v>
      </c>
      <c r="K204" s="197" t="s">
        <v>1923</v>
      </c>
      <c r="L204" s="198">
        <v>1500000</v>
      </c>
      <c r="M204" s="199">
        <v>4959</v>
      </c>
      <c r="N204" s="199">
        <v>130128</v>
      </c>
      <c r="O204" s="200">
        <v>430.20316799999995</v>
      </c>
      <c r="P204" s="201">
        <v>8.6751999999999996E-2</v>
      </c>
    </row>
    <row r="205" spans="1:16" ht="14.1" customHeight="1">
      <c r="A205" s="202">
        <v>424</v>
      </c>
      <c r="B205" s="202">
        <v>7228</v>
      </c>
      <c r="C205" s="195" t="s">
        <v>1607</v>
      </c>
      <c r="D205" s="194" t="s">
        <v>1924</v>
      </c>
      <c r="E205" s="194" t="s">
        <v>1925</v>
      </c>
      <c r="F205" s="194" t="s">
        <v>492</v>
      </c>
      <c r="G205" s="194" t="s">
        <v>1926</v>
      </c>
      <c r="H205" s="202">
        <v>62019807</v>
      </c>
      <c r="I205" s="194" t="s">
        <v>33</v>
      </c>
      <c r="J205" s="196" t="s">
        <v>664</v>
      </c>
      <c r="K205" s="197" t="s">
        <v>1765</v>
      </c>
      <c r="L205" s="198">
        <v>2700000</v>
      </c>
      <c r="M205" s="199">
        <v>8926.2000000000007</v>
      </c>
      <c r="N205" s="199">
        <v>418021</v>
      </c>
      <c r="O205" s="200">
        <v>1381.9774260000002</v>
      </c>
      <c r="P205" s="201">
        <v>0.15482259259259259</v>
      </c>
    </row>
    <row r="206" spans="1:16" ht="14.1" customHeight="1">
      <c r="A206" s="202">
        <v>424</v>
      </c>
      <c r="B206" s="202">
        <v>7228</v>
      </c>
      <c r="C206" s="195" t="s">
        <v>1607</v>
      </c>
      <c r="D206" s="194" t="s">
        <v>1927</v>
      </c>
      <c r="E206" s="194" t="s">
        <v>1928</v>
      </c>
      <c r="F206" s="194" t="s">
        <v>33</v>
      </c>
      <c r="G206" s="194" t="s">
        <v>1929</v>
      </c>
      <c r="H206" s="202">
        <v>62022355</v>
      </c>
      <c r="I206" s="194" t="s">
        <v>33</v>
      </c>
      <c r="J206" s="196" t="s">
        <v>664</v>
      </c>
      <c r="K206" s="197" t="s">
        <v>1783</v>
      </c>
      <c r="L206" s="198">
        <v>1700000</v>
      </c>
      <c r="M206" s="199">
        <v>5620.2</v>
      </c>
      <c r="N206" s="199">
        <v>1575243.45</v>
      </c>
      <c r="O206" s="200">
        <v>5207.7548457000003</v>
      </c>
      <c r="P206" s="201">
        <v>0.92661379411764699</v>
      </c>
    </row>
    <row r="207" spans="1:16" ht="14.1" customHeight="1">
      <c r="A207" s="202">
        <v>424</v>
      </c>
      <c r="B207" s="202">
        <v>7228</v>
      </c>
      <c r="C207" s="195" t="s">
        <v>1607</v>
      </c>
      <c r="D207" s="194" t="s">
        <v>1930</v>
      </c>
      <c r="E207" s="194" t="s">
        <v>1921</v>
      </c>
      <c r="F207" s="194" t="s">
        <v>492</v>
      </c>
      <c r="G207" s="194" t="s">
        <v>1931</v>
      </c>
      <c r="H207" s="202">
        <v>62020615</v>
      </c>
      <c r="I207" s="194" t="s">
        <v>33</v>
      </c>
      <c r="J207" s="196" t="s">
        <v>664</v>
      </c>
      <c r="K207" s="197" t="s">
        <v>1932</v>
      </c>
      <c r="L207" s="198">
        <v>2600000</v>
      </c>
      <c r="M207" s="199">
        <v>8595.6</v>
      </c>
      <c r="N207" s="199">
        <v>791733</v>
      </c>
      <c r="O207" s="200">
        <v>2617.469298</v>
      </c>
      <c r="P207" s="201">
        <v>0.30451269230769229</v>
      </c>
    </row>
    <row r="208" spans="1:16" ht="14.1" customHeight="1">
      <c r="A208" s="202">
        <v>424</v>
      </c>
      <c r="B208" s="202">
        <v>7228</v>
      </c>
      <c r="C208" s="195" t="s">
        <v>1607</v>
      </c>
      <c r="D208" s="194" t="s">
        <v>1933</v>
      </c>
      <c r="E208" s="194" t="s">
        <v>1934</v>
      </c>
      <c r="F208" s="194" t="s">
        <v>492</v>
      </c>
      <c r="G208" s="194" t="s">
        <v>1935</v>
      </c>
      <c r="H208" s="202">
        <v>62020813</v>
      </c>
      <c r="I208" s="194" t="s">
        <v>33</v>
      </c>
      <c r="J208" s="196" t="s">
        <v>664</v>
      </c>
      <c r="K208" s="197" t="s">
        <v>1936</v>
      </c>
      <c r="L208" s="198">
        <v>2200000</v>
      </c>
      <c r="M208" s="199">
        <v>7273.2</v>
      </c>
      <c r="N208" s="199">
        <v>1039267</v>
      </c>
      <c r="O208" s="200">
        <v>3435.8167020000001</v>
      </c>
      <c r="P208" s="201">
        <v>0.4723940909090909</v>
      </c>
    </row>
    <row r="209" spans="1:16" ht="14.1" customHeight="1">
      <c r="A209" s="202">
        <v>424</v>
      </c>
      <c r="B209" s="202">
        <v>7228</v>
      </c>
      <c r="C209" s="195" t="s">
        <v>1607</v>
      </c>
      <c r="D209" s="194" t="s">
        <v>1937</v>
      </c>
      <c r="E209" s="194" t="s">
        <v>1938</v>
      </c>
      <c r="F209" s="194" t="s">
        <v>492</v>
      </c>
      <c r="G209" s="194" t="s">
        <v>1939</v>
      </c>
      <c r="H209" s="202">
        <v>62010137</v>
      </c>
      <c r="I209" s="194" t="s">
        <v>33</v>
      </c>
      <c r="J209" s="196" t="s">
        <v>664</v>
      </c>
      <c r="K209" s="197" t="s">
        <v>1940</v>
      </c>
      <c r="L209" s="198">
        <v>1500000</v>
      </c>
      <c r="M209" s="199">
        <v>4959</v>
      </c>
      <c r="N209" s="199">
        <v>388893</v>
      </c>
      <c r="O209" s="200">
        <v>1285.6802579999999</v>
      </c>
      <c r="P209" s="201">
        <v>0.25926199999999999</v>
      </c>
    </row>
    <row r="210" spans="1:16" ht="14.1" customHeight="1">
      <c r="A210" s="202">
        <v>424</v>
      </c>
      <c r="B210" s="202">
        <v>7228</v>
      </c>
      <c r="C210" s="195" t="s">
        <v>1607</v>
      </c>
      <c r="D210" s="194" t="s">
        <v>1941</v>
      </c>
      <c r="E210" s="194" t="s">
        <v>1942</v>
      </c>
      <c r="F210" s="194" t="s">
        <v>33</v>
      </c>
      <c r="G210" s="194" t="s">
        <v>1943</v>
      </c>
      <c r="H210" s="202">
        <v>62006366</v>
      </c>
      <c r="I210" s="194" t="s">
        <v>33</v>
      </c>
      <c r="J210" s="196" t="s">
        <v>664</v>
      </c>
      <c r="K210" s="197" t="s">
        <v>1945</v>
      </c>
      <c r="L210" s="198">
        <v>400000</v>
      </c>
      <c r="M210" s="199">
        <v>1322.4</v>
      </c>
      <c r="N210" s="199">
        <v>28000</v>
      </c>
      <c r="O210" s="200">
        <v>92.567999999999998</v>
      </c>
      <c r="P210" s="201">
        <v>7.0000000000000007E-2</v>
      </c>
    </row>
    <row r="211" spans="1:16" ht="14.1" customHeight="1">
      <c r="A211" s="202">
        <v>424</v>
      </c>
      <c r="B211" s="202">
        <v>7228</v>
      </c>
      <c r="C211" s="195" t="s">
        <v>1607</v>
      </c>
      <c r="D211" s="194" t="s">
        <v>1946</v>
      </c>
      <c r="E211" s="194" t="s">
        <v>1947</v>
      </c>
      <c r="F211" s="194" t="s">
        <v>492</v>
      </c>
      <c r="G211" s="194" t="s">
        <v>1948</v>
      </c>
      <c r="H211" s="202">
        <v>62018387</v>
      </c>
      <c r="I211" s="194" t="s">
        <v>33</v>
      </c>
      <c r="J211" s="196" t="s">
        <v>664</v>
      </c>
      <c r="K211" s="197" t="s">
        <v>1949</v>
      </c>
      <c r="L211" s="198">
        <v>1500000</v>
      </c>
      <c r="M211" s="199">
        <v>4959</v>
      </c>
      <c r="N211" s="199">
        <v>160014.57000000007</v>
      </c>
      <c r="O211" s="200">
        <v>529.00816842000029</v>
      </c>
      <c r="P211" s="201">
        <v>0.10667638000000004</v>
      </c>
    </row>
    <row r="212" spans="1:16" ht="14.1" customHeight="1">
      <c r="A212" s="202">
        <v>424</v>
      </c>
      <c r="B212" s="202">
        <v>7228</v>
      </c>
      <c r="C212" s="195" t="s">
        <v>1607</v>
      </c>
      <c r="D212" s="194" t="s">
        <v>1950</v>
      </c>
      <c r="E212" s="194" t="s">
        <v>1951</v>
      </c>
      <c r="F212" s="194" t="s">
        <v>651</v>
      </c>
      <c r="G212" s="194" t="s">
        <v>1952</v>
      </c>
      <c r="H212" s="202">
        <v>62018551</v>
      </c>
      <c r="I212" s="194" t="s">
        <v>33</v>
      </c>
      <c r="J212" s="196" t="s">
        <v>664</v>
      </c>
      <c r="K212" s="197" t="s">
        <v>1954</v>
      </c>
      <c r="L212" s="198">
        <v>2080000</v>
      </c>
      <c r="M212" s="199">
        <v>6876.4800000000005</v>
      </c>
      <c r="N212" s="199">
        <v>395200</v>
      </c>
      <c r="O212" s="200">
        <v>1306.5311999999999</v>
      </c>
      <c r="P212" s="201">
        <v>0.19</v>
      </c>
    </row>
    <row r="213" spans="1:16" ht="14.1" customHeight="1">
      <c r="A213" s="202">
        <v>424</v>
      </c>
      <c r="B213" s="202">
        <v>7228</v>
      </c>
      <c r="C213" s="195" t="s">
        <v>1607</v>
      </c>
      <c r="D213" s="194" t="s">
        <v>1955</v>
      </c>
      <c r="E213" s="194" t="s">
        <v>1956</v>
      </c>
      <c r="F213" s="194" t="s">
        <v>651</v>
      </c>
      <c r="G213" s="194" t="s">
        <v>1957</v>
      </c>
      <c r="H213" s="202">
        <v>62022306</v>
      </c>
      <c r="I213" s="194" t="s">
        <v>33</v>
      </c>
      <c r="J213" s="196" t="s">
        <v>664</v>
      </c>
      <c r="K213" s="197" t="s">
        <v>1958</v>
      </c>
      <c r="L213" s="198">
        <v>1700000</v>
      </c>
      <c r="M213" s="199">
        <v>5620.2</v>
      </c>
      <c r="N213" s="199">
        <v>1332604.96</v>
      </c>
      <c r="O213" s="200">
        <v>4405.5919977599997</v>
      </c>
      <c r="P213" s="201">
        <v>0.78388527058823532</v>
      </c>
    </row>
    <row r="214" spans="1:16" ht="14.1" customHeight="1">
      <c r="A214" s="202">
        <v>424</v>
      </c>
      <c r="B214" s="202">
        <v>7228</v>
      </c>
      <c r="C214" s="195" t="s">
        <v>1607</v>
      </c>
      <c r="D214" s="194" t="s">
        <v>1959</v>
      </c>
      <c r="E214" s="194" t="s">
        <v>1960</v>
      </c>
      <c r="F214" s="194" t="s">
        <v>651</v>
      </c>
      <c r="G214" s="194" t="s">
        <v>1961</v>
      </c>
      <c r="H214" s="202">
        <v>62020169</v>
      </c>
      <c r="I214" s="194" t="s">
        <v>33</v>
      </c>
      <c r="J214" s="196" t="s">
        <v>664</v>
      </c>
      <c r="K214" s="197" t="s">
        <v>1962</v>
      </c>
      <c r="L214" s="198">
        <v>2500000</v>
      </c>
      <c r="M214" s="199">
        <v>8265</v>
      </c>
      <c r="N214" s="199">
        <v>400000</v>
      </c>
      <c r="O214" s="200">
        <v>1322.4</v>
      </c>
      <c r="P214" s="201">
        <v>0.16</v>
      </c>
    </row>
    <row r="215" spans="1:16" ht="14.1" customHeight="1">
      <c r="A215" s="202">
        <v>424</v>
      </c>
      <c r="B215" s="202">
        <v>7228</v>
      </c>
      <c r="C215" s="195" t="s">
        <v>1607</v>
      </c>
      <c r="D215" s="194" t="s">
        <v>1963</v>
      </c>
      <c r="E215" s="194" t="s">
        <v>1964</v>
      </c>
      <c r="F215" s="194" t="s">
        <v>134</v>
      </c>
      <c r="G215" s="194" t="s">
        <v>1965</v>
      </c>
      <c r="H215" s="202">
        <v>62022439</v>
      </c>
      <c r="I215" s="194" t="s">
        <v>33</v>
      </c>
      <c r="J215" s="196" t="s">
        <v>576</v>
      </c>
      <c r="K215" s="197" t="s">
        <v>1966</v>
      </c>
      <c r="L215" s="198">
        <v>1400000</v>
      </c>
      <c r="M215" s="199">
        <v>5432.9800000000005</v>
      </c>
      <c r="N215" s="199">
        <v>660800</v>
      </c>
      <c r="O215" s="200">
        <v>2564.3665599999999</v>
      </c>
      <c r="P215" s="201">
        <v>0.47199999999999998</v>
      </c>
    </row>
    <row r="216" spans="1:16" ht="14.1" customHeight="1">
      <c r="A216" s="202">
        <v>424</v>
      </c>
      <c r="B216" s="202">
        <v>7228</v>
      </c>
      <c r="C216" s="195" t="s">
        <v>1607</v>
      </c>
      <c r="D216" s="194" t="s">
        <v>1967</v>
      </c>
      <c r="E216" s="194" t="s">
        <v>1968</v>
      </c>
      <c r="F216" s="194" t="s">
        <v>651</v>
      </c>
      <c r="G216" s="194" t="s">
        <v>1969</v>
      </c>
      <c r="H216" s="202">
        <v>62022033</v>
      </c>
      <c r="I216" s="194" t="s">
        <v>33</v>
      </c>
      <c r="J216" s="196" t="s">
        <v>664</v>
      </c>
      <c r="K216" s="197" t="s">
        <v>1970</v>
      </c>
      <c r="L216" s="198">
        <v>1700000</v>
      </c>
      <c r="M216" s="199">
        <v>5620.2</v>
      </c>
      <c r="N216" s="199">
        <v>1266776.6299999999</v>
      </c>
      <c r="O216" s="200">
        <v>4187.9635387799999</v>
      </c>
      <c r="P216" s="201">
        <v>0.74516272352941171</v>
      </c>
    </row>
    <row r="217" spans="1:16" ht="14.1" customHeight="1">
      <c r="A217" s="202">
        <v>424</v>
      </c>
      <c r="B217" s="202">
        <v>7228</v>
      </c>
      <c r="C217" s="195" t="s">
        <v>1607</v>
      </c>
      <c r="D217" s="194" t="s">
        <v>1967</v>
      </c>
      <c r="E217" s="194" t="s">
        <v>1968</v>
      </c>
      <c r="F217" s="194" t="s">
        <v>651</v>
      </c>
      <c r="G217" s="194" t="s">
        <v>1971</v>
      </c>
      <c r="H217" s="202">
        <v>62021852</v>
      </c>
      <c r="I217" s="194" t="s">
        <v>33</v>
      </c>
      <c r="J217" s="196" t="s">
        <v>576</v>
      </c>
      <c r="K217" s="197" t="s">
        <v>1847</v>
      </c>
      <c r="L217" s="198">
        <v>1400000</v>
      </c>
      <c r="M217" s="199">
        <v>5432.9800000000005</v>
      </c>
      <c r="N217" s="199">
        <v>676654.75</v>
      </c>
      <c r="O217" s="200">
        <v>2625.8940883250002</v>
      </c>
      <c r="P217" s="201">
        <v>0.48332482142857142</v>
      </c>
    </row>
    <row r="218" spans="1:16" ht="14.1" customHeight="1">
      <c r="A218" s="202">
        <v>424</v>
      </c>
      <c r="B218" s="202">
        <v>7228</v>
      </c>
      <c r="C218" s="195" t="s">
        <v>1607</v>
      </c>
      <c r="D218" s="194" t="s">
        <v>1972</v>
      </c>
      <c r="E218" s="194" t="s">
        <v>1973</v>
      </c>
      <c r="F218" s="194" t="s">
        <v>498</v>
      </c>
      <c r="G218" s="194" t="s">
        <v>1974</v>
      </c>
      <c r="H218" s="202">
        <v>62020995</v>
      </c>
      <c r="I218" s="194" t="s">
        <v>33</v>
      </c>
      <c r="J218" s="196" t="s">
        <v>664</v>
      </c>
      <c r="K218" s="197" t="s">
        <v>1975</v>
      </c>
      <c r="L218" s="198">
        <v>1250000</v>
      </c>
      <c r="M218" s="199">
        <v>4132.5</v>
      </c>
      <c r="N218" s="199">
        <v>693750</v>
      </c>
      <c r="O218" s="200">
        <v>2293.5374999999999</v>
      </c>
      <c r="P218" s="201">
        <v>0.55500000000000005</v>
      </c>
    </row>
    <row r="219" spans="1:16" ht="14.1" customHeight="1">
      <c r="A219" s="202">
        <v>424</v>
      </c>
      <c r="B219" s="202">
        <v>7229</v>
      </c>
      <c r="C219" s="195" t="s">
        <v>1607</v>
      </c>
      <c r="D219" s="194" t="s">
        <v>1630</v>
      </c>
      <c r="E219" s="194" t="s">
        <v>1631</v>
      </c>
      <c r="F219" s="194" t="s">
        <v>33</v>
      </c>
      <c r="G219" s="194" t="s">
        <v>1632</v>
      </c>
      <c r="H219" s="202">
        <v>62017538</v>
      </c>
      <c r="I219" s="194" t="s">
        <v>33</v>
      </c>
      <c r="J219" s="196" t="s">
        <v>664</v>
      </c>
      <c r="K219" s="197" t="s">
        <v>1633</v>
      </c>
      <c r="L219" s="198">
        <v>300000</v>
      </c>
      <c r="M219" s="199">
        <v>991.80000000000007</v>
      </c>
      <c r="N219" s="199">
        <v>42000</v>
      </c>
      <c r="O219" s="200">
        <v>138.852</v>
      </c>
      <c r="P219" s="201">
        <v>0.14000000000000001</v>
      </c>
    </row>
    <row r="220" spans="1:16" ht="14.1" customHeight="1">
      <c r="A220" s="202">
        <v>424</v>
      </c>
      <c r="B220" s="202">
        <v>7229</v>
      </c>
      <c r="C220" s="195" t="s">
        <v>1607</v>
      </c>
      <c r="D220" s="194" t="s">
        <v>1634</v>
      </c>
      <c r="E220" s="194" t="s">
        <v>1635</v>
      </c>
      <c r="F220" s="194" t="s">
        <v>33</v>
      </c>
      <c r="G220" s="194" t="s">
        <v>1636</v>
      </c>
      <c r="H220" s="202">
        <v>62001189</v>
      </c>
      <c r="I220" s="194" t="s">
        <v>33</v>
      </c>
      <c r="J220" s="196" t="s">
        <v>664</v>
      </c>
      <c r="K220" s="197" t="s">
        <v>1638</v>
      </c>
      <c r="L220" s="198">
        <v>70000</v>
      </c>
      <c r="M220" s="199">
        <v>231.42000000000002</v>
      </c>
      <c r="N220" s="199">
        <v>3850</v>
      </c>
      <c r="O220" s="200">
        <v>12.728100000000001</v>
      </c>
      <c r="P220" s="201">
        <v>5.5E-2</v>
      </c>
    </row>
    <row r="221" spans="1:16" ht="14.1" customHeight="1">
      <c r="A221" s="202">
        <v>424</v>
      </c>
      <c r="B221" s="202">
        <v>7229</v>
      </c>
      <c r="C221" s="195" t="s">
        <v>1607</v>
      </c>
      <c r="D221" s="194" t="s">
        <v>1643</v>
      </c>
      <c r="E221" s="194" t="s">
        <v>1644</v>
      </c>
      <c r="F221" s="194" t="s">
        <v>492</v>
      </c>
      <c r="G221" s="194" t="s">
        <v>1645</v>
      </c>
      <c r="H221" s="202">
        <v>50000983</v>
      </c>
      <c r="I221" s="194" t="s">
        <v>33</v>
      </c>
      <c r="J221" s="196" t="s">
        <v>34</v>
      </c>
      <c r="K221" s="197" t="s">
        <v>1647</v>
      </c>
      <c r="L221" s="198">
        <v>500000</v>
      </c>
      <c r="M221" s="199">
        <v>500</v>
      </c>
      <c r="N221" s="199">
        <v>150000</v>
      </c>
      <c r="O221" s="200">
        <v>150</v>
      </c>
      <c r="P221" s="201">
        <v>0.3</v>
      </c>
    </row>
    <row r="222" spans="1:16" ht="14.1" customHeight="1">
      <c r="A222" s="202">
        <v>424</v>
      </c>
      <c r="B222" s="202">
        <v>7229</v>
      </c>
      <c r="C222" s="195" t="s">
        <v>1607</v>
      </c>
      <c r="D222" s="194" t="s">
        <v>1656</v>
      </c>
      <c r="E222" s="194" t="s">
        <v>1657</v>
      </c>
      <c r="F222" s="194" t="s">
        <v>134</v>
      </c>
      <c r="G222" s="194" t="s">
        <v>1659</v>
      </c>
      <c r="H222" s="202">
        <v>62002785</v>
      </c>
      <c r="I222" s="194" t="s">
        <v>33</v>
      </c>
      <c r="J222" s="196" t="s">
        <v>664</v>
      </c>
      <c r="K222" s="197" t="s">
        <v>1660</v>
      </c>
      <c r="L222" s="198">
        <v>50000</v>
      </c>
      <c r="M222" s="199">
        <v>165.3</v>
      </c>
      <c r="N222" s="199">
        <v>1125</v>
      </c>
      <c r="O222" s="200">
        <v>3.7192500000000002</v>
      </c>
      <c r="P222" s="201">
        <v>2.2499999999999999E-2</v>
      </c>
    </row>
    <row r="223" spans="1:16" ht="14.1" customHeight="1">
      <c r="A223" s="202">
        <v>424</v>
      </c>
      <c r="B223" s="202">
        <v>7229</v>
      </c>
      <c r="C223" s="195" t="s">
        <v>1607</v>
      </c>
      <c r="D223" s="194" t="s">
        <v>1665</v>
      </c>
      <c r="E223" s="194" t="s">
        <v>1666</v>
      </c>
      <c r="F223" s="194" t="s">
        <v>33</v>
      </c>
      <c r="G223" s="194" t="s">
        <v>1667</v>
      </c>
      <c r="H223" s="202">
        <v>62013487</v>
      </c>
      <c r="I223" s="194" t="s">
        <v>33</v>
      </c>
      <c r="J223" s="196" t="s">
        <v>664</v>
      </c>
      <c r="K223" s="197" t="s">
        <v>1668</v>
      </c>
      <c r="L223" s="198">
        <v>60000</v>
      </c>
      <c r="M223" s="199">
        <v>198.36</v>
      </c>
      <c r="N223" s="199">
        <v>0</v>
      </c>
      <c r="O223" s="200">
        <v>0</v>
      </c>
      <c r="P223" s="201">
        <v>0</v>
      </c>
    </row>
    <row r="224" spans="1:16" ht="14.1" customHeight="1">
      <c r="A224" s="202">
        <v>424</v>
      </c>
      <c r="B224" s="202">
        <v>7229</v>
      </c>
      <c r="C224" s="195" t="s">
        <v>1607</v>
      </c>
      <c r="D224" s="194" t="s">
        <v>1724</v>
      </c>
      <c r="E224" s="194" t="s">
        <v>1725</v>
      </c>
      <c r="F224" s="194" t="s">
        <v>134</v>
      </c>
      <c r="G224" s="194" t="s">
        <v>1726</v>
      </c>
      <c r="H224" s="202">
        <v>50007004</v>
      </c>
      <c r="I224" s="194" t="s">
        <v>33</v>
      </c>
      <c r="J224" s="196" t="s">
        <v>34</v>
      </c>
      <c r="K224" s="197" t="s">
        <v>1728</v>
      </c>
      <c r="L224" s="198">
        <v>800000</v>
      </c>
      <c r="M224" s="199">
        <v>800</v>
      </c>
      <c r="N224" s="199">
        <v>170674</v>
      </c>
      <c r="O224" s="200">
        <v>170.67400000000001</v>
      </c>
      <c r="P224" s="201">
        <v>0.21334249999999999</v>
      </c>
    </row>
    <row r="225" spans="1:16" ht="14.1" customHeight="1">
      <c r="A225" s="202">
        <v>424</v>
      </c>
      <c r="B225" s="202">
        <v>7229</v>
      </c>
      <c r="C225" s="195" t="s">
        <v>1607</v>
      </c>
      <c r="D225" s="194" t="s">
        <v>1729</v>
      </c>
      <c r="E225" s="194" t="s">
        <v>1730</v>
      </c>
      <c r="F225" s="194" t="s">
        <v>134</v>
      </c>
      <c r="G225" s="194" t="s">
        <v>1729</v>
      </c>
      <c r="H225" s="202">
        <v>50007350</v>
      </c>
      <c r="I225" s="194" t="s">
        <v>33</v>
      </c>
      <c r="J225" s="196" t="s">
        <v>34</v>
      </c>
      <c r="K225" s="197" t="s">
        <v>1732</v>
      </c>
      <c r="L225" s="198">
        <v>750000</v>
      </c>
      <c r="M225" s="199">
        <v>750</v>
      </c>
      <c r="N225" s="199">
        <v>133457</v>
      </c>
      <c r="O225" s="200">
        <v>133.45699999999999</v>
      </c>
      <c r="P225" s="201">
        <v>0.17794266666666667</v>
      </c>
    </row>
    <row r="226" spans="1:16" ht="14.1" customHeight="1">
      <c r="A226" s="202">
        <v>424</v>
      </c>
      <c r="B226" s="202">
        <v>7229</v>
      </c>
      <c r="C226" s="195" t="s">
        <v>1607</v>
      </c>
      <c r="D226" s="194" t="s">
        <v>1724</v>
      </c>
      <c r="E226" s="194" t="s">
        <v>1725</v>
      </c>
      <c r="F226" s="194" t="s">
        <v>134</v>
      </c>
      <c r="G226" s="194" t="s">
        <v>1724</v>
      </c>
      <c r="H226" s="202">
        <v>18952</v>
      </c>
      <c r="I226" s="194" t="s">
        <v>33</v>
      </c>
      <c r="J226" s="196" t="s">
        <v>34</v>
      </c>
      <c r="K226" s="197" t="s">
        <v>1739</v>
      </c>
      <c r="L226" s="198">
        <v>260000</v>
      </c>
      <c r="M226" s="199">
        <v>260</v>
      </c>
      <c r="N226" s="199">
        <v>44033</v>
      </c>
      <c r="O226" s="200">
        <v>44.033000000000001</v>
      </c>
      <c r="P226" s="201">
        <v>0.16935769230769232</v>
      </c>
    </row>
    <row r="227" spans="1:16" ht="14.1" customHeight="1">
      <c r="A227" s="202">
        <v>424</v>
      </c>
      <c r="B227" s="202">
        <v>7229</v>
      </c>
      <c r="C227" s="195" t="s">
        <v>1607</v>
      </c>
      <c r="D227" s="194" t="s">
        <v>1740</v>
      </c>
      <c r="E227" s="194" t="s">
        <v>1741</v>
      </c>
      <c r="F227" s="194" t="s">
        <v>498</v>
      </c>
      <c r="G227" s="194" t="s">
        <v>1742</v>
      </c>
      <c r="H227" s="202">
        <v>50007160</v>
      </c>
      <c r="I227" s="194" t="s">
        <v>33</v>
      </c>
      <c r="J227" s="196" t="s">
        <v>34</v>
      </c>
      <c r="K227" s="197" t="s">
        <v>1743</v>
      </c>
      <c r="L227" s="198">
        <v>600000</v>
      </c>
      <c r="M227" s="199">
        <v>600</v>
      </c>
      <c r="N227" s="199">
        <v>286693</v>
      </c>
      <c r="O227" s="200">
        <v>286.69299999999998</v>
      </c>
      <c r="P227" s="201">
        <v>0.47782166666666664</v>
      </c>
    </row>
    <row r="228" spans="1:16" ht="14.1" customHeight="1">
      <c r="A228" s="202">
        <v>424</v>
      </c>
      <c r="B228" s="202">
        <v>7229</v>
      </c>
      <c r="C228" s="195" t="s">
        <v>1607</v>
      </c>
      <c r="D228" s="194" t="s">
        <v>1753</v>
      </c>
      <c r="E228" s="194" t="s">
        <v>1754</v>
      </c>
      <c r="F228" s="194" t="s">
        <v>651</v>
      </c>
      <c r="G228" s="194" t="s">
        <v>1753</v>
      </c>
      <c r="H228" s="202">
        <v>62021365</v>
      </c>
      <c r="I228" s="194" t="s">
        <v>33</v>
      </c>
      <c r="J228" s="196" t="s">
        <v>664</v>
      </c>
      <c r="K228" s="197" t="s">
        <v>1756</v>
      </c>
      <c r="L228" s="198">
        <v>220000</v>
      </c>
      <c r="M228" s="199">
        <v>727.32</v>
      </c>
      <c r="N228" s="199">
        <v>167143.75</v>
      </c>
      <c r="O228" s="200">
        <v>552.57723750000002</v>
      </c>
      <c r="P228" s="201">
        <v>0.7597443181818182</v>
      </c>
    </row>
    <row r="229" spans="1:16" ht="14.1" customHeight="1">
      <c r="A229" s="202">
        <v>424</v>
      </c>
      <c r="B229" s="202">
        <v>7229</v>
      </c>
      <c r="C229" s="195" t="s">
        <v>1607</v>
      </c>
      <c r="D229" s="194" t="s">
        <v>1763</v>
      </c>
      <c r="E229" s="194" t="s">
        <v>1764</v>
      </c>
      <c r="F229" s="194" t="s">
        <v>651</v>
      </c>
      <c r="G229" s="194" t="s">
        <v>1763</v>
      </c>
      <c r="H229" s="202">
        <v>62019815</v>
      </c>
      <c r="I229" s="194" t="s">
        <v>33</v>
      </c>
      <c r="J229" s="196" t="s">
        <v>664</v>
      </c>
      <c r="K229" s="197" t="s">
        <v>1765</v>
      </c>
      <c r="L229" s="198">
        <v>350000</v>
      </c>
      <c r="M229" s="199">
        <v>1157.0999999999999</v>
      </c>
      <c r="N229" s="199">
        <v>158024</v>
      </c>
      <c r="O229" s="200">
        <v>522.42734400000006</v>
      </c>
      <c r="P229" s="201">
        <v>0.45149714285714287</v>
      </c>
    </row>
    <row r="230" spans="1:16" ht="14.1" customHeight="1">
      <c r="A230" s="202">
        <v>424</v>
      </c>
      <c r="B230" s="202">
        <v>7229</v>
      </c>
      <c r="C230" s="195" t="s">
        <v>1607</v>
      </c>
      <c r="D230" s="194" t="s">
        <v>1770</v>
      </c>
      <c r="E230" s="194" t="s">
        <v>1771</v>
      </c>
      <c r="F230" s="194" t="s">
        <v>492</v>
      </c>
      <c r="G230" s="194" t="s">
        <v>1772</v>
      </c>
      <c r="H230" s="202">
        <v>62013909</v>
      </c>
      <c r="I230" s="194" t="s">
        <v>33</v>
      </c>
      <c r="J230" s="196" t="s">
        <v>664</v>
      </c>
      <c r="K230" s="197" t="s">
        <v>1774</v>
      </c>
      <c r="L230" s="198">
        <v>150000</v>
      </c>
      <c r="M230" s="199">
        <v>495.90000000000003</v>
      </c>
      <c r="N230" s="199">
        <v>0</v>
      </c>
      <c r="O230" s="200">
        <v>0</v>
      </c>
      <c r="P230" s="201">
        <v>0</v>
      </c>
    </row>
    <row r="231" spans="1:16" ht="14.1" customHeight="1">
      <c r="A231" s="202">
        <v>424</v>
      </c>
      <c r="B231" s="202">
        <v>7229</v>
      </c>
      <c r="C231" s="195" t="s">
        <v>1607</v>
      </c>
      <c r="D231" s="194" t="s">
        <v>1792</v>
      </c>
      <c r="E231" s="194" t="s">
        <v>1793</v>
      </c>
      <c r="F231" s="194" t="s">
        <v>492</v>
      </c>
      <c r="G231" s="194" t="s">
        <v>1794</v>
      </c>
      <c r="H231" s="202">
        <v>62016654</v>
      </c>
      <c r="I231" s="194" t="s">
        <v>33</v>
      </c>
      <c r="J231" s="196" t="s">
        <v>664</v>
      </c>
      <c r="K231" s="197" t="s">
        <v>1795</v>
      </c>
      <c r="L231" s="198">
        <v>180000</v>
      </c>
      <c r="M231" s="199">
        <v>595.08000000000004</v>
      </c>
      <c r="N231" s="199">
        <v>34200</v>
      </c>
      <c r="O231" s="200">
        <v>113.0652</v>
      </c>
      <c r="P231" s="201">
        <v>0.19</v>
      </c>
    </row>
    <row r="232" spans="1:16" ht="14.1" customHeight="1">
      <c r="A232" s="202">
        <v>424</v>
      </c>
      <c r="B232" s="202">
        <v>7229</v>
      </c>
      <c r="C232" s="195" t="s">
        <v>1607</v>
      </c>
      <c r="D232" s="194" t="s">
        <v>1800</v>
      </c>
      <c r="E232" s="194" t="s">
        <v>1801</v>
      </c>
      <c r="F232" s="194" t="s">
        <v>651</v>
      </c>
      <c r="G232" s="194" t="s">
        <v>1802</v>
      </c>
      <c r="H232" s="202">
        <v>62018064</v>
      </c>
      <c r="I232" s="194" t="s">
        <v>33</v>
      </c>
      <c r="J232" s="196" t="s">
        <v>664</v>
      </c>
      <c r="K232" s="197" t="s">
        <v>1554</v>
      </c>
      <c r="L232" s="198">
        <v>100000</v>
      </c>
      <c r="M232" s="199">
        <v>330.6</v>
      </c>
      <c r="N232" s="199">
        <v>12325</v>
      </c>
      <c r="O232" s="200">
        <v>40.746449999999996</v>
      </c>
      <c r="P232" s="201">
        <v>0.12325</v>
      </c>
    </row>
    <row r="233" spans="1:16" ht="14.1" customHeight="1">
      <c r="A233" s="202">
        <v>424</v>
      </c>
      <c r="B233" s="202">
        <v>7229</v>
      </c>
      <c r="C233" s="195" t="s">
        <v>1607</v>
      </c>
      <c r="D233" s="194" t="s">
        <v>1807</v>
      </c>
      <c r="E233" s="194" t="s">
        <v>1808</v>
      </c>
      <c r="F233" s="194" t="s">
        <v>492</v>
      </c>
      <c r="G233" s="194" t="s">
        <v>1809</v>
      </c>
      <c r="H233" s="202">
        <v>62018908</v>
      </c>
      <c r="I233" s="194" t="s">
        <v>33</v>
      </c>
      <c r="J233" s="196" t="s">
        <v>664</v>
      </c>
      <c r="K233" s="197" t="s">
        <v>1810</v>
      </c>
      <c r="L233" s="198">
        <v>200000</v>
      </c>
      <c r="M233" s="199">
        <v>661.2</v>
      </c>
      <c r="N233" s="199">
        <v>39163.900000000023</v>
      </c>
      <c r="O233" s="200">
        <v>129.47585340000009</v>
      </c>
      <c r="P233" s="201">
        <v>0.19581950000000012</v>
      </c>
    </row>
    <row r="234" spans="1:16" ht="14.1" customHeight="1">
      <c r="A234" s="202">
        <v>424</v>
      </c>
      <c r="B234" s="202">
        <v>7229</v>
      </c>
      <c r="C234" s="195" t="s">
        <v>1607</v>
      </c>
      <c r="D234" s="194" t="s">
        <v>1827</v>
      </c>
      <c r="E234" s="194" t="s">
        <v>1828</v>
      </c>
      <c r="F234" s="194" t="s">
        <v>651</v>
      </c>
      <c r="G234" s="194" t="s">
        <v>1829</v>
      </c>
      <c r="H234" s="202">
        <v>62003800</v>
      </c>
      <c r="I234" s="194" t="s">
        <v>33</v>
      </c>
      <c r="J234" s="196" t="s">
        <v>664</v>
      </c>
      <c r="K234" s="197" t="s">
        <v>1831</v>
      </c>
      <c r="L234" s="198">
        <v>240000</v>
      </c>
      <c r="M234" s="199">
        <v>793.44</v>
      </c>
      <c r="N234" s="199">
        <v>38400</v>
      </c>
      <c r="O234" s="200">
        <v>126.9504</v>
      </c>
      <c r="P234" s="201">
        <v>0.16</v>
      </c>
    </row>
    <row r="235" spans="1:16" ht="14.1" customHeight="1">
      <c r="A235" s="202">
        <v>424</v>
      </c>
      <c r="B235" s="202">
        <v>7229</v>
      </c>
      <c r="C235" s="195" t="s">
        <v>1607</v>
      </c>
      <c r="D235" s="194" t="s">
        <v>1827</v>
      </c>
      <c r="E235" s="194" t="s">
        <v>1828</v>
      </c>
      <c r="F235" s="194" t="s">
        <v>651</v>
      </c>
      <c r="G235" s="194" t="s">
        <v>1832</v>
      </c>
      <c r="H235" s="202">
        <v>620101031</v>
      </c>
      <c r="I235" s="194" t="s">
        <v>33</v>
      </c>
      <c r="J235" s="196" t="s">
        <v>664</v>
      </c>
      <c r="K235" s="197" t="s">
        <v>1668</v>
      </c>
      <c r="L235" s="198">
        <v>120000</v>
      </c>
      <c r="M235" s="199">
        <v>396.72</v>
      </c>
      <c r="N235" s="199">
        <v>13200</v>
      </c>
      <c r="O235" s="200">
        <v>43.639199999999995</v>
      </c>
      <c r="P235" s="201">
        <v>0.11</v>
      </c>
    </row>
    <row r="236" spans="1:16" ht="14.1" customHeight="1">
      <c r="A236" s="202">
        <v>424</v>
      </c>
      <c r="B236" s="202">
        <v>7229</v>
      </c>
      <c r="C236" s="195" t="s">
        <v>1607</v>
      </c>
      <c r="D236" s="194" t="s">
        <v>1827</v>
      </c>
      <c r="E236" s="194" t="s">
        <v>1828</v>
      </c>
      <c r="F236" s="194" t="s">
        <v>651</v>
      </c>
      <c r="G236" s="194" t="s">
        <v>1833</v>
      </c>
      <c r="H236" s="202">
        <v>62014857</v>
      </c>
      <c r="I236" s="194" t="s">
        <v>33</v>
      </c>
      <c r="J236" s="196" t="s">
        <v>664</v>
      </c>
      <c r="K236" s="197" t="s">
        <v>1834</v>
      </c>
      <c r="L236" s="198">
        <v>120000</v>
      </c>
      <c r="M236" s="199">
        <v>396.72</v>
      </c>
      <c r="N236" s="199">
        <v>24000</v>
      </c>
      <c r="O236" s="200">
        <v>79.343999999999994</v>
      </c>
      <c r="P236" s="201">
        <v>0.2</v>
      </c>
    </row>
    <row r="237" spans="1:16" ht="14.1" customHeight="1">
      <c r="A237" s="202">
        <v>424</v>
      </c>
      <c r="B237" s="202">
        <v>7229</v>
      </c>
      <c r="C237" s="195" t="s">
        <v>1607</v>
      </c>
      <c r="D237" s="194" t="s">
        <v>1827</v>
      </c>
      <c r="E237" s="194" t="s">
        <v>1828</v>
      </c>
      <c r="F237" s="194" t="s">
        <v>651</v>
      </c>
      <c r="G237" s="194" t="s">
        <v>1835</v>
      </c>
      <c r="H237" s="202">
        <v>62019476</v>
      </c>
      <c r="I237" s="194" t="s">
        <v>33</v>
      </c>
      <c r="J237" s="196" t="s">
        <v>664</v>
      </c>
      <c r="K237" s="197" t="s">
        <v>1728</v>
      </c>
      <c r="L237" s="198">
        <v>120000</v>
      </c>
      <c r="M237" s="199">
        <v>396.72</v>
      </c>
      <c r="N237" s="199">
        <v>36827</v>
      </c>
      <c r="O237" s="200">
        <v>121.750062</v>
      </c>
      <c r="P237" s="201">
        <v>0.30689166666666667</v>
      </c>
    </row>
    <row r="238" spans="1:16" ht="14.1" customHeight="1">
      <c r="A238" s="202">
        <v>424</v>
      </c>
      <c r="B238" s="202">
        <v>7229</v>
      </c>
      <c r="C238" s="195" t="s">
        <v>1607</v>
      </c>
      <c r="D238" s="194" t="s">
        <v>1827</v>
      </c>
      <c r="E238" s="194" t="s">
        <v>1828</v>
      </c>
      <c r="F238" s="194" t="s">
        <v>651</v>
      </c>
      <c r="G238" s="194" t="s">
        <v>1840</v>
      </c>
      <c r="H238" s="202">
        <v>62020458</v>
      </c>
      <c r="I238" s="194" t="s">
        <v>33</v>
      </c>
      <c r="J238" s="196" t="s">
        <v>664</v>
      </c>
      <c r="K238" s="197" t="s">
        <v>1841</v>
      </c>
      <c r="L238" s="198">
        <v>100000</v>
      </c>
      <c r="M238" s="199">
        <v>330.6</v>
      </c>
      <c r="N238" s="199">
        <v>15000</v>
      </c>
      <c r="O238" s="200">
        <v>49.59</v>
      </c>
      <c r="P238" s="201">
        <v>0.15</v>
      </c>
    </row>
    <row r="239" spans="1:16" ht="14.1" customHeight="1">
      <c r="A239" s="202">
        <v>424</v>
      </c>
      <c r="B239" s="202">
        <v>7229</v>
      </c>
      <c r="C239" s="195" t="s">
        <v>1607</v>
      </c>
      <c r="D239" s="194" t="s">
        <v>1827</v>
      </c>
      <c r="E239" s="194" t="s">
        <v>1828</v>
      </c>
      <c r="F239" s="194" t="s">
        <v>651</v>
      </c>
      <c r="G239" s="194" t="s">
        <v>1842</v>
      </c>
      <c r="H239" s="202">
        <v>62017678</v>
      </c>
      <c r="I239" s="194" t="s">
        <v>33</v>
      </c>
      <c r="J239" s="196" t="s">
        <v>664</v>
      </c>
      <c r="K239" s="197" t="s">
        <v>1843</v>
      </c>
      <c r="L239" s="198">
        <v>240000</v>
      </c>
      <c r="M239" s="199">
        <v>793.44</v>
      </c>
      <c r="N239" s="199">
        <v>7200</v>
      </c>
      <c r="O239" s="200">
        <v>23.8032</v>
      </c>
      <c r="P239" s="201">
        <v>0.03</v>
      </c>
    </row>
    <row r="240" spans="1:16" ht="14.1" customHeight="1">
      <c r="A240" s="202">
        <v>424</v>
      </c>
      <c r="B240" s="202">
        <v>7229</v>
      </c>
      <c r="C240" s="195" t="s">
        <v>1607</v>
      </c>
      <c r="D240" s="194" t="s">
        <v>1852</v>
      </c>
      <c r="E240" s="194" t="s">
        <v>1853</v>
      </c>
      <c r="F240" s="194" t="s">
        <v>651</v>
      </c>
      <c r="G240" s="194" t="s">
        <v>1854</v>
      </c>
      <c r="H240" s="202">
        <v>62020565</v>
      </c>
      <c r="I240" s="194" t="s">
        <v>33</v>
      </c>
      <c r="J240" s="196" t="s">
        <v>576</v>
      </c>
      <c r="K240" s="197" t="s">
        <v>1609</v>
      </c>
      <c r="L240" s="198">
        <v>175000</v>
      </c>
      <c r="M240" s="199">
        <v>679.12250000000006</v>
      </c>
      <c r="N240" s="199">
        <v>58691.499999999985</v>
      </c>
      <c r="O240" s="200">
        <v>227.76410404999993</v>
      </c>
      <c r="P240" s="201">
        <v>0.3353799999999999</v>
      </c>
    </row>
    <row r="241" spans="1:16" ht="14.1" customHeight="1">
      <c r="A241" s="202">
        <v>424</v>
      </c>
      <c r="B241" s="202">
        <v>7229</v>
      </c>
      <c r="C241" s="195" t="s">
        <v>1607</v>
      </c>
      <c r="D241" s="194" t="s">
        <v>1876</v>
      </c>
      <c r="E241" s="194" t="s">
        <v>1877</v>
      </c>
      <c r="F241" s="194" t="s">
        <v>492</v>
      </c>
      <c r="G241" s="194" t="s">
        <v>1878</v>
      </c>
      <c r="H241" s="202">
        <v>62017652</v>
      </c>
      <c r="I241" s="194" t="s">
        <v>33</v>
      </c>
      <c r="J241" s="196" t="s">
        <v>664</v>
      </c>
      <c r="K241" s="197" t="s">
        <v>1880</v>
      </c>
      <c r="L241" s="198">
        <v>200000</v>
      </c>
      <c r="M241" s="199">
        <v>661.2</v>
      </c>
      <c r="N241" s="199">
        <v>61624.119999999995</v>
      </c>
      <c r="O241" s="200">
        <v>203.72934071999998</v>
      </c>
      <c r="P241" s="201">
        <v>0.30812059999999997</v>
      </c>
    </row>
    <row r="242" spans="1:16" ht="14.1" customHeight="1">
      <c r="A242" s="202">
        <v>424</v>
      </c>
      <c r="B242" s="202">
        <v>7229</v>
      </c>
      <c r="C242" s="195" t="s">
        <v>1607</v>
      </c>
      <c r="D242" s="194" t="s">
        <v>1881</v>
      </c>
      <c r="E242" s="194" t="s">
        <v>1882</v>
      </c>
      <c r="F242" s="194" t="s">
        <v>492</v>
      </c>
      <c r="G242" s="194" t="s">
        <v>1883</v>
      </c>
      <c r="H242" s="202">
        <v>62021142</v>
      </c>
      <c r="I242" s="194" t="s">
        <v>33</v>
      </c>
      <c r="J242" s="196" t="s">
        <v>664</v>
      </c>
      <c r="K242" s="197" t="s">
        <v>1884</v>
      </c>
      <c r="L242" s="198">
        <v>210000</v>
      </c>
      <c r="M242" s="199">
        <v>694.26</v>
      </c>
      <c r="N242" s="199">
        <v>33600</v>
      </c>
      <c r="O242" s="200">
        <v>111.08160000000001</v>
      </c>
      <c r="P242" s="201">
        <v>0.16</v>
      </c>
    </row>
    <row r="243" spans="1:16" ht="14.1" customHeight="1">
      <c r="A243" s="202">
        <v>424</v>
      </c>
      <c r="B243" s="202">
        <v>7229</v>
      </c>
      <c r="C243" s="195" t="s">
        <v>1607</v>
      </c>
      <c r="D243" s="194" t="s">
        <v>1908</v>
      </c>
      <c r="E243" s="194" t="s">
        <v>1909</v>
      </c>
      <c r="F243" s="194" t="s">
        <v>651</v>
      </c>
      <c r="G243" s="194" t="s">
        <v>1910</v>
      </c>
      <c r="H243" s="202">
        <v>62021571</v>
      </c>
      <c r="I243" s="194" t="s">
        <v>33</v>
      </c>
      <c r="J243" s="196" t="s">
        <v>576</v>
      </c>
      <c r="K243" s="197" t="s">
        <v>1911</v>
      </c>
      <c r="L243" s="198">
        <v>100000</v>
      </c>
      <c r="M243" s="199">
        <v>388.07</v>
      </c>
      <c r="N243" s="199">
        <v>29850.959999999992</v>
      </c>
      <c r="O243" s="200">
        <v>115.84262047199998</v>
      </c>
      <c r="P243" s="201">
        <v>0.29850959999999993</v>
      </c>
    </row>
    <row r="244" spans="1:16" ht="14.1" customHeight="1">
      <c r="A244" s="202">
        <v>424</v>
      </c>
      <c r="B244" s="202">
        <v>7229</v>
      </c>
      <c r="C244" s="195" t="s">
        <v>1607</v>
      </c>
      <c r="D244" s="194" t="s">
        <v>1920</v>
      </c>
      <c r="E244" s="194" t="s">
        <v>1921</v>
      </c>
      <c r="F244" s="194" t="s">
        <v>492</v>
      </c>
      <c r="G244" s="194" t="s">
        <v>1922</v>
      </c>
      <c r="H244" s="202">
        <v>62009204</v>
      </c>
      <c r="I244" s="194" t="s">
        <v>33</v>
      </c>
      <c r="J244" s="196" t="s">
        <v>664</v>
      </c>
      <c r="K244" s="197" t="s">
        <v>1923</v>
      </c>
      <c r="L244" s="198">
        <v>120000</v>
      </c>
      <c r="M244" s="199">
        <v>396.72</v>
      </c>
      <c r="N244" s="199">
        <v>10411</v>
      </c>
      <c r="O244" s="200">
        <v>34.418765999999998</v>
      </c>
      <c r="P244" s="201">
        <v>8.675833333333334E-2</v>
      </c>
    </row>
    <row r="245" spans="1:16" ht="14.1" customHeight="1">
      <c r="A245" s="202">
        <v>424</v>
      </c>
      <c r="B245" s="202">
        <v>7229</v>
      </c>
      <c r="C245" s="195" t="s">
        <v>1607</v>
      </c>
      <c r="D245" s="194" t="s">
        <v>1924</v>
      </c>
      <c r="E245" s="194" t="s">
        <v>1925</v>
      </c>
      <c r="F245" s="194" t="s">
        <v>492</v>
      </c>
      <c r="G245" s="194" t="s">
        <v>1926</v>
      </c>
      <c r="H245" s="202">
        <v>62019807</v>
      </c>
      <c r="I245" s="194" t="s">
        <v>33</v>
      </c>
      <c r="J245" s="196" t="s">
        <v>664</v>
      </c>
      <c r="K245" s="197" t="s">
        <v>1765</v>
      </c>
      <c r="L245" s="198">
        <v>250000</v>
      </c>
      <c r="M245" s="199">
        <v>826.5</v>
      </c>
      <c r="N245" s="199">
        <v>38705</v>
      </c>
      <c r="O245" s="200">
        <v>127.95873</v>
      </c>
      <c r="P245" s="201">
        <v>0.15482000000000001</v>
      </c>
    </row>
    <row r="246" spans="1:16" ht="14.1" customHeight="1">
      <c r="A246" s="202">
        <v>424</v>
      </c>
      <c r="B246" s="202">
        <v>7229</v>
      </c>
      <c r="C246" s="195" t="s">
        <v>1607</v>
      </c>
      <c r="D246" s="194" t="s">
        <v>1937</v>
      </c>
      <c r="E246" s="194" t="s">
        <v>1938</v>
      </c>
      <c r="F246" s="194" t="s">
        <v>492</v>
      </c>
      <c r="G246" s="194" t="s">
        <v>1939</v>
      </c>
      <c r="H246" s="202">
        <v>62010137</v>
      </c>
      <c r="I246" s="194" t="s">
        <v>33</v>
      </c>
      <c r="J246" s="196" t="s">
        <v>664</v>
      </c>
      <c r="K246" s="197" t="s">
        <v>1940</v>
      </c>
      <c r="L246" s="198">
        <v>120000</v>
      </c>
      <c r="M246" s="199">
        <v>396.72</v>
      </c>
      <c r="N246" s="199">
        <v>31113</v>
      </c>
      <c r="O246" s="200">
        <v>102.859578</v>
      </c>
      <c r="P246" s="201">
        <v>0.25927499999999998</v>
      </c>
    </row>
    <row r="247" spans="1:16" ht="14.1" customHeight="1">
      <c r="A247" s="202">
        <v>969</v>
      </c>
      <c r="B247" s="202">
        <v>969</v>
      </c>
      <c r="C247" s="195" t="s">
        <v>1607</v>
      </c>
      <c r="D247" s="194" t="s">
        <v>1610</v>
      </c>
      <c r="E247" s="194" t="s">
        <v>1611</v>
      </c>
      <c r="F247" s="194" t="s">
        <v>366</v>
      </c>
      <c r="G247" s="194" t="s">
        <v>1612</v>
      </c>
      <c r="H247" s="202">
        <v>62018312</v>
      </c>
      <c r="I247" s="194" t="s">
        <v>33</v>
      </c>
      <c r="J247" s="196" t="s">
        <v>664</v>
      </c>
      <c r="K247" s="197" t="s">
        <v>1614</v>
      </c>
      <c r="L247" s="198">
        <v>200000</v>
      </c>
      <c r="M247" s="199">
        <v>661.2</v>
      </c>
      <c r="N247" s="199">
        <v>84000</v>
      </c>
      <c r="O247" s="200">
        <v>277.70400000000001</v>
      </c>
      <c r="P247" s="201">
        <v>0.42</v>
      </c>
    </row>
    <row r="248" spans="1:16" ht="14.1" customHeight="1">
      <c r="A248" s="202">
        <v>969</v>
      </c>
      <c r="B248" s="202">
        <v>969</v>
      </c>
      <c r="C248" s="195" t="s">
        <v>1607</v>
      </c>
      <c r="D248" s="194" t="s">
        <v>1625</v>
      </c>
      <c r="E248" s="194" t="s">
        <v>1626</v>
      </c>
      <c r="F248" s="194" t="s">
        <v>492</v>
      </c>
      <c r="G248" s="194" t="s">
        <v>1627</v>
      </c>
      <c r="H248" s="202">
        <v>60415775</v>
      </c>
      <c r="I248" s="194" t="s">
        <v>33</v>
      </c>
      <c r="J248" s="196" t="s">
        <v>664</v>
      </c>
      <c r="K248" s="197" t="s">
        <v>1629</v>
      </c>
      <c r="L248" s="198">
        <v>100000</v>
      </c>
      <c r="M248" s="199">
        <v>330.6</v>
      </c>
      <c r="N248" s="199">
        <v>0</v>
      </c>
      <c r="O248" s="200">
        <v>0</v>
      </c>
      <c r="P248" s="201">
        <v>0</v>
      </c>
    </row>
    <row r="249" spans="1:16" ht="14.1" customHeight="1">
      <c r="A249" s="202">
        <v>969</v>
      </c>
      <c r="B249" s="202">
        <v>969</v>
      </c>
      <c r="C249" s="195" t="s">
        <v>1607</v>
      </c>
      <c r="D249" s="194" t="s">
        <v>1634</v>
      </c>
      <c r="E249" s="194" t="s">
        <v>1635</v>
      </c>
      <c r="F249" s="194" t="s">
        <v>33</v>
      </c>
      <c r="G249" s="194" t="s">
        <v>1636</v>
      </c>
      <c r="H249" s="202">
        <v>62001189</v>
      </c>
      <c r="I249" s="194" t="s">
        <v>33</v>
      </c>
      <c r="J249" s="196" t="s">
        <v>664</v>
      </c>
      <c r="K249" s="197" t="s">
        <v>1638</v>
      </c>
      <c r="L249" s="198">
        <v>50000</v>
      </c>
      <c r="M249" s="199">
        <v>165.3</v>
      </c>
      <c r="N249" s="199">
        <v>2750</v>
      </c>
      <c r="O249" s="200">
        <v>9.0914999999999999</v>
      </c>
      <c r="P249" s="201">
        <v>5.5E-2</v>
      </c>
    </row>
    <row r="250" spans="1:16" ht="14.1" customHeight="1">
      <c r="A250" s="202">
        <v>969</v>
      </c>
      <c r="B250" s="202">
        <v>969</v>
      </c>
      <c r="C250" s="195" t="s">
        <v>1607</v>
      </c>
      <c r="D250" s="194" t="s">
        <v>1639</v>
      </c>
      <c r="E250" s="194" t="s">
        <v>1640</v>
      </c>
      <c r="F250" s="194" t="s">
        <v>33</v>
      </c>
      <c r="G250" s="194" t="s">
        <v>1639</v>
      </c>
      <c r="H250" s="202">
        <v>60401809</v>
      </c>
      <c r="I250" s="194" t="s">
        <v>33</v>
      </c>
      <c r="J250" s="196" t="s">
        <v>664</v>
      </c>
      <c r="K250" s="197" t="s">
        <v>1642</v>
      </c>
      <c r="L250" s="198">
        <v>100000</v>
      </c>
      <c r="M250" s="199">
        <v>330.6</v>
      </c>
      <c r="N250" s="199">
        <v>1000</v>
      </c>
      <c r="O250" s="200">
        <v>3.306</v>
      </c>
      <c r="P250" s="201">
        <v>0.01</v>
      </c>
    </row>
    <row r="251" spans="1:16" ht="14.1" customHeight="1">
      <c r="A251" s="202">
        <v>969</v>
      </c>
      <c r="B251" s="202">
        <v>969</v>
      </c>
      <c r="C251" s="195" t="s">
        <v>1607</v>
      </c>
      <c r="D251" s="194" t="s">
        <v>1643</v>
      </c>
      <c r="E251" s="194" t="s">
        <v>1644</v>
      </c>
      <c r="F251" s="194" t="s">
        <v>492</v>
      </c>
      <c r="G251" s="194" t="s">
        <v>1645</v>
      </c>
      <c r="H251" s="202">
        <v>50000983</v>
      </c>
      <c r="I251" s="194" t="s">
        <v>33</v>
      </c>
      <c r="J251" s="196" t="s">
        <v>34</v>
      </c>
      <c r="K251" s="197" t="s">
        <v>1647</v>
      </c>
      <c r="L251" s="198">
        <v>300000</v>
      </c>
      <c r="M251" s="199">
        <v>300</v>
      </c>
      <c r="N251" s="199">
        <v>90000</v>
      </c>
      <c r="O251" s="200">
        <v>90</v>
      </c>
      <c r="P251" s="201">
        <v>0.3</v>
      </c>
    </row>
    <row r="252" spans="1:16" ht="14.1" customHeight="1">
      <c r="A252" s="202">
        <v>969</v>
      </c>
      <c r="B252" s="202">
        <v>969</v>
      </c>
      <c r="C252" s="195" t="s">
        <v>1607</v>
      </c>
      <c r="D252" s="194" t="s">
        <v>1656</v>
      </c>
      <c r="E252" s="194" t="s">
        <v>1657</v>
      </c>
      <c r="F252" s="194" t="s">
        <v>134</v>
      </c>
      <c r="G252" s="194" t="s">
        <v>1658</v>
      </c>
      <c r="H252" s="202">
        <v>60364742</v>
      </c>
      <c r="I252" s="194" t="s">
        <v>33</v>
      </c>
      <c r="J252" s="196" t="s">
        <v>664</v>
      </c>
      <c r="K252" s="197" t="s">
        <v>1367</v>
      </c>
      <c r="L252" s="198">
        <v>100000</v>
      </c>
      <c r="M252" s="199">
        <v>330.6</v>
      </c>
      <c r="N252" s="199">
        <v>0</v>
      </c>
      <c r="O252" s="200">
        <v>0</v>
      </c>
      <c r="P252" s="201">
        <v>0</v>
      </c>
    </row>
    <row r="253" spans="1:16" ht="14.1" customHeight="1">
      <c r="A253" s="202">
        <v>969</v>
      </c>
      <c r="B253" s="202">
        <v>969</v>
      </c>
      <c r="C253" s="195" t="s">
        <v>1607</v>
      </c>
      <c r="D253" s="194" t="s">
        <v>1656</v>
      </c>
      <c r="E253" s="194" t="s">
        <v>1657</v>
      </c>
      <c r="F253" s="194" t="s">
        <v>134</v>
      </c>
      <c r="G253" s="194" t="s">
        <v>1659</v>
      </c>
      <c r="H253" s="202">
        <v>62002785</v>
      </c>
      <c r="I253" s="194" t="s">
        <v>33</v>
      </c>
      <c r="J253" s="196" t="s">
        <v>664</v>
      </c>
      <c r="K253" s="197" t="s">
        <v>1660</v>
      </c>
      <c r="L253" s="198">
        <v>50000</v>
      </c>
      <c r="M253" s="199">
        <v>165.3</v>
      </c>
      <c r="N253" s="199">
        <v>1125</v>
      </c>
      <c r="O253" s="200">
        <v>3.7192500000000002</v>
      </c>
      <c r="P253" s="201">
        <v>2.2499999999999999E-2</v>
      </c>
    </row>
    <row r="254" spans="1:16" ht="14.1" customHeight="1">
      <c r="A254" s="202">
        <v>969</v>
      </c>
      <c r="B254" s="202">
        <v>969</v>
      </c>
      <c r="C254" s="195" t="s">
        <v>1607</v>
      </c>
      <c r="D254" s="194" t="s">
        <v>1681</v>
      </c>
      <c r="E254" s="194" t="s">
        <v>1682</v>
      </c>
      <c r="F254" s="194" t="s">
        <v>498</v>
      </c>
      <c r="G254" s="194" t="s">
        <v>1683</v>
      </c>
      <c r="H254" s="202">
        <v>60406600</v>
      </c>
      <c r="I254" s="194" t="s">
        <v>33</v>
      </c>
      <c r="J254" s="196" t="s">
        <v>664</v>
      </c>
      <c r="K254" s="197" t="s">
        <v>1685</v>
      </c>
      <c r="L254" s="198">
        <v>100000</v>
      </c>
      <c r="M254" s="199">
        <v>330.6</v>
      </c>
      <c r="N254" s="199">
        <v>7998</v>
      </c>
      <c r="O254" s="200">
        <v>26.441388</v>
      </c>
      <c r="P254" s="201">
        <v>7.9979999999999996E-2</v>
      </c>
    </row>
    <row r="255" spans="1:16" ht="14.1" customHeight="1">
      <c r="A255" s="202">
        <v>969</v>
      </c>
      <c r="B255" s="202">
        <v>969</v>
      </c>
      <c r="C255" s="195" t="s">
        <v>1607</v>
      </c>
      <c r="D255" s="194" t="s">
        <v>1713</v>
      </c>
      <c r="E255" s="194">
        <v>500457361</v>
      </c>
      <c r="F255" s="194" t="s">
        <v>498</v>
      </c>
      <c r="G255" s="194" t="s">
        <v>1715</v>
      </c>
      <c r="H255" s="202">
        <v>62007349</v>
      </c>
      <c r="I255" s="194" t="s">
        <v>33</v>
      </c>
      <c r="J255" s="196" t="s">
        <v>664</v>
      </c>
      <c r="K255" s="197" t="s">
        <v>1716</v>
      </c>
      <c r="L255" s="198">
        <v>100000</v>
      </c>
      <c r="M255" s="199">
        <v>330.6</v>
      </c>
      <c r="N255" s="199">
        <v>9999</v>
      </c>
      <c r="O255" s="200">
        <v>33.056694</v>
      </c>
      <c r="P255" s="201">
        <v>9.9989999999999996E-2</v>
      </c>
    </row>
    <row r="256" spans="1:16" ht="14.1" customHeight="1">
      <c r="A256" s="202">
        <v>969</v>
      </c>
      <c r="B256" s="202">
        <v>969</v>
      </c>
      <c r="C256" s="195" t="s">
        <v>1607</v>
      </c>
      <c r="D256" s="194" t="s">
        <v>1610</v>
      </c>
      <c r="E256" s="194" t="s">
        <v>1611</v>
      </c>
      <c r="F256" s="194" t="s">
        <v>366</v>
      </c>
      <c r="G256" s="194" t="s">
        <v>1737</v>
      </c>
      <c r="H256" s="202">
        <v>60400892</v>
      </c>
      <c r="I256" s="194" t="s">
        <v>33</v>
      </c>
      <c r="J256" s="196" t="s">
        <v>664</v>
      </c>
      <c r="K256" s="197" t="s">
        <v>1738</v>
      </c>
      <c r="L256" s="198">
        <v>375000</v>
      </c>
      <c r="M256" s="199">
        <v>1239.75</v>
      </c>
      <c r="N256" s="199">
        <v>62547</v>
      </c>
      <c r="O256" s="200">
        <v>206.780382</v>
      </c>
      <c r="P256" s="201">
        <v>0.166792</v>
      </c>
    </row>
    <row r="257" spans="1:16" ht="14.1" customHeight="1">
      <c r="A257" s="202">
        <v>969</v>
      </c>
      <c r="B257" s="202">
        <v>969</v>
      </c>
      <c r="C257" s="195" t="s">
        <v>1607</v>
      </c>
      <c r="D257" s="194" t="s">
        <v>1724</v>
      </c>
      <c r="E257" s="194" t="s">
        <v>1725</v>
      </c>
      <c r="F257" s="194" t="s">
        <v>134</v>
      </c>
      <c r="G257" s="194" t="s">
        <v>1724</v>
      </c>
      <c r="H257" s="202">
        <v>18952</v>
      </c>
      <c r="I257" s="194" t="s">
        <v>33</v>
      </c>
      <c r="J257" s="196" t="s">
        <v>34</v>
      </c>
      <c r="K257" s="197" t="s">
        <v>1739</v>
      </c>
      <c r="L257" s="198">
        <v>180000</v>
      </c>
      <c r="M257" s="199">
        <v>180</v>
      </c>
      <c r="N257" s="199">
        <v>30487</v>
      </c>
      <c r="O257" s="200">
        <v>30.486999999999998</v>
      </c>
      <c r="P257" s="201">
        <v>0.16937222222222223</v>
      </c>
    </row>
    <row r="258" spans="1:16" ht="14.1" customHeight="1">
      <c r="A258" s="202">
        <v>969</v>
      </c>
      <c r="B258" s="202">
        <v>969</v>
      </c>
      <c r="C258" s="195" t="s">
        <v>1607</v>
      </c>
      <c r="D258" s="194" t="s">
        <v>1770</v>
      </c>
      <c r="E258" s="194" t="s">
        <v>1771</v>
      </c>
      <c r="F258" s="194" t="s">
        <v>492</v>
      </c>
      <c r="G258" s="194" t="s">
        <v>1772</v>
      </c>
      <c r="H258" s="202">
        <v>62013909</v>
      </c>
      <c r="I258" s="194" t="s">
        <v>33</v>
      </c>
      <c r="J258" s="196" t="s">
        <v>664</v>
      </c>
      <c r="K258" s="197" t="s">
        <v>1774</v>
      </c>
      <c r="L258" s="198">
        <v>100000</v>
      </c>
      <c r="M258" s="199">
        <v>330.6</v>
      </c>
      <c r="N258" s="199">
        <v>0</v>
      </c>
      <c r="O258" s="200">
        <v>0</v>
      </c>
      <c r="P258" s="201">
        <v>0</v>
      </c>
    </row>
    <row r="259" spans="1:16" ht="14.1" customHeight="1">
      <c r="A259" s="202">
        <v>969</v>
      </c>
      <c r="B259" s="202">
        <v>969</v>
      </c>
      <c r="C259" s="195" t="s">
        <v>1607</v>
      </c>
      <c r="D259" s="194" t="s">
        <v>1788</v>
      </c>
      <c r="E259" s="194" t="s">
        <v>1789</v>
      </c>
      <c r="F259" s="194" t="s">
        <v>492</v>
      </c>
      <c r="G259" s="194" t="s">
        <v>1790</v>
      </c>
      <c r="H259" s="202">
        <v>60419041</v>
      </c>
      <c r="I259" s="194" t="s">
        <v>33</v>
      </c>
      <c r="J259" s="196" t="s">
        <v>664</v>
      </c>
      <c r="K259" s="197" t="s">
        <v>1791</v>
      </c>
      <c r="L259" s="198">
        <v>100000</v>
      </c>
      <c r="M259" s="199">
        <v>330.6</v>
      </c>
      <c r="N259" s="199">
        <v>9000</v>
      </c>
      <c r="O259" s="200">
        <v>29.754000000000001</v>
      </c>
      <c r="P259" s="201">
        <v>0.09</v>
      </c>
    </row>
    <row r="260" spans="1:16" ht="14.1" customHeight="1">
      <c r="A260" s="202">
        <v>969</v>
      </c>
      <c r="B260" s="202">
        <v>969</v>
      </c>
      <c r="C260" s="195" t="s">
        <v>1607</v>
      </c>
      <c r="D260" s="194" t="s">
        <v>1792</v>
      </c>
      <c r="E260" s="194" t="s">
        <v>1793</v>
      </c>
      <c r="F260" s="194" t="s">
        <v>492</v>
      </c>
      <c r="G260" s="194" t="s">
        <v>1794</v>
      </c>
      <c r="H260" s="202">
        <v>62016654</v>
      </c>
      <c r="I260" s="194" t="s">
        <v>33</v>
      </c>
      <c r="J260" s="196" t="s">
        <v>664</v>
      </c>
      <c r="K260" s="197" t="s">
        <v>1795</v>
      </c>
      <c r="L260" s="198">
        <v>120000</v>
      </c>
      <c r="M260" s="199">
        <v>396.72</v>
      </c>
      <c r="N260" s="199">
        <v>22800</v>
      </c>
      <c r="O260" s="200">
        <v>75.376800000000003</v>
      </c>
      <c r="P260" s="201">
        <v>0.19</v>
      </c>
    </row>
    <row r="261" spans="1:16" ht="14.1" customHeight="1">
      <c r="A261" s="202">
        <v>969</v>
      </c>
      <c r="B261" s="202">
        <v>969</v>
      </c>
      <c r="C261" s="195" t="s">
        <v>1607</v>
      </c>
      <c r="D261" s="194" t="s">
        <v>1800</v>
      </c>
      <c r="E261" s="194" t="s">
        <v>1801</v>
      </c>
      <c r="F261" s="194" t="s">
        <v>651</v>
      </c>
      <c r="G261" s="194" t="s">
        <v>1802</v>
      </c>
      <c r="H261" s="202">
        <v>62018064</v>
      </c>
      <c r="I261" s="194" t="s">
        <v>33</v>
      </c>
      <c r="J261" s="196" t="s">
        <v>664</v>
      </c>
      <c r="K261" s="197" t="s">
        <v>1554</v>
      </c>
      <c r="L261" s="198">
        <v>100000</v>
      </c>
      <c r="M261" s="199">
        <v>330.6</v>
      </c>
      <c r="N261" s="199">
        <v>12325</v>
      </c>
      <c r="O261" s="200">
        <v>40.746449999999996</v>
      </c>
      <c r="P261" s="201">
        <v>0.12325</v>
      </c>
    </row>
    <row r="262" spans="1:16" ht="14.1" customHeight="1">
      <c r="A262" s="202">
        <v>969</v>
      </c>
      <c r="B262" s="202">
        <v>969</v>
      </c>
      <c r="C262" s="195" t="s">
        <v>1607</v>
      </c>
      <c r="D262" s="194" t="s">
        <v>1827</v>
      </c>
      <c r="E262" s="194" t="s">
        <v>1828</v>
      </c>
      <c r="F262" s="194" t="s">
        <v>651</v>
      </c>
      <c r="G262" s="194" t="s">
        <v>1829</v>
      </c>
      <c r="H262" s="202">
        <v>62003800</v>
      </c>
      <c r="I262" s="194" t="s">
        <v>33</v>
      </c>
      <c r="J262" s="196" t="s">
        <v>664</v>
      </c>
      <c r="K262" s="197" t="s">
        <v>1831</v>
      </c>
      <c r="L262" s="198">
        <v>160000</v>
      </c>
      <c r="M262" s="199">
        <v>528.96</v>
      </c>
      <c r="N262" s="199">
        <v>25600</v>
      </c>
      <c r="O262" s="200">
        <v>84.633600000000001</v>
      </c>
      <c r="P262" s="201">
        <v>0.16</v>
      </c>
    </row>
    <row r="263" spans="1:16" ht="14.1" customHeight="1">
      <c r="A263" s="202">
        <v>969</v>
      </c>
      <c r="B263" s="202">
        <v>969</v>
      </c>
      <c r="C263" s="195" t="s">
        <v>1607</v>
      </c>
      <c r="D263" s="194" t="s">
        <v>1827</v>
      </c>
      <c r="E263" s="194" t="s">
        <v>1828</v>
      </c>
      <c r="F263" s="194" t="s">
        <v>651</v>
      </c>
      <c r="G263" s="194" t="s">
        <v>1832</v>
      </c>
      <c r="H263" s="202">
        <v>620101031</v>
      </c>
      <c r="I263" s="194" t="s">
        <v>33</v>
      </c>
      <c r="J263" s="196" t="s">
        <v>664</v>
      </c>
      <c r="K263" s="197" t="s">
        <v>1668</v>
      </c>
      <c r="L263" s="198">
        <v>80000</v>
      </c>
      <c r="M263" s="199">
        <v>264.48</v>
      </c>
      <c r="N263" s="199">
        <v>8800</v>
      </c>
      <c r="O263" s="200">
        <v>29.092800000000004</v>
      </c>
      <c r="P263" s="201">
        <v>0.11</v>
      </c>
    </row>
    <row r="264" spans="1:16" ht="14.1" customHeight="1">
      <c r="A264" s="202">
        <v>969</v>
      </c>
      <c r="B264" s="202">
        <v>969</v>
      </c>
      <c r="C264" s="195" t="s">
        <v>1607</v>
      </c>
      <c r="D264" s="194" t="s">
        <v>1827</v>
      </c>
      <c r="E264" s="194" t="s">
        <v>1828</v>
      </c>
      <c r="F264" s="194" t="s">
        <v>651</v>
      </c>
      <c r="G264" s="194" t="s">
        <v>1833</v>
      </c>
      <c r="H264" s="202">
        <v>62014857</v>
      </c>
      <c r="I264" s="194" t="s">
        <v>33</v>
      </c>
      <c r="J264" s="196" t="s">
        <v>664</v>
      </c>
      <c r="K264" s="197" t="s">
        <v>1834</v>
      </c>
      <c r="L264" s="198">
        <v>80000</v>
      </c>
      <c r="M264" s="199">
        <v>264.48</v>
      </c>
      <c r="N264" s="199">
        <v>16000</v>
      </c>
      <c r="O264" s="200">
        <v>52.896000000000001</v>
      </c>
      <c r="P264" s="201">
        <v>0.2</v>
      </c>
    </row>
    <row r="265" spans="1:16" ht="14.1" customHeight="1">
      <c r="A265" s="202">
        <v>969</v>
      </c>
      <c r="B265" s="202">
        <v>969</v>
      </c>
      <c r="C265" s="195" t="s">
        <v>1607</v>
      </c>
      <c r="D265" s="194" t="s">
        <v>1827</v>
      </c>
      <c r="E265" s="194" t="s">
        <v>1828</v>
      </c>
      <c r="F265" s="194" t="s">
        <v>651</v>
      </c>
      <c r="G265" s="194" t="s">
        <v>1842</v>
      </c>
      <c r="H265" s="202">
        <v>62017678</v>
      </c>
      <c r="I265" s="194" t="s">
        <v>33</v>
      </c>
      <c r="J265" s="196" t="s">
        <v>664</v>
      </c>
      <c r="K265" s="197" t="s">
        <v>1843</v>
      </c>
      <c r="L265" s="198">
        <v>160000</v>
      </c>
      <c r="M265" s="199">
        <v>528.96</v>
      </c>
      <c r="N265" s="199">
        <v>4800</v>
      </c>
      <c r="O265" s="200">
        <v>15.8688</v>
      </c>
      <c r="P265" s="201">
        <v>0.03</v>
      </c>
    </row>
    <row r="266" spans="1:16" ht="14.1" customHeight="1">
      <c r="A266" s="202">
        <v>969</v>
      </c>
      <c r="B266" s="202">
        <v>969</v>
      </c>
      <c r="C266" s="195" t="s">
        <v>1607</v>
      </c>
      <c r="D266" s="194" t="s">
        <v>1920</v>
      </c>
      <c r="E266" s="194" t="s">
        <v>1921</v>
      </c>
      <c r="F266" s="194" t="s">
        <v>492</v>
      </c>
      <c r="G266" s="194" t="s">
        <v>1922</v>
      </c>
      <c r="H266" s="202">
        <v>62009204</v>
      </c>
      <c r="I266" s="194" t="s">
        <v>33</v>
      </c>
      <c r="J266" s="196" t="s">
        <v>664</v>
      </c>
      <c r="K266" s="197" t="s">
        <v>1923</v>
      </c>
      <c r="L266" s="198">
        <v>80000</v>
      </c>
      <c r="M266" s="199">
        <v>264.48</v>
      </c>
      <c r="N266" s="199">
        <v>6941</v>
      </c>
      <c r="O266" s="200">
        <v>22.946946000000001</v>
      </c>
      <c r="P266" s="201">
        <v>8.6762500000000006E-2</v>
      </c>
    </row>
    <row r="267" spans="1:16" ht="14.1" customHeight="1">
      <c r="A267" s="202">
        <v>969</v>
      </c>
      <c r="B267" s="202">
        <v>969</v>
      </c>
      <c r="C267" s="195" t="s">
        <v>1607</v>
      </c>
      <c r="D267" s="194" t="s">
        <v>1937</v>
      </c>
      <c r="E267" s="194" t="s">
        <v>1938</v>
      </c>
      <c r="F267" s="194" t="s">
        <v>492</v>
      </c>
      <c r="G267" s="194" t="s">
        <v>1939</v>
      </c>
      <c r="H267" s="202">
        <v>62010137</v>
      </c>
      <c r="I267" s="194" t="s">
        <v>33</v>
      </c>
      <c r="J267" s="196" t="s">
        <v>664</v>
      </c>
      <c r="K267" s="197" t="s">
        <v>1940</v>
      </c>
      <c r="L267" s="198">
        <v>80000</v>
      </c>
      <c r="M267" s="199">
        <v>264.48</v>
      </c>
      <c r="N267" s="199">
        <v>20741</v>
      </c>
      <c r="O267" s="200">
        <v>68.569745999999995</v>
      </c>
      <c r="P267" s="201">
        <v>0.25926250000000001</v>
      </c>
    </row>
  </sheetData>
  <sheetProtection formatColumns="0"/>
  <dataConsolidate/>
  <dataValidations disablePrompts="1" count="6">
    <dataValidation type="list" allowBlank="1" showInputMessage="1" showErrorMessage="1" sqref="F2:F219" xr:uid="{294EF0D1-3184-4A9E-B15B-99F8E34FCED9}">
      <formula1>Issuer_Number_Fund</formula1>
    </dataValidation>
    <dataValidation type="list" allowBlank="1" showInputMessage="1" showErrorMessage="1" sqref="I2:I219" xr:uid="{642705A8-E657-43B6-82D1-034D6F6B5524}">
      <formula1>Type_of_Security_ID_Fund</formula1>
    </dataValidation>
    <dataValidation type="list" allowBlank="1" showInputMessage="1" showErrorMessage="1" sqref="N216 N2:N119 M2:M219 N218" xr:uid="{90627937-3A0B-4C5C-BE55-60DB6A4632DA}">
      <formula1>Country_list</formula1>
    </dataValidation>
    <dataValidation type="list" allowBlank="1" showInputMessage="1" showErrorMessage="1" sqref="P2:P219" xr:uid="{228366E0-9F5C-4B7C-B87D-0A097CA11FFC}">
      <formula1>Holding_interest</formula1>
    </dataValidation>
    <dataValidation type="list" allowBlank="1" showInputMessage="1" showErrorMessage="1" sqref="L120:L215 L217 O2:O219 L219" xr:uid="{D2B64604-0F33-4B91-B4B5-FABD21C6CF43}">
      <formula1>Country_list_funds</formula1>
    </dataValidation>
    <dataValidation type="list" allowBlank="1" showInputMessage="1" showErrorMessage="1" sqref="L120:L215 L217 L219" xr:uid="{60432767-4C6F-4679-AC49-5BAE3084642F}">
      <formula1>israel_abroad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5" customWidth="1"/>
    <col min="3" max="3" width="90.875" style="61" customWidth="1"/>
    <col min="4" max="4" width="68.875" style="9" customWidth="1"/>
    <col min="5" max="5" width="29.75" style="15" bestFit="1" customWidth="1"/>
    <col min="6" max="6" width="9" style="15" hidden="1" customWidth="1"/>
    <col min="7" max="16384" width="9" style="15" hidden="1"/>
  </cols>
  <sheetData>
    <row r="1" spans="1:5" s="58" customFormat="1" ht="45">
      <c r="A1" s="57" t="s">
        <v>2398</v>
      </c>
      <c r="B1" s="57" t="s">
        <v>2399</v>
      </c>
      <c r="C1" s="57" t="s">
        <v>2400</v>
      </c>
      <c r="D1" s="57" t="s">
        <v>2401</v>
      </c>
      <c r="E1" s="15"/>
    </row>
    <row r="2" spans="1:5">
      <c r="A2" s="93"/>
      <c r="B2" s="93" t="s">
        <v>2402</v>
      </c>
      <c r="C2" s="22" t="s">
        <v>30</v>
      </c>
      <c r="D2" s="22"/>
    </row>
    <row r="3" spans="1:5">
      <c r="A3" s="94"/>
      <c r="B3" s="94"/>
      <c r="C3" s="22" t="s">
        <v>572</v>
      </c>
      <c r="D3" s="22"/>
    </row>
    <row r="4" spans="1:5" ht="42.75">
      <c r="A4" s="86"/>
      <c r="B4" s="114" t="s">
        <v>2403</v>
      </c>
      <c r="C4" s="23" t="s">
        <v>30</v>
      </c>
      <c r="D4" s="23"/>
    </row>
    <row r="5" spans="1:5">
      <c r="A5" s="87"/>
      <c r="B5" s="115"/>
      <c r="C5" s="23" t="s">
        <v>2404</v>
      </c>
      <c r="D5" s="23"/>
    </row>
    <row r="6" spans="1:5">
      <c r="A6" s="87"/>
      <c r="B6" s="115"/>
      <c r="C6" s="23" t="s">
        <v>662</v>
      </c>
      <c r="D6" s="23"/>
    </row>
    <row r="7" spans="1:5">
      <c r="A7" s="87"/>
      <c r="B7" s="115"/>
      <c r="C7" s="23" t="s">
        <v>2405</v>
      </c>
      <c r="D7" s="23"/>
    </row>
    <row r="8" spans="1:5">
      <c r="A8" s="87"/>
      <c r="B8" s="115"/>
      <c r="C8" s="23" t="s">
        <v>2406</v>
      </c>
      <c r="D8" s="23"/>
    </row>
    <row r="9" spans="1:5">
      <c r="A9" s="87"/>
      <c r="B9" s="115"/>
      <c r="C9" s="23" t="s">
        <v>2407</v>
      </c>
      <c r="D9" s="23"/>
    </row>
    <row r="10" spans="1:5">
      <c r="A10" s="87"/>
      <c r="B10" s="115"/>
      <c r="C10" s="23" t="s">
        <v>2408</v>
      </c>
      <c r="D10" s="23"/>
    </row>
    <row r="11" spans="1:5">
      <c r="A11" s="87"/>
      <c r="B11" s="115"/>
      <c r="C11" s="23" t="s">
        <v>2409</v>
      </c>
      <c r="D11" s="23"/>
      <c r="E11" s="15" t="s">
        <v>2410</v>
      </c>
    </row>
    <row r="12" spans="1:5">
      <c r="A12" s="87"/>
      <c r="B12" s="115"/>
      <c r="C12" s="23" t="s">
        <v>2411</v>
      </c>
      <c r="D12" s="23"/>
      <c r="E12" s="15" t="s">
        <v>2410</v>
      </c>
    </row>
    <row r="13" spans="1:5">
      <c r="A13" s="87"/>
      <c r="B13" s="115"/>
      <c r="C13" s="23" t="s">
        <v>2412</v>
      </c>
      <c r="D13" s="23"/>
    </row>
    <row r="14" spans="1:5">
      <c r="A14" s="87"/>
      <c r="B14" s="115"/>
      <c r="C14" s="23" t="s">
        <v>1619</v>
      </c>
      <c r="D14" s="23"/>
    </row>
    <row r="15" spans="1:5">
      <c r="A15" s="87"/>
      <c r="B15" s="115"/>
      <c r="C15" s="23" t="s">
        <v>2413</v>
      </c>
      <c r="D15" s="23"/>
    </row>
    <row r="16" spans="1:5">
      <c r="A16" s="87"/>
      <c r="B16" s="115"/>
      <c r="C16" s="23" t="s">
        <v>2414</v>
      </c>
      <c r="D16" s="23"/>
    </row>
    <row r="17" spans="1:4">
      <c r="A17" s="87"/>
      <c r="B17" s="115"/>
      <c r="C17" s="23" t="s">
        <v>1148</v>
      </c>
      <c r="D17" s="23"/>
    </row>
    <row r="18" spans="1:4">
      <c r="A18" s="87"/>
      <c r="B18" s="115"/>
      <c r="C18" s="23" t="s">
        <v>2415</v>
      </c>
      <c r="D18" s="23"/>
    </row>
    <row r="19" spans="1:4">
      <c r="A19" s="87"/>
      <c r="B19" s="115"/>
      <c r="C19" s="23" t="s">
        <v>2416</v>
      </c>
      <c r="D19" s="23"/>
    </row>
    <row r="20" spans="1:4">
      <c r="A20" s="87"/>
      <c r="B20" s="115"/>
      <c r="C20" s="23" t="s">
        <v>957</v>
      </c>
      <c r="D20" s="23"/>
    </row>
    <row r="21" spans="1:4">
      <c r="A21" s="87"/>
      <c r="B21" s="115"/>
      <c r="C21" s="23" t="s">
        <v>224</v>
      </c>
      <c r="D21" s="23"/>
    </row>
    <row r="22" spans="1:4">
      <c r="A22" s="87"/>
      <c r="B22" s="115"/>
      <c r="C22" s="23" t="s">
        <v>2417</v>
      </c>
      <c r="D22" s="23"/>
    </row>
    <row r="23" spans="1:4">
      <c r="A23" s="87"/>
      <c r="B23" s="115"/>
      <c r="C23" s="23" t="s">
        <v>2418</v>
      </c>
      <c r="D23" s="23"/>
    </row>
    <row r="24" spans="1:4">
      <c r="A24" s="87"/>
      <c r="B24" s="115"/>
      <c r="C24" s="23" t="s">
        <v>2419</v>
      </c>
      <c r="D24" s="23"/>
    </row>
    <row r="25" spans="1:4">
      <c r="A25" s="87"/>
      <c r="B25" s="115"/>
      <c r="C25" s="23" t="s">
        <v>2420</v>
      </c>
      <c r="D25" s="23"/>
    </row>
    <row r="26" spans="1:4">
      <c r="A26" s="87"/>
      <c r="B26" s="115"/>
      <c r="C26" s="23" t="s">
        <v>2421</v>
      </c>
      <c r="D26" s="23"/>
    </row>
    <row r="27" spans="1:4">
      <c r="A27" s="87"/>
      <c r="B27" s="115"/>
      <c r="C27" s="23" t="s">
        <v>2422</v>
      </c>
      <c r="D27" s="23"/>
    </row>
    <row r="28" spans="1:4">
      <c r="A28" s="87"/>
      <c r="B28" s="115"/>
      <c r="C28" s="23" t="s">
        <v>2423</v>
      </c>
      <c r="D28" s="23"/>
    </row>
    <row r="29" spans="1:4">
      <c r="A29" s="87"/>
      <c r="B29" s="115"/>
      <c r="C29" s="23" t="s">
        <v>2424</v>
      </c>
      <c r="D29" s="23"/>
    </row>
    <row r="30" spans="1:4">
      <c r="A30" s="87"/>
      <c r="B30" s="115"/>
      <c r="C30" s="23" t="s">
        <v>566</v>
      </c>
      <c r="D30" s="23"/>
    </row>
    <row r="31" spans="1:4">
      <c r="A31" s="87"/>
      <c r="B31" s="115"/>
      <c r="C31" s="23" t="s">
        <v>2425</v>
      </c>
      <c r="D31" s="23"/>
    </row>
    <row r="32" spans="1:4">
      <c r="A32" s="87"/>
      <c r="B32" s="115"/>
      <c r="C32" s="23" t="s">
        <v>2426</v>
      </c>
      <c r="D32" s="23"/>
    </row>
    <row r="33" spans="1:5">
      <c r="A33" s="87"/>
      <c r="B33" s="115"/>
      <c r="C33" s="23" t="s">
        <v>2427</v>
      </c>
      <c r="D33" s="23"/>
    </row>
    <row r="34" spans="1:5">
      <c r="A34" s="87"/>
      <c r="B34" s="115"/>
      <c r="C34" s="23" t="s">
        <v>2428</v>
      </c>
      <c r="D34" s="23"/>
    </row>
    <row r="35" spans="1:5">
      <c r="A35" s="87"/>
      <c r="B35" s="115"/>
      <c r="C35" s="23" t="s">
        <v>654</v>
      </c>
      <c r="D35" s="23"/>
    </row>
    <row r="36" spans="1:5">
      <c r="A36" s="87"/>
      <c r="B36" s="115"/>
      <c r="C36" s="23" t="s">
        <v>2429</v>
      </c>
      <c r="D36" s="23"/>
      <c r="E36" s="15" t="s">
        <v>2410</v>
      </c>
    </row>
    <row r="37" spans="1:5">
      <c r="A37" s="87"/>
      <c r="B37" s="115"/>
      <c r="C37" s="9" t="s">
        <v>2430</v>
      </c>
      <c r="D37" s="23"/>
      <c r="E37" s="15" t="s">
        <v>2410</v>
      </c>
    </row>
    <row r="38" spans="1:5">
      <c r="A38" s="87"/>
      <c r="B38" s="115"/>
      <c r="C38" s="23" t="s">
        <v>2431</v>
      </c>
      <c r="D38" s="23"/>
    </row>
    <row r="39" spans="1:5">
      <c r="A39" s="87"/>
      <c r="B39" s="115"/>
      <c r="C39" s="23" t="s">
        <v>2432</v>
      </c>
      <c r="D39" s="23"/>
    </row>
    <row r="40" spans="1:5">
      <c r="A40" s="87"/>
      <c r="B40" s="115"/>
      <c r="C40" s="23" t="s">
        <v>2433</v>
      </c>
      <c r="D40" s="23"/>
      <c r="E40" s="15" t="s">
        <v>2410</v>
      </c>
    </row>
    <row r="41" spans="1:5">
      <c r="A41" s="87"/>
      <c r="B41" s="115"/>
      <c r="C41" s="23" t="s">
        <v>1192</v>
      </c>
      <c r="D41" s="23"/>
    </row>
    <row r="42" spans="1:5">
      <c r="A42" s="87"/>
      <c r="B42" s="115"/>
      <c r="C42" s="23" t="s">
        <v>2434</v>
      </c>
      <c r="D42" s="23"/>
    </row>
    <row r="43" spans="1:5">
      <c r="A43" s="87"/>
      <c r="B43" s="115"/>
      <c r="C43" s="23" t="s">
        <v>2435</v>
      </c>
      <c r="D43" s="23"/>
    </row>
    <row r="44" spans="1:5">
      <c r="A44" s="87"/>
      <c r="B44" s="115"/>
      <c r="C44" s="23" t="s">
        <v>2436</v>
      </c>
      <c r="D44" s="23"/>
    </row>
    <row r="45" spans="1:5">
      <c r="A45" s="87"/>
      <c r="B45" s="115"/>
      <c r="C45" s="23" t="s">
        <v>2437</v>
      </c>
      <c r="D45" s="23"/>
    </row>
    <row r="46" spans="1:5">
      <c r="A46" s="87"/>
      <c r="B46" s="115"/>
      <c r="C46" s="23" t="s">
        <v>2438</v>
      </c>
      <c r="D46" s="23"/>
      <c r="E46" s="15" t="s">
        <v>2410</v>
      </c>
    </row>
    <row r="47" spans="1:5">
      <c r="A47" s="87"/>
      <c r="B47" s="115"/>
      <c r="C47" s="23" t="s">
        <v>2439</v>
      </c>
      <c r="D47" s="23"/>
    </row>
    <row r="48" spans="1:5">
      <c r="A48" s="87"/>
      <c r="B48" s="115"/>
      <c r="C48" s="23" t="s">
        <v>2440</v>
      </c>
      <c r="D48" s="23"/>
    </row>
    <row r="49" spans="1:5">
      <c r="A49" s="87"/>
      <c r="B49" s="115"/>
      <c r="C49" s="23" t="s">
        <v>2441</v>
      </c>
      <c r="D49" s="23"/>
    </row>
    <row r="50" spans="1:5">
      <c r="A50" s="87"/>
      <c r="B50" s="115"/>
      <c r="C50" s="23" t="s">
        <v>1315</v>
      </c>
      <c r="D50" s="23"/>
    </row>
    <row r="51" spans="1:5">
      <c r="A51" s="87"/>
      <c r="B51" s="115"/>
      <c r="C51" s="23" t="s">
        <v>2442</v>
      </c>
      <c r="D51" s="23"/>
    </row>
    <row r="52" spans="1:5">
      <c r="A52" s="87"/>
      <c r="B52" s="115"/>
      <c r="C52" s="23" t="s">
        <v>2443</v>
      </c>
      <c r="D52" s="23"/>
    </row>
    <row r="53" spans="1:5">
      <c r="A53" s="87"/>
      <c r="B53" s="115"/>
      <c r="C53" s="23" t="s">
        <v>2444</v>
      </c>
      <c r="D53" s="23"/>
    </row>
    <row r="54" spans="1:5">
      <c r="A54" s="87"/>
      <c r="B54" s="115"/>
      <c r="C54" s="23" t="s">
        <v>2445</v>
      </c>
      <c r="D54" s="23"/>
    </row>
    <row r="55" spans="1:5">
      <c r="A55" s="87"/>
      <c r="B55" s="115"/>
      <c r="C55" s="23" t="s">
        <v>2446</v>
      </c>
      <c r="D55" s="23"/>
    </row>
    <row r="56" spans="1:5">
      <c r="A56" s="87"/>
      <c r="B56" s="115"/>
      <c r="C56" s="23" t="s">
        <v>2447</v>
      </c>
      <c r="D56" s="23"/>
    </row>
    <row r="57" spans="1:5">
      <c r="A57" s="87"/>
      <c r="B57" s="115"/>
      <c r="C57" s="23" t="s">
        <v>2448</v>
      </c>
      <c r="D57" s="23"/>
    </row>
    <row r="58" spans="1:5">
      <c r="A58" s="87"/>
      <c r="B58" s="115"/>
      <c r="C58" s="23" t="s">
        <v>2449</v>
      </c>
      <c r="D58" s="23"/>
    </row>
    <row r="59" spans="1:5">
      <c r="A59" s="87"/>
      <c r="B59" s="115"/>
      <c r="C59" s="23" t="s">
        <v>2450</v>
      </c>
      <c r="D59" s="23"/>
    </row>
    <row r="60" spans="1:5">
      <c r="A60" s="87"/>
      <c r="B60" s="115"/>
      <c r="C60" s="23" t="s">
        <v>2451</v>
      </c>
      <c r="D60" s="23"/>
    </row>
    <row r="61" spans="1:5">
      <c r="A61" s="87"/>
      <c r="B61" s="115"/>
      <c r="C61" s="23" t="s">
        <v>2452</v>
      </c>
      <c r="D61" s="23"/>
    </row>
    <row r="62" spans="1:5">
      <c r="A62" s="87"/>
      <c r="B62" s="115"/>
      <c r="C62" s="23" t="s">
        <v>2453</v>
      </c>
      <c r="D62" s="23"/>
    </row>
    <row r="63" spans="1:5">
      <c r="A63" s="87"/>
      <c r="B63" s="115"/>
      <c r="C63" s="23" t="s">
        <v>2454</v>
      </c>
      <c r="D63" s="23"/>
      <c r="E63" s="15" t="s">
        <v>2410</v>
      </c>
    </row>
    <row r="64" spans="1:5">
      <c r="A64" s="87"/>
      <c r="B64" s="115"/>
      <c r="C64" s="23" t="s">
        <v>2455</v>
      </c>
      <c r="D64" s="23"/>
    </row>
    <row r="65" spans="1:4">
      <c r="A65" s="87"/>
      <c r="B65" s="115"/>
      <c r="C65" s="23" t="s">
        <v>1000</v>
      </c>
      <c r="D65" s="23"/>
    </row>
    <row r="66" spans="1:4">
      <c r="A66" s="87"/>
      <c r="B66" s="115"/>
      <c r="C66" s="23" t="s">
        <v>2456</v>
      </c>
      <c r="D66" s="23"/>
    </row>
    <row r="67" spans="1:4">
      <c r="A67" s="87"/>
      <c r="B67" s="115"/>
      <c r="C67" s="23" t="s">
        <v>2457</v>
      </c>
      <c r="D67" s="23"/>
    </row>
    <row r="68" spans="1:4">
      <c r="A68" s="87"/>
      <c r="B68" s="115"/>
      <c r="C68" s="23" t="s">
        <v>2458</v>
      </c>
      <c r="D68" s="23"/>
    </row>
    <row r="69" spans="1:4">
      <c r="A69" s="87"/>
      <c r="B69" s="115"/>
      <c r="C69" s="23" t="s">
        <v>2459</v>
      </c>
      <c r="D69" s="23"/>
    </row>
    <row r="70" spans="1:4">
      <c r="A70" s="87"/>
      <c r="B70" s="115"/>
      <c r="C70" s="23" t="s">
        <v>2460</v>
      </c>
      <c r="D70" s="23"/>
    </row>
    <row r="71" spans="1:4">
      <c r="A71" s="87"/>
      <c r="B71" s="115"/>
      <c r="C71" s="23" t="s">
        <v>2461</v>
      </c>
      <c r="D71" s="23"/>
    </row>
    <row r="72" spans="1:4">
      <c r="A72" s="87"/>
      <c r="B72" s="115"/>
      <c r="C72" s="23" t="s">
        <v>2462</v>
      </c>
      <c r="D72" s="23"/>
    </row>
    <row r="73" spans="1:4">
      <c r="A73" s="87"/>
      <c r="B73" s="115"/>
      <c r="C73" s="23" t="s">
        <v>2463</v>
      </c>
      <c r="D73" s="23"/>
    </row>
    <row r="74" spans="1:4">
      <c r="A74" s="87"/>
      <c r="B74" s="115"/>
      <c r="C74" s="23" t="s">
        <v>2464</v>
      </c>
      <c r="D74" s="23"/>
    </row>
    <row r="75" spans="1:4">
      <c r="A75" s="87"/>
      <c r="B75" s="115"/>
      <c r="C75" s="23" t="s">
        <v>2465</v>
      </c>
      <c r="D75" s="23"/>
    </row>
    <row r="76" spans="1:4">
      <c r="A76" s="87"/>
      <c r="B76" s="115"/>
      <c r="C76" s="23" t="s">
        <v>2466</v>
      </c>
      <c r="D76" s="23"/>
    </row>
    <row r="77" spans="1:4">
      <c r="A77" s="87"/>
      <c r="B77" s="115"/>
      <c r="C77" s="23" t="s">
        <v>2467</v>
      </c>
      <c r="D77" s="23"/>
    </row>
    <row r="78" spans="1:4">
      <c r="A78" s="87"/>
      <c r="B78" s="115"/>
      <c r="C78" s="23" t="s">
        <v>1063</v>
      </c>
      <c r="D78" s="23"/>
    </row>
    <row r="79" spans="1:4">
      <c r="A79" s="87"/>
      <c r="B79" s="115"/>
      <c r="C79" s="23" t="s">
        <v>2468</v>
      </c>
      <c r="D79" s="23"/>
    </row>
    <row r="80" spans="1:4">
      <c r="A80" s="87"/>
      <c r="B80" s="115"/>
      <c r="C80" s="23" t="s">
        <v>2469</v>
      </c>
      <c r="D80" s="23"/>
    </row>
    <row r="81" spans="1:5">
      <c r="A81" s="87"/>
      <c r="B81" s="115"/>
      <c r="C81" s="23" t="s">
        <v>2470</v>
      </c>
      <c r="D81" s="23"/>
    </row>
    <row r="82" spans="1:5">
      <c r="A82" s="87"/>
      <c r="B82" s="115"/>
      <c r="C82" s="23" t="s">
        <v>2471</v>
      </c>
      <c r="D82" s="23"/>
    </row>
    <row r="83" spans="1:5">
      <c r="A83" s="87"/>
      <c r="B83" s="115"/>
      <c r="C83" s="23" t="s">
        <v>2472</v>
      </c>
      <c r="D83" s="23"/>
    </row>
    <row r="84" spans="1:5">
      <c r="A84" s="87"/>
      <c r="B84" s="115"/>
      <c r="C84" s="23" t="s">
        <v>1953</v>
      </c>
      <c r="D84" s="23"/>
    </row>
    <row r="85" spans="1:5">
      <c r="A85" s="87"/>
      <c r="B85" s="115"/>
      <c r="C85" s="23" t="s">
        <v>2473</v>
      </c>
      <c r="D85" s="23"/>
    </row>
    <row r="86" spans="1:5">
      <c r="A86" s="87"/>
      <c r="B86" s="115"/>
      <c r="C86" s="23" t="s">
        <v>942</v>
      </c>
      <c r="D86" s="23"/>
    </row>
    <row r="87" spans="1:5">
      <c r="A87" s="87"/>
      <c r="B87" s="115"/>
      <c r="C87" s="23" t="s">
        <v>2474</v>
      </c>
      <c r="D87" s="23"/>
    </row>
    <row r="88" spans="1:5">
      <c r="A88" s="87"/>
      <c r="B88" s="115"/>
      <c r="C88" s="23" t="s">
        <v>1803</v>
      </c>
      <c r="D88" s="23"/>
    </row>
    <row r="89" spans="1:5">
      <c r="A89" s="87"/>
      <c r="B89" s="115"/>
      <c r="C89" s="23" t="s">
        <v>2475</v>
      </c>
      <c r="D89" s="23"/>
    </row>
    <row r="90" spans="1:5">
      <c r="A90" s="87"/>
      <c r="B90" s="115"/>
      <c r="C90" s="23" t="s">
        <v>1120</v>
      </c>
      <c r="D90" s="23"/>
    </row>
    <row r="91" spans="1:5">
      <c r="A91" s="87"/>
      <c r="B91" s="115"/>
      <c r="C91" s="23" t="s">
        <v>2476</v>
      </c>
      <c r="D91" s="23"/>
    </row>
    <row r="92" spans="1:5">
      <c r="A92" s="87"/>
      <c r="B92" s="115"/>
      <c r="C92" s="23" t="s">
        <v>1747</v>
      </c>
      <c r="D92" s="23"/>
    </row>
    <row r="93" spans="1:5">
      <c r="A93" s="87"/>
      <c r="B93" s="115"/>
      <c r="C93" s="23" t="s">
        <v>797</v>
      </c>
      <c r="D93" s="23"/>
    </row>
    <row r="94" spans="1:5">
      <c r="A94" s="87"/>
      <c r="B94" s="115"/>
      <c r="C94" s="23" t="s">
        <v>2477</v>
      </c>
      <c r="D94" s="23" t="s">
        <v>2478</v>
      </c>
      <c r="E94" s="15" t="s">
        <v>2410</v>
      </c>
    </row>
    <row r="95" spans="1:5">
      <c r="A95" s="87"/>
      <c r="B95" s="115"/>
      <c r="C95" s="23" t="s">
        <v>2479</v>
      </c>
      <c r="D95" s="23" t="s">
        <v>2480</v>
      </c>
      <c r="E95" s="15" t="s">
        <v>2410</v>
      </c>
    </row>
    <row r="96" spans="1:5">
      <c r="A96" s="87"/>
      <c r="B96" s="115"/>
      <c r="C96" s="23" t="s">
        <v>1221</v>
      </c>
      <c r="D96" s="23" t="s">
        <v>2480</v>
      </c>
      <c r="E96" s="15" t="s">
        <v>2410</v>
      </c>
    </row>
    <row r="97" spans="1:5">
      <c r="A97" s="87"/>
      <c r="B97" s="115"/>
      <c r="C97" s="23" t="s">
        <v>2481</v>
      </c>
      <c r="D97" s="23" t="s">
        <v>2480</v>
      </c>
      <c r="E97" s="15" t="s">
        <v>2410</v>
      </c>
    </row>
    <row r="98" spans="1:5">
      <c r="A98" s="87"/>
      <c r="B98" s="115"/>
      <c r="C98" s="23" t="s">
        <v>2482</v>
      </c>
      <c r="D98" s="23" t="s">
        <v>2480</v>
      </c>
      <c r="E98" s="15" t="s">
        <v>2410</v>
      </c>
    </row>
    <row r="99" spans="1:5">
      <c r="A99" s="87"/>
      <c r="B99" s="115"/>
      <c r="C99" s="23" t="s">
        <v>2483</v>
      </c>
      <c r="D99" s="23" t="s">
        <v>2480</v>
      </c>
      <c r="E99" s="15" t="s">
        <v>2410</v>
      </c>
    </row>
    <row r="100" spans="1:5">
      <c r="A100" s="87"/>
      <c r="B100" s="115"/>
      <c r="C100" s="23" t="s">
        <v>2484</v>
      </c>
      <c r="D100" s="23" t="s">
        <v>2480</v>
      </c>
      <c r="E100" s="15" t="s">
        <v>2410</v>
      </c>
    </row>
    <row r="101" spans="1:5">
      <c r="A101" s="87"/>
      <c r="B101" s="115"/>
      <c r="C101" s="23" t="s">
        <v>2485</v>
      </c>
      <c r="D101" s="23" t="s">
        <v>2480</v>
      </c>
      <c r="E101" s="15" t="s">
        <v>2410</v>
      </c>
    </row>
    <row r="102" spans="1:5">
      <c r="A102" s="87"/>
      <c r="B102" s="115"/>
      <c r="C102" s="23" t="s">
        <v>2486</v>
      </c>
      <c r="D102" s="23" t="s">
        <v>2480</v>
      </c>
      <c r="E102" s="15" t="s">
        <v>2410</v>
      </c>
    </row>
    <row r="103" spans="1:5">
      <c r="A103" s="87"/>
      <c r="B103" s="115"/>
      <c r="C103" s="23" t="s">
        <v>2487</v>
      </c>
      <c r="D103" s="23" t="s">
        <v>2480</v>
      </c>
      <c r="E103" s="15" t="s">
        <v>2410</v>
      </c>
    </row>
    <row r="104" spans="1:5">
      <c r="A104" s="82"/>
      <c r="B104" s="82" t="s">
        <v>122</v>
      </c>
      <c r="C104" s="22" t="s">
        <v>134</v>
      </c>
      <c r="D104" s="22"/>
    </row>
    <row r="105" spans="1:5">
      <c r="A105" s="83"/>
      <c r="B105" s="83"/>
      <c r="C105" s="22" t="s">
        <v>121</v>
      </c>
      <c r="D105" s="22"/>
    </row>
    <row r="106" spans="1:5">
      <c r="A106" s="83"/>
      <c r="B106" s="83"/>
      <c r="C106" s="22" t="s">
        <v>366</v>
      </c>
      <c r="D106" s="22"/>
    </row>
    <row r="107" spans="1:5">
      <c r="A107" s="83"/>
      <c r="B107" s="83"/>
      <c r="C107" s="22" t="s">
        <v>492</v>
      </c>
      <c r="D107" s="22"/>
    </row>
    <row r="108" spans="1:5">
      <c r="A108" s="83"/>
      <c r="B108" s="83"/>
      <c r="C108" s="22" t="s">
        <v>33</v>
      </c>
      <c r="D108" s="22"/>
    </row>
    <row r="109" spans="1:5">
      <c r="A109" s="83"/>
      <c r="B109" s="83"/>
      <c r="C109" s="22" t="s">
        <v>651</v>
      </c>
      <c r="D109" s="22"/>
    </row>
    <row r="110" spans="1:5">
      <c r="A110" s="84"/>
      <c r="B110" s="84"/>
      <c r="C110" s="22" t="s">
        <v>498</v>
      </c>
      <c r="D110" s="22"/>
    </row>
    <row r="111" spans="1:5">
      <c r="A111" s="87"/>
      <c r="B111" s="73" t="s">
        <v>2351</v>
      </c>
      <c r="C111" s="23" t="s">
        <v>134</v>
      </c>
      <c r="D111" s="23"/>
    </row>
    <row r="112" spans="1:5">
      <c r="A112" s="87"/>
      <c r="B112" s="74"/>
      <c r="C112" s="23" t="s">
        <v>2358</v>
      </c>
      <c r="D112" s="23"/>
    </row>
    <row r="113" spans="1:4">
      <c r="A113" s="87"/>
      <c r="B113" s="75"/>
      <c r="C113" s="23" t="s">
        <v>2488</v>
      </c>
      <c r="D113" s="23"/>
    </row>
    <row r="114" spans="1:4">
      <c r="A114" s="100"/>
      <c r="B114" s="100" t="s">
        <v>2489</v>
      </c>
      <c r="C114" s="22" t="s">
        <v>134</v>
      </c>
      <c r="D114" s="22"/>
    </row>
    <row r="115" spans="1:4">
      <c r="A115" s="100"/>
      <c r="B115" s="100"/>
      <c r="C115" s="22" t="s">
        <v>366</v>
      </c>
      <c r="D115" s="22"/>
    </row>
    <row r="116" spans="1:4">
      <c r="A116" s="100"/>
      <c r="B116" s="100"/>
      <c r="C116" s="22" t="s">
        <v>492</v>
      </c>
      <c r="D116" s="22"/>
    </row>
    <row r="117" spans="1:4">
      <c r="A117" s="100"/>
      <c r="B117" s="100"/>
      <c r="C117" s="22" t="s">
        <v>651</v>
      </c>
      <c r="D117" s="22"/>
    </row>
    <row r="118" spans="1:4">
      <c r="A118" s="86"/>
      <c r="B118" s="101" t="s">
        <v>2113</v>
      </c>
      <c r="C118" s="23" t="s">
        <v>134</v>
      </c>
      <c r="D118" s="23"/>
    </row>
    <row r="119" spans="1:4">
      <c r="A119" s="125"/>
      <c r="B119" s="124"/>
      <c r="C119" s="23" t="s">
        <v>2490</v>
      </c>
      <c r="D119" s="23"/>
    </row>
    <row r="120" spans="1:4">
      <c r="A120" s="125"/>
      <c r="B120" s="124"/>
      <c r="C120" s="23" t="s">
        <v>492</v>
      </c>
      <c r="D120" s="23"/>
    </row>
    <row r="121" spans="1:4">
      <c r="A121" s="125"/>
      <c r="B121" s="124"/>
      <c r="C121" s="23" t="s">
        <v>33</v>
      </c>
      <c r="D121" s="23"/>
    </row>
    <row r="122" spans="1:4">
      <c r="A122" s="125"/>
      <c r="B122" s="124"/>
      <c r="C122" s="23" t="s">
        <v>366</v>
      </c>
      <c r="D122" s="23"/>
    </row>
    <row r="123" spans="1:4">
      <c r="A123" s="125"/>
      <c r="B123" s="124"/>
      <c r="C123" s="23" t="s">
        <v>2491</v>
      </c>
      <c r="D123" s="23"/>
    </row>
    <row r="124" spans="1:4">
      <c r="A124" s="125"/>
      <c r="B124" s="124"/>
      <c r="C124" s="23" t="s">
        <v>2492</v>
      </c>
      <c r="D124" s="23"/>
    </row>
    <row r="125" spans="1:4">
      <c r="A125" s="125"/>
      <c r="B125" s="124"/>
      <c r="C125" s="23" t="s">
        <v>651</v>
      </c>
      <c r="D125" s="23"/>
    </row>
    <row r="126" spans="1:4">
      <c r="A126" s="87"/>
      <c r="B126" s="102"/>
      <c r="C126" s="23" t="s">
        <v>498</v>
      </c>
      <c r="D126" s="23"/>
    </row>
    <row r="127" spans="1:4">
      <c r="A127" s="82"/>
      <c r="B127" s="82" t="s">
        <v>123</v>
      </c>
      <c r="C127" s="22" t="s">
        <v>137</v>
      </c>
      <c r="D127" s="22"/>
    </row>
    <row r="128" spans="1:4">
      <c r="A128" s="83"/>
      <c r="B128" s="83"/>
      <c r="C128" s="22" t="s">
        <v>2493</v>
      </c>
      <c r="D128" s="22"/>
    </row>
    <row r="129" spans="1:5">
      <c r="A129" s="83"/>
      <c r="B129" s="83"/>
      <c r="C129" s="22" t="s">
        <v>2494</v>
      </c>
      <c r="D129" s="22"/>
    </row>
    <row r="130" spans="1:5">
      <c r="A130" s="83"/>
      <c r="B130" s="83"/>
      <c r="C130" s="22" t="s">
        <v>2064</v>
      </c>
      <c r="D130" s="22"/>
    </row>
    <row r="131" spans="1:5">
      <c r="A131" s="83"/>
      <c r="B131" s="83"/>
      <c r="C131" s="22" t="s">
        <v>33</v>
      </c>
      <c r="D131" s="22"/>
    </row>
    <row r="132" spans="1:5">
      <c r="A132" s="87"/>
      <c r="B132" s="74" t="s">
        <v>2495</v>
      </c>
      <c r="C132" s="23" t="s">
        <v>137</v>
      </c>
      <c r="D132" s="23"/>
    </row>
    <row r="133" spans="1:5">
      <c r="A133" s="87"/>
      <c r="B133" s="74"/>
      <c r="C133" s="23" t="s">
        <v>33</v>
      </c>
      <c r="D133" s="23"/>
    </row>
    <row r="134" spans="1:5">
      <c r="A134" s="88"/>
      <c r="B134" s="75"/>
      <c r="C134" s="23" t="s">
        <v>498</v>
      </c>
      <c r="D134" s="23"/>
    </row>
    <row r="135" spans="1:5">
      <c r="A135" s="89"/>
      <c r="B135" s="89" t="s">
        <v>131</v>
      </c>
      <c r="C135" s="22" t="s">
        <v>139</v>
      </c>
      <c r="D135" s="22"/>
    </row>
    <row r="136" spans="1:5">
      <c r="A136" s="90"/>
      <c r="B136" s="90"/>
      <c r="C136" s="22" t="s">
        <v>1449</v>
      </c>
      <c r="D136" s="22"/>
      <c r="E136" s="15" t="s">
        <v>2410</v>
      </c>
    </row>
    <row r="137" spans="1:5">
      <c r="A137" s="90"/>
      <c r="B137" s="90"/>
      <c r="C137" s="22" t="s">
        <v>1050</v>
      </c>
      <c r="D137" s="22" t="s">
        <v>2496</v>
      </c>
    </row>
    <row r="138" spans="1:5">
      <c r="A138" s="90"/>
      <c r="B138" s="90"/>
      <c r="C138" s="22" t="s">
        <v>2497</v>
      </c>
      <c r="D138" s="22" t="s">
        <v>2498</v>
      </c>
    </row>
    <row r="139" spans="1:5">
      <c r="A139" s="90"/>
      <c r="B139" s="90"/>
      <c r="C139" s="22" t="s">
        <v>2499</v>
      </c>
      <c r="D139" s="22"/>
    </row>
    <row r="140" spans="1:5">
      <c r="A140" s="90"/>
      <c r="B140" s="90"/>
      <c r="C140" s="22" t="s">
        <v>2500</v>
      </c>
      <c r="D140" s="22"/>
    </row>
    <row r="141" spans="1:5">
      <c r="A141" s="90"/>
      <c r="B141" s="90"/>
      <c r="C141" s="22" t="s">
        <v>2501</v>
      </c>
      <c r="D141" s="22"/>
    </row>
    <row r="142" spans="1:5">
      <c r="A142" s="90"/>
      <c r="B142" s="90"/>
      <c r="C142" s="22" t="s">
        <v>2502</v>
      </c>
      <c r="D142" s="22"/>
    </row>
    <row r="143" spans="1:5">
      <c r="A143" s="90"/>
      <c r="B143" s="90"/>
      <c r="C143" s="22" t="s">
        <v>2503</v>
      </c>
      <c r="D143" s="22"/>
    </row>
    <row r="144" spans="1:5">
      <c r="A144" s="90"/>
      <c r="B144" s="90"/>
      <c r="C144" s="22" t="s">
        <v>2504</v>
      </c>
      <c r="D144" s="22"/>
    </row>
    <row r="145" spans="1:4">
      <c r="A145" s="90"/>
      <c r="B145" s="90"/>
      <c r="C145" s="22" t="s">
        <v>498</v>
      </c>
      <c r="D145" s="22"/>
    </row>
    <row r="146" spans="1:4">
      <c r="A146" s="86"/>
      <c r="B146" s="79" t="s">
        <v>2505</v>
      </c>
      <c r="C146" s="23" t="s">
        <v>318</v>
      </c>
      <c r="D146" s="23"/>
    </row>
    <row r="147" spans="1:4">
      <c r="A147" s="88"/>
      <c r="B147" s="81"/>
      <c r="C147" s="23" t="s">
        <v>141</v>
      </c>
      <c r="D147" s="23"/>
    </row>
    <row r="148" spans="1:4">
      <c r="A148" s="68"/>
      <c r="B148" s="123" t="s">
        <v>8</v>
      </c>
      <c r="C148" s="22" t="s">
        <v>31</v>
      </c>
      <c r="D148" s="22" t="s">
        <v>2506</v>
      </c>
    </row>
    <row r="149" spans="1:4">
      <c r="A149" s="69"/>
      <c r="B149" s="69"/>
      <c r="C149" s="22" t="s">
        <v>2507</v>
      </c>
      <c r="D149" s="22" t="s">
        <v>2508</v>
      </c>
    </row>
    <row r="150" spans="1:4">
      <c r="A150" s="69"/>
      <c r="B150" s="69"/>
      <c r="C150" s="22" t="s">
        <v>914</v>
      </c>
      <c r="D150" s="22" t="s">
        <v>2509</v>
      </c>
    </row>
    <row r="151" spans="1:4">
      <c r="A151" s="69"/>
      <c r="B151" s="69"/>
      <c r="C151" s="22" t="s">
        <v>894</v>
      </c>
      <c r="D151" s="22" t="s">
        <v>2510</v>
      </c>
    </row>
    <row r="152" spans="1:4">
      <c r="A152" s="69"/>
      <c r="B152" s="69"/>
      <c r="C152" s="22" t="s">
        <v>2511</v>
      </c>
      <c r="D152" s="22" t="s">
        <v>2512</v>
      </c>
    </row>
    <row r="153" spans="1:4">
      <c r="A153" s="69"/>
      <c r="B153" s="69"/>
      <c r="C153" s="22" t="s">
        <v>2513</v>
      </c>
      <c r="D153" s="22" t="s">
        <v>2514</v>
      </c>
    </row>
    <row r="154" spans="1:4">
      <c r="A154" s="69"/>
      <c r="B154" s="69"/>
      <c r="C154" s="22" t="s">
        <v>2515</v>
      </c>
      <c r="D154" s="22" t="s">
        <v>2516</v>
      </c>
    </row>
    <row r="155" spans="1:4">
      <c r="A155" s="69"/>
      <c r="B155" s="69"/>
      <c r="C155" s="22" t="s">
        <v>2517</v>
      </c>
      <c r="D155" s="22" t="s">
        <v>2518</v>
      </c>
    </row>
    <row r="156" spans="1:4">
      <c r="A156" s="69"/>
      <c r="B156" s="69"/>
      <c r="C156" s="22" t="s">
        <v>2519</v>
      </c>
      <c r="D156" s="22" t="s">
        <v>2520</v>
      </c>
    </row>
    <row r="157" spans="1:4">
      <c r="A157" s="69"/>
      <c r="B157" s="69"/>
      <c r="C157" s="22" t="s">
        <v>2521</v>
      </c>
      <c r="D157" s="22" t="s">
        <v>2522</v>
      </c>
    </row>
    <row r="158" spans="1:4">
      <c r="A158" s="69"/>
      <c r="B158" s="69"/>
      <c r="C158" s="22" t="s">
        <v>2523</v>
      </c>
      <c r="D158" s="22" t="s">
        <v>2524</v>
      </c>
    </row>
    <row r="159" spans="1:4">
      <c r="A159" s="69"/>
      <c r="B159" s="69"/>
      <c r="C159" s="22" t="s">
        <v>1333</v>
      </c>
      <c r="D159" s="22" t="s">
        <v>2525</v>
      </c>
    </row>
    <row r="160" spans="1:4">
      <c r="A160" s="69"/>
      <c r="B160" s="69"/>
      <c r="C160" s="22" t="s">
        <v>1157</v>
      </c>
      <c r="D160" s="22" t="s">
        <v>2526</v>
      </c>
    </row>
    <row r="161" spans="1:4">
      <c r="A161" s="69"/>
      <c r="B161" s="69"/>
      <c r="C161" s="22" t="s">
        <v>1064</v>
      </c>
      <c r="D161" s="22" t="s">
        <v>2527</v>
      </c>
    </row>
    <row r="162" spans="1:4">
      <c r="A162" s="69"/>
      <c r="B162" s="69"/>
      <c r="C162" s="22" t="s">
        <v>1153</v>
      </c>
      <c r="D162" s="22" t="s">
        <v>2528</v>
      </c>
    </row>
    <row r="163" spans="1:4">
      <c r="A163" s="69"/>
      <c r="B163" s="69"/>
      <c r="C163" s="22" t="s">
        <v>2529</v>
      </c>
      <c r="D163" s="22" t="s">
        <v>2530</v>
      </c>
    </row>
    <row r="164" spans="1:4">
      <c r="A164" s="69"/>
      <c r="B164" s="69"/>
      <c r="C164" s="22" t="s">
        <v>2531</v>
      </c>
      <c r="D164" s="22" t="s">
        <v>2532</v>
      </c>
    </row>
    <row r="165" spans="1:4">
      <c r="A165" s="69"/>
      <c r="B165" s="69"/>
      <c r="C165" s="22" t="s">
        <v>1310</v>
      </c>
      <c r="D165" s="22" t="s">
        <v>2533</v>
      </c>
    </row>
    <row r="166" spans="1:4">
      <c r="A166" s="69"/>
      <c r="B166" s="69"/>
      <c r="C166" s="22" t="s">
        <v>2534</v>
      </c>
      <c r="D166" s="22" t="s">
        <v>2535</v>
      </c>
    </row>
    <row r="167" spans="1:4">
      <c r="A167" s="69"/>
      <c r="B167" s="69"/>
      <c r="C167" s="22" t="s">
        <v>2536</v>
      </c>
      <c r="D167" s="22" t="s">
        <v>2537</v>
      </c>
    </row>
    <row r="168" spans="1:4">
      <c r="A168" s="69"/>
      <c r="B168" s="69"/>
      <c r="C168" s="22" t="s">
        <v>1139</v>
      </c>
      <c r="D168" s="22" t="s">
        <v>2538</v>
      </c>
    </row>
    <row r="169" spans="1:4">
      <c r="A169" s="69"/>
      <c r="B169" s="69"/>
      <c r="C169" s="22" t="s">
        <v>2539</v>
      </c>
      <c r="D169" s="22" t="s">
        <v>2540</v>
      </c>
    </row>
    <row r="170" spans="1:4">
      <c r="A170" s="69"/>
      <c r="B170" s="69"/>
      <c r="C170" s="22" t="s">
        <v>2541</v>
      </c>
      <c r="D170" s="22" t="s">
        <v>2542</v>
      </c>
    </row>
    <row r="171" spans="1:4">
      <c r="A171" s="69"/>
      <c r="B171" s="69"/>
      <c r="C171" s="22" t="s">
        <v>2543</v>
      </c>
      <c r="D171" s="22" t="s">
        <v>2544</v>
      </c>
    </row>
    <row r="172" spans="1:4">
      <c r="A172" s="69"/>
      <c r="B172" s="69"/>
      <c r="C172" s="22" t="s">
        <v>2545</v>
      </c>
      <c r="D172" s="22" t="s">
        <v>2546</v>
      </c>
    </row>
    <row r="173" spans="1:4">
      <c r="A173" s="69"/>
      <c r="B173" s="69"/>
      <c r="C173" s="22" t="s">
        <v>2547</v>
      </c>
      <c r="D173" s="22" t="s">
        <v>2548</v>
      </c>
    </row>
    <row r="174" spans="1:4">
      <c r="A174" s="69"/>
      <c r="B174" s="69"/>
      <c r="C174" s="22" t="s">
        <v>2549</v>
      </c>
      <c r="D174" s="22" t="s">
        <v>2550</v>
      </c>
    </row>
    <row r="175" spans="1:4">
      <c r="A175" s="69"/>
      <c r="B175" s="69"/>
      <c r="C175" s="22" t="s">
        <v>2551</v>
      </c>
      <c r="D175" s="22" t="s">
        <v>2552</v>
      </c>
    </row>
    <row r="176" spans="1:4">
      <c r="A176" s="69"/>
      <c r="B176" s="69"/>
      <c r="C176" s="22" t="s">
        <v>2553</v>
      </c>
      <c r="D176" s="22" t="s">
        <v>2554</v>
      </c>
    </row>
    <row r="177" spans="1:5">
      <c r="A177" s="69"/>
      <c r="B177" s="69"/>
      <c r="C177" s="22" t="s">
        <v>2555</v>
      </c>
      <c r="D177" s="22" t="s">
        <v>2556</v>
      </c>
    </row>
    <row r="178" spans="1:5">
      <c r="A178" s="69"/>
      <c r="B178" s="69"/>
      <c r="C178" s="22" t="s">
        <v>2557</v>
      </c>
      <c r="D178" s="22" t="s">
        <v>2558</v>
      </c>
    </row>
    <row r="179" spans="1:5">
      <c r="A179" s="69"/>
      <c r="B179" s="69"/>
      <c r="C179" s="22" t="s">
        <v>2559</v>
      </c>
      <c r="D179" s="22" t="s">
        <v>2560</v>
      </c>
    </row>
    <row r="180" spans="1:5">
      <c r="A180" s="69"/>
      <c r="B180" s="69"/>
      <c r="C180" s="22" t="s">
        <v>2561</v>
      </c>
      <c r="D180" s="22" t="s">
        <v>2562</v>
      </c>
      <c r="E180" s="15" t="s">
        <v>2410</v>
      </c>
    </row>
    <row r="181" spans="1:5">
      <c r="A181" s="69"/>
      <c r="B181" s="69"/>
      <c r="C181" s="22" t="s">
        <v>498</v>
      </c>
      <c r="D181" s="22" t="s">
        <v>498</v>
      </c>
    </row>
    <row r="182" spans="1:5">
      <c r="A182" s="86"/>
      <c r="B182" s="79" t="s">
        <v>2563</v>
      </c>
      <c r="C182" s="60" t="s">
        <v>144</v>
      </c>
      <c r="D182" s="60"/>
    </row>
    <row r="183" spans="1:5">
      <c r="A183" s="87"/>
      <c r="B183" s="80"/>
      <c r="C183" s="60" t="s">
        <v>2141</v>
      </c>
      <c r="D183" s="60"/>
    </row>
    <row r="184" spans="1:5">
      <c r="A184" s="87"/>
      <c r="B184" s="80"/>
      <c r="C184" s="60" t="s">
        <v>2564</v>
      </c>
      <c r="D184" s="60"/>
    </row>
    <row r="185" spans="1:5">
      <c r="A185" s="88"/>
      <c r="B185" s="81"/>
      <c r="C185" s="62" t="s">
        <v>481</v>
      </c>
      <c r="D185" s="62"/>
    </row>
    <row r="186" spans="1:5">
      <c r="A186" s="82"/>
      <c r="B186" s="82" t="s">
        <v>128</v>
      </c>
      <c r="C186" s="59" t="s">
        <v>1369</v>
      </c>
      <c r="D186" s="59"/>
    </row>
    <row r="187" spans="1:5">
      <c r="A187" s="83"/>
      <c r="B187" s="83"/>
      <c r="C187" s="59" t="s">
        <v>146</v>
      </c>
      <c r="D187" s="59"/>
    </row>
    <row r="188" spans="1:5">
      <c r="A188" s="86"/>
      <c r="B188" s="79" t="s">
        <v>10</v>
      </c>
      <c r="C188" s="62" t="s">
        <v>143</v>
      </c>
      <c r="D188" s="62" t="s">
        <v>2565</v>
      </c>
    </row>
    <row r="189" spans="1:5">
      <c r="A189" s="87"/>
      <c r="B189" s="80"/>
      <c r="C189" s="62" t="s">
        <v>164</v>
      </c>
      <c r="D189" s="62" t="s">
        <v>2566</v>
      </c>
    </row>
    <row r="190" spans="1:5">
      <c r="A190" s="87"/>
      <c r="B190" s="80"/>
      <c r="C190" s="62" t="s">
        <v>33</v>
      </c>
      <c r="D190" s="62" t="s">
        <v>33</v>
      </c>
    </row>
    <row r="191" spans="1:5">
      <c r="A191" s="87"/>
      <c r="B191" s="80"/>
      <c r="C191" s="62" t="s">
        <v>2567</v>
      </c>
      <c r="D191" s="62" t="s">
        <v>2568</v>
      </c>
    </row>
    <row r="192" spans="1:5">
      <c r="A192" s="87"/>
      <c r="B192" s="80"/>
      <c r="C192" s="62" t="s">
        <v>2569</v>
      </c>
      <c r="D192" s="62" t="s">
        <v>2570</v>
      </c>
    </row>
    <row r="193" spans="1:4">
      <c r="A193" s="87"/>
      <c r="B193" s="80"/>
      <c r="C193" s="62" t="s">
        <v>2571</v>
      </c>
      <c r="D193" s="62" t="s">
        <v>2572</v>
      </c>
    </row>
    <row r="194" spans="1:4">
      <c r="A194" s="87"/>
      <c r="B194" s="80"/>
      <c r="C194" s="62" t="s">
        <v>2573</v>
      </c>
      <c r="D194" s="62" t="s">
        <v>2574</v>
      </c>
    </row>
    <row r="195" spans="1:4">
      <c r="A195" s="87"/>
      <c r="B195" s="80"/>
      <c r="C195" s="62" t="s">
        <v>2575</v>
      </c>
      <c r="D195" s="62" t="s">
        <v>2576</v>
      </c>
    </row>
    <row r="196" spans="1:4">
      <c r="A196" s="87"/>
      <c r="B196" s="80"/>
      <c r="C196" s="62" t="s">
        <v>2577</v>
      </c>
      <c r="D196" s="62" t="s">
        <v>2578</v>
      </c>
    </row>
    <row r="197" spans="1:4">
      <c r="A197" s="87"/>
      <c r="B197" s="80"/>
      <c r="C197" s="62" t="s">
        <v>2579</v>
      </c>
      <c r="D197" s="62" t="s">
        <v>2580</v>
      </c>
    </row>
    <row r="198" spans="1:4">
      <c r="A198" s="87"/>
      <c r="B198" s="80"/>
      <c r="C198" s="62" t="s">
        <v>2581</v>
      </c>
      <c r="D198" s="62" t="s">
        <v>2582</v>
      </c>
    </row>
    <row r="199" spans="1:4">
      <c r="A199" s="87"/>
      <c r="B199" s="80"/>
      <c r="C199" s="62" t="s">
        <v>575</v>
      </c>
      <c r="D199" s="62" t="s">
        <v>2583</v>
      </c>
    </row>
    <row r="200" spans="1:4">
      <c r="A200" s="87"/>
      <c r="B200" s="80"/>
      <c r="C200" s="62" t="s">
        <v>498</v>
      </c>
      <c r="D200" s="62" t="s">
        <v>498</v>
      </c>
    </row>
    <row r="201" spans="1:4">
      <c r="A201" s="88"/>
      <c r="B201" s="81"/>
      <c r="C201" s="62" t="s">
        <v>481</v>
      </c>
      <c r="D201" s="62" t="s">
        <v>2584</v>
      </c>
    </row>
    <row r="202" spans="1:4">
      <c r="A202" s="123"/>
      <c r="B202" s="123" t="s">
        <v>124</v>
      </c>
      <c r="C202" s="22" t="s">
        <v>1450</v>
      </c>
      <c r="D202" s="22"/>
    </row>
    <row r="203" spans="1:4">
      <c r="A203" s="69"/>
      <c r="B203" s="69"/>
      <c r="C203" s="22" t="s">
        <v>780</v>
      </c>
      <c r="D203" s="22"/>
    </row>
    <row r="204" spans="1:4">
      <c r="A204" s="69"/>
      <c r="B204" s="69"/>
      <c r="C204" s="22" t="s">
        <v>2585</v>
      </c>
      <c r="D204" s="22"/>
    </row>
    <row r="205" spans="1:4">
      <c r="A205" s="69"/>
      <c r="B205" s="69"/>
      <c r="C205" s="22" t="s">
        <v>2586</v>
      </c>
      <c r="D205" s="22"/>
    </row>
    <row r="206" spans="1:4">
      <c r="A206" s="69"/>
      <c r="B206" s="69"/>
      <c r="C206" s="22" t="s">
        <v>151</v>
      </c>
      <c r="D206" s="22"/>
    </row>
    <row r="207" spans="1:4">
      <c r="A207" s="69"/>
      <c r="B207" s="69"/>
      <c r="C207" s="22" t="s">
        <v>220</v>
      </c>
      <c r="D207" s="22"/>
    </row>
    <row r="208" spans="1:4">
      <c r="A208" s="69"/>
      <c r="B208" s="69"/>
      <c r="C208" s="22" t="s">
        <v>2587</v>
      </c>
      <c r="D208" s="22"/>
    </row>
    <row r="209" spans="1:5">
      <c r="A209" s="69"/>
      <c r="B209" s="69"/>
      <c r="C209" s="22" t="s">
        <v>447</v>
      </c>
      <c r="D209" s="22"/>
    </row>
    <row r="210" spans="1:5">
      <c r="A210" s="69"/>
      <c r="B210" s="69"/>
      <c r="C210" s="22" t="s">
        <v>1051</v>
      </c>
      <c r="D210" s="22"/>
    </row>
    <row r="211" spans="1:5">
      <c r="A211" s="69"/>
      <c r="B211" s="69"/>
      <c r="C211" s="22" t="s">
        <v>170</v>
      </c>
      <c r="D211" s="22"/>
    </row>
    <row r="212" spans="1:5">
      <c r="A212" s="69"/>
      <c r="B212" s="69"/>
      <c r="C212" s="22" t="s">
        <v>727</v>
      </c>
      <c r="D212" s="22"/>
    </row>
    <row r="213" spans="1:5">
      <c r="A213" s="69"/>
      <c r="B213" s="69"/>
      <c r="C213" s="22" t="s">
        <v>162</v>
      </c>
      <c r="D213" s="22"/>
    </row>
    <row r="214" spans="1:5">
      <c r="A214" s="69"/>
      <c r="B214" s="69"/>
      <c r="C214" s="22" t="s">
        <v>285</v>
      </c>
      <c r="D214" s="22"/>
    </row>
    <row r="215" spans="1:5">
      <c r="A215" s="69"/>
      <c r="B215" s="69"/>
      <c r="C215" s="22" t="s">
        <v>1514</v>
      </c>
      <c r="D215" s="22"/>
    </row>
    <row r="216" spans="1:5">
      <c r="A216" s="69"/>
      <c r="B216" s="69"/>
      <c r="C216" s="22" t="s">
        <v>2588</v>
      </c>
      <c r="D216" s="22"/>
    </row>
    <row r="217" spans="1:5">
      <c r="A217" s="69"/>
      <c r="B217" s="69"/>
      <c r="C217" s="22" t="s">
        <v>199</v>
      </c>
      <c r="D217" s="22"/>
    </row>
    <row r="218" spans="1:5">
      <c r="A218" s="69"/>
      <c r="B218" s="69"/>
      <c r="C218" s="22" t="s">
        <v>2589</v>
      </c>
      <c r="D218" s="22" t="s">
        <v>2590</v>
      </c>
      <c r="E218" s="15" t="s">
        <v>2410</v>
      </c>
    </row>
    <row r="219" spans="1:5">
      <c r="A219" s="69"/>
      <c r="B219" s="69"/>
      <c r="C219" s="22" t="s">
        <v>369</v>
      </c>
      <c r="D219" s="22"/>
    </row>
    <row r="220" spans="1:5">
      <c r="A220" s="69"/>
      <c r="B220" s="69"/>
      <c r="C220" s="22" t="s">
        <v>887</v>
      </c>
      <c r="D220" s="22"/>
    </row>
    <row r="221" spans="1:5">
      <c r="A221" s="69"/>
      <c r="B221" s="69"/>
      <c r="C221" s="22" t="s">
        <v>140</v>
      </c>
      <c r="D221" s="22"/>
    </row>
    <row r="222" spans="1:5">
      <c r="A222" s="69"/>
      <c r="B222" s="69"/>
      <c r="C222" s="22" t="s">
        <v>2591</v>
      </c>
      <c r="D222" s="22"/>
    </row>
    <row r="223" spans="1:5">
      <c r="A223" s="69"/>
      <c r="B223" s="69"/>
      <c r="C223" s="22" t="s">
        <v>798</v>
      </c>
      <c r="D223" s="22"/>
    </row>
    <row r="224" spans="1:5">
      <c r="A224" s="69"/>
      <c r="B224" s="69"/>
      <c r="C224" s="22" t="s">
        <v>878</v>
      </c>
      <c r="D224" s="22"/>
    </row>
    <row r="225" spans="1:4">
      <c r="A225" s="69"/>
      <c r="B225" s="69"/>
      <c r="C225" s="22" t="s">
        <v>2592</v>
      </c>
      <c r="D225" s="22"/>
    </row>
    <row r="226" spans="1:4">
      <c r="A226" s="69"/>
      <c r="B226" s="69"/>
      <c r="C226" s="22" t="s">
        <v>544</v>
      </c>
      <c r="D226" s="22"/>
    </row>
    <row r="227" spans="1:4">
      <c r="A227" s="69"/>
      <c r="B227" s="69"/>
      <c r="C227" s="22" t="s">
        <v>555</v>
      </c>
      <c r="D227" s="22"/>
    </row>
    <row r="228" spans="1:4">
      <c r="A228" s="69"/>
      <c r="B228" s="69"/>
      <c r="C228" s="22" t="s">
        <v>718</v>
      </c>
      <c r="D228" s="22"/>
    </row>
    <row r="229" spans="1:4">
      <c r="A229" s="69"/>
      <c r="B229" s="69"/>
      <c r="C229" s="22" t="s">
        <v>186</v>
      </c>
      <c r="D229" s="22"/>
    </row>
    <row r="230" spans="1:4">
      <c r="A230" s="69"/>
      <c r="B230" s="69"/>
      <c r="C230" s="22" t="s">
        <v>208</v>
      </c>
      <c r="D230" s="22"/>
    </row>
    <row r="231" spans="1:4">
      <c r="A231" s="69"/>
      <c r="B231" s="69"/>
      <c r="C231" s="22" t="s">
        <v>2593</v>
      </c>
      <c r="D231" s="22"/>
    </row>
    <row r="232" spans="1:4">
      <c r="A232" s="69"/>
      <c r="B232" s="69"/>
      <c r="C232" s="22" t="s">
        <v>573</v>
      </c>
      <c r="D232" s="22"/>
    </row>
    <row r="233" spans="1:4">
      <c r="A233" s="69"/>
      <c r="B233" s="69"/>
      <c r="C233" s="22" t="s">
        <v>2594</v>
      </c>
      <c r="D233" s="22"/>
    </row>
    <row r="234" spans="1:4">
      <c r="A234" s="69"/>
      <c r="B234" s="69"/>
      <c r="C234" s="22" t="s">
        <v>2595</v>
      </c>
      <c r="D234" s="22"/>
    </row>
    <row r="235" spans="1:4">
      <c r="A235" s="69"/>
      <c r="B235" s="69"/>
      <c r="C235" s="22" t="s">
        <v>2596</v>
      </c>
      <c r="D235" s="22"/>
    </row>
    <row r="236" spans="1:4">
      <c r="A236" s="69"/>
      <c r="B236" s="69"/>
      <c r="C236" s="22" t="s">
        <v>2597</v>
      </c>
      <c r="D236" s="22"/>
    </row>
    <row r="237" spans="1:4">
      <c r="A237" s="69"/>
      <c r="B237" s="69"/>
      <c r="C237" s="22" t="s">
        <v>2598</v>
      </c>
      <c r="D237" s="22"/>
    </row>
    <row r="238" spans="1:4">
      <c r="A238" s="69"/>
      <c r="B238" s="69"/>
      <c r="C238" s="22" t="s">
        <v>1571</v>
      </c>
      <c r="D238" s="22"/>
    </row>
    <row r="239" spans="1:4">
      <c r="A239" s="69"/>
      <c r="B239" s="69"/>
      <c r="C239" s="22" t="s">
        <v>2599</v>
      </c>
      <c r="D239" s="22"/>
    </row>
    <row r="240" spans="1:4">
      <c r="A240" s="69"/>
      <c r="B240" s="69"/>
      <c r="C240" s="22" t="s">
        <v>2600</v>
      </c>
      <c r="D240" s="22"/>
    </row>
    <row r="241" spans="1:4">
      <c r="A241" s="69"/>
      <c r="B241" s="69"/>
      <c r="C241" s="22" t="s">
        <v>734</v>
      </c>
      <c r="D241" s="22"/>
    </row>
    <row r="242" spans="1:4">
      <c r="A242" s="69"/>
      <c r="B242" s="69"/>
      <c r="C242" s="22" t="s">
        <v>829</v>
      </c>
      <c r="D242" s="22"/>
    </row>
    <row r="243" spans="1:4">
      <c r="A243" s="69"/>
      <c r="B243" s="69"/>
      <c r="C243" s="22" t="s">
        <v>465</v>
      </c>
      <c r="D243" s="22"/>
    </row>
    <row r="244" spans="1:4">
      <c r="A244" s="69"/>
      <c r="B244" s="69"/>
      <c r="C244" s="22" t="s">
        <v>378</v>
      </c>
      <c r="D244" s="22"/>
    </row>
    <row r="245" spans="1:4">
      <c r="A245" s="69"/>
      <c r="B245" s="69"/>
      <c r="C245" s="22" t="s">
        <v>2601</v>
      </c>
      <c r="D245" s="22"/>
    </row>
    <row r="246" spans="1:4">
      <c r="A246" s="69"/>
      <c r="B246" s="69"/>
      <c r="C246" s="22" t="s">
        <v>480</v>
      </c>
      <c r="D246" s="22"/>
    </row>
    <row r="247" spans="1:4">
      <c r="A247" s="69"/>
      <c r="B247" s="69"/>
      <c r="C247" s="22" t="s">
        <v>2602</v>
      </c>
      <c r="D247" s="22"/>
    </row>
    <row r="248" spans="1:4">
      <c r="A248" s="69"/>
      <c r="B248" s="69"/>
      <c r="C248" s="22" t="s">
        <v>2603</v>
      </c>
      <c r="D248" s="22"/>
    </row>
    <row r="249" spans="1:4">
      <c r="A249" s="69"/>
      <c r="B249" s="69"/>
      <c r="C249" s="22" t="s">
        <v>2604</v>
      </c>
      <c r="D249" s="22"/>
    </row>
    <row r="250" spans="1:4">
      <c r="A250" s="69"/>
      <c r="B250" s="69"/>
      <c r="C250" s="22" t="s">
        <v>612</v>
      </c>
      <c r="D250" s="22"/>
    </row>
    <row r="251" spans="1:4">
      <c r="A251" s="69"/>
      <c r="B251" s="69"/>
      <c r="C251" s="22" t="s">
        <v>1565</v>
      </c>
      <c r="D251" s="22"/>
    </row>
    <row r="252" spans="1:4">
      <c r="A252" s="69"/>
      <c r="B252" s="69"/>
      <c r="C252" s="22" t="s">
        <v>498</v>
      </c>
      <c r="D252" s="22"/>
    </row>
    <row r="253" spans="1:4">
      <c r="A253" s="69"/>
      <c r="B253" s="69"/>
      <c r="C253" s="22" t="s">
        <v>2605</v>
      </c>
      <c r="D253" s="22"/>
    </row>
    <row r="254" spans="1:4">
      <c r="A254" s="69"/>
      <c r="B254" s="69"/>
      <c r="C254" s="22" t="s">
        <v>2606</v>
      </c>
      <c r="D254" s="22"/>
    </row>
    <row r="255" spans="1:4">
      <c r="A255" s="69"/>
      <c r="B255" s="69"/>
      <c r="C255" s="22" t="s">
        <v>2607</v>
      </c>
      <c r="D255" s="22"/>
    </row>
    <row r="256" spans="1:4">
      <c r="A256" s="69"/>
      <c r="B256" s="69"/>
      <c r="C256" s="22" t="s">
        <v>2608</v>
      </c>
      <c r="D256" s="22"/>
    </row>
    <row r="257" spans="1:5">
      <c r="A257" s="69"/>
      <c r="B257" s="69"/>
      <c r="C257" s="22" t="s">
        <v>2609</v>
      </c>
      <c r="D257" s="22"/>
    </row>
    <row r="258" spans="1:5">
      <c r="A258" s="69"/>
      <c r="B258" s="69"/>
      <c r="C258" s="22" t="s">
        <v>2610</v>
      </c>
      <c r="D258" s="22"/>
    </row>
    <row r="259" spans="1:5">
      <c r="A259" s="69"/>
      <c r="B259" s="69"/>
      <c r="C259" s="22" t="s">
        <v>2611</v>
      </c>
      <c r="D259" s="22"/>
    </row>
    <row r="260" spans="1:5">
      <c r="A260" s="69"/>
      <c r="B260" s="69"/>
      <c r="C260" s="22" t="s">
        <v>2612</v>
      </c>
      <c r="D260" s="22"/>
    </row>
    <row r="261" spans="1:5">
      <c r="A261" s="69"/>
      <c r="B261" s="69"/>
      <c r="C261" s="22" t="s">
        <v>2613</v>
      </c>
      <c r="D261" s="22"/>
    </row>
    <row r="262" spans="1:5">
      <c r="A262" s="69"/>
      <c r="B262" s="69"/>
      <c r="C262" s="22" t="s">
        <v>2614</v>
      </c>
      <c r="D262" s="22"/>
    </row>
    <row r="263" spans="1:5">
      <c r="A263" s="69"/>
      <c r="B263" s="69"/>
      <c r="C263" s="22" t="s">
        <v>2615</v>
      </c>
      <c r="D263" s="22"/>
    </row>
    <row r="264" spans="1:5">
      <c r="A264" s="69"/>
      <c r="B264" s="69"/>
      <c r="C264" s="22" t="s">
        <v>2616</v>
      </c>
      <c r="D264" s="22"/>
    </row>
    <row r="265" spans="1:5">
      <c r="A265" s="69"/>
      <c r="B265" s="69"/>
      <c r="C265" s="22" t="s">
        <v>2617</v>
      </c>
      <c r="D265" s="22"/>
    </row>
    <row r="266" spans="1:5">
      <c r="A266" s="69"/>
      <c r="B266" s="69"/>
      <c r="C266" s="22" t="s">
        <v>2618</v>
      </c>
      <c r="D266" s="22"/>
    </row>
    <row r="267" spans="1:5">
      <c r="A267" s="69"/>
      <c r="B267" s="69"/>
      <c r="C267" s="22" t="s">
        <v>2619</v>
      </c>
      <c r="D267" s="22"/>
    </row>
    <row r="268" spans="1:5">
      <c r="A268" s="69"/>
      <c r="B268" s="69"/>
      <c r="C268" s="22" t="s">
        <v>2620</v>
      </c>
      <c r="D268" s="22"/>
    </row>
    <row r="269" spans="1:5">
      <c r="A269" s="69"/>
      <c r="B269" s="69"/>
      <c r="C269" s="22" t="s">
        <v>2621</v>
      </c>
      <c r="D269" s="22"/>
    </row>
    <row r="270" spans="1:5">
      <c r="A270" s="69"/>
      <c r="B270" s="69"/>
      <c r="C270" s="22" t="s">
        <v>2622</v>
      </c>
      <c r="D270" s="22" t="s">
        <v>2623</v>
      </c>
      <c r="E270" s="15" t="s">
        <v>2410</v>
      </c>
    </row>
    <row r="271" spans="1:5">
      <c r="A271" s="69"/>
      <c r="B271" s="69"/>
      <c r="C271" s="22" t="s">
        <v>2624</v>
      </c>
      <c r="D271" s="22" t="s">
        <v>2625</v>
      </c>
      <c r="E271" s="15" t="s">
        <v>2410</v>
      </c>
    </row>
    <row r="272" spans="1:5">
      <c r="A272" s="69"/>
      <c r="B272" s="69"/>
      <c r="C272" s="22" t="s">
        <v>2626</v>
      </c>
      <c r="D272" s="22" t="s">
        <v>2627</v>
      </c>
      <c r="E272" s="15" t="s">
        <v>2410</v>
      </c>
    </row>
    <row r="273" spans="1:5">
      <c r="A273" s="69"/>
      <c r="B273" s="69"/>
      <c r="C273" s="22" t="s">
        <v>663</v>
      </c>
      <c r="D273" s="22"/>
    </row>
    <row r="274" spans="1:5">
      <c r="A274" s="69"/>
      <c r="B274" s="69"/>
      <c r="C274" s="22" t="s">
        <v>2628</v>
      </c>
      <c r="D274" s="22" t="s">
        <v>2629</v>
      </c>
      <c r="E274" s="15" t="s">
        <v>2410</v>
      </c>
    </row>
    <row r="275" spans="1:5">
      <c r="A275" s="69"/>
      <c r="B275" s="69"/>
      <c r="C275" s="22" t="s">
        <v>2630</v>
      </c>
      <c r="D275" s="22"/>
    </row>
    <row r="276" spans="1:5">
      <c r="A276" s="69"/>
      <c r="B276" s="69"/>
      <c r="C276" s="22" t="s">
        <v>2631</v>
      </c>
      <c r="D276" s="22"/>
    </row>
    <row r="277" spans="1:5">
      <c r="A277" s="69"/>
      <c r="B277" s="69"/>
      <c r="C277" s="22" t="s">
        <v>2632</v>
      </c>
      <c r="D277" s="22"/>
    </row>
    <row r="278" spans="1:5">
      <c r="A278" s="69"/>
      <c r="B278" s="69"/>
      <c r="C278" s="22" t="s">
        <v>900</v>
      </c>
      <c r="D278" s="22"/>
    </row>
    <row r="279" spans="1:5">
      <c r="A279" s="69"/>
      <c r="B279" s="69"/>
      <c r="C279" s="22" t="s">
        <v>2633</v>
      </c>
      <c r="D279" s="22"/>
    </row>
    <row r="280" spans="1:5">
      <c r="A280" s="69"/>
      <c r="B280" s="69"/>
      <c r="C280" s="22" t="s">
        <v>895</v>
      </c>
      <c r="D280" s="22"/>
    </row>
    <row r="281" spans="1:5">
      <c r="A281" s="69"/>
      <c r="B281" s="69"/>
      <c r="C281" s="22" t="s">
        <v>2634</v>
      </c>
      <c r="D281" s="22"/>
    </row>
    <row r="282" spans="1:5">
      <c r="A282" s="69"/>
      <c r="B282" s="69"/>
      <c r="C282" s="22" t="s">
        <v>2635</v>
      </c>
      <c r="D282" s="22" t="s">
        <v>2636</v>
      </c>
      <c r="E282" s="15" t="s">
        <v>2410</v>
      </c>
    </row>
    <row r="283" spans="1:5">
      <c r="A283" s="69"/>
      <c r="B283" s="69"/>
      <c r="C283" s="22" t="s">
        <v>2637</v>
      </c>
      <c r="D283" s="22"/>
    </row>
    <row r="284" spans="1:5">
      <c r="A284" s="69"/>
      <c r="B284" s="69"/>
      <c r="C284" s="22" t="s">
        <v>918</v>
      </c>
      <c r="D284" s="22" t="s">
        <v>2638</v>
      </c>
      <c r="E284" s="15" t="s">
        <v>2410</v>
      </c>
    </row>
    <row r="285" spans="1:5">
      <c r="A285" s="69"/>
      <c r="B285" s="69"/>
      <c r="C285" s="22" t="s">
        <v>2639</v>
      </c>
      <c r="D285" s="22"/>
    </row>
    <row r="286" spans="1:5">
      <c r="A286" s="69"/>
      <c r="B286" s="69"/>
      <c r="C286" s="22" t="s">
        <v>2640</v>
      </c>
      <c r="D286" s="22"/>
    </row>
    <row r="287" spans="1:5">
      <c r="A287" s="69"/>
      <c r="B287" s="69"/>
      <c r="C287" s="22" t="s">
        <v>2641</v>
      </c>
      <c r="D287" s="22"/>
    </row>
    <row r="288" spans="1:5">
      <c r="A288" s="69"/>
      <c r="B288" s="69"/>
      <c r="C288" s="22" t="s">
        <v>2642</v>
      </c>
      <c r="D288" s="22"/>
    </row>
    <row r="289" spans="1:5">
      <c r="A289" s="69"/>
      <c r="B289" s="69"/>
      <c r="C289" s="22" t="s">
        <v>2643</v>
      </c>
      <c r="D289" s="22" t="s">
        <v>2644</v>
      </c>
      <c r="E289" s="15" t="s">
        <v>2410</v>
      </c>
    </row>
    <row r="290" spans="1:5">
      <c r="A290" s="69"/>
      <c r="B290" s="69"/>
      <c r="C290" s="22" t="s">
        <v>1059</v>
      </c>
      <c r="D290" s="22"/>
    </row>
    <row r="291" spans="1:5">
      <c r="A291" s="69"/>
      <c r="B291" s="69"/>
      <c r="C291" s="22" t="s">
        <v>2645</v>
      </c>
      <c r="D291" s="22"/>
    </row>
    <row r="292" spans="1:5">
      <c r="A292" s="69"/>
      <c r="B292" s="69"/>
      <c r="C292" s="22" t="s">
        <v>2646</v>
      </c>
      <c r="D292" s="22"/>
    </row>
    <row r="293" spans="1:5">
      <c r="A293" s="69"/>
      <c r="B293" s="69"/>
      <c r="C293" s="22" t="s">
        <v>2647</v>
      </c>
      <c r="D293" s="22"/>
    </row>
    <row r="294" spans="1:5">
      <c r="A294" s="69"/>
      <c r="B294" s="69"/>
      <c r="C294" s="22" t="s">
        <v>655</v>
      </c>
      <c r="D294" s="22"/>
    </row>
    <row r="295" spans="1:5">
      <c r="A295" s="69"/>
      <c r="B295" s="69"/>
      <c r="C295" s="22" t="s">
        <v>2648</v>
      </c>
      <c r="D295" s="22"/>
    </row>
    <row r="296" spans="1:5">
      <c r="A296" s="69"/>
      <c r="B296" s="69"/>
      <c r="C296" s="22" t="s">
        <v>2649</v>
      </c>
      <c r="D296" s="22"/>
    </row>
    <row r="297" spans="1:5">
      <c r="A297" s="69"/>
      <c r="B297" s="69"/>
      <c r="C297" s="22" t="s">
        <v>2650</v>
      </c>
      <c r="D297" s="22" t="s">
        <v>2651</v>
      </c>
      <c r="E297" s="15" t="s">
        <v>2410</v>
      </c>
    </row>
    <row r="298" spans="1:5">
      <c r="A298" s="69"/>
      <c r="B298" s="69"/>
      <c r="C298" s="22" t="s">
        <v>952</v>
      </c>
      <c r="D298" s="22"/>
    </row>
    <row r="299" spans="1:5">
      <c r="A299" s="69"/>
      <c r="B299" s="69"/>
      <c r="C299" s="22" t="s">
        <v>2652</v>
      </c>
      <c r="D299" s="22"/>
    </row>
    <row r="300" spans="1:5">
      <c r="A300" s="69"/>
      <c r="B300" s="69"/>
      <c r="C300" s="22" t="s">
        <v>2653</v>
      </c>
      <c r="D300" s="22"/>
      <c r="E300" s="15" t="s">
        <v>2410</v>
      </c>
    </row>
    <row r="301" spans="1:5">
      <c r="A301" s="69"/>
      <c r="B301" s="69"/>
      <c r="C301" s="22" t="s">
        <v>2654</v>
      </c>
      <c r="D301" s="22"/>
    </row>
    <row r="302" spans="1:5">
      <c r="A302" s="69"/>
      <c r="B302" s="69"/>
      <c r="C302" s="22" t="s">
        <v>2655</v>
      </c>
      <c r="D302" s="22"/>
    </row>
    <row r="303" spans="1:5">
      <c r="A303" s="69"/>
      <c r="B303" s="69"/>
      <c r="C303" s="22" t="s">
        <v>963</v>
      </c>
      <c r="D303" s="22"/>
    </row>
    <row r="304" spans="1:5">
      <c r="A304" s="69"/>
      <c r="B304" s="69"/>
      <c r="C304" s="22" t="s">
        <v>2656</v>
      </c>
      <c r="D304" s="22"/>
    </row>
    <row r="305" spans="1:5">
      <c r="A305" s="69"/>
      <c r="B305" s="69"/>
      <c r="C305" s="22" t="s">
        <v>927</v>
      </c>
      <c r="D305" s="22"/>
    </row>
    <row r="306" spans="1:5">
      <c r="A306" s="69"/>
      <c r="B306" s="69"/>
      <c r="C306" s="22" t="s">
        <v>2657</v>
      </c>
      <c r="D306" s="22"/>
    </row>
    <row r="307" spans="1:5">
      <c r="A307" s="69"/>
      <c r="B307" s="69"/>
      <c r="C307" s="22" t="s">
        <v>937</v>
      </c>
      <c r="D307" s="22"/>
    </row>
    <row r="308" spans="1:5">
      <c r="A308" s="69"/>
      <c r="B308" s="69"/>
      <c r="C308" s="22" t="s">
        <v>932</v>
      </c>
      <c r="D308" s="22"/>
    </row>
    <row r="309" spans="1:5">
      <c r="A309" s="69"/>
      <c r="B309" s="69"/>
      <c r="C309" s="22" t="s">
        <v>2658</v>
      </c>
      <c r="D309" s="22"/>
    </row>
    <row r="310" spans="1:5">
      <c r="A310" s="69"/>
      <c r="B310" s="69"/>
      <c r="C310" s="22" t="s">
        <v>2659</v>
      </c>
      <c r="D310" s="22"/>
      <c r="E310" s="15" t="s">
        <v>2410</v>
      </c>
    </row>
    <row r="311" spans="1:5">
      <c r="A311" s="69"/>
      <c r="B311" s="69"/>
      <c r="C311" s="22" t="s">
        <v>2660</v>
      </c>
      <c r="D311" s="22"/>
      <c r="E311" s="15" t="s">
        <v>2410</v>
      </c>
    </row>
    <row r="312" spans="1:5">
      <c r="A312" s="69"/>
      <c r="B312" s="69"/>
      <c r="C312" s="22" t="s">
        <v>2661</v>
      </c>
      <c r="D312" s="22"/>
      <c r="E312" s="15" t="s">
        <v>2410</v>
      </c>
    </row>
    <row r="313" spans="1:5">
      <c r="A313" s="69"/>
      <c r="B313" s="69"/>
      <c r="C313" s="22" t="s">
        <v>2662</v>
      </c>
      <c r="D313" s="22"/>
    </row>
    <row r="314" spans="1:5">
      <c r="A314" s="69"/>
      <c r="B314" s="69"/>
      <c r="C314" s="22" t="s">
        <v>2663</v>
      </c>
      <c r="D314" s="22"/>
    </row>
    <row r="315" spans="1:5">
      <c r="A315" s="69"/>
      <c r="B315" s="69"/>
      <c r="C315" s="22" t="s">
        <v>2664</v>
      </c>
      <c r="D315" s="22"/>
    </row>
    <row r="316" spans="1:5">
      <c r="A316" s="69"/>
      <c r="B316" s="69"/>
      <c r="C316" s="22" t="s">
        <v>1043</v>
      </c>
      <c r="D316" s="22"/>
    </row>
    <row r="317" spans="1:5">
      <c r="A317" s="69"/>
      <c r="B317" s="69"/>
      <c r="C317" s="22" t="s">
        <v>2665</v>
      </c>
      <c r="D317" s="22"/>
    </row>
    <row r="318" spans="1:5">
      <c r="A318" s="69"/>
      <c r="B318" s="69"/>
      <c r="C318" s="22" t="s">
        <v>2666</v>
      </c>
      <c r="D318" s="138" t="s">
        <v>2667</v>
      </c>
      <c r="E318" s="15" t="s">
        <v>2410</v>
      </c>
    </row>
    <row r="319" spans="1:5">
      <c r="A319" s="69"/>
      <c r="B319" s="69"/>
      <c r="C319" s="22" t="s">
        <v>2668</v>
      </c>
      <c r="D319" s="22"/>
    </row>
    <row r="320" spans="1:5">
      <c r="A320" s="69"/>
      <c r="B320" s="69"/>
      <c r="C320" s="22" t="s">
        <v>2669</v>
      </c>
      <c r="D320" s="22"/>
    </row>
    <row r="321" spans="1:5">
      <c r="A321" s="69"/>
      <c r="B321" s="69"/>
      <c r="C321" s="22" t="s">
        <v>2670</v>
      </c>
      <c r="D321" s="22"/>
    </row>
    <row r="322" spans="1:5">
      <c r="A322" s="69"/>
      <c r="B322" s="69"/>
      <c r="C322" s="22" t="s">
        <v>2671</v>
      </c>
      <c r="D322" s="22"/>
    </row>
    <row r="323" spans="1:5">
      <c r="A323" s="69"/>
      <c r="B323" s="69"/>
      <c r="C323" s="22" t="s">
        <v>2672</v>
      </c>
      <c r="D323" s="22"/>
    </row>
    <row r="324" spans="1:5">
      <c r="A324" s="69"/>
      <c r="B324" s="69"/>
      <c r="C324" s="22" t="s">
        <v>2673</v>
      </c>
      <c r="D324" s="22"/>
    </row>
    <row r="325" spans="1:5">
      <c r="A325" s="69"/>
      <c r="B325" s="69"/>
      <c r="C325" s="22" t="s">
        <v>2674</v>
      </c>
      <c r="D325" s="22"/>
    </row>
    <row r="326" spans="1:5">
      <c r="A326" s="69"/>
      <c r="B326" s="69"/>
      <c r="C326" s="22" t="s">
        <v>995</v>
      </c>
      <c r="D326" s="22"/>
    </row>
    <row r="327" spans="1:5">
      <c r="A327" s="69"/>
      <c r="B327" s="69"/>
      <c r="C327" s="22" t="s">
        <v>1613</v>
      </c>
      <c r="D327" s="22"/>
    </row>
    <row r="328" spans="1:5">
      <c r="A328" s="86"/>
      <c r="B328" s="76" t="s">
        <v>1065</v>
      </c>
      <c r="C328" s="62" t="s">
        <v>2675</v>
      </c>
      <c r="D328" s="62"/>
      <c r="E328" s="15" t="s">
        <v>2410</v>
      </c>
    </row>
    <row r="329" spans="1:5">
      <c r="A329" s="87"/>
      <c r="B329" s="77"/>
      <c r="C329" s="62" t="s">
        <v>2676</v>
      </c>
      <c r="D329" s="62"/>
      <c r="E329" s="15" t="s">
        <v>2410</v>
      </c>
    </row>
    <row r="330" spans="1:5">
      <c r="A330" s="87"/>
      <c r="B330" s="77"/>
      <c r="C330" s="140" t="s">
        <v>1085</v>
      </c>
      <c r="D330" s="62"/>
      <c r="E330" s="15" t="s">
        <v>2410</v>
      </c>
    </row>
    <row r="331" spans="1:5">
      <c r="A331" s="87"/>
      <c r="B331" s="77"/>
      <c r="C331" s="139" t="s">
        <v>2677</v>
      </c>
      <c r="D331" s="62"/>
      <c r="E331" s="15" t="s">
        <v>2410</v>
      </c>
    </row>
    <row r="332" spans="1:5">
      <c r="A332" s="87"/>
      <c r="B332" s="77"/>
      <c r="C332" s="139" t="s">
        <v>1077</v>
      </c>
      <c r="D332" s="62"/>
      <c r="E332" s="15" t="s">
        <v>2410</v>
      </c>
    </row>
    <row r="333" spans="1:5">
      <c r="A333" s="87"/>
      <c r="B333" s="77"/>
      <c r="C333" s="139" t="s">
        <v>2678</v>
      </c>
      <c r="D333" s="62"/>
      <c r="E333" s="15" t="s">
        <v>2410</v>
      </c>
    </row>
    <row r="334" spans="1:5">
      <c r="A334" s="87"/>
      <c r="B334" s="77"/>
      <c r="C334" s="139" t="s">
        <v>1198</v>
      </c>
      <c r="D334" s="62"/>
      <c r="E334" s="15" t="s">
        <v>2410</v>
      </c>
    </row>
    <row r="335" spans="1:5">
      <c r="A335" s="87"/>
      <c r="B335" s="77"/>
      <c r="C335" s="62" t="s">
        <v>1080</v>
      </c>
      <c r="D335" s="62"/>
      <c r="E335" s="15" t="s">
        <v>2410</v>
      </c>
    </row>
    <row r="336" spans="1:5">
      <c r="A336" s="87"/>
      <c r="B336" s="77"/>
      <c r="C336" s="62" t="s">
        <v>2679</v>
      </c>
      <c r="D336" s="62"/>
      <c r="E336" s="15" t="s">
        <v>2410</v>
      </c>
    </row>
    <row r="337" spans="1:5">
      <c r="A337" s="87"/>
      <c r="B337" s="77"/>
      <c r="C337" s="62" t="s">
        <v>2680</v>
      </c>
      <c r="D337" s="62"/>
      <c r="E337" s="15" t="s">
        <v>2410</v>
      </c>
    </row>
    <row r="338" spans="1:5">
      <c r="A338" s="87"/>
      <c r="B338" s="77"/>
      <c r="C338" s="62" t="s">
        <v>1300</v>
      </c>
      <c r="D338" s="62"/>
      <c r="E338" s="15" t="s">
        <v>2410</v>
      </c>
    </row>
    <row r="339" spans="1:5">
      <c r="A339" s="87"/>
      <c r="B339" s="77"/>
      <c r="C339" s="62" t="s">
        <v>2681</v>
      </c>
      <c r="D339" s="62"/>
      <c r="E339" s="15" t="s">
        <v>2410</v>
      </c>
    </row>
    <row r="340" spans="1:5">
      <c r="A340" s="87"/>
      <c r="B340" s="77"/>
      <c r="C340" s="62" t="s">
        <v>2682</v>
      </c>
      <c r="D340" s="62"/>
      <c r="E340" s="15" t="s">
        <v>2410</v>
      </c>
    </row>
    <row r="341" spans="1:5">
      <c r="A341" s="87"/>
      <c r="B341" s="77"/>
      <c r="C341" s="62" t="s">
        <v>2683</v>
      </c>
      <c r="D341" s="62"/>
      <c r="E341" s="15" t="s">
        <v>2410</v>
      </c>
    </row>
    <row r="342" spans="1:5">
      <c r="A342" s="87"/>
      <c r="B342" s="77"/>
      <c r="C342" s="62" t="s">
        <v>2684</v>
      </c>
      <c r="D342" s="62"/>
      <c r="E342" s="15" t="s">
        <v>2410</v>
      </c>
    </row>
    <row r="343" spans="1:5">
      <c r="A343" s="87"/>
      <c r="B343" s="77"/>
      <c r="C343" s="62" t="s">
        <v>2685</v>
      </c>
      <c r="D343" s="62"/>
      <c r="E343" s="15" t="s">
        <v>2410</v>
      </c>
    </row>
    <row r="344" spans="1:5">
      <c r="A344" s="87"/>
      <c r="B344" s="77"/>
      <c r="C344" s="62" t="s">
        <v>1123</v>
      </c>
      <c r="D344" s="62"/>
      <c r="E344" s="15" t="s">
        <v>2410</v>
      </c>
    </row>
    <row r="345" spans="1:5">
      <c r="A345" s="87"/>
      <c r="B345" s="77"/>
      <c r="C345" s="62" t="s">
        <v>1140</v>
      </c>
      <c r="D345" s="62"/>
      <c r="E345" s="15" t="s">
        <v>2410</v>
      </c>
    </row>
    <row r="346" spans="1:5">
      <c r="A346" s="87"/>
      <c r="B346" s="77"/>
      <c r="C346" s="62" t="s">
        <v>1144</v>
      </c>
      <c r="D346" s="62"/>
      <c r="E346" s="15" t="s">
        <v>2410</v>
      </c>
    </row>
    <row r="347" spans="1:5">
      <c r="A347" s="87"/>
      <c r="B347" s="77"/>
      <c r="C347" s="62" t="s">
        <v>1134</v>
      </c>
      <c r="D347" s="62"/>
      <c r="E347" s="15" t="s">
        <v>2410</v>
      </c>
    </row>
    <row r="348" spans="1:5">
      <c r="A348" s="87"/>
      <c r="B348" s="77"/>
      <c r="C348" s="62" t="s">
        <v>2686</v>
      </c>
      <c r="D348" s="62"/>
      <c r="E348" s="15" t="s">
        <v>2410</v>
      </c>
    </row>
    <row r="349" spans="1:5">
      <c r="A349" s="87"/>
      <c r="B349" s="77"/>
      <c r="C349" s="62" t="s">
        <v>2687</v>
      </c>
      <c r="D349" s="62"/>
      <c r="E349" s="15" t="s">
        <v>2410</v>
      </c>
    </row>
    <row r="350" spans="1:5">
      <c r="A350" s="87"/>
      <c r="B350" s="77"/>
      <c r="C350" s="62" t="s">
        <v>2688</v>
      </c>
      <c r="D350" s="62"/>
      <c r="E350" s="15" t="s">
        <v>2410</v>
      </c>
    </row>
    <row r="351" spans="1:5">
      <c r="A351" s="87"/>
      <c r="B351" s="77"/>
      <c r="C351" s="62" t="s">
        <v>2689</v>
      </c>
      <c r="D351" s="62"/>
      <c r="E351" s="15" t="s">
        <v>2410</v>
      </c>
    </row>
    <row r="352" spans="1:5">
      <c r="A352" s="87"/>
      <c r="B352" s="77"/>
      <c r="C352" s="62" t="s">
        <v>2690</v>
      </c>
      <c r="D352" s="62"/>
      <c r="E352" s="15" t="s">
        <v>2410</v>
      </c>
    </row>
    <row r="353" spans="1:5">
      <c r="A353" s="87"/>
      <c r="B353" s="77"/>
      <c r="C353" s="62" t="s">
        <v>1201</v>
      </c>
      <c r="D353" s="62"/>
      <c r="E353" s="15" t="s">
        <v>2410</v>
      </c>
    </row>
    <row r="354" spans="1:5">
      <c r="A354" s="87"/>
      <c r="B354" s="77"/>
      <c r="C354" s="62" t="s">
        <v>1108</v>
      </c>
      <c r="D354" s="62"/>
      <c r="E354" s="15" t="s">
        <v>2410</v>
      </c>
    </row>
    <row r="355" spans="1:5">
      <c r="A355" s="87"/>
      <c r="B355" s="77"/>
      <c r="C355" s="62" t="s">
        <v>1090</v>
      </c>
      <c r="D355" s="62"/>
      <c r="E355" s="15" t="s">
        <v>2410</v>
      </c>
    </row>
    <row r="356" spans="1:5">
      <c r="A356" s="87"/>
      <c r="B356" s="77"/>
      <c r="C356" s="62" t="s">
        <v>2691</v>
      </c>
      <c r="D356" s="62"/>
      <c r="E356" s="15" t="s">
        <v>2410</v>
      </c>
    </row>
    <row r="357" spans="1:5">
      <c r="A357" s="87"/>
      <c r="B357" s="77"/>
      <c r="C357" s="62" t="s">
        <v>2692</v>
      </c>
      <c r="D357" s="62"/>
      <c r="E357" s="15" t="s">
        <v>2410</v>
      </c>
    </row>
    <row r="358" spans="1:5">
      <c r="A358" s="87"/>
      <c r="B358" s="77"/>
      <c r="C358" s="62" t="s">
        <v>2693</v>
      </c>
      <c r="D358" s="62"/>
      <c r="E358" s="15" t="s">
        <v>2410</v>
      </c>
    </row>
    <row r="359" spans="1:5">
      <c r="A359" s="87"/>
      <c r="B359" s="77"/>
      <c r="C359" s="62" t="s">
        <v>2694</v>
      </c>
      <c r="D359" s="62"/>
      <c r="E359" s="15" t="s">
        <v>2410</v>
      </c>
    </row>
    <row r="360" spans="1:5">
      <c r="A360" s="87"/>
      <c r="B360" s="77"/>
      <c r="C360" s="62" t="s">
        <v>2695</v>
      </c>
      <c r="D360" s="62"/>
      <c r="E360" s="15" t="s">
        <v>2410</v>
      </c>
    </row>
    <row r="361" spans="1:5">
      <c r="A361" s="87"/>
      <c r="B361" s="77"/>
      <c r="C361" s="62" t="s">
        <v>2696</v>
      </c>
      <c r="D361" s="62"/>
      <c r="E361" s="15" t="s">
        <v>2410</v>
      </c>
    </row>
    <row r="362" spans="1:5">
      <c r="A362" s="87"/>
      <c r="B362" s="77"/>
      <c r="C362" s="62" t="s">
        <v>1206</v>
      </c>
      <c r="D362" s="62"/>
      <c r="E362" s="15" t="s">
        <v>2410</v>
      </c>
    </row>
    <row r="363" spans="1:5">
      <c r="A363" s="87"/>
      <c r="B363" s="77"/>
      <c r="C363" s="62" t="s">
        <v>2697</v>
      </c>
      <c r="D363" s="62"/>
      <c r="E363" s="15" t="s">
        <v>2410</v>
      </c>
    </row>
    <row r="364" spans="1:5">
      <c r="A364" s="87"/>
      <c r="B364" s="77"/>
      <c r="C364" s="62" t="s">
        <v>2698</v>
      </c>
      <c r="D364" s="62"/>
      <c r="E364" s="15" t="s">
        <v>2410</v>
      </c>
    </row>
    <row r="365" spans="1:5">
      <c r="A365" s="87"/>
      <c r="B365" s="77"/>
      <c r="C365" s="62" t="s">
        <v>2699</v>
      </c>
      <c r="D365" s="62"/>
      <c r="E365" s="15" t="s">
        <v>2410</v>
      </c>
    </row>
    <row r="366" spans="1:5">
      <c r="A366" s="87"/>
      <c r="B366" s="77"/>
      <c r="C366" s="62" t="s">
        <v>2700</v>
      </c>
      <c r="D366" s="62"/>
      <c r="E366" s="15" t="s">
        <v>2410</v>
      </c>
    </row>
    <row r="367" spans="1:5">
      <c r="A367" s="87"/>
      <c r="B367" s="77"/>
      <c r="C367" s="62" t="s">
        <v>2701</v>
      </c>
      <c r="D367" s="62"/>
      <c r="E367" s="15" t="s">
        <v>2410</v>
      </c>
    </row>
    <row r="368" spans="1:5">
      <c r="A368" s="87"/>
      <c r="B368" s="77"/>
      <c r="C368" s="62" t="s">
        <v>1111</v>
      </c>
      <c r="D368" s="62"/>
      <c r="E368" s="15" t="s">
        <v>2410</v>
      </c>
    </row>
    <row r="369" spans="1:5">
      <c r="A369" s="87"/>
      <c r="B369" s="77"/>
      <c r="C369" s="62" t="s">
        <v>2702</v>
      </c>
      <c r="D369" s="62"/>
      <c r="E369" s="15" t="s">
        <v>2410</v>
      </c>
    </row>
    <row r="370" spans="1:5">
      <c r="A370" s="87"/>
      <c r="B370" s="77"/>
      <c r="C370" s="62" t="s">
        <v>2703</v>
      </c>
      <c r="D370" s="62"/>
      <c r="E370" s="15" t="s">
        <v>2410</v>
      </c>
    </row>
    <row r="371" spans="1:5">
      <c r="A371" s="87"/>
      <c r="B371" s="77"/>
      <c r="C371" s="62" t="s">
        <v>2704</v>
      </c>
      <c r="D371" s="62"/>
      <c r="E371" s="15" t="s">
        <v>2410</v>
      </c>
    </row>
    <row r="372" spans="1:5">
      <c r="A372" s="87"/>
      <c r="B372" s="77"/>
      <c r="C372" s="62" t="s">
        <v>2705</v>
      </c>
      <c r="D372" s="62"/>
      <c r="E372" s="15" t="s">
        <v>2410</v>
      </c>
    </row>
    <row r="373" spans="1:5">
      <c r="A373" s="87"/>
      <c r="B373" s="77"/>
      <c r="C373" s="62" t="s">
        <v>2706</v>
      </c>
      <c r="D373" s="62"/>
      <c r="E373" s="15" t="s">
        <v>2410</v>
      </c>
    </row>
    <row r="374" spans="1:5">
      <c r="A374" s="87"/>
      <c r="B374" s="77"/>
      <c r="C374" s="62" t="s">
        <v>2707</v>
      </c>
      <c r="D374" s="62"/>
      <c r="E374" s="15" t="s">
        <v>2410</v>
      </c>
    </row>
    <row r="375" spans="1:5">
      <c r="A375" s="87"/>
      <c r="B375" s="77"/>
      <c r="C375" s="62" t="s">
        <v>2708</v>
      </c>
      <c r="D375" s="62"/>
      <c r="E375" s="15" t="s">
        <v>2410</v>
      </c>
    </row>
    <row r="376" spans="1:5">
      <c r="A376" s="87"/>
      <c r="B376" s="77"/>
      <c r="C376" s="62" t="s">
        <v>2709</v>
      </c>
      <c r="D376" s="62"/>
      <c r="E376" s="15" t="s">
        <v>2410</v>
      </c>
    </row>
    <row r="377" spans="1:5">
      <c r="A377" s="87"/>
      <c r="B377" s="77"/>
      <c r="C377" s="62" t="s">
        <v>2710</v>
      </c>
      <c r="D377" s="62"/>
      <c r="E377" s="15" t="s">
        <v>2410</v>
      </c>
    </row>
    <row r="378" spans="1:5">
      <c r="A378" s="87"/>
      <c r="B378" s="77"/>
      <c r="C378" s="62" t="s">
        <v>2711</v>
      </c>
      <c r="D378" s="62"/>
      <c r="E378" s="15" t="s">
        <v>2410</v>
      </c>
    </row>
    <row r="379" spans="1:5">
      <c r="A379" s="87"/>
      <c r="B379" s="77"/>
      <c r="C379" s="62" t="s">
        <v>2712</v>
      </c>
      <c r="D379" s="62"/>
      <c r="E379" s="15" t="s">
        <v>2410</v>
      </c>
    </row>
    <row r="380" spans="1:5">
      <c r="A380" s="87"/>
      <c r="B380" s="77"/>
      <c r="C380" s="62" t="s">
        <v>2713</v>
      </c>
      <c r="D380" s="62"/>
      <c r="E380" s="15" t="s">
        <v>2410</v>
      </c>
    </row>
    <row r="381" spans="1:5">
      <c r="A381" s="87"/>
      <c r="B381" s="77"/>
      <c r="C381" s="62" t="s">
        <v>2714</v>
      </c>
      <c r="D381" s="62"/>
      <c r="E381" s="15" t="s">
        <v>2410</v>
      </c>
    </row>
    <row r="382" spans="1:5">
      <c r="A382" s="87"/>
      <c r="B382" s="77"/>
      <c r="C382" s="62" t="s">
        <v>2715</v>
      </c>
      <c r="D382" s="62"/>
      <c r="E382" s="15" t="s">
        <v>2410</v>
      </c>
    </row>
    <row r="383" spans="1:5">
      <c r="A383" s="87"/>
      <c r="B383" s="77"/>
      <c r="C383" s="62" t="s">
        <v>2716</v>
      </c>
      <c r="D383" s="62"/>
      <c r="E383" s="15" t="s">
        <v>2410</v>
      </c>
    </row>
    <row r="384" spans="1:5">
      <c r="A384" s="87"/>
      <c r="B384" s="77"/>
      <c r="C384" s="62" t="s">
        <v>2717</v>
      </c>
      <c r="D384" s="62"/>
      <c r="E384" s="15" t="s">
        <v>2410</v>
      </c>
    </row>
    <row r="385" spans="1:5">
      <c r="A385" s="87"/>
      <c r="B385" s="77"/>
      <c r="C385" s="62" t="s">
        <v>1265</v>
      </c>
      <c r="D385" s="62"/>
      <c r="E385" s="15" t="s">
        <v>2410</v>
      </c>
    </row>
    <row r="386" spans="1:5">
      <c r="A386" s="87"/>
      <c r="B386" s="77"/>
      <c r="C386" s="62" t="s">
        <v>2718</v>
      </c>
      <c r="D386" s="62"/>
      <c r="E386" s="15" t="s">
        <v>2410</v>
      </c>
    </row>
    <row r="387" spans="1:5">
      <c r="A387" s="87"/>
      <c r="B387" s="77"/>
      <c r="C387" s="62" t="s">
        <v>2719</v>
      </c>
      <c r="D387" s="62"/>
      <c r="E387" s="15" t="s">
        <v>2410</v>
      </c>
    </row>
    <row r="388" spans="1:5">
      <c r="A388" s="87"/>
      <c r="B388" s="77"/>
      <c r="C388" s="62" t="s">
        <v>2720</v>
      </c>
      <c r="D388" s="62"/>
      <c r="E388" s="15" t="s">
        <v>2410</v>
      </c>
    </row>
    <row r="389" spans="1:5">
      <c r="A389" s="87"/>
      <c r="B389" s="77"/>
      <c r="C389" s="62" t="s">
        <v>2721</v>
      </c>
      <c r="D389" s="62"/>
      <c r="E389" s="15" t="s">
        <v>2410</v>
      </c>
    </row>
    <row r="390" spans="1:5">
      <c r="A390" s="87"/>
      <c r="B390" s="77"/>
      <c r="C390" s="62" t="s">
        <v>1276</v>
      </c>
      <c r="D390" s="62"/>
      <c r="E390" s="15" t="s">
        <v>2410</v>
      </c>
    </row>
    <row r="391" spans="1:5">
      <c r="A391" s="87"/>
      <c r="B391" s="77"/>
      <c r="C391" s="62" t="s">
        <v>2722</v>
      </c>
      <c r="D391" s="62"/>
      <c r="E391" s="15" t="s">
        <v>2410</v>
      </c>
    </row>
    <row r="392" spans="1:5">
      <c r="A392" s="87"/>
      <c r="B392" s="77"/>
      <c r="C392" s="62" t="s">
        <v>1245</v>
      </c>
      <c r="D392" s="62"/>
      <c r="E392" s="15" t="s">
        <v>2410</v>
      </c>
    </row>
    <row r="393" spans="1:5">
      <c r="A393" s="87"/>
      <c r="B393" s="77"/>
      <c r="C393" s="62" t="s">
        <v>2723</v>
      </c>
      <c r="D393" s="62"/>
      <c r="E393" s="15" t="s">
        <v>2410</v>
      </c>
    </row>
    <row r="394" spans="1:5">
      <c r="A394" s="87"/>
      <c r="B394" s="77"/>
      <c r="C394" s="62" t="s">
        <v>2724</v>
      </c>
      <c r="D394" s="62"/>
      <c r="E394" s="15" t="s">
        <v>2410</v>
      </c>
    </row>
    <row r="395" spans="1:5">
      <c r="A395" s="87"/>
      <c r="B395" s="77"/>
      <c r="C395" s="62" t="s">
        <v>2725</v>
      </c>
      <c r="D395" s="62"/>
      <c r="E395" s="15" t="s">
        <v>2410</v>
      </c>
    </row>
    <row r="396" spans="1:5">
      <c r="A396" s="87"/>
      <c r="B396" s="77"/>
      <c r="C396" s="62" t="s">
        <v>2726</v>
      </c>
      <c r="D396" s="62"/>
      <c r="E396" s="15" t="s">
        <v>2410</v>
      </c>
    </row>
    <row r="397" spans="1:5">
      <c r="A397" s="87"/>
      <c r="B397" s="77"/>
      <c r="C397" s="62" t="s">
        <v>2727</v>
      </c>
      <c r="D397" s="62"/>
      <c r="E397" s="15" t="s">
        <v>2410</v>
      </c>
    </row>
    <row r="398" spans="1:5">
      <c r="A398" s="87"/>
      <c r="B398" s="77"/>
      <c r="C398" s="62" t="s">
        <v>2728</v>
      </c>
      <c r="D398" s="62"/>
      <c r="E398" s="15" t="s">
        <v>2410</v>
      </c>
    </row>
    <row r="399" spans="1:5">
      <c r="A399" s="87"/>
      <c r="B399" s="77"/>
      <c r="C399" s="62" t="s">
        <v>2729</v>
      </c>
      <c r="D399" s="62"/>
      <c r="E399" s="15" t="s">
        <v>2410</v>
      </c>
    </row>
    <row r="400" spans="1:5">
      <c r="A400" s="87"/>
      <c r="B400" s="77"/>
      <c r="C400" s="62" t="s">
        <v>2730</v>
      </c>
      <c r="D400" s="62"/>
      <c r="E400" s="15" t="s">
        <v>2410</v>
      </c>
    </row>
    <row r="401" spans="1:5">
      <c r="A401" s="87"/>
      <c r="B401" s="77"/>
      <c r="C401" s="62" t="s">
        <v>2731</v>
      </c>
      <c r="D401" s="62"/>
      <c r="E401" s="15" t="s">
        <v>2410</v>
      </c>
    </row>
    <row r="402" spans="1:5">
      <c r="A402" s="87"/>
      <c r="B402" s="77"/>
      <c r="C402" s="62" t="s">
        <v>2732</v>
      </c>
      <c r="D402" s="62"/>
      <c r="E402" s="15" t="s">
        <v>2410</v>
      </c>
    </row>
    <row r="403" spans="1:5">
      <c r="A403" s="87"/>
      <c r="B403" s="77"/>
      <c r="C403" s="62" t="s">
        <v>2733</v>
      </c>
      <c r="D403" s="62"/>
      <c r="E403" s="15" t="s">
        <v>2410</v>
      </c>
    </row>
    <row r="404" spans="1:5">
      <c r="A404" s="87"/>
      <c r="B404" s="77"/>
      <c r="C404" s="62" t="s">
        <v>2734</v>
      </c>
      <c r="D404" s="62"/>
      <c r="E404" s="15" t="s">
        <v>2410</v>
      </c>
    </row>
    <row r="405" spans="1:5">
      <c r="A405" s="87"/>
      <c r="B405" s="77"/>
      <c r="C405" s="62" t="s">
        <v>2735</v>
      </c>
      <c r="D405" s="62"/>
      <c r="E405" s="15" t="s">
        <v>2410</v>
      </c>
    </row>
    <row r="406" spans="1:5">
      <c r="A406" s="87"/>
      <c r="B406" s="77"/>
      <c r="C406" s="62" t="s">
        <v>2736</v>
      </c>
      <c r="D406" s="62"/>
      <c r="E406" s="15" t="s">
        <v>2410</v>
      </c>
    </row>
    <row r="407" spans="1:5">
      <c r="A407" s="87"/>
      <c r="B407" s="77"/>
      <c r="C407" s="62" t="s">
        <v>2737</v>
      </c>
      <c r="D407" s="62"/>
      <c r="E407" s="15" t="s">
        <v>2410</v>
      </c>
    </row>
    <row r="408" spans="1:5">
      <c r="A408" s="87"/>
      <c r="B408" s="77"/>
      <c r="C408" s="62" t="s">
        <v>2738</v>
      </c>
      <c r="D408" s="62"/>
      <c r="E408" s="15" t="s">
        <v>2410</v>
      </c>
    </row>
    <row r="409" spans="1:5">
      <c r="A409" s="87"/>
      <c r="B409" s="77"/>
      <c r="C409" s="62" t="s">
        <v>2739</v>
      </c>
      <c r="D409" s="62"/>
      <c r="E409" s="15" t="s">
        <v>2410</v>
      </c>
    </row>
    <row r="410" spans="1:5">
      <c r="A410" s="87"/>
      <c r="B410" s="77"/>
      <c r="C410" s="62" t="s">
        <v>2740</v>
      </c>
      <c r="D410" s="62"/>
      <c r="E410" s="15" t="s">
        <v>2410</v>
      </c>
    </row>
    <row r="411" spans="1:5">
      <c r="A411" s="87"/>
      <c r="B411" s="77"/>
      <c r="C411" s="62" t="s">
        <v>2741</v>
      </c>
      <c r="D411" s="62"/>
      <c r="E411" s="15" t="s">
        <v>2410</v>
      </c>
    </row>
    <row r="412" spans="1:5">
      <c r="A412" s="87"/>
      <c r="B412" s="77"/>
      <c r="C412" s="62" t="s">
        <v>2742</v>
      </c>
      <c r="D412" s="62"/>
      <c r="E412" s="15" t="s">
        <v>2410</v>
      </c>
    </row>
    <row r="413" spans="1:5">
      <c r="A413" s="87"/>
      <c r="B413" s="77"/>
      <c r="C413" s="62" t="s">
        <v>2743</v>
      </c>
      <c r="D413" s="62"/>
      <c r="E413" s="15" t="s">
        <v>2410</v>
      </c>
    </row>
    <row r="414" spans="1:5">
      <c r="A414" s="87"/>
      <c r="B414" s="77"/>
      <c r="C414" s="62" t="s">
        <v>2744</v>
      </c>
      <c r="D414" s="62"/>
      <c r="E414" s="15" t="s">
        <v>2410</v>
      </c>
    </row>
    <row r="415" spans="1:5">
      <c r="A415" s="87"/>
      <c r="B415" s="77"/>
      <c r="C415" s="62" t="s">
        <v>2745</v>
      </c>
      <c r="D415" s="62"/>
      <c r="E415" s="15" t="s">
        <v>2410</v>
      </c>
    </row>
    <row r="416" spans="1:5">
      <c r="A416" s="87"/>
      <c r="B416" s="77"/>
      <c r="C416" s="62" t="s">
        <v>2746</v>
      </c>
      <c r="D416" s="62"/>
      <c r="E416" s="15" t="s">
        <v>2410</v>
      </c>
    </row>
    <row r="417" spans="1:5">
      <c r="A417" s="87"/>
      <c r="B417" s="77"/>
      <c r="C417" s="62" t="s">
        <v>2747</v>
      </c>
      <c r="D417" s="62"/>
      <c r="E417" s="15" t="s">
        <v>2410</v>
      </c>
    </row>
    <row r="418" spans="1:5">
      <c r="A418" s="87"/>
      <c r="B418" s="77"/>
      <c r="C418" s="62" t="s">
        <v>2748</v>
      </c>
      <c r="D418" s="62"/>
      <c r="E418" s="15" t="s">
        <v>2410</v>
      </c>
    </row>
    <row r="419" spans="1:5">
      <c r="A419" s="87"/>
      <c r="B419" s="77"/>
      <c r="C419" s="62" t="s">
        <v>2749</v>
      </c>
      <c r="D419" s="62"/>
      <c r="E419" s="15" t="s">
        <v>2410</v>
      </c>
    </row>
    <row r="420" spans="1:5">
      <c r="A420" s="87"/>
      <c r="B420" s="77"/>
      <c r="C420" s="62" t="s">
        <v>2750</v>
      </c>
      <c r="D420" s="62"/>
      <c r="E420" s="15" t="s">
        <v>2410</v>
      </c>
    </row>
    <row r="421" spans="1:5">
      <c r="A421" s="87"/>
      <c r="B421" s="77"/>
      <c r="C421" s="62" t="s">
        <v>2751</v>
      </c>
      <c r="D421" s="62"/>
      <c r="E421" s="15" t="s">
        <v>2410</v>
      </c>
    </row>
    <row r="422" spans="1:5">
      <c r="A422" s="87"/>
      <c r="B422" s="77"/>
      <c r="C422" s="62" t="s">
        <v>2752</v>
      </c>
      <c r="D422" s="62"/>
      <c r="E422" s="15" t="s">
        <v>2410</v>
      </c>
    </row>
    <row r="423" spans="1:5">
      <c r="A423" s="87"/>
      <c r="B423" s="77"/>
      <c r="C423" s="62" t="s">
        <v>2753</v>
      </c>
      <c r="D423" s="62"/>
      <c r="E423" s="15" t="s">
        <v>2410</v>
      </c>
    </row>
    <row r="424" spans="1:5">
      <c r="A424" s="87"/>
      <c r="B424" s="77"/>
      <c r="C424" s="62" t="s">
        <v>2754</v>
      </c>
      <c r="D424" s="62"/>
      <c r="E424" s="15" t="s">
        <v>2410</v>
      </c>
    </row>
    <row r="425" spans="1:5">
      <c r="A425" s="87"/>
      <c r="B425" s="77"/>
      <c r="C425" s="62" t="s">
        <v>2755</v>
      </c>
      <c r="D425" s="62"/>
      <c r="E425" s="15" t="s">
        <v>2410</v>
      </c>
    </row>
    <row r="426" spans="1:5">
      <c r="A426" s="87"/>
      <c r="B426" s="77"/>
      <c r="C426" s="62" t="s">
        <v>2756</v>
      </c>
      <c r="D426" s="62"/>
      <c r="E426" s="15" t="s">
        <v>2410</v>
      </c>
    </row>
    <row r="427" spans="1:5">
      <c r="A427" s="87"/>
      <c r="B427" s="77"/>
      <c r="C427" s="62" t="s">
        <v>2757</v>
      </c>
      <c r="D427" s="62"/>
      <c r="E427" s="15" t="s">
        <v>2410</v>
      </c>
    </row>
    <row r="428" spans="1:5">
      <c r="A428" s="87"/>
      <c r="B428" s="77"/>
      <c r="C428" s="62" t="s">
        <v>2758</v>
      </c>
      <c r="D428" s="62"/>
      <c r="E428" s="15" t="s">
        <v>2410</v>
      </c>
    </row>
    <row r="429" spans="1:5">
      <c r="A429" s="87"/>
      <c r="B429" s="77"/>
      <c r="C429" s="62" t="s">
        <v>2759</v>
      </c>
      <c r="D429" s="62"/>
      <c r="E429" s="15" t="s">
        <v>2410</v>
      </c>
    </row>
    <row r="430" spans="1:5">
      <c r="A430" s="87"/>
      <c r="B430" s="77"/>
      <c r="C430" s="62" t="s">
        <v>2760</v>
      </c>
      <c r="D430" s="62"/>
      <c r="E430" s="15" t="s">
        <v>2410</v>
      </c>
    </row>
    <row r="431" spans="1:5">
      <c r="A431" s="87"/>
      <c r="B431" s="77"/>
      <c r="C431" s="62" t="s">
        <v>2761</v>
      </c>
      <c r="D431" s="62"/>
      <c r="E431" s="15" t="s">
        <v>2410</v>
      </c>
    </row>
    <row r="432" spans="1:5">
      <c r="A432" s="87"/>
      <c r="B432" s="77"/>
      <c r="C432" s="62" t="s">
        <v>2762</v>
      </c>
      <c r="D432" s="62"/>
      <c r="E432" s="15" t="s">
        <v>2410</v>
      </c>
    </row>
    <row r="433" spans="1:5">
      <c r="A433" s="87"/>
      <c r="B433" s="77"/>
      <c r="C433" s="62" t="s">
        <v>2763</v>
      </c>
      <c r="D433" s="62"/>
      <c r="E433" s="15" t="s">
        <v>2410</v>
      </c>
    </row>
    <row r="434" spans="1:5">
      <c r="A434" s="87"/>
      <c r="B434" s="77"/>
      <c r="C434" s="62" t="s">
        <v>2764</v>
      </c>
      <c r="D434" s="62"/>
      <c r="E434" s="15" t="s">
        <v>2410</v>
      </c>
    </row>
    <row r="435" spans="1:5">
      <c r="A435" s="87"/>
      <c r="B435" s="77"/>
      <c r="C435" s="62" t="s">
        <v>2765</v>
      </c>
      <c r="D435" s="62"/>
      <c r="E435" s="15" t="s">
        <v>2410</v>
      </c>
    </row>
    <row r="436" spans="1:5">
      <c r="A436" s="87"/>
      <c r="B436" s="77"/>
      <c r="C436" s="62" t="s">
        <v>1232</v>
      </c>
      <c r="D436" s="62"/>
      <c r="E436" s="15" t="s">
        <v>2410</v>
      </c>
    </row>
    <row r="437" spans="1:5">
      <c r="A437" s="87"/>
      <c r="B437" s="77"/>
      <c r="C437" s="62" t="s">
        <v>2766</v>
      </c>
      <c r="D437" s="62"/>
      <c r="E437" s="15" t="s">
        <v>2410</v>
      </c>
    </row>
    <row r="438" spans="1:5">
      <c r="A438" s="87"/>
      <c r="B438" s="77"/>
      <c r="C438" s="62" t="s">
        <v>2767</v>
      </c>
      <c r="D438" s="62"/>
      <c r="E438" s="15" t="s">
        <v>2410</v>
      </c>
    </row>
    <row r="439" spans="1:5">
      <c r="A439" s="87"/>
      <c r="B439" s="77"/>
      <c r="C439" s="62" t="s">
        <v>2768</v>
      </c>
      <c r="D439" s="62"/>
      <c r="E439" s="15" t="s">
        <v>2410</v>
      </c>
    </row>
    <row r="440" spans="1:5">
      <c r="A440" s="87"/>
      <c r="B440" s="77"/>
      <c r="C440" s="62" t="s">
        <v>2769</v>
      </c>
      <c r="D440" s="62"/>
      <c r="E440" s="15" t="s">
        <v>2410</v>
      </c>
    </row>
    <row r="441" spans="1:5">
      <c r="A441" s="87"/>
      <c r="B441" s="77"/>
      <c r="C441" s="62" t="s">
        <v>2770</v>
      </c>
      <c r="D441" s="62"/>
      <c r="E441" s="15" t="s">
        <v>2410</v>
      </c>
    </row>
    <row r="442" spans="1:5">
      <c r="A442" s="87"/>
      <c r="B442" s="77"/>
      <c r="C442" s="62" t="s">
        <v>2771</v>
      </c>
      <c r="D442" s="62"/>
      <c r="E442" s="15" t="s">
        <v>2410</v>
      </c>
    </row>
    <row r="443" spans="1:5">
      <c r="A443" s="87"/>
      <c r="B443" s="77"/>
      <c r="C443" s="62" t="s">
        <v>2772</v>
      </c>
      <c r="D443" s="62"/>
      <c r="E443" s="15" t="s">
        <v>2410</v>
      </c>
    </row>
    <row r="444" spans="1:5">
      <c r="A444" s="87"/>
      <c r="B444" s="77"/>
      <c r="C444" s="62" t="s">
        <v>2773</v>
      </c>
      <c r="D444" s="62"/>
      <c r="E444" s="15" t="s">
        <v>2410</v>
      </c>
    </row>
    <row r="445" spans="1:5">
      <c r="A445" s="87"/>
      <c r="B445" s="77"/>
      <c r="C445" s="62" t="s">
        <v>2774</v>
      </c>
      <c r="D445" s="62"/>
      <c r="E445" s="15" t="s">
        <v>2410</v>
      </c>
    </row>
    <row r="446" spans="1:5">
      <c r="A446" s="87"/>
      <c r="B446" s="77"/>
      <c r="C446" s="62" t="s">
        <v>2775</v>
      </c>
      <c r="D446" s="62"/>
      <c r="E446" s="15" t="s">
        <v>2410</v>
      </c>
    </row>
    <row r="447" spans="1:5">
      <c r="A447" s="87"/>
      <c r="B447" s="77"/>
      <c r="C447" s="62" t="s">
        <v>2776</v>
      </c>
      <c r="D447" s="62"/>
      <c r="E447" s="15" t="s">
        <v>2410</v>
      </c>
    </row>
    <row r="448" spans="1:5">
      <c r="A448" s="87"/>
      <c r="B448" s="77"/>
      <c r="C448" s="62" t="s">
        <v>2777</v>
      </c>
      <c r="D448" s="62"/>
      <c r="E448" s="15" t="s">
        <v>2410</v>
      </c>
    </row>
    <row r="449" spans="1:5">
      <c r="A449" s="87"/>
      <c r="B449" s="77"/>
      <c r="C449" s="62" t="s">
        <v>2778</v>
      </c>
      <c r="D449" s="62"/>
      <c r="E449" s="15" t="s">
        <v>2410</v>
      </c>
    </row>
    <row r="450" spans="1:5">
      <c r="A450" s="87"/>
      <c r="B450" s="77"/>
      <c r="C450" s="62" t="s">
        <v>2779</v>
      </c>
      <c r="D450" s="62"/>
      <c r="E450" s="15" t="s">
        <v>2410</v>
      </c>
    </row>
    <row r="451" spans="1:5">
      <c r="A451" s="87"/>
      <c r="B451" s="77"/>
      <c r="C451" s="62" t="s">
        <v>2780</v>
      </c>
      <c r="D451" s="62"/>
      <c r="E451" s="15" t="s">
        <v>2410</v>
      </c>
    </row>
    <row r="452" spans="1:5">
      <c r="A452" s="87"/>
      <c r="B452" s="77"/>
      <c r="C452" s="62" t="s">
        <v>2781</v>
      </c>
      <c r="D452" s="62"/>
      <c r="E452" s="15" t="s">
        <v>2410</v>
      </c>
    </row>
    <row r="453" spans="1:5">
      <c r="A453" s="87"/>
      <c r="B453" s="77"/>
      <c r="C453" s="62" t="s">
        <v>1254</v>
      </c>
      <c r="D453" s="62"/>
      <c r="E453" s="15" t="s">
        <v>2410</v>
      </c>
    </row>
    <row r="454" spans="1:5">
      <c r="A454" s="87"/>
      <c r="B454" s="77"/>
      <c r="C454" s="62" t="s">
        <v>2782</v>
      </c>
      <c r="D454" s="62"/>
      <c r="E454" s="15" t="s">
        <v>2410</v>
      </c>
    </row>
    <row r="455" spans="1:5">
      <c r="A455" s="87"/>
      <c r="B455" s="77"/>
      <c r="C455" s="62" t="s">
        <v>2783</v>
      </c>
      <c r="D455" s="62"/>
      <c r="E455" s="15" t="s">
        <v>2410</v>
      </c>
    </row>
    <row r="456" spans="1:5">
      <c r="A456" s="87"/>
      <c r="B456" s="77"/>
      <c r="C456" s="62" t="s">
        <v>2784</v>
      </c>
      <c r="D456" s="62"/>
      <c r="E456" s="15" t="s">
        <v>2410</v>
      </c>
    </row>
    <row r="457" spans="1:5">
      <c r="A457" s="87"/>
      <c r="B457" s="77"/>
      <c r="C457" s="62" t="s">
        <v>2785</v>
      </c>
      <c r="D457" s="62"/>
      <c r="E457" s="15" t="s">
        <v>2410</v>
      </c>
    </row>
    <row r="458" spans="1:5">
      <c r="A458" s="87"/>
      <c r="B458" s="77"/>
      <c r="C458" s="62" t="s">
        <v>2786</v>
      </c>
      <c r="D458" s="62"/>
      <c r="E458" s="15" t="s">
        <v>2410</v>
      </c>
    </row>
    <row r="459" spans="1:5">
      <c r="A459" s="87"/>
      <c r="B459" s="77"/>
      <c r="C459" s="62" t="s">
        <v>2787</v>
      </c>
      <c r="D459" s="62"/>
      <c r="E459" s="15" t="s">
        <v>2410</v>
      </c>
    </row>
    <row r="460" spans="1:5">
      <c r="A460" s="87"/>
      <c r="B460" s="77"/>
      <c r="C460" s="62" t="s">
        <v>1071</v>
      </c>
      <c r="D460" s="62"/>
      <c r="E460" s="15" t="s">
        <v>2410</v>
      </c>
    </row>
    <row r="461" spans="1:5">
      <c r="A461" s="87"/>
      <c r="B461" s="77"/>
      <c r="C461" s="62" t="s">
        <v>2788</v>
      </c>
      <c r="D461" s="62"/>
      <c r="E461" s="15" t="s">
        <v>2410</v>
      </c>
    </row>
    <row r="462" spans="1:5">
      <c r="A462" s="87"/>
      <c r="B462" s="77"/>
      <c r="C462" s="62" t="s">
        <v>2789</v>
      </c>
      <c r="D462" s="62"/>
      <c r="E462" s="15" t="s">
        <v>2410</v>
      </c>
    </row>
    <row r="463" spans="1:5">
      <c r="A463" s="87"/>
      <c r="B463" s="77"/>
      <c r="C463" s="62" t="s">
        <v>2790</v>
      </c>
      <c r="D463" s="62"/>
      <c r="E463" s="15" t="s">
        <v>2410</v>
      </c>
    </row>
    <row r="464" spans="1:5">
      <c r="A464" s="87"/>
      <c r="B464" s="77"/>
      <c r="C464" s="62" t="s">
        <v>2791</v>
      </c>
      <c r="D464" s="62"/>
      <c r="E464" s="15" t="s">
        <v>2410</v>
      </c>
    </row>
    <row r="465" spans="1:5">
      <c r="A465" s="87"/>
      <c r="B465" s="77"/>
      <c r="C465" s="62" t="s">
        <v>2792</v>
      </c>
      <c r="D465" s="62"/>
      <c r="E465" s="15" t="s">
        <v>2410</v>
      </c>
    </row>
    <row r="466" spans="1:5">
      <c r="A466" s="87"/>
      <c r="B466" s="77"/>
      <c r="C466" s="62" t="s">
        <v>2793</v>
      </c>
      <c r="D466" s="62"/>
      <c r="E466" s="15" t="s">
        <v>2410</v>
      </c>
    </row>
    <row r="467" spans="1:5">
      <c r="A467" s="87"/>
      <c r="B467" s="77"/>
      <c r="C467" s="62" t="s">
        <v>2794</v>
      </c>
      <c r="D467" s="62"/>
      <c r="E467" s="15" t="s">
        <v>2410</v>
      </c>
    </row>
    <row r="468" spans="1:5">
      <c r="A468" s="87"/>
      <c r="B468" s="77"/>
      <c r="C468" s="62" t="s">
        <v>2795</v>
      </c>
      <c r="D468" s="62"/>
      <c r="E468" s="15" t="s">
        <v>2410</v>
      </c>
    </row>
    <row r="469" spans="1:5">
      <c r="A469" s="87"/>
      <c r="B469" s="77"/>
      <c r="C469" s="62" t="s">
        <v>2796</v>
      </c>
      <c r="D469" s="62"/>
      <c r="E469" s="15" t="s">
        <v>2410</v>
      </c>
    </row>
    <row r="470" spans="1:5">
      <c r="A470" s="87"/>
      <c r="B470" s="77"/>
      <c r="C470" s="62" t="s">
        <v>2797</v>
      </c>
      <c r="D470" s="62"/>
      <c r="E470" s="15" t="s">
        <v>2410</v>
      </c>
    </row>
    <row r="471" spans="1:5">
      <c r="A471" s="87"/>
      <c r="B471" s="77"/>
      <c r="C471" s="62" t="s">
        <v>2798</v>
      </c>
      <c r="D471" s="62"/>
      <c r="E471" s="15" t="s">
        <v>2410</v>
      </c>
    </row>
    <row r="472" spans="1:5">
      <c r="A472" s="87"/>
      <c r="B472" s="77"/>
      <c r="C472" s="62" t="s">
        <v>2799</v>
      </c>
      <c r="D472" s="62"/>
      <c r="E472" s="15" t="s">
        <v>2410</v>
      </c>
    </row>
    <row r="473" spans="1:5">
      <c r="A473" s="87"/>
      <c r="B473" s="77"/>
      <c r="C473" s="62" t="s">
        <v>2800</v>
      </c>
      <c r="D473" s="62"/>
      <c r="E473" s="15" t="s">
        <v>2410</v>
      </c>
    </row>
    <row r="474" spans="1:5">
      <c r="A474" s="87"/>
      <c r="B474" s="77"/>
      <c r="C474" s="62" t="s">
        <v>2801</v>
      </c>
      <c r="D474" s="62"/>
      <c r="E474" s="15" t="s">
        <v>2410</v>
      </c>
    </row>
    <row r="475" spans="1:5">
      <c r="A475" s="87"/>
      <c r="B475" s="77"/>
      <c r="C475" s="62" t="s">
        <v>2802</v>
      </c>
      <c r="D475" s="62"/>
      <c r="E475" s="15" t="s">
        <v>2410</v>
      </c>
    </row>
    <row r="476" spans="1:5">
      <c r="A476" s="87"/>
      <c r="B476" s="77"/>
      <c r="C476" s="62" t="s">
        <v>2803</v>
      </c>
      <c r="D476" s="62"/>
      <c r="E476" s="15" t="s">
        <v>2410</v>
      </c>
    </row>
    <row r="477" spans="1:5">
      <c r="A477" s="87"/>
      <c r="B477" s="77"/>
      <c r="C477" s="62" t="s">
        <v>2804</v>
      </c>
      <c r="D477" s="62"/>
      <c r="E477" s="15" t="s">
        <v>2410</v>
      </c>
    </row>
    <row r="478" spans="1:5">
      <c r="A478" s="87"/>
      <c r="B478" s="77"/>
      <c r="C478" s="62" t="s">
        <v>2805</v>
      </c>
      <c r="D478" s="62"/>
      <c r="E478" s="15" t="s">
        <v>2410</v>
      </c>
    </row>
    <row r="479" spans="1:5">
      <c r="A479" s="87"/>
      <c r="B479" s="77"/>
      <c r="C479" s="62" t="s">
        <v>2806</v>
      </c>
      <c r="D479" s="62"/>
      <c r="E479" s="15" t="s">
        <v>2410</v>
      </c>
    </row>
    <row r="480" spans="1:5">
      <c r="A480" s="87"/>
      <c r="B480" s="77"/>
      <c r="C480" s="62" t="s">
        <v>2807</v>
      </c>
      <c r="D480" s="62"/>
      <c r="E480" s="15" t="s">
        <v>2410</v>
      </c>
    </row>
    <row r="481" spans="1:5">
      <c r="A481" s="87"/>
      <c r="B481" s="77"/>
      <c r="C481" s="62" t="s">
        <v>2808</v>
      </c>
      <c r="D481" s="62"/>
      <c r="E481" s="15" t="s">
        <v>2410</v>
      </c>
    </row>
    <row r="482" spans="1:5">
      <c r="A482" s="87"/>
      <c r="B482" s="77"/>
      <c r="C482" s="62" t="s">
        <v>2809</v>
      </c>
      <c r="D482" s="62"/>
      <c r="E482" s="15" t="s">
        <v>2410</v>
      </c>
    </row>
    <row r="483" spans="1:5">
      <c r="A483" s="87"/>
      <c r="B483" s="77"/>
      <c r="C483" s="62" t="s">
        <v>2810</v>
      </c>
      <c r="D483" s="62"/>
      <c r="E483" s="15" t="s">
        <v>2410</v>
      </c>
    </row>
    <row r="484" spans="1:5">
      <c r="A484" s="87"/>
      <c r="B484" s="77"/>
      <c r="C484" s="62" t="s">
        <v>2811</v>
      </c>
      <c r="D484" s="62"/>
      <c r="E484" s="15" t="s">
        <v>2410</v>
      </c>
    </row>
    <row r="485" spans="1:5">
      <c r="A485" s="87"/>
      <c r="B485" s="77"/>
      <c r="C485" s="62" t="s">
        <v>2812</v>
      </c>
      <c r="D485" s="62"/>
      <c r="E485" s="15" t="s">
        <v>2410</v>
      </c>
    </row>
    <row r="486" spans="1:5">
      <c r="A486" s="87"/>
      <c r="B486" s="77"/>
      <c r="C486" s="62" t="s">
        <v>2813</v>
      </c>
      <c r="D486" s="62"/>
      <c r="E486" s="15" t="s">
        <v>2410</v>
      </c>
    </row>
    <row r="487" spans="1:5">
      <c r="A487" s="87"/>
      <c r="B487" s="77"/>
      <c r="C487" s="62" t="s">
        <v>2814</v>
      </c>
      <c r="D487" s="62"/>
      <c r="E487" s="15" t="s">
        <v>2410</v>
      </c>
    </row>
    <row r="488" spans="1:5">
      <c r="A488" s="87"/>
      <c r="B488" s="77"/>
      <c r="C488" s="62" t="s">
        <v>2815</v>
      </c>
      <c r="D488" s="62"/>
      <c r="E488" s="15" t="s">
        <v>2410</v>
      </c>
    </row>
    <row r="489" spans="1:5">
      <c r="A489" s="87"/>
      <c r="B489" s="77"/>
      <c r="C489" s="62" t="s">
        <v>498</v>
      </c>
      <c r="D489" s="62"/>
    </row>
    <row r="490" spans="1:5">
      <c r="A490" s="87"/>
      <c r="B490" s="77"/>
      <c r="C490" s="62" t="s">
        <v>2816</v>
      </c>
      <c r="D490" s="62"/>
    </row>
    <row r="491" spans="1:5">
      <c r="A491" s="87"/>
      <c r="B491" s="77"/>
      <c r="C491" s="62" t="s">
        <v>2817</v>
      </c>
      <c r="D491" s="62"/>
    </row>
    <row r="492" spans="1:5">
      <c r="A492" s="87"/>
      <c r="B492" s="77"/>
      <c r="C492" s="62" t="s">
        <v>2818</v>
      </c>
      <c r="D492" s="62"/>
    </row>
    <row r="493" spans="1:5">
      <c r="A493" s="87"/>
      <c r="B493" s="77"/>
      <c r="C493" s="62" t="s">
        <v>2819</v>
      </c>
      <c r="D493" s="62"/>
    </row>
    <row r="494" spans="1:5">
      <c r="A494" s="87"/>
      <c r="B494" s="77"/>
      <c r="C494" s="62" t="s">
        <v>1177</v>
      </c>
      <c r="D494" s="62"/>
    </row>
    <row r="495" spans="1:5">
      <c r="A495" s="87"/>
      <c r="B495" s="77"/>
      <c r="C495" s="62" t="s">
        <v>2820</v>
      </c>
      <c r="D495" s="62"/>
    </row>
    <row r="496" spans="1:5">
      <c r="A496" s="87"/>
      <c r="B496" s="77"/>
      <c r="C496" s="62" t="s">
        <v>1172</v>
      </c>
      <c r="D496" s="62"/>
    </row>
    <row r="497" spans="1:4">
      <c r="A497" s="87"/>
      <c r="B497" s="77"/>
      <c r="C497" s="62" t="s">
        <v>2821</v>
      </c>
      <c r="D497" s="62"/>
    </row>
    <row r="498" spans="1:4">
      <c r="A498" s="88"/>
      <c r="B498" s="78"/>
      <c r="C498" s="62" t="s">
        <v>1613</v>
      </c>
      <c r="D498" s="62"/>
    </row>
    <row r="499" spans="1:4">
      <c r="A499" s="123"/>
      <c r="B499" s="128" t="s">
        <v>2822</v>
      </c>
      <c r="C499" s="59" t="s">
        <v>151</v>
      </c>
      <c r="D499" s="59"/>
    </row>
    <row r="500" spans="1:4">
      <c r="A500" s="69"/>
      <c r="B500" s="128"/>
      <c r="C500" s="59" t="s">
        <v>2823</v>
      </c>
      <c r="D500" s="59"/>
    </row>
    <row r="501" spans="1:4">
      <c r="A501" s="69"/>
      <c r="B501" s="128"/>
      <c r="C501" s="59" t="s">
        <v>2824</v>
      </c>
      <c r="D501" s="59"/>
    </row>
    <row r="502" spans="1:4">
      <c r="A502" s="69"/>
      <c r="B502" s="128"/>
      <c r="C502" s="59" t="s">
        <v>2825</v>
      </c>
      <c r="D502" s="59"/>
    </row>
    <row r="503" spans="1:4">
      <c r="A503" s="69"/>
      <c r="B503" s="128"/>
      <c r="C503" s="59" t="s">
        <v>2826</v>
      </c>
      <c r="D503" s="59"/>
    </row>
    <row r="504" spans="1:4">
      <c r="A504" s="69"/>
      <c r="B504" s="128"/>
      <c r="C504" s="59" t="s">
        <v>2827</v>
      </c>
      <c r="D504" s="59"/>
    </row>
    <row r="505" spans="1:4">
      <c r="A505" s="69"/>
      <c r="B505" s="128"/>
      <c r="C505" s="59" t="s">
        <v>2828</v>
      </c>
      <c r="D505" s="59"/>
    </row>
    <row r="506" spans="1:4">
      <c r="A506" s="69"/>
      <c r="B506" s="128"/>
      <c r="C506" s="59" t="s">
        <v>2081</v>
      </c>
      <c r="D506" s="59"/>
    </row>
    <row r="507" spans="1:4">
      <c r="A507" s="69"/>
      <c r="B507" s="128"/>
      <c r="C507" s="59" t="s">
        <v>1334</v>
      </c>
      <c r="D507" s="59"/>
    </row>
    <row r="508" spans="1:4">
      <c r="A508" s="69"/>
      <c r="B508" s="128"/>
      <c r="C508" s="59" t="s">
        <v>2829</v>
      </c>
      <c r="D508" s="59"/>
    </row>
    <row r="509" spans="1:4">
      <c r="A509" s="69"/>
      <c r="B509" s="128"/>
      <c r="C509" s="59" t="s">
        <v>2830</v>
      </c>
      <c r="D509" s="59"/>
    </row>
    <row r="510" spans="1:4">
      <c r="A510" s="69"/>
      <c r="B510" s="128"/>
      <c r="C510" s="59" t="s">
        <v>2831</v>
      </c>
      <c r="D510" s="59"/>
    </row>
    <row r="511" spans="1:4">
      <c r="A511" s="69"/>
      <c r="B511" s="128"/>
      <c r="C511" s="59" t="s">
        <v>1342</v>
      </c>
      <c r="D511" s="59"/>
    </row>
    <row r="512" spans="1:4">
      <c r="A512" s="69"/>
      <c r="B512" s="128"/>
      <c r="C512" s="59" t="s">
        <v>1565</v>
      </c>
      <c r="D512" s="59"/>
    </row>
    <row r="513" spans="1:4">
      <c r="A513" s="69"/>
      <c r="B513" s="128"/>
      <c r="C513" s="59" t="s">
        <v>498</v>
      </c>
      <c r="D513" s="59"/>
    </row>
    <row r="514" spans="1:4">
      <c r="A514" s="87"/>
      <c r="B514" s="73" t="s">
        <v>2832</v>
      </c>
      <c r="C514" s="62" t="s">
        <v>318</v>
      </c>
      <c r="D514" s="62"/>
    </row>
    <row r="515" spans="1:4">
      <c r="A515" s="88"/>
      <c r="B515" s="75"/>
      <c r="C515" s="62" t="s">
        <v>141</v>
      </c>
      <c r="D515" s="62"/>
    </row>
    <row r="516" spans="1:4">
      <c r="A516" s="69"/>
      <c r="B516" s="128" t="s">
        <v>1344</v>
      </c>
      <c r="C516" s="59" t="s">
        <v>2833</v>
      </c>
      <c r="D516" s="59"/>
    </row>
    <row r="517" spans="1:4">
      <c r="A517" s="69"/>
      <c r="B517" s="128"/>
      <c r="C517" s="59" t="s">
        <v>138</v>
      </c>
      <c r="D517" s="59"/>
    </row>
    <row r="518" spans="1:4">
      <c r="A518" s="69"/>
      <c r="B518" s="128"/>
      <c r="C518" s="59" t="s">
        <v>565</v>
      </c>
      <c r="D518" s="59"/>
    </row>
    <row r="519" spans="1:4">
      <c r="A519" s="69"/>
      <c r="B519" s="128"/>
      <c r="C519" s="59" t="s">
        <v>2323</v>
      </c>
      <c r="D519" s="59"/>
    </row>
    <row r="520" spans="1:4">
      <c r="A520" s="126"/>
      <c r="B520" s="73" t="s">
        <v>2123</v>
      </c>
      <c r="C520" s="62" t="s">
        <v>2834</v>
      </c>
      <c r="D520" s="62"/>
    </row>
    <row r="521" spans="1:4">
      <c r="A521" s="85"/>
      <c r="B521" s="74"/>
      <c r="C521" s="62" t="s">
        <v>2835</v>
      </c>
      <c r="D521" s="62"/>
    </row>
    <row r="522" spans="1:4">
      <c r="A522" s="85"/>
      <c r="B522" s="74"/>
      <c r="C522" s="62" t="s">
        <v>2836</v>
      </c>
      <c r="D522" s="62"/>
    </row>
    <row r="523" spans="1:4">
      <c r="A523" s="85"/>
      <c r="B523" s="74"/>
      <c r="C523" s="62" t="s">
        <v>2837</v>
      </c>
      <c r="D523" s="62"/>
    </row>
    <row r="524" spans="1:4">
      <c r="A524" s="85"/>
      <c r="B524" s="74"/>
      <c r="C524" s="62" t="s">
        <v>2838</v>
      </c>
      <c r="D524" s="62"/>
    </row>
    <row r="525" spans="1:4">
      <c r="A525" s="85"/>
      <c r="B525" s="74"/>
      <c r="C525" s="62" t="s">
        <v>2839</v>
      </c>
      <c r="D525" s="62"/>
    </row>
    <row r="526" spans="1:4">
      <c r="A526" s="85"/>
      <c r="B526" s="74"/>
      <c r="C526" s="62" t="s">
        <v>2840</v>
      </c>
      <c r="D526" s="62"/>
    </row>
    <row r="527" spans="1:4">
      <c r="A527" s="85"/>
      <c r="B527" s="74"/>
      <c r="C527" s="62" t="s">
        <v>2841</v>
      </c>
      <c r="D527" s="62"/>
    </row>
    <row r="528" spans="1:4">
      <c r="A528" s="85"/>
      <c r="B528" s="74"/>
      <c r="C528" s="62" t="s">
        <v>1474</v>
      </c>
      <c r="D528" s="62"/>
    </row>
    <row r="529" spans="1:4">
      <c r="A529" s="85"/>
      <c r="B529" s="74"/>
      <c r="C529" s="62" t="s">
        <v>2829</v>
      </c>
      <c r="D529" s="62"/>
    </row>
    <row r="530" spans="1:4">
      <c r="B530" s="74"/>
      <c r="C530" s="62" t="s">
        <v>2842</v>
      </c>
      <c r="D530" s="62"/>
    </row>
    <row r="531" spans="1:4" ht="15">
      <c r="A531" s="85"/>
      <c r="B531" s="74"/>
      <c r="C531" s="62" t="s">
        <v>2843</v>
      </c>
      <c r="D531" s="62" t="s">
        <v>2844</v>
      </c>
    </row>
    <row r="532" spans="1:4" ht="15">
      <c r="A532" s="85"/>
      <c r="B532" s="74"/>
      <c r="C532" s="62" t="s">
        <v>2845</v>
      </c>
      <c r="D532" s="62" t="s">
        <v>2844</v>
      </c>
    </row>
    <row r="533" spans="1:4" ht="15">
      <c r="A533" s="85"/>
      <c r="B533" s="74"/>
      <c r="C533" s="62" t="s">
        <v>2846</v>
      </c>
      <c r="D533" s="62" t="s">
        <v>2844</v>
      </c>
    </row>
    <row r="534" spans="1:4">
      <c r="A534" s="85"/>
      <c r="B534" s="74"/>
      <c r="C534" s="62" t="s">
        <v>2847</v>
      </c>
      <c r="D534" s="62"/>
    </row>
    <row r="535" spans="1:4">
      <c r="A535" s="85"/>
      <c r="B535" s="74"/>
      <c r="C535" s="62" t="s">
        <v>2848</v>
      </c>
      <c r="D535" s="62"/>
    </row>
    <row r="536" spans="1:4">
      <c r="A536" s="85"/>
      <c r="B536" s="74"/>
      <c r="C536" s="62" t="s">
        <v>2849</v>
      </c>
      <c r="D536" s="62"/>
    </row>
    <row r="537" spans="1:4">
      <c r="A537" s="85"/>
      <c r="B537" s="74"/>
      <c r="C537" s="62" t="s">
        <v>2324</v>
      </c>
      <c r="D537" s="62"/>
    </row>
    <row r="538" spans="1:4">
      <c r="A538" s="85"/>
      <c r="B538" s="74"/>
      <c r="C538" s="62" t="s">
        <v>2850</v>
      </c>
      <c r="D538" s="62"/>
    </row>
    <row r="539" spans="1:4">
      <c r="A539" s="85"/>
      <c r="B539" s="74"/>
      <c r="C539" s="62" t="s">
        <v>2851</v>
      </c>
      <c r="D539" s="62"/>
    </row>
    <row r="540" spans="1:4">
      <c r="A540" s="85"/>
      <c r="B540" s="74"/>
      <c r="C540" s="62" t="s">
        <v>2852</v>
      </c>
      <c r="D540" s="62"/>
    </row>
    <row r="541" spans="1:4">
      <c r="A541" s="85"/>
      <c r="B541" s="74"/>
      <c r="C541" s="62" t="s">
        <v>2853</v>
      </c>
      <c r="D541" s="62"/>
    </row>
    <row r="542" spans="1:4">
      <c r="A542" s="85"/>
      <c r="B542" s="74"/>
      <c r="C542" s="62" t="s">
        <v>1565</v>
      </c>
      <c r="D542" s="62"/>
    </row>
    <row r="543" spans="1:4">
      <c r="A543" s="85"/>
      <c r="B543" s="74"/>
      <c r="C543" s="62" t="s">
        <v>498</v>
      </c>
      <c r="D543" s="63"/>
    </row>
    <row r="544" spans="1:4">
      <c r="A544" s="91"/>
      <c r="B544" s="64" t="s">
        <v>2127</v>
      </c>
      <c r="C544" s="59" t="s">
        <v>318</v>
      </c>
      <c r="D544" s="59"/>
    </row>
    <row r="545" spans="1:4">
      <c r="A545" s="92"/>
      <c r="B545" s="127"/>
      <c r="C545" s="59" t="s">
        <v>141</v>
      </c>
      <c r="D545" s="59"/>
    </row>
    <row r="546" spans="1:4">
      <c r="A546" s="85"/>
      <c r="B546" s="73" t="s">
        <v>2128</v>
      </c>
      <c r="C546" s="62" t="s">
        <v>2854</v>
      </c>
      <c r="D546" s="62"/>
    </row>
    <row r="547" spans="1:4">
      <c r="A547" s="85"/>
      <c r="B547" s="74"/>
      <c r="C547" s="62" t="s">
        <v>2325</v>
      </c>
      <c r="D547" s="62"/>
    </row>
    <row r="548" spans="1:4">
      <c r="A548" s="85"/>
      <c r="B548" s="74"/>
      <c r="C548" s="62" t="s">
        <v>2855</v>
      </c>
      <c r="D548" s="62"/>
    </row>
    <row r="549" spans="1:4">
      <c r="A549" s="85"/>
      <c r="B549" s="74"/>
      <c r="C549" s="62" t="s">
        <v>2856</v>
      </c>
      <c r="D549" s="62"/>
    </row>
    <row r="550" spans="1:4">
      <c r="A550" s="85"/>
      <c r="B550" s="74"/>
      <c r="C550" s="62" t="s">
        <v>2144</v>
      </c>
      <c r="D550" s="62"/>
    </row>
    <row r="551" spans="1:4">
      <c r="A551" s="91"/>
      <c r="B551" s="64" t="s">
        <v>2130</v>
      </c>
      <c r="C551" s="59" t="s">
        <v>318</v>
      </c>
      <c r="D551" s="59"/>
    </row>
    <row r="552" spans="1:4">
      <c r="A552" s="92"/>
      <c r="B552" s="127"/>
      <c r="C552" s="59" t="s">
        <v>141</v>
      </c>
      <c r="D552" s="59"/>
    </row>
    <row r="553" spans="1:4">
      <c r="A553" s="70"/>
      <c r="B553" s="73" t="s">
        <v>2857</v>
      </c>
      <c r="C553" s="62" t="s">
        <v>2858</v>
      </c>
      <c r="D553" s="62"/>
    </row>
    <row r="554" spans="1:4">
      <c r="A554" s="71"/>
      <c r="B554" s="71"/>
      <c r="C554" s="62" t="s">
        <v>2859</v>
      </c>
      <c r="D554" s="62"/>
    </row>
    <row r="555" spans="1:4">
      <c r="A555" s="71"/>
      <c r="B555" s="71"/>
      <c r="C555" s="62" t="s">
        <v>2860</v>
      </c>
      <c r="D555" s="62"/>
    </row>
    <row r="556" spans="1:4">
      <c r="A556" s="71"/>
      <c r="B556" s="71"/>
      <c r="C556" s="62" t="s">
        <v>2861</v>
      </c>
      <c r="D556" s="62"/>
    </row>
    <row r="557" spans="1:4">
      <c r="A557" s="71"/>
      <c r="B557" s="71"/>
      <c r="C557" s="62" t="s">
        <v>2862</v>
      </c>
      <c r="D557" s="62"/>
    </row>
    <row r="558" spans="1:4">
      <c r="A558" s="71"/>
      <c r="B558" s="71"/>
      <c r="C558" s="62" t="s">
        <v>2863</v>
      </c>
      <c r="D558" s="62"/>
    </row>
    <row r="559" spans="1:4">
      <c r="A559" s="71"/>
      <c r="B559" s="71"/>
      <c r="C559" s="62" t="s">
        <v>2864</v>
      </c>
      <c r="D559" s="62"/>
    </row>
    <row r="560" spans="1:4">
      <c r="A560" s="71"/>
      <c r="B560" s="71"/>
      <c r="C560" s="62" t="s">
        <v>2865</v>
      </c>
      <c r="D560" s="62"/>
    </row>
    <row r="561" spans="1:4">
      <c r="A561" s="71"/>
      <c r="B561" s="71"/>
      <c r="C561" s="62" t="s">
        <v>2866</v>
      </c>
      <c r="D561" s="62"/>
    </row>
    <row r="562" spans="1:4">
      <c r="A562" s="71"/>
      <c r="B562" s="71"/>
      <c r="C562" s="62" t="s">
        <v>2867</v>
      </c>
      <c r="D562" s="62"/>
    </row>
    <row r="563" spans="1:4">
      <c r="A563" s="71"/>
      <c r="B563" s="71"/>
      <c r="C563" s="62" t="s">
        <v>2868</v>
      </c>
      <c r="D563" s="62"/>
    </row>
    <row r="564" spans="1:4">
      <c r="A564" s="71"/>
      <c r="B564" s="71"/>
      <c r="C564" s="62" t="s">
        <v>2869</v>
      </c>
      <c r="D564" s="62"/>
    </row>
    <row r="565" spans="1:4">
      <c r="A565" s="71"/>
      <c r="B565" s="71"/>
      <c r="C565" s="62" t="s">
        <v>2870</v>
      </c>
      <c r="D565" s="62"/>
    </row>
    <row r="566" spans="1:4">
      <c r="A566" s="71"/>
      <c r="B566" s="71"/>
      <c r="C566" s="62" t="s">
        <v>2871</v>
      </c>
      <c r="D566" s="62"/>
    </row>
    <row r="567" spans="1:4">
      <c r="A567" s="71"/>
      <c r="B567" s="71"/>
      <c r="C567" s="62" t="s">
        <v>2872</v>
      </c>
      <c r="D567" s="62"/>
    </row>
    <row r="568" spans="1:4">
      <c r="A568" s="71"/>
      <c r="B568" s="71"/>
      <c r="C568" s="62" t="s">
        <v>2873</v>
      </c>
      <c r="D568" s="62"/>
    </row>
    <row r="569" spans="1:4">
      <c r="A569" s="71"/>
      <c r="B569" s="71"/>
      <c r="C569" s="62" t="s">
        <v>2874</v>
      </c>
      <c r="D569" s="62"/>
    </row>
    <row r="570" spans="1:4">
      <c r="A570" s="71"/>
      <c r="B570" s="71"/>
      <c r="C570" s="62" t="s">
        <v>2875</v>
      </c>
      <c r="D570" s="62"/>
    </row>
    <row r="571" spans="1:4">
      <c r="A571" s="71"/>
      <c r="B571" s="71"/>
      <c r="C571" s="62" t="s">
        <v>2876</v>
      </c>
      <c r="D571" s="62"/>
    </row>
    <row r="572" spans="1:4">
      <c r="A572" s="71"/>
      <c r="B572" s="71"/>
      <c r="C572" s="62" t="s">
        <v>2877</v>
      </c>
      <c r="D572" s="62"/>
    </row>
    <row r="573" spans="1:4">
      <c r="A573" s="71"/>
      <c r="B573" s="71"/>
      <c r="C573" s="62" t="s">
        <v>2878</v>
      </c>
      <c r="D573" s="62"/>
    </row>
    <row r="574" spans="1:4">
      <c r="A574" s="71"/>
      <c r="B574" s="71"/>
      <c r="C574" s="62" t="s">
        <v>2879</v>
      </c>
      <c r="D574" s="62"/>
    </row>
    <row r="575" spans="1:4">
      <c r="A575" s="71"/>
      <c r="B575" s="71"/>
      <c r="C575" s="62" t="s">
        <v>2880</v>
      </c>
      <c r="D575" s="62"/>
    </row>
    <row r="576" spans="1:4">
      <c r="A576" s="71"/>
      <c r="B576" s="71"/>
      <c r="C576" s="62" t="s">
        <v>2881</v>
      </c>
      <c r="D576" s="62"/>
    </row>
    <row r="577" spans="1:5">
      <c r="A577" s="71"/>
      <c r="B577" s="71"/>
      <c r="C577" s="62" t="s">
        <v>2882</v>
      </c>
      <c r="D577" s="62"/>
    </row>
    <row r="578" spans="1:5">
      <c r="A578" s="71"/>
      <c r="B578" s="71"/>
      <c r="C578" s="62" t="s">
        <v>2320</v>
      </c>
      <c r="D578" s="62"/>
    </row>
    <row r="579" spans="1:5">
      <c r="A579" s="71"/>
      <c r="B579" s="71"/>
      <c r="C579" s="62" t="s">
        <v>2883</v>
      </c>
      <c r="D579" s="62"/>
    </row>
    <row r="580" spans="1:5">
      <c r="A580" s="71"/>
      <c r="B580" s="71"/>
      <c r="C580" s="62" t="s">
        <v>2884</v>
      </c>
      <c r="D580" s="62"/>
      <c r="E580" s="15" t="s">
        <v>2410</v>
      </c>
    </row>
    <row r="581" spans="1:5">
      <c r="A581" s="71"/>
      <c r="B581" s="71"/>
      <c r="C581" s="62" t="s">
        <v>2885</v>
      </c>
      <c r="D581" s="62"/>
      <c r="E581" s="15" t="s">
        <v>2410</v>
      </c>
    </row>
    <row r="582" spans="1:5">
      <c r="A582" s="71"/>
      <c r="B582" s="71"/>
      <c r="C582" s="62" t="s">
        <v>2886</v>
      </c>
      <c r="D582" s="62"/>
    </row>
    <row r="583" spans="1:5">
      <c r="A583" s="71"/>
      <c r="B583" s="71"/>
      <c r="C583" s="62" t="s">
        <v>2887</v>
      </c>
      <c r="D583" s="62"/>
    </row>
    <row r="584" spans="1:5">
      <c r="A584" s="71"/>
      <c r="B584" s="71"/>
      <c r="C584" s="62" t="s">
        <v>2888</v>
      </c>
      <c r="D584" s="62"/>
    </row>
    <row r="585" spans="1:5">
      <c r="A585" s="71"/>
      <c r="B585" s="71"/>
      <c r="C585" s="62" t="s">
        <v>2889</v>
      </c>
      <c r="D585" s="62"/>
    </row>
    <row r="586" spans="1:5">
      <c r="A586" s="71"/>
      <c r="B586" s="71"/>
      <c r="C586" s="62" t="s">
        <v>2890</v>
      </c>
      <c r="D586" s="62"/>
    </row>
    <row r="587" spans="1:5">
      <c r="A587" s="71"/>
      <c r="B587" s="71"/>
      <c r="C587" s="62" t="s">
        <v>2891</v>
      </c>
      <c r="D587" s="62"/>
    </row>
    <row r="588" spans="1:5">
      <c r="A588" s="71"/>
      <c r="B588" s="71"/>
      <c r="C588" s="62" t="s">
        <v>2892</v>
      </c>
      <c r="D588" s="62"/>
    </row>
    <row r="589" spans="1:5">
      <c r="A589" s="71"/>
      <c r="B589" s="71"/>
      <c r="C589" s="62" t="s">
        <v>2893</v>
      </c>
      <c r="D589" s="62"/>
    </row>
    <row r="590" spans="1:5">
      <c r="A590" s="71"/>
      <c r="B590" s="71"/>
      <c r="C590" s="62" t="s">
        <v>2894</v>
      </c>
      <c r="D590" s="62"/>
    </row>
    <row r="591" spans="1:5">
      <c r="A591" s="72"/>
      <c r="B591" s="72"/>
      <c r="C591" s="62" t="s">
        <v>2895</v>
      </c>
      <c r="D591" s="62"/>
    </row>
    <row r="592" spans="1:5">
      <c r="A592" s="69"/>
      <c r="B592" s="128" t="s">
        <v>2121</v>
      </c>
      <c r="C592" s="59" t="s">
        <v>2896</v>
      </c>
      <c r="D592" s="59"/>
    </row>
    <row r="593" spans="1:5">
      <c r="A593" s="69"/>
      <c r="B593" s="128"/>
      <c r="C593" s="59" t="s">
        <v>2152</v>
      </c>
      <c r="D593" s="59"/>
    </row>
    <row r="594" spans="1:5">
      <c r="A594" s="69"/>
      <c r="B594" s="128"/>
      <c r="C594" s="59" t="s">
        <v>498</v>
      </c>
      <c r="D594" s="59"/>
    </row>
    <row r="595" spans="1:5">
      <c r="A595" s="73"/>
      <c r="B595" s="79" t="s">
        <v>129</v>
      </c>
      <c r="C595" s="62" t="s">
        <v>318</v>
      </c>
      <c r="D595" s="62"/>
      <c r="E595" s="135"/>
    </row>
    <row r="596" spans="1:5">
      <c r="A596" s="129"/>
      <c r="B596" s="131"/>
      <c r="C596" s="130" t="s">
        <v>141</v>
      </c>
      <c r="D596" s="62"/>
    </row>
    <row r="597" spans="1:5">
      <c r="A597" s="123"/>
      <c r="B597" s="123" t="s">
        <v>1599</v>
      </c>
      <c r="C597" s="59" t="s">
        <v>1684</v>
      </c>
      <c r="D597" s="59"/>
    </row>
    <row r="598" spans="1:5">
      <c r="A598" s="69"/>
      <c r="B598" s="69"/>
      <c r="C598" s="59" t="s">
        <v>1618</v>
      </c>
      <c r="D598" s="59"/>
    </row>
    <row r="599" spans="1:5">
      <c r="A599" s="69"/>
      <c r="B599" s="69"/>
      <c r="C599" s="59" t="s">
        <v>1858</v>
      </c>
      <c r="D599" s="59"/>
    </row>
    <row r="600" spans="1:5">
      <c r="A600" s="69"/>
      <c r="B600" s="69"/>
      <c r="C600" s="59" t="s">
        <v>1755</v>
      </c>
      <c r="D600" s="59"/>
    </row>
    <row r="601" spans="1:5">
      <c r="A601" s="69"/>
      <c r="B601" s="69"/>
      <c r="C601" s="59" t="s">
        <v>1727</v>
      </c>
      <c r="D601" s="59"/>
    </row>
    <row r="602" spans="1:5">
      <c r="A602" s="69"/>
      <c r="B602" s="69"/>
      <c r="C602" s="59" t="s">
        <v>1805</v>
      </c>
      <c r="D602" s="59"/>
    </row>
    <row r="603" spans="1:5">
      <c r="A603" s="69"/>
      <c r="B603" s="69"/>
      <c r="C603" s="59" t="s">
        <v>1628</v>
      </c>
      <c r="D603" s="59"/>
    </row>
    <row r="604" spans="1:5">
      <c r="A604" s="69"/>
      <c r="B604" s="69"/>
      <c r="C604" s="59" t="s">
        <v>1773</v>
      </c>
      <c r="D604" s="59"/>
    </row>
    <row r="605" spans="1:5">
      <c r="A605" s="69"/>
      <c r="B605" s="69"/>
      <c r="C605" s="59" t="s">
        <v>1608</v>
      </c>
      <c r="D605" s="59"/>
    </row>
    <row r="606" spans="1:5">
      <c r="A606" s="69"/>
      <c r="B606" s="69"/>
      <c r="C606" s="59" t="s">
        <v>2897</v>
      </c>
      <c r="D606" s="59"/>
    </row>
    <row r="607" spans="1:5">
      <c r="A607" s="69"/>
      <c r="B607" s="69"/>
      <c r="C607" s="59" t="s">
        <v>2898</v>
      </c>
      <c r="D607" s="59"/>
    </row>
    <row r="608" spans="1:5">
      <c r="A608" s="69"/>
      <c r="B608" s="69"/>
      <c r="C608" s="59" t="s">
        <v>1778</v>
      </c>
      <c r="D608" s="59"/>
    </row>
    <row r="609" spans="1:5">
      <c r="A609" s="69"/>
      <c r="B609" s="69"/>
      <c r="C609" s="59" t="s">
        <v>1731</v>
      </c>
      <c r="D609" s="59"/>
    </row>
    <row r="610" spans="1:5">
      <c r="A610" s="69"/>
      <c r="B610" s="69"/>
      <c r="C610" s="59" t="s">
        <v>1646</v>
      </c>
      <c r="D610" s="59"/>
    </row>
    <row r="611" spans="1:5">
      <c r="A611" s="69"/>
      <c r="B611" s="69"/>
      <c r="C611" s="59" t="s">
        <v>1879</v>
      </c>
      <c r="D611" s="59"/>
    </row>
    <row r="612" spans="1:5">
      <c r="A612" s="69"/>
      <c r="B612" s="69"/>
      <c r="C612" s="59" t="s">
        <v>2899</v>
      </c>
      <c r="D612" s="59"/>
    </row>
    <row r="613" spans="1:5">
      <c r="A613" s="69"/>
      <c r="B613" s="69"/>
      <c r="C613" s="59" t="s">
        <v>2900</v>
      </c>
      <c r="D613" s="59"/>
    </row>
    <row r="614" spans="1:5">
      <c r="A614" s="69"/>
      <c r="B614" s="69"/>
      <c r="C614" s="59" t="s">
        <v>1675</v>
      </c>
      <c r="D614" s="59"/>
    </row>
    <row r="615" spans="1:5">
      <c r="A615" s="69"/>
      <c r="B615" s="69"/>
      <c r="C615" s="59" t="s">
        <v>1830</v>
      </c>
      <c r="D615" s="59"/>
    </row>
    <row r="616" spans="1:5">
      <c r="A616" s="69"/>
      <c r="B616" s="69"/>
      <c r="C616" s="59" t="s">
        <v>1641</v>
      </c>
      <c r="D616" s="59"/>
    </row>
    <row r="617" spans="1:5">
      <c r="A617" s="69"/>
      <c r="B617" s="69"/>
      <c r="C617" s="59" t="s">
        <v>1944</v>
      </c>
      <c r="D617" s="59"/>
    </row>
    <row r="618" spans="1:5">
      <c r="A618" s="69"/>
      <c r="B618" s="69"/>
      <c r="C618" s="59" t="s">
        <v>1637</v>
      </c>
      <c r="D618" s="59"/>
    </row>
    <row r="619" spans="1:5">
      <c r="A619" s="69"/>
      <c r="B619" s="69"/>
      <c r="C619" s="59" t="s">
        <v>2901</v>
      </c>
      <c r="D619" s="59"/>
    </row>
    <row r="620" spans="1:5">
      <c r="A620" s="69"/>
      <c r="B620" s="69"/>
      <c r="C620" s="59" t="s">
        <v>1613</v>
      </c>
      <c r="D620" s="59"/>
    </row>
    <row r="621" spans="1:5">
      <c r="A621" s="69"/>
      <c r="B621" s="69"/>
      <c r="C621" s="59" t="s">
        <v>2902</v>
      </c>
      <c r="D621" s="59"/>
      <c r="E621" s="15" t="s">
        <v>2410</v>
      </c>
    </row>
    <row r="622" spans="1:5">
      <c r="A622" s="73"/>
      <c r="B622" s="73" t="s">
        <v>2362</v>
      </c>
      <c r="C622" s="62" t="s">
        <v>2903</v>
      </c>
      <c r="D622" s="62"/>
    </row>
    <row r="623" spans="1:5">
      <c r="A623" s="74"/>
      <c r="B623" s="74"/>
      <c r="C623" s="62" t="s">
        <v>2904</v>
      </c>
      <c r="D623" s="62"/>
    </row>
    <row r="624" spans="1:5">
      <c r="A624" s="74"/>
      <c r="B624" s="74"/>
      <c r="C624" s="62" t="s">
        <v>2905</v>
      </c>
      <c r="D624" s="62"/>
    </row>
    <row r="625" spans="1:5">
      <c r="A625" s="74"/>
      <c r="B625" s="74"/>
      <c r="C625" s="62" t="s">
        <v>2906</v>
      </c>
      <c r="D625" s="62"/>
    </row>
    <row r="626" spans="1:5">
      <c r="A626" s="74"/>
      <c r="B626" s="74"/>
      <c r="C626" s="62" t="s">
        <v>2907</v>
      </c>
      <c r="D626" s="62"/>
      <c r="E626" s="15" t="s">
        <v>2410</v>
      </c>
    </row>
    <row r="627" spans="1:5">
      <c r="A627" s="74"/>
      <c r="B627" s="74"/>
      <c r="C627" s="62" t="s">
        <v>2908</v>
      </c>
      <c r="D627" s="62"/>
    </row>
    <row r="628" spans="1:5">
      <c r="A628" s="74"/>
      <c r="B628" s="74"/>
      <c r="C628" s="62" t="s">
        <v>2909</v>
      </c>
      <c r="D628" s="62"/>
    </row>
    <row r="629" spans="1:5">
      <c r="A629" s="74"/>
      <c r="B629" s="74"/>
      <c r="C629" s="62" t="s">
        <v>555</v>
      </c>
      <c r="D629" s="62"/>
    </row>
    <row r="630" spans="1:5">
      <c r="A630" s="74"/>
      <c r="B630" s="74"/>
      <c r="C630" s="62" t="s">
        <v>2910</v>
      </c>
      <c r="D630" s="62"/>
    </row>
    <row r="631" spans="1:5">
      <c r="A631" s="74"/>
      <c r="B631" s="74"/>
      <c r="C631" s="62" t="s">
        <v>2911</v>
      </c>
      <c r="D631" s="62"/>
    </row>
    <row r="632" spans="1:5">
      <c r="A632" s="74"/>
      <c r="B632" s="74"/>
      <c r="C632" s="62" t="s">
        <v>2912</v>
      </c>
      <c r="D632" s="62"/>
    </row>
    <row r="633" spans="1:5">
      <c r="A633" s="75"/>
      <c r="B633" s="75"/>
      <c r="C633" s="62" t="s">
        <v>498</v>
      </c>
      <c r="D633" s="62"/>
    </row>
    <row r="634" spans="1:5">
      <c r="A634" s="69"/>
      <c r="B634" s="128" t="s">
        <v>2363</v>
      </c>
      <c r="C634" s="59" t="s">
        <v>2913</v>
      </c>
      <c r="D634" s="59" t="s">
        <v>2914</v>
      </c>
    </row>
    <row r="635" spans="1:5">
      <c r="A635" s="69"/>
      <c r="B635" s="128"/>
      <c r="C635" s="59" t="s">
        <v>2915</v>
      </c>
      <c r="D635" s="59" t="s">
        <v>2916</v>
      </c>
    </row>
    <row r="636" spans="1:5">
      <c r="A636" s="69"/>
      <c r="B636" s="128"/>
      <c r="C636" s="59" t="s">
        <v>2917</v>
      </c>
      <c r="D636" s="59" t="s">
        <v>2918</v>
      </c>
    </row>
    <row r="637" spans="1:5">
      <c r="A637" s="69"/>
      <c r="B637" s="128"/>
      <c r="C637" s="59" t="s">
        <v>2919</v>
      </c>
      <c r="D637" s="59" t="s">
        <v>2920</v>
      </c>
    </row>
    <row r="638" spans="1:5">
      <c r="A638" s="69"/>
      <c r="B638" s="128"/>
      <c r="C638" s="59" t="s">
        <v>2921</v>
      </c>
      <c r="D638" s="59" t="s">
        <v>2922</v>
      </c>
    </row>
    <row r="639" spans="1:5">
      <c r="A639" s="69"/>
      <c r="B639" s="128"/>
      <c r="C639" s="59" t="s">
        <v>2923</v>
      </c>
      <c r="D639" s="59" t="s">
        <v>2924</v>
      </c>
    </row>
    <row r="640" spans="1:5">
      <c r="A640" s="69"/>
      <c r="B640" s="128"/>
      <c r="C640" s="59" t="s">
        <v>2925</v>
      </c>
      <c r="D640" s="59" t="s">
        <v>2926</v>
      </c>
    </row>
    <row r="641" spans="1:4">
      <c r="A641" s="69"/>
      <c r="B641" s="128"/>
      <c r="C641" s="59" t="s">
        <v>2927</v>
      </c>
      <c r="D641" s="59" t="s">
        <v>2927</v>
      </c>
    </row>
    <row r="642" spans="1:4">
      <c r="A642" s="69"/>
      <c r="B642" s="128"/>
      <c r="C642" s="59" t="s">
        <v>498</v>
      </c>
      <c r="D642" s="59"/>
    </row>
    <row r="643" spans="1:4">
      <c r="A643" s="76"/>
      <c r="B643" s="76" t="s">
        <v>2928</v>
      </c>
      <c r="C643" s="62" t="s">
        <v>2929</v>
      </c>
      <c r="D643" s="62" t="s">
        <v>2930</v>
      </c>
    </row>
    <row r="644" spans="1:4">
      <c r="A644" s="77"/>
      <c r="B644" s="77"/>
      <c r="C644" s="62" t="s">
        <v>2931</v>
      </c>
      <c r="D644" s="62" t="s">
        <v>2932</v>
      </c>
    </row>
    <row r="645" spans="1:4">
      <c r="A645" s="77"/>
      <c r="B645" s="77"/>
      <c r="C645" s="62" t="s">
        <v>2933</v>
      </c>
      <c r="D645" s="62" t="s">
        <v>2934</v>
      </c>
    </row>
    <row r="646" spans="1:4">
      <c r="A646" s="77"/>
      <c r="B646" s="77"/>
      <c r="C646" s="62" t="s">
        <v>2935</v>
      </c>
      <c r="D646" s="62" t="s">
        <v>2936</v>
      </c>
    </row>
    <row r="647" spans="1:4">
      <c r="A647" s="77"/>
      <c r="B647" s="77"/>
      <c r="C647" s="62" t="s">
        <v>2937</v>
      </c>
      <c r="D647" s="62"/>
    </row>
    <row r="648" spans="1:4">
      <c r="A648" s="78"/>
      <c r="B648" s="78"/>
      <c r="C648" s="62" t="s">
        <v>498</v>
      </c>
      <c r="D648" s="62"/>
    </row>
    <row r="649" spans="1:4">
      <c r="A649" s="69"/>
      <c r="B649" s="128" t="s">
        <v>1349</v>
      </c>
      <c r="C649" s="59" t="s">
        <v>1359</v>
      </c>
      <c r="D649" s="59"/>
    </row>
    <row r="650" spans="1:4">
      <c r="A650" s="69"/>
      <c r="B650" s="128"/>
      <c r="C650" s="59" t="s">
        <v>1482</v>
      </c>
      <c r="D650" s="59"/>
    </row>
    <row r="651" spans="1:4">
      <c r="A651" s="69"/>
      <c r="B651" s="128"/>
      <c r="C651" s="59" t="s">
        <v>1392</v>
      </c>
      <c r="D651" s="59"/>
    </row>
    <row r="652" spans="1:4">
      <c r="A652" s="69"/>
      <c r="B652" s="128"/>
      <c r="C652" s="59" t="s">
        <v>2938</v>
      </c>
      <c r="D652" s="59"/>
    </row>
    <row r="653" spans="1:4">
      <c r="A653" s="69"/>
      <c r="B653" s="128"/>
      <c r="C653" s="59" t="s">
        <v>498</v>
      </c>
      <c r="D653" s="59"/>
    </row>
    <row r="654" spans="1:4">
      <c r="A654" s="76"/>
      <c r="B654" s="76" t="s">
        <v>1350</v>
      </c>
      <c r="C654" s="62" t="s">
        <v>1360</v>
      </c>
      <c r="D654" s="62"/>
    </row>
    <row r="655" spans="1:4">
      <c r="A655" s="77"/>
      <c r="B655" s="77"/>
      <c r="C655" s="62" t="s">
        <v>1393</v>
      </c>
      <c r="D655" s="62"/>
    </row>
    <row r="656" spans="1:4">
      <c r="A656" s="69"/>
      <c r="B656" s="128" t="s">
        <v>22</v>
      </c>
      <c r="C656" s="59" t="s">
        <v>36</v>
      </c>
      <c r="D656" s="59"/>
    </row>
    <row r="657" spans="1:4">
      <c r="A657" s="69"/>
      <c r="B657" s="128"/>
      <c r="C657" s="59" t="s">
        <v>2939</v>
      </c>
      <c r="D657" s="59"/>
    </row>
    <row r="658" spans="1:4">
      <c r="A658" s="76"/>
      <c r="B658" s="76" t="s">
        <v>2067</v>
      </c>
      <c r="C658" s="62" t="s">
        <v>2940</v>
      </c>
      <c r="D658" s="62"/>
    </row>
    <row r="659" spans="1:4">
      <c r="A659" s="77"/>
      <c r="B659" s="77"/>
      <c r="C659" s="62" t="s">
        <v>2941</v>
      </c>
      <c r="D659" s="62"/>
    </row>
    <row r="660" spans="1:4">
      <c r="A660" s="77"/>
      <c r="B660" s="77"/>
      <c r="C660" s="62" t="s">
        <v>2090</v>
      </c>
      <c r="D660" s="62"/>
    </row>
    <row r="661" spans="1:4">
      <c r="A661" s="77"/>
      <c r="B661" s="77"/>
      <c r="C661" s="62" t="s">
        <v>2942</v>
      </c>
      <c r="D661" s="62"/>
    </row>
    <row r="662" spans="1:4">
      <c r="A662" s="77"/>
      <c r="B662" s="77"/>
      <c r="C662" s="62" t="s">
        <v>2943</v>
      </c>
      <c r="D662" s="62"/>
    </row>
    <row r="663" spans="1:4">
      <c r="A663" s="77"/>
      <c r="B663" s="77"/>
      <c r="C663" s="62" t="s">
        <v>2944</v>
      </c>
      <c r="D663" s="62"/>
    </row>
    <row r="664" spans="1:4">
      <c r="A664" s="77"/>
      <c r="B664" s="77"/>
      <c r="C664" s="62" t="s">
        <v>498</v>
      </c>
      <c r="D664" s="62"/>
    </row>
    <row r="665" spans="1:4">
      <c r="A665" s="78"/>
      <c r="B665" s="78"/>
      <c r="C665" s="62" t="s">
        <v>2087</v>
      </c>
      <c r="D665" s="62"/>
    </row>
    <row r="666" spans="1:4">
      <c r="A666" s="69"/>
      <c r="B666" s="128" t="s">
        <v>2068</v>
      </c>
      <c r="C666" s="59" t="s">
        <v>2945</v>
      </c>
      <c r="D666" s="59"/>
    </row>
    <row r="667" spans="1:4">
      <c r="A667" s="69"/>
      <c r="B667" s="128"/>
      <c r="C667" s="59" t="s">
        <v>2946</v>
      </c>
      <c r="D667" s="59"/>
    </row>
    <row r="668" spans="1:4">
      <c r="A668" s="76"/>
      <c r="B668" s="76" t="s">
        <v>127</v>
      </c>
      <c r="C668" s="62" t="s">
        <v>2143</v>
      </c>
      <c r="D668" s="62"/>
    </row>
    <row r="669" spans="1:4">
      <c r="A669" s="77"/>
      <c r="B669" s="77"/>
      <c r="C669" s="62" t="s">
        <v>2947</v>
      </c>
      <c r="D669" s="62"/>
    </row>
    <row r="670" spans="1:4">
      <c r="A670" s="77"/>
      <c r="B670" s="77"/>
      <c r="C670" s="62" t="s">
        <v>2948</v>
      </c>
      <c r="D670" s="62"/>
    </row>
    <row r="671" spans="1:4">
      <c r="A671" s="77"/>
      <c r="B671" s="77"/>
      <c r="C671" s="62" t="s">
        <v>2949</v>
      </c>
      <c r="D671" s="62"/>
    </row>
    <row r="672" spans="1:4">
      <c r="A672" s="77"/>
      <c r="B672" s="77"/>
      <c r="C672" s="62" t="s">
        <v>2950</v>
      </c>
      <c r="D672" s="62"/>
    </row>
    <row r="673" spans="1:4">
      <c r="A673" s="77"/>
      <c r="B673" s="77"/>
      <c r="C673" s="62" t="s">
        <v>2951</v>
      </c>
      <c r="D673" s="62"/>
    </row>
    <row r="674" spans="1:4">
      <c r="A674" s="77"/>
      <c r="B674" s="77"/>
      <c r="C674" s="62" t="s">
        <v>2952</v>
      </c>
      <c r="D674" s="62"/>
    </row>
    <row r="675" spans="1:4">
      <c r="A675" s="77"/>
      <c r="B675" s="77"/>
      <c r="C675" s="62" t="s">
        <v>2953</v>
      </c>
      <c r="D675" s="62"/>
    </row>
    <row r="676" spans="1:4">
      <c r="A676" s="77"/>
      <c r="B676" s="77"/>
      <c r="C676" s="62" t="s">
        <v>2954</v>
      </c>
      <c r="D676" s="62"/>
    </row>
    <row r="677" spans="1:4">
      <c r="A677" s="77"/>
      <c r="B677" s="77"/>
      <c r="C677" s="62" t="s">
        <v>2955</v>
      </c>
      <c r="D677" s="62"/>
    </row>
    <row r="678" spans="1:4">
      <c r="A678" s="77"/>
      <c r="B678" s="77"/>
      <c r="C678" s="62" t="s">
        <v>1613</v>
      </c>
      <c r="D678" s="62"/>
    </row>
    <row r="679" spans="1:4">
      <c r="A679" s="78"/>
      <c r="B679" s="78"/>
      <c r="C679" s="62" t="s">
        <v>2087</v>
      </c>
      <c r="D679" s="62"/>
    </row>
    <row r="680" spans="1:4">
      <c r="A680" s="98"/>
      <c r="B680" s="98" t="s">
        <v>2071</v>
      </c>
      <c r="C680" s="59" t="s">
        <v>2940</v>
      </c>
      <c r="D680" s="59"/>
    </row>
    <row r="681" spans="1:4">
      <c r="A681" s="100"/>
      <c r="B681" s="100"/>
      <c r="C681" s="59" t="s">
        <v>2941</v>
      </c>
      <c r="D681" s="59"/>
    </row>
    <row r="682" spans="1:4">
      <c r="A682" s="100"/>
      <c r="B682" s="100"/>
      <c r="C682" s="59" t="s">
        <v>2090</v>
      </c>
      <c r="D682" s="59"/>
    </row>
    <row r="683" spans="1:4">
      <c r="A683" s="100"/>
      <c r="B683" s="100"/>
      <c r="C683" s="59" t="s">
        <v>2942</v>
      </c>
      <c r="D683" s="59"/>
    </row>
    <row r="684" spans="1:4">
      <c r="A684" s="100"/>
      <c r="B684" s="100"/>
      <c r="C684" s="59" t="s">
        <v>2943</v>
      </c>
      <c r="D684" s="59"/>
    </row>
    <row r="685" spans="1:4">
      <c r="A685" s="100"/>
      <c r="B685" s="100"/>
      <c r="C685" s="59" t="s">
        <v>2944</v>
      </c>
      <c r="D685" s="59"/>
    </row>
    <row r="686" spans="1:4">
      <c r="A686" s="100"/>
      <c r="B686" s="100"/>
      <c r="C686" s="59" t="s">
        <v>498</v>
      </c>
      <c r="D686" s="59"/>
    </row>
    <row r="687" spans="1:4">
      <c r="A687" s="100"/>
      <c r="B687" s="100"/>
      <c r="C687" s="59" t="s">
        <v>2087</v>
      </c>
      <c r="D687" s="59"/>
    </row>
    <row r="688" spans="1:4">
      <c r="A688" s="76"/>
      <c r="B688" s="73" t="s">
        <v>2956</v>
      </c>
      <c r="C688" s="62" t="s">
        <v>2957</v>
      </c>
      <c r="D688" s="62"/>
    </row>
    <row r="689" spans="1:4">
      <c r="A689" s="77"/>
      <c r="B689" s="75"/>
      <c r="C689" s="62" t="s">
        <v>2958</v>
      </c>
      <c r="D689" s="62"/>
    </row>
    <row r="690" spans="1:4">
      <c r="A690" s="98"/>
      <c r="B690" s="98" t="s">
        <v>2070</v>
      </c>
      <c r="C690" s="59" t="s">
        <v>2089</v>
      </c>
      <c r="D690" s="59"/>
    </row>
    <row r="691" spans="1:4">
      <c r="A691" s="100"/>
      <c r="B691" s="100"/>
      <c r="C691" s="59" t="s">
        <v>2959</v>
      </c>
      <c r="D691" s="59"/>
    </row>
    <row r="692" spans="1:4">
      <c r="A692" s="76"/>
      <c r="B692" s="76" t="s">
        <v>2062</v>
      </c>
      <c r="C692" s="62" t="s">
        <v>2960</v>
      </c>
      <c r="D692" s="62"/>
    </row>
    <row r="693" spans="1:4">
      <c r="A693" s="77"/>
      <c r="B693" s="77"/>
      <c r="C693" s="62" t="s">
        <v>2828</v>
      </c>
      <c r="D693" s="62"/>
    </row>
    <row r="694" spans="1:4">
      <c r="A694" s="77"/>
      <c r="B694" s="77"/>
      <c r="C694" s="62" t="s">
        <v>2082</v>
      </c>
      <c r="D694" s="62"/>
    </row>
    <row r="695" spans="1:4">
      <c r="A695" s="77"/>
      <c r="B695" s="77"/>
      <c r="C695" s="62" t="s">
        <v>2961</v>
      </c>
      <c r="D695" s="62"/>
    </row>
    <row r="696" spans="1:4">
      <c r="A696" s="77"/>
      <c r="B696" s="77"/>
      <c r="C696" s="62" t="s">
        <v>703</v>
      </c>
      <c r="D696" s="62"/>
    </row>
    <row r="697" spans="1:4">
      <c r="A697" s="77"/>
      <c r="B697" s="77"/>
      <c r="C697" s="62" t="s">
        <v>124</v>
      </c>
      <c r="D697" s="62"/>
    </row>
    <row r="698" spans="1:4">
      <c r="A698" s="77"/>
      <c r="B698" s="77"/>
      <c r="C698" s="62" t="s">
        <v>2962</v>
      </c>
      <c r="D698" s="62"/>
    </row>
    <row r="699" spans="1:4">
      <c r="A699" s="77"/>
      <c r="B699" s="77"/>
      <c r="C699" s="62" t="s">
        <v>2963</v>
      </c>
      <c r="D699" s="62"/>
    </row>
    <row r="700" spans="1:4">
      <c r="A700" s="77"/>
      <c r="B700" s="77"/>
      <c r="C700" s="62" t="s">
        <v>498</v>
      </c>
      <c r="D700" s="62"/>
    </row>
    <row r="701" spans="1:4">
      <c r="A701" s="98"/>
      <c r="B701" s="98" t="s">
        <v>2063</v>
      </c>
      <c r="C701" s="59" t="s">
        <v>1450</v>
      </c>
      <c r="D701" s="59"/>
    </row>
    <row r="702" spans="1:4">
      <c r="A702" s="100"/>
      <c r="B702" s="100"/>
      <c r="C702" s="59" t="s">
        <v>780</v>
      </c>
      <c r="D702" s="59"/>
    </row>
    <row r="703" spans="1:4">
      <c r="A703" s="100"/>
      <c r="B703" s="100"/>
      <c r="C703" s="59" t="s">
        <v>2585</v>
      </c>
      <c r="D703" s="59"/>
    </row>
    <row r="704" spans="1:4">
      <c r="A704" s="100"/>
      <c r="B704" s="100"/>
      <c r="C704" s="59" t="s">
        <v>2586</v>
      </c>
      <c r="D704" s="59"/>
    </row>
    <row r="705" spans="1:5">
      <c r="A705" s="100"/>
      <c r="B705" s="100"/>
      <c r="C705" s="59" t="s">
        <v>151</v>
      </c>
      <c r="D705" s="59"/>
    </row>
    <row r="706" spans="1:5">
      <c r="A706" s="100"/>
      <c r="B706" s="100"/>
      <c r="C706" s="59" t="s">
        <v>220</v>
      </c>
      <c r="D706" s="59"/>
    </row>
    <row r="707" spans="1:5">
      <c r="A707" s="100"/>
      <c r="B707" s="100"/>
      <c r="C707" s="59" t="s">
        <v>447</v>
      </c>
      <c r="D707" s="59"/>
    </row>
    <row r="708" spans="1:5">
      <c r="A708" s="100"/>
      <c r="B708" s="100"/>
      <c r="C708" s="59" t="s">
        <v>1051</v>
      </c>
      <c r="D708" s="59"/>
    </row>
    <row r="709" spans="1:5">
      <c r="A709" s="100"/>
      <c r="B709" s="100"/>
      <c r="C709" s="59" t="s">
        <v>170</v>
      </c>
      <c r="D709" s="59"/>
    </row>
    <row r="710" spans="1:5">
      <c r="A710" s="100"/>
      <c r="B710" s="100"/>
      <c r="C710" s="59" t="s">
        <v>727</v>
      </c>
      <c r="D710" s="59"/>
    </row>
    <row r="711" spans="1:5">
      <c r="A711" s="100"/>
      <c r="B711" s="100"/>
      <c r="C711" s="59" t="s">
        <v>162</v>
      </c>
      <c r="D711" s="59"/>
    </row>
    <row r="712" spans="1:5">
      <c r="A712" s="100"/>
      <c r="B712" s="100"/>
      <c r="C712" s="59" t="s">
        <v>285</v>
      </c>
      <c r="D712" s="59"/>
    </row>
    <row r="713" spans="1:5">
      <c r="A713" s="100"/>
      <c r="B713" s="100"/>
      <c r="C713" s="59" t="s">
        <v>1514</v>
      </c>
      <c r="D713" s="59"/>
    </row>
    <row r="714" spans="1:5">
      <c r="A714" s="100"/>
      <c r="B714" s="100"/>
      <c r="C714" s="59" t="s">
        <v>2588</v>
      </c>
      <c r="D714" s="59"/>
    </row>
    <row r="715" spans="1:5">
      <c r="A715" s="100"/>
      <c r="B715" s="100"/>
      <c r="C715" s="59" t="s">
        <v>199</v>
      </c>
      <c r="D715" s="59"/>
    </row>
    <row r="716" spans="1:5">
      <c r="A716" s="100"/>
      <c r="B716" s="100"/>
      <c r="C716" s="59" t="s">
        <v>2589</v>
      </c>
      <c r="D716" s="59" t="s">
        <v>2590</v>
      </c>
      <c r="E716" s="15" t="s">
        <v>2410</v>
      </c>
    </row>
    <row r="717" spans="1:5">
      <c r="A717" s="100"/>
      <c r="B717" s="100"/>
      <c r="C717" s="59" t="s">
        <v>369</v>
      </c>
      <c r="D717" s="59"/>
    </row>
    <row r="718" spans="1:5">
      <c r="A718" s="100"/>
      <c r="B718" s="100"/>
      <c r="C718" s="59" t="s">
        <v>887</v>
      </c>
      <c r="D718" s="59"/>
    </row>
    <row r="719" spans="1:5">
      <c r="A719" s="100"/>
      <c r="B719" s="100"/>
      <c r="C719" s="59" t="s">
        <v>140</v>
      </c>
      <c r="D719" s="59"/>
    </row>
    <row r="720" spans="1:5">
      <c r="A720" s="100"/>
      <c r="B720" s="100"/>
      <c r="C720" s="59" t="s">
        <v>2591</v>
      </c>
      <c r="D720" s="59"/>
    </row>
    <row r="721" spans="1:4">
      <c r="A721" s="100"/>
      <c r="B721" s="100"/>
      <c r="C721" s="59" t="s">
        <v>798</v>
      </c>
      <c r="D721" s="59"/>
    </row>
    <row r="722" spans="1:4">
      <c r="A722" s="100"/>
      <c r="B722" s="100"/>
      <c r="C722" s="59" t="s">
        <v>878</v>
      </c>
      <c r="D722" s="59"/>
    </row>
    <row r="723" spans="1:4">
      <c r="A723" s="100"/>
      <c r="B723" s="100"/>
      <c r="C723" s="59" t="s">
        <v>2592</v>
      </c>
      <c r="D723" s="59"/>
    </row>
    <row r="724" spans="1:4">
      <c r="A724" s="100"/>
      <c r="B724" s="100"/>
      <c r="C724" s="59" t="s">
        <v>544</v>
      </c>
      <c r="D724" s="59"/>
    </row>
    <row r="725" spans="1:4">
      <c r="A725" s="100"/>
      <c r="B725" s="100"/>
      <c r="C725" s="59" t="s">
        <v>555</v>
      </c>
      <c r="D725" s="59"/>
    </row>
    <row r="726" spans="1:4">
      <c r="A726" s="100"/>
      <c r="B726" s="100"/>
      <c r="C726" s="59" t="s">
        <v>718</v>
      </c>
      <c r="D726" s="59"/>
    </row>
    <row r="727" spans="1:4">
      <c r="A727" s="100"/>
      <c r="B727" s="100"/>
      <c r="C727" s="59" t="s">
        <v>186</v>
      </c>
      <c r="D727" s="59"/>
    </row>
    <row r="728" spans="1:4">
      <c r="A728" s="100"/>
      <c r="B728" s="100"/>
      <c r="C728" s="59" t="s">
        <v>208</v>
      </c>
      <c r="D728" s="59"/>
    </row>
    <row r="729" spans="1:4">
      <c r="A729" s="100"/>
      <c r="B729" s="100"/>
      <c r="C729" s="59" t="s">
        <v>2593</v>
      </c>
      <c r="D729" s="59"/>
    </row>
    <row r="730" spans="1:4">
      <c r="A730" s="100"/>
      <c r="B730" s="100"/>
      <c r="C730" s="59" t="s">
        <v>573</v>
      </c>
      <c r="D730" s="59"/>
    </row>
    <row r="731" spans="1:4">
      <c r="A731" s="100"/>
      <c r="B731" s="100"/>
      <c r="C731" s="59" t="s">
        <v>2594</v>
      </c>
      <c r="D731" s="59"/>
    </row>
    <row r="732" spans="1:4">
      <c r="A732" s="100"/>
      <c r="B732" s="100"/>
      <c r="C732" s="59" t="s">
        <v>2595</v>
      </c>
      <c r="D732" s="59"/>
    </row>
    <row r="733" spans="1:4">
      <c r="A733" s="100"/>
      <c r="B733" s="100"/>
      <c r="C733" s="59" t="s">
        <v>2596</v>
      </c>
      <c r="D733" s="59"/>
    </row>
    <row r="734" spans="1:4">
      <c r="A734" s="100"/>
      <c r="B734" s="100"/>
      <c r="C734" s="59" t="s">
        <v>2597</v>
      </c>
      <c r="D734" s="59"/>
    </row>
    <row r="735" spans="1:4">
      <c r="A735" s="100"/>
      <c r="B735" s="100"/>
      <c r="C735" s="59" t="s">
        <v>2598</v>
      </c>
      <c r="D735" s="59"/>
    </row>
    <row r="736" spans="1:4">
      <c r="A736" s="100"/>
      <c r="B736" s="100"/>
      <c r="C736" s="59" t="s">
        <v>1571</v>
      </c>
      <c r="D736" s="59"/>
    </row>
    <row r="737" spans="1:4">
      <c r="A737" s="100"/>
      <c r="B737" s="100"/>
      <c r="C737" s="59" t="s">
        <v>2599</v>
      </c>
      <c r="D737" s="59"/>
    </row>
    <row r="738" spans="1:4">
      <c r="A738" s="100"/>
      <c r="B738" s="100"/>
      <c r="C738" s="59" t="s">
        <v>2600</v>
      </c>
      <c r="D738" s="59"/>
    </row>
    <row r="739" spans="1:4">
      <c r="A739" s="100"/>
      <c r="B739" s="100"/>
      <c r="C739" s="59" t="s">
        <v>734</v>
      </c>
      <c r="D739" s="59"/>
    </row>
    <row r="740" spans="1:4">
      <c r="A740" s="100"/>
      <c r="B740" s="100"/>
      <c r="C740" s="59" t="s">
        <v>829</v>
      </c>
      <c r="D740" s="59"/>
    </row>
    <row r="741" spans="1:4">
      <c r="A741" s="100"/>
      <c r="B741" s="100"/>
      <c r="C741" s="59" t="s">
        <v>465</v>
      </c>
      <c r="D741" s="59"/>
    </row>
    <row r="742" spans="1:4">
      <c r="A742" s="100"/>
      <c r="B742" s="100"/>
      <c r="C742" s="59" t="s">
        <v>378</v>
      </c>
      <c r="D742" s="59"/>
    </row>
    <row r="743" spans="1:4">
      <c r="A743" s="100"/>
      <c r="B743" s="100"/>
      <c r="C743" s="59" t="s">
        <v>2601</v>
      </c>
      <c r="D743" s="59"/>
    </row>
    <row r="744" spans="1:4">
      <c r="A744" s="100"/>
      <c r="B744" s="100"/>
      <c r="C744" s="59" t="s">
        <v>480</v>
      </c>
      <c r="D744" s="59"/>
    </row>
    <row r="745" spans="1:4">
      <c r="A745" s="100"/>
      <c r="B745" s="100"/>
      <c r="C745" s="59" t="s">
        <v>2602</v>
      </c>
      <c r="D745" s="59"/>
    </row>
    <row r="746" spans="1:4">
      <c r="A746" s="100"/>
      <c r="B746" s="100"/>
      <c r="C746" s="59" t="s">
        <v>2603</v>
      </c>
      <c r="D746" s="59"/>
    </row>
    <row r="747" spans="1:4">
      <c r="A747" s="100"/>
      <c r="B747" s="100"/>
      <c r="C747" s="59" t="s">
        <v>2604</v>
      </c>
      <c r="D747" s="59"/>
    </row>
    <row r="748" spans="1:4">
      <c r="A748" s="100"/>
      <c r="B748" s="100"/>
      <c r="C748" s="59" t="s">
        <v>612</v>
      </c>
      <c r="D748" s="59"/>
    </row>
    <row r="749" spans="1:4">
      <c r="A749" s="100"/>
      <c r="B749" s="100"/>
      <c r="C749" s="59" t="s">
        <v>1565</v>
      </c>
      <c r="D749" s="59"/>
    </row>
    <row r="750" spans="1:4">
      <c r="A750" s="100"/>
      <c r="B750" s="100"/>
      <c r="C750" s="59" t="s">
        <v>30</v>
      </c>
      <c r="D750" s="59"/>
    </row>
    <row r="751" spans="1:4">
      <c r="A751" s="100"/>
      <c r="B751" s="100"/>
      <c r="C751" s="59" t="s">
        <v>2404</v>
      </c>
      <c r="D751" s="59"/>
    </row>
    <row r="752" spans="1:4">
      <c r="A752" s="100"/>
      <c r="B752" s="100"/>
      <c r="C752" s="59" t="s">
        <v>662</v>
      </c>
      <c r="D752" s="59"/>
    </row>
    <row r="753" spans="1:4">
      <c r="A753" s="100"/>
      <c r="B753" s="100"/>
      <c r="C753" s="59" t="s">
        <v>2405</v>
      </c>
      <c r="D753" s="59"/>
    </row>
    <row r="754" spans="1:4">
      <c r="A754" s="100"/>
      <c r="B754" s="100"/>
      <c r="C754" s="59" t="s">
        <v>2406</v>
      </c>
      <c r="D754" s="59"/>
    </row>
    <row r="755" spans="1:4">
      <c r="A755" s="100"/>
      <c r="B755" s="100"/>
      <c r="C755" s="59" t="s">
        <v>2407</v>
      </c>
      <c r="D755" s="59"/>
    </row>
    <row r="756" spans="1:4">
      <c r="A756" s="100"/>
      <c r="B756" s="100"/>
      <c r="C756" s="59" t="s">
        <v>2408</v>
      </c>
      <c r="D756" s="59"/>
    </row>
    <row r="757" spans="1:4">
      <c r="A757" s="100"/>
      <c r="B757" s="100"/>
      <c r="C757" s="59" t="s">
        <v>2409</v>
      </c>
      <c r="D757" s="59"/>
    </row>
    <row r="758" spans="1:4">
      <c r="A758" s="100"/>
      <c r="B758" s="100"/>
      <c r="C758" s="59" t="s">
        <v>2411</v>
      </c>
      <c r="D758" s="59"/>
    </row>
    <row r="759" spans="1:4">
      <c r="A759" s="100"/>
      <c r="B759" s="100"/>
      <c r="C759" s="59" t="s">
        <v>2412</v>
      </c>
      <c r="D759" s="59"/>
    </row>
    <row r="760" spans="1:4">
      <c r="A760" s="100"/>
      <c r="B760" s="100"/>
      <c r="C760" s="59" t="s">
        <v>1619</v>
      </c>
      <c r="D760" s="59"/>
    </row>
    <row r="761" spans="1:4">
      <c r="A761" s="100"/>
      <c r="B761" s="100"/>
      <c r="C761" s="59" t="s">
        <v>2413</v>
      </c>
      <c r="D761" s="59"/>
    </row>
    <row r="762" spans="1:4">
      <c r="A762" s="100"/>
      <c r="B762" s="100"/>
      <c r="C762" s="59" t="s">
        <v>2414</v>
      </c>
      <c r="D762" s="59"/>
    </row>
    <row r="763" spans="1:4">
      <c r="A763" s="100"/>
      <c r="B763" s="100"/>
      <c r="C763" s="59" t="s">
        <v>1148</v>
      </c>
      <c r="D763" s="59"/>
    </row>
    <row r="764" spans="1:4">
      <c r="A764" s="100"/>
      <c r="B764" s="100"/>
      <c r="C764" s="59" t="s">
        <v>2415</v>
      </c>
      <c r="D764" s="59"/>
    </row>
    <row r="765" spans="1:4">
      <c r="A765" s="100"/>
      <c r="B765" s="100"/>
      <c r="C765" s="59" t="s">
        <v>2416</v>
      </c>
      <c r="D765" s="59"/>
    </row>
    <row r="766" spans="1:4">
      <c r="A766" s="100"/>
      <c r="B766" s="100"/>
      <c r="C766" s="59" t="s">
        <v>957</v>
      </c>
      <c r="D766" s="59"/>
    </row>
    <row r="767" spans="1:4">
      <c r="A767" s="100"/>
      <c r="B767" s="100"/>
      <c r="C767" s="59" t="s">
        <v>224</v>
      </c>
      <c r="D767" s="59"/>
    </row>
    <row r="768" spans="1:4">
      <c r="A768" s="100"/>
      <c r="B768" s="100"/>
      <c r="C768" s="59" t="s">
        <v>2417</v>
      </c>
      <c r="D768" s="59"/>
    </row>
    <row r="769" spans="1:5">
      <c r="A769" s="100"/>
      <c r="B769" s="100"/>
      <c r="C769" s="59" t="s">
        <v>2418</v>
      </c>
      <c r="D769" s="59"/>
    </row>
    <row r="770" spans="1:5">
      <c r="A770" s="100"/>
      <c r="B770" s="100"/>
      <c r="C770" s="59" t="s">
        <v>2419</v>
      </c>
      <c r="D770" s="59"/>
    </row>
    <row r="771" spans="1:5">
      <c r="A771" s="100"/>
      <c r="B771" s="100"/>
      <c r="C771" s="59" t="s">
        <v>2420</v>
      </c>
      <c r="D771" s="59"/>
    </row>
    <row r="772" spans="1:5">
      <c r="A772" s="100"/>
      <c r="B772" s="100"/>
      <c r="C772" s="59" t="s">
        <v>2421</v>
      </c>
      <c r="D772" s="59"/>
    </row>
    <row r="773" spans="1:5">
      <c r="A773" s="100"/>
      <c r="B773" s="100"/>
      <c r="C773" s="59" t="s">
        <v>2422</v>
      </c>
      <c r="D773" s="59"/>
    </row>
    <row r="774" spans="1:5">
      <c r="A774" s="100"/>
      <c r="B774" s="100"/>
      <c r="C774" s="59" t="s">
        <v>2423</v>
      </c>
      <c r="D774" s="59"/>
    </row>
    <row r="775" spans="1:5">
      <c r="A775" s="100"/>
      <c r="B775" s="100"/>
      <c r="C775" s="59" t="s">
        <v>2424</v>
      </c>
      <c r="D775" s="59"/>
    </row>
    <row r="776" spans="1:5">
      <c r="A776" s="100"/>
      <c r="B776" s="100"/>
      <c r="C776" s="59" t="s">
        <v>566</v>
      </c>
      <c r="D776" s="59"/>
    </row>
    <row r="777" spans="1:5">
      <c r="A777" s="100"/>
      <c r="B777" s="100"/>
      <c r="C777" s="59" t="s">
        <v>2425</v>
      </c>
      <c r="D777" s="59"/>
    </row>
    <row r="778" spans="1:5">
      <c r="A778" s="100"/>
      <c r="B778" s="100"/>
      <c r="C778" s="59" t="s">
        <v>2426</v>
      </c>
      <c r="D778" s="59"/>
    </row>
    <row r="779" spans="1:5">
      <c r="A779" s="100"/>
      <c r="B779" s="100"/>
      <c r="C779" s="59" t="s">
        <v>2427</v>
      </c>
      <c r="D779" s="59"/>
    </row>
    <row r="780" spans="1:5">
      <c r="A780" s="100"/>
      <c r="B780" s="100"/>
      <c r="C780" s="59" t="s">
        <v>2428</v>
      </c>
      <c r="D780" s="59"/>
    </row>
    <row r="781" spans="1:5">
      <c r="A781" s="100"/>
      <c r="B781" s="100"/>
      <c r="C781" s="59" t="s">
        <v>654</v>
      </c>
      <c r="D781" s="59"/>
    </row>
    <row r="782" spans="1:5">
      <c r="A782" s="100"/>
      <c r="B782" s="100"/>
      <c r="C782" s="59" t="s">
        <v>2429</v>
      </c>
      <c r="D782" s="59"/>
      <c r="E782" s="15" t="s">
        <v>2410</v>
      </c>
    </row>
    <row r="783" spans="1:5">
      <c r="A783" s="100"/>
      <c r="B783" s="100"/>
      <c r="C783" s="59" t="s">
        <v>2430</v>
      </c>
      <c r="D783" s="59"/>
      <c r="E783" s="15" t="s">
        <v>2410</v>
      </c>
    </row>
    <row r="784" spans="1:5">
      <c r="A784" s="100"/>
      <c r="B784" s="100"/>
      <c r="C784" s="59" t="s">
        <v>2433</v>
      </c>
      <c r="D784" s="59"/>
      <c r="E784" s="15" t="s">
        <v>2410</v>
      </c>
    </row>
    <row r="785" spans="1:5">
      <c r="A785" s="100"/>
      <c r="B785" s="100"/>
      <c r="C785" s="59" t="s">
        <v>1192</v>
      </c>
      <c r="D785" s="59"/>
    </row>
    <row r="786" spans="1:5">
      <c r="A786" s="100"/>
      <c r="B786" s="100"/>
      <c r="C786" s="59" t="s">
        <v>2434</v>
      </c>
      <c r="D786" s="59"/>
    </row>
    <row r="787" spans="1:5">
      <c r="A787" s="100"/>
      <c r="B787" s="100"/>
      <c r="C787" s="59" t="s">
        <v>2435</v>
      </c>
      <c r="D787" s="59"/>
    </row>
    <row r="788" spans="1:5">
      <c r="A788" s="100"/>
      <c r="B788" s="100"/>
      <c r="C788" s="59" t="s">
        <v>2436</v>
      </c>
      <c r="D788" s="59"/>
    </row>
    <row r="789" spans="1:5">
      <c r="A789" s="100"/>
      <c r="B789" s="100"/>
      <c r="C789" s="59" t="s">
        <v>2437</v>
      </c>
      <c r="D789" s="59"/>
    </row>
    <row r="790" spans="1:5">
      <c r="A790" s="100"/>
      <c r="B790" s="100"/>
      <c r="C790" s="59" t="s">
        <v>2438</v>
      </c>
      <c r="D790" s="59"/>
      <c r="E790" s="15" t="s">
        <v>2410</v>
      </c>
    </row>
    <row r="791" spans="1:5">
      <c r="A791" s="100"/>
      <c r="B791" s="100"/>
      <c r="C791" s="59" t="s">
        <v>2439</v>
      </c>
      <c r="D791" s="59"/>
    </row>
    <row r="792" spans="1:5">
      <c r="A792" s="100"/>
      <c r="B792" s="100"/>
      <c r="C792" s="59" t="s">
        <v>2440</v>
      </c>
      <c r="D792" s="59"/>
    </row>
    <row r="793" spans="1:5">
      <c r="A793" s="100"/>
      <c r="B793" s="100"/>
      <c r="C793" s="59" t="s">
        <v>2441</v>
      </c>
      <c r="D793" s="59"/>
    </row>
    <row r="794" spans="1:5">
      <c r="A794" s="100"/>
      <c r="B794" s="100"/>
      <c r="C794" s="59" t="s">
        <v>2964</v>
      </c>
      <c r="D794" s="59"/>
    </row>
    <row r="795" spans="1:5">
      <c r="A795" s="100"/>
      <c r="B795" s="100"/>
      <c r="C795" s="59" t="s">
        <v>1315</v>
      </c>
      <c r="D795" s="59"/>
    </row>
    <row r="796" spans="1:5">
      <c r="A796" s="100"/>
      <c r="B796" s="100"/>
      <c r="C796" s="59" t="s">
        <v>2442</v>
      </c>
      <c r="D796" s="59"/>
    </row>
    <row r="797" spans="1:5">
      <c r="A797" s="100"/>
      <c r="B797" s="100"/>
      <c r="C797" s="59" t="s">
        <v>2443</v>
      </c>
      <c r="D797" s="59"/>
    </row>
    <row r="798" spans="1:5">
      <c r="A798" s="100"/>
      <c r="B798" s="100"/>
      <c r="C798" s="59" t="s">
        <v>2444</v>
      </c>
      <c r="D798" s="59"/>
    </row>
    <row r="799" spans="1:5">
      <c r="A799" s="100"/>
      <c r="B799" s="100"/>
      <c r="C799" s="59" t="s">
        <v>2445</v>
      </c>
      <c r="D799" s="59"/>
    </row>
    <row r="800" spans="1:5">
      <c r="A800" s="100"/>
      <c r="B800" s="100"/>
      <c r="C800" s="59" t="s">
        <v>2446</v>
      </c>
      <c r="D800" s="59"/>
    </row>
    <row r="801" spans="1:5">
      <c r="A801" s="100"/>
      <c r="B801" s="100"/>
      <c r="C801" s="59" t="s">
        <v>2447</v>
      </c>
      <c r="D801" s="59"/>
    </row>
    <row r="802" spans="1:5">
      <c r="A802" s="100"/>
      <c r="B802" s="100"/>
      <c r="C802" s="59" t="s">
        <v>2448</v>
      </c>
      <c r="D802" s="59"/>
    </row>
    <row r="803" spans="1:5">
      <c r="A803" s="100"/>
      <c r="B803" s="100"/>
      <c r="C803" s="59" t="s">
        <v>2449</v>
      </c>
      <c r="D803" s="59"/>
    </row>
    <row r="804" spans="1:5">
      <c r="A804" s="100"/>
      <c r="B804" s="100"/>
      <c r="C804" s="59" t="s">
        <v>2450</v>
      </c>
      <c r="D804" s="59"/>
    </row>
    <row r="805" spans="1:5">
      <c r="A805" s="100"/>
      <c r="B805" s="100"/>
      <c r="C805" s="59" t="s">
        <v>2451</v>
      </c>
      <c r="D805" s="59"/>
    </row>
    <row r="806" spans="1:5">
      <c r="A806" s="100"/>
      <c r="B806" s="100"/>
      <c r="C806" s="59" t="s">
        <v>2452</v>
      </c>
      <c r="D806" s="59"/>
    </row>
    <row r="807" spans="1:5">
      <c r="A807" s="100"/>
      <c r="B807" s="100"/>
      <c r="C807" s="59" t="s">
        <v>2453</v>
      </c>
      <c r="D807" s="59"/>
    </row>
    <row r="808" spans="1:5">
      <c r="A808" s="100"/>
      <c r="B808" s="100"/>
      <c r="C808" s="59" t="s">
        <v>2455</v>
      </c>
      <c r="D808" s="59"/>
    </row>
    <row r="809" spans="1:5">
      <c r="A809" s="100"/>
      <c r="B809" s="100"/>
      <c r="C809" s="59" t="s">
        <v>2454</v>
      </c>
      <c r="D809" s="59"/>
      <c r="E809" s="15" t="s">
        <v>2410</v>
      </c>
    </row>
    <row r="810" spans="1:5">
      <c r="A810" s="100"/>
      <c r="B810" s="100"/>
      <c r="C810" s="59" t="s">
        <v>1000</v>
      </c>
      <c r="D810" s="59"/>
    </row>
    <row r="811" spans="1:5">
      <c r="A811" s="100"/>
      <c r="B811" s="100"/>
      <c r="C811" s="59" t="s">
        <v>2456</v>
      </c>
      <c r="D811" s="59"/>
    </row>
    <row r="812" spans="1:5">
      <c r="A812" s="100"/>
      <c r="B812" s="100"/>
      <c r="C812" s="59" t="s">
        <v>2457</v>
      </c>
      <c r="D812" s="59"/>
    </row>
    <row r="813" spans="1:5">
      <c r="A813" s="100"/>
      <c r="B813" s="100"/>
      <c r="C813" s="59" t="s">
        <v>2458</v>
      </c>
      <c r="D813" s="59"/>
    </row>
    <row r="814" spans="1:5">
      <c r="A814" s="100"/>
      <c r="B814" s="100"/>
      <c r="C814" s="59" t="s">
        <v>2459</v>
      </c>
      <c r="D814" s="59"/>
    </row>
    <row r="815" spans="1:5">
      <c r="A815" s="100"/>
      <c r="B815" s="100"/>
      <c r="C815" s="59" t="s">
        <v>2460</v>
      </c>
      <c r="D815" s="59"/>
    </row>
    <row r="816" spans="1:5">
      <c r="A816" s="100"/>
      <c r="B816" s="100"/>
      <c r="C816" s="59" t="s">
        <v>2461</v>
      </c>
      <c r="D816" s="59"/>
    </row>
    <row r="817" spans="1:4">
      <c r="A817" s="100"/>
      <c r="B817" s="100"/>
      <c r="C817" s="59" t="s">
        <v>2462</v>
      </c>
      <c r="D817" s="59"/>
    </row>
    <row r="818" spans="1:4">
      <c r="A818" s="100"/>
      <c r="B818" s="100"/>
      <c r="C818" s="59" t="s">
        <v>2463</v>
      </c>
      <c r="D818" s="59"/>
    </row>
    <row r="819" spans="1:4">
      <c r="A819" s="100"/>
      <c r="B819" s="100"/>
      <c r="C819" s="59" t="s">
        <v>2464</v>
      </c>
      <c r="D819" s="59"/>
    </row>
    <row r="820" spans="1:4">
      <c r="A820" s="100"/>
      <c r="B820" s="100"/>
      <c r="C820" s="59" t="s">
        <v>2465</v>
      </c>
      <c r="D820" s="59"/>
    </row>
    <row r="821" spans="1:4">
      <c r="A821" s="100"/>
      <c r="B821" s="100"/>
      <c r="C821" s="59" t="s">
        <v>2466</v>
      </c>
      <c r="D821" s="59"/>
    </row>
    <row r="822" spans="1:4">
      <c r="A822" s="100"/>
      <c r="B822" s="100"/>
      <c r="C822" s="59" t="s">
        <v>2467</v>
      </c>
      <c r="D822" s="59"/>
    </row>
    <row r="823" spans="1:4">
      <c r="A823" s="100"/>
      <c r="B823" s="100"/>
      <c r="C823" s="59" t="s">
        <v>1063</v>
      </c>
      <c r="D823" s="59"/>
    </row>
    <row r="824" spans="1:4">
      <c r="A824" s="100"/>
      <c r="B824" s="100"/>
      <c r="C824" s="59" t="s">
        <v>2468</v>
      </c>
      <c r="D824" s="59"/>
    </row>
    <row r="825" spans="1:4">
      <c r="A825" s="100"/>
      <c r="B825" s="100"/>
      <c r="C825" s="59" t="s">
        <v>2469</v>
      </c>
      <c r="D825" s="59"/>
    </row>
    <row r="826" spans="1:4">
      <c r="A826" s="100"/>
      <c r="B826" s="100"/>
      <c r="C826" s="59" t="s">
        <v>2470</v>
      </c>
      <c r="D826" s="59"/>
    </row>
    <row r="827" spans="1:4">
      <c r="A827" s="100"/>
      <c r="B827" s="100"/>
      <c r="C827" s="59" t="s">
        <v>2471</v>
      </c>
      <c r="D827" s="59"/>
    </row>
    <row r="828" spans="1:4">
      <c r="A828" s="100"/>
      <c r="B828" s="100"/>
      <c r="C828" s="59" t="s">
        <v>2472</v>
      </c>
      <c r="D828" s="59"/>
    </row>
    <row r="829" spans="1:4">
      <c r="A829" s="100"/>
      <c r="B829" s="100"/>
      <c r="C829" s="59" t="s">
        <v>1953</v>
      </c>
      <c r="D829" s="59"/>
    </row>
    <row r="830" spans="1:4">
      <c r="A830" s="100"/>
      <c r="B830" s="100"/>
      <c r="C830" s="59" t="s">
        <v>2473</v>
      </c>
      <c r="D830" s="59"/>
    </row>
    <row r="831" spans="1:4">
      <c r="A831" s="100"/>
      <c r="B831" s="100"/>
      <c r="C831" s="59" t="s">
        <v>2965</v>
      </c>
      <c r="D831" s="136" t="s">
        <v>2966</v>
      </c>
    </row>
    <row r="832" spans="1:4">
      <c r="A832" s="100"/>
      <c r="B832" s="100"/>
      <c r="C832" s="59" t="s">
        <v>2967</v>
      </c>
      <c r="D832" s="136" t="s">
        <v>2480</v>
      </c>
    </row>
    <row r="833" spans="1:4">
      <c r="A833" s="100"/>
      <c r="B833" s="100"/>
      <c r="C833" s="59" t="s">
        <v>2968</v>
      </c>
      <c r="D833" s="136" t="s">
        <v>2480</v>
      </c>
    </row>
    <row r="834" spans="1:4" ht="15">
      <c r="A834" s="100"/>
      <c r="B834" s="100"/>
      <c r="C834" s="59" t="s">
        <v>2969</v>
      </c>
      <c r="D834" s="134"/>
    </row>
    <row r="835" spans="1:4">
      <c r="A835" s="100"/>
      <c r="B835" s="100"/>
      <c r="C835" s="59" t="s">
        <v>797</v>
      </c>
      <c r="D835" s="59"/>
    </row>
    <row r="836" spans="1:4">
      <c r="A836" s="100"/>
      <c r="B836" s="100"/>
      <c r="C836" s="59" t="s">
        <v>1803</v>
      </c>
      <c r="D836" s="59"/>
    </row>
    <row r="837" spans="1:4">
      <c r="A837" s="100"/>
      <c r="B837" s="100"/>
      <c r="C837" s="59" t="s">
        <v>2475</v>
      </c>
      <c r="D837" s="59"/>
    </row>
    <row r="838" spans="1:4">
      <c r="A838" s="100"/>
      <c r="B838" s="100"/>
      <c r="C838" s="59" t="s">
        <v>942</v>
      </c>
      <c r="D838" s="59"/>
    </row>
    <row r="839" spans="1:4">
      <c r="A839" s="100"/>
      <c r="B839" s="100"/>
      <c r="C839" s="59" t="s">
        <v>1120</v>
      </c>
      <c r="D839" s="59"/>
    </row>
    <row r="840" spans="1:4">
      <c r="A840" s="100"/>
      <c r="B840" s="100"/>
      <c r="C840" s="59" t="s">
        <v>2474</v>
      </c>
      <c r="D840" s="59"/>
    </row>
    <row r="841" spans="1:4">
      <c r="A841" s="100"/>
      <c r="B841" s="100"/>
      <c r="C841" s="59" t="s">
        <v>2476</v>
      </c>
      <c r="D841" s="59"/>
    </row>
    <row r="842" spans="1:4">
      <c r="A842" s="100"/>
      <c r="B842" s="100"/>
      <c r="C842" s="59" t="s">
        <v>2970</v>
      </c>
      <c r="D842" s="59"/>
    </row>
    <row r="843" spans="1:4">
      <c r="A843" s="100"/>
      <c r="B843" s="100"/>
      <c r="C843" s="59" t="s">
        <v>2971</v>
      </c>
      <c r="D843" s="59"/>
    </row>
    <row r="844" spans="1:4">
      <c r="A844" s="100"/>
      <c r="B844" s="100"/>
      <c r="C844" s="59" t="s">
        <v>2083</v>
      </c>
      <c r="D844" s="59"/>
    </row>
    <row r="845" spans="1:4">
      <c r="A845" s="100"/>
      <c r="B845" s="100"/>
      <c r="C845" s="59" t="s">
        <v>2972</v>
      </c>
      <c r="D845" s="59"/>
    </row>
    <row r="846" spans="1:4">
      <c r="A846" s="100"/>
      <c r="B846" s="100"/>
      <c r="C846" s="59" t="s">
        <v>2973</v>
      </c>
      <c r="D846" s="59"/>
    </row>
    <row r="847" spans="1:4">
      <c r="A847" s="100"/>
      <c r="B847" s="100"/>
      <c r="C847" s="59" t="s">
        <v>2974</v>
      </c>
      <c r="D847" s="59"/>
    </row>
    <row r="848" spans="1:4">
      <c r="A848" s="100"/>
      <c r="B848" s="100"/>
      <c r="C848" s="59" t="s">
        <v>2975</v>
      </c>
      <c r="D848" s="59"/>
    </row>
    <row r="849" spans="1:4">
      <c r="A849" s="100"/>
      <c r="B849" s="100"/>
      <c r="C849" s="59" t="s">
        <v>2976</v>
      </c>
      <c r="D849" s="59"/>
    </row>
    <row r="850" spans="1:4">
      <c r="A850" s="100"/>
      <c r="B850" s="100"/>
      <c r="C850" s="59" t="s">
        <v>498</v>
      </c>
      <c r="D850" s="59"/>
    </row>
    <row r="851" spans="1:4">
      <c r="A851" s="73" t="s">
        <v>2075</v>
      </c>
      <c r="B851" s="73"/>
      <c r="C851" s="62" t="s">
        <v>318</v>
      </c>
      <c r="D851" s="62"/>
    </row>
    <row r="852" spans="1:4">
      <c r="A852" s="74"/>
      <c r="B852" s="74"/>
      <c r="C852" s="62" t="s">
        <v>141</v>
      </c>
      <c r="D852" s="62"/>
    </row>
    <row r="853" spans="1:4">
      <c r="A853" s="100" t="s">
        <v>2977</v>
      </c>
      <c r="B853" s="100" t="s">
        <v>5</v>
      </c>
      <c r="C853" s="59" t="s">
        <v>2978</v>
      </c>
      <c r="D853" s="59"/>
    </row>
    <row r="854" spans="1:4">
      <c r="A854" s="100"/>
      <c r="B854" s="100"/>
      <c r="C854" s="59" t="s">
        <v>2979</v>
      </c>
      <c r="D854" s="59"/>
    </row>
    <row r="855" spans="1:4">
      <c r="A855" s="100"/>
      <c r="B855" s="100"/>
      <c r="C855" s="59" t="s">
        <v>2980</v>
      </c>
      <c r="D855" s="59"/>
    </row>
    <row r="856" spans="1:4">
      <c r="A856" s="100"/>
      <c r="B856" s="100"/>
      <c r="C856" s="59" t="s">
        <v>2981</v>
      </c>
      <c r="D856" s="59"/>
    </row>
    <row r="857" spans="1:4">
      <c r="A857" s="100"/>
      <c r="B857" s="100"/>
      <c r="C857" s="59" t="s">
        <v>2982</v>
      </c>
      <c r="D857" s="59"/>
    </row>
    <row r="858" spans="1:4">
      <c r="A858" s="100"/>
      <c r="B858" s="100"/>
      <c r="C858" s="59" t="s">
        <v>2983</v>
      </c>
      <c r="D858" s="59"/>
    </row>
    <row r="859" spans="1:4">
      <c r="A859" s="100"/>
      <c r="B859" s="100"/>
      <c r="C859" s="59" t="s">
        <v>2984</v>
      </c>
      <c r="D859" s="59"/>
    </row>
    <row r="860" spans="1:4">
      <c r="A860" s="100"/>
      <c r="B860" s="100"/>
      <c r="C860" s="59" t="s">
        <v>2985</v>
      </c>
      <c r="D860" s="59"/>
    </row>
    <row r="861" spans="1:4">
      <c r="A861" s="100"/>
      <c r="B861" s="100"/>
      <c r="C861" s="59" t="s">
        <v>2986</v>
      </c>
      <c r="D861" s="59"/>
    </row>
    <row r="862" spans="1:4">
      <c r="A862" s="73" t="s">
        <v>2987</v>
      </c>
      <c r="B862" s="73" t="s">
        <v>5</v>
      </c>
      <c r="C862" s="62" t="s">
        <v>40</v>
      </c>
      <c r="D862" s="62"/>
    </row>
    <row r="863" spans="1:4">
      <c r="A863" s="74"/>
      <c r="B863" s="74"/>
      <c r="C863" s="62" t="s">
        <v>2988</v>
      </c>
      <c r="D863" s="62"/>
    </row>
    <row r="864" spans="1:4">
      <c r="A864" s="74"/>
      <c r="B864" s="74"/>
      <c r="C864" s="62" t="s">
        <v>51</v>
      </c>
      <c r="D864" s="62"/>
    </row>
    <row r="865" spans="1:4">
      <c r="A865" s="74"/>
      <c r="B865" s="74"/>
      <c r="C865" s="62" t="s">
        <v>95</v>
      </c>
      <c r="D865" s="62"/>
    </row>
    <row r="866" spans="1:4">
      <c r="A866" s="74"/>
      <c r="B866" s="74"/>
      <c r="C866" s="62" t="s">
        <v>2989</v>
      </c>
      <c r="D866" s="62"/>
    </row>
    <row r="867" spans="1:4">
      <c r="A867" s="74"/>
      <c r="B867" s="74"/>
      <c r="C867" s="62" t="s">
        <v>2990</v>
      </c>
      <c r="D867" s="62"/>
    </row>
    <row r="868" spans="1:4">
      <c r="A868" s="74"/>
      <c r="B868" s="74"/>
      <c r="C868" s="62" t="s">
        <v>29</v>
      </c>
      <c r="D868" s="62"/>
    </row>
    <row r="869" spans="1:4">
      <c r="A869" s="74"/>
      <c r="B869" s="74"/>
      <c r="C869" s="62" t="s">
        <v>2991</v>
      </c>
      <c r="D869" s="62"/>
    </row>
    <row r="870" spans="1:4">
      <c r="A870" s="100" t="s">
        <v>2992</v>
      </c>
      <c r="B870" s="100" t="s">
        <v>5</v>
      </c>
      <c r="C870" s="59" t="s">
        <v>40</v>
      </c>
      <c r="D870" s="59"/>
    </row>
    <row r="871" spans="1:4">
      <c r="A871" s="100"/>
      <c r="B871" s="100"/>
      <c r="C871" s="59" t="s">
        <v>51</v>
      </c>
      <c r="D871" s="59"/>
    </row>
    <row r="872" spans="1:4">
      <c r="A872" s="100"/>
      <c r="B872" s="100"/>
      <c r="C872" s="59" t="s">
        <v>2989</v>
      </c>
      <c r="D872" s="59"/>
    </row>
    <row r="873" spans="1:4">
      <c r="A873" s="100"/>
      <c r="B873" s="100"/>
      <c r="C873" s="59" t="s">
        <v>498</v>
      </c>
      <c r="D873" s="59"/>
    </row>
    <row r="874" spans="1:4">
      <c r="A874" s="73" t="s">
        <v>2993</v>
      </c>
      <c r="B874" s="73" t="s">
        <v>5</v>
      </c>
      <c r="C874" s="62" t="s">
        <v>156</v>
      </c>
      <c r="D874" s="62"/>
    </row>
    <row r="875" spans="1:4">
      <c r="A875" s="74"/>
      <c r="B875" s="74"/>
      <c r="C875" s="62" t="s">
        <v>138</v>
      </c>
      <c r="D875" s="62"/>
    </row>
    <row r="876" spans="1:4">
      <c r="A876" s="74"/>
      <c r="B876" s="74"/>
      <c r="C876" s="62" t="s">
        <v>565</v>
      </c>
      <c r="D876" s="62"/>
    </row>
    <row r="877" spans="1:4">
      <c r="A877" s="74"/>
      <c r="B877" s="74"/>
      <c r="C877" s="62" t="s">
        <v>2323</v>
      </c>
      <c r="D877" s="62"/>
    </row>
    <row r="878" spans="1:4">
      <c r="A878" s="74"/>
      <c r="B878" s="74"/>
      <c r="C878" s="62" t="s">
        <v>2994</v>
      </c>
      <c r="D878" s="62"/>
    </row>
    <row r="879" spans="1:4">
      <c r="A879" s="74"/>
      <c r="B879" s="74"/>
      <c r="C879" s="62" t="s">
        <v>1366</v>
      </c>
      <c r="D879" s="62"/>
    </row>
    <row r="880" spans="1:4">
      <c r="A880" s="74"/>
      <c r="B880" s="74"/>
      <c r="C880" s="62" t="s">
        <v>2995</v>
      </c>
      <c r="D880" s="62"/>
    </row>
    <row r="881" spans="1:5">
      <c r="A881" s="74"/>
      <c r="B881" s="74"/>
      <c r="C881" s="62" t="s">
        <v>2996</v>
      </c>
      <c r="D881" s="62"/>
    </row>
    <row r="882" spans="1:5">
      <c r="A882" s="74"/>
      <c r="B882" s="74"/>
      <c r="C882" s="62" t="s">
        <v>2997</v>
      </c>
      <c r="D882" s="62" t="s">
        <v>2997</v>
      </c>
      <c r="E882" s="15" t="s">
        <v>2410</v>
      </c>
    </row>
    <row r="883" spans="1:5">
      <c r="A883" s="75"/>
      <c r="B883" s="75"/>
      <c r="C883" s="62" t="s">
        <v>498</v>
      </c>
      <c r="D883" s="62"/>
    </row>
    <row r="884" spans="1:5">
      <c r="A884" s="89" t="s">
        <v>2998</v>
      </c>
      <c r="B884" s="89" t="s">
        <v>5</v>
      </c>
      <c r="C884" s="59" t="s">
        <v>703</v>
      </c>
      <c r="D884" s="59"/>
    </row>
    <row r="885" spans="1:5">
      <c r="A885" s="90"/>
      <c r="B885" s="90"/>
      <c r="C885" s="59" t="s">
        <v>2999</v>
      </c>
      <c r="D885" s="59"/>
    </row>
    <row r="886" spans="1:5">
      <c r="A886" s="90"/>
      <c r="B886" s="90"/>
      <c r="C886" s="59" t="s">
        <v>3000</v>
      </c>
      <c r="D886" s="59"/>
    </row>
    <row r="887" spans="1:5">
      <c r="A887" s="90"/>
      <c r="B887" s="90"/>
      <c r="C887" s="59" t="s">
        <v>3001</v>
      </c>
      <c r="D887" s="59"/>
    </row>
    <row r="888" spans="1:5">
      <c r="A888" s="90"/>
      <c r="B888" s="90"/>
      <c r="C888" s="59" t="s">
        <v>3002</v>
      </c>
      <c r="D888" s="59"/>
    </row>
    <row r="889" spans="1:5">
      <c r="A889" s="90"/>
      <c r="B889" s="90"/>
      <c r="C889" s="59" t="s">
        <v>3003</v>
      </c>
      <c r="D889" s="59" t="s">
        <v>3004</v>
      </c>
    </row>
    <row r="890" spans="1:5">
      <c r="A890" s="90"/>
      <c r="B890" s="90"/>
      <c r="C890" s="59" t="s">
        <v>3005</v>
      </c>
      <c r="D890" s="59"/>
    </row>
    <row r="891" spans="1:5">
      <c r="A891" s="73" t="s">
        <v>1571</v>
      </c>
      <c r="B891" s="73" t="s">
        <v>5</v>
      </c>
      <c r="C891" s="62" t="s">
        <v>1076</v>
      </c>
      <c r="D891" s="62"/>
    </row>
    <row r="892" spans="1:5">
      <c r="A892" s="74"/>
      <c r="B892" s="74"/>
      <c r="C892" s="62" t="s">
        <v>1070</v>
      </c>
      <c r="D892" s="62"/>
    </row>
    <row r="893" spans="1:5">
      <c r="A893" s="74"/>
      <c r="B893" s="74"/>
      <c r="C893" s="62" t="s">
        <v>1197</v>
      </c>
      <c r="D893" s="62"/>
    </row>
    <row r="894" spans="1:5">
      <c r="A894" s="74"/>
      <c r="B894" s="74"/>
      <c r="C894" s="62" t="s">
        <v>1147</v>
      </c>
      <c r="D894" s="62"/>
    </row>
    <row r="895" spans="1:5">
      <c r="A895" s="74"/>
      <c r="B895" s="74"/>
      <c r="C895" s="62" t="s">
        <v>3006</v>
      </c>
      <c r="D895" s="62"/>
    </row>
    <row r="896" spans="1:5">
      <c r="A896" s="74"/>
      <c r="B896" s="74"/>
      <c r="C896" s="62" t="s">
        <v>498</v>
      </c>
      <c r="D896" s="62"/>
    </row>
    <row r="897" spans="1:4">
      <c r="A897" s="89" t="s">
        <v>3007</v>
      </c>
      <c r="B897" s="89" t="s">
        <v>5</v>
      </c>
      <c r="C897" s="59" t="s">
        <v>1296</v>
      </c>
      <c r="D897" s="59"/>
    </row>
    <row r="898" spans="1:4">
      <c r="A898" s="90"/>
      <c r="B898" s="90"/>
      <c r="C898" s="59" t="s">
        <v>3008</v>
      </c>
      <c r="D898" s="59"/>
    </row>
    <row r="899" spans="1:4">
      <c r="A899" s="90"/>
      <c r="B899" s="90"/>
      <c r="C899" s="59" t="s">
        <v>703</v>
      </c>
      <c r="D899" s="59"/>
    </row>
    <row r="900" spans="1:4">
      <c r="A900" s="90"/>
      <c r="B900" s="90"/>
      <c r="C900" s="59" t="s">
        <v>498</v>
      </c>
      <c r="D900" s="59"/>
    </row>
    <row r="901" spans="1:4">
      <c r="A901" s="73" t="s">
        <v>3009</v>
      </c>
      <c r="B901" s="73" t="s">
        <v>5</v>
      </c>
      <c r="C901" s="62" t="s">
        <v>3010</v>
      </c>
      <c r="D901" s="62"/>
    </row>
    <row r="902" spans="1:4">
      <c r="A902" s="74"/>
      <c r="B902" s="74"/>
      <c r="C902" s="62" t="s">
        <v>3011</v>
      </c>
      <c r="D902" s="62"/>
    </row>
    <row r="903" spans="1:4">
      <c r="A903" s="74"/>
      <c r="B903" s="74"/>
      <c r="C903" s="62" t="s">
        <v>2081</v>
      </c>
      <c r="D903" s="62"/>
    </row>
    <row r="904" spans="1:4">
      <c r="A904" s="74"/>
      <c r="B904" s="74"/>
      <c r="C904" s="62" t="s">
        <v>3012</v>
      </c>
      <c r="D904" s="62"/>
    </row>
    <row r="905" spans="1:4">
      <c r="A905" s="74"/>
      <c r="B905" s="74"/>
      <c r="C905" s="62" t="s">
        <v>3013</v>
      </c>
      <c r="D905" s="62"/>
    </row>
    <row r="906" spans="1:4">
      <c r="A906" s="99" t="s">
        <v>3014</v>
      </c>
      <c r="B906" s="99" t="s">
        <v>5</v>
      </c>
      <c r="C906" s="65" t="s">
        <v>1341</v>
      </c>
      <c r="D906" s="65"/>
    </row>
    <row r="907" spans="1:4">
      <c r="A907" s="100"/>
      <c r="B907" s="100"/>
      <c r="C907" s="65" t="s">
        <v>3015</v>
      </c>
      <c r="D907" s="65"/>
    </row>
    <row r="908" spans="1:4">
      <c r="A908" s="100"/>
      <c r="B908" s="100"/>
      <c r="C908" s="59" t="s">
        <v>3016</v>
      </c>
      <c r="D908" s="59"/>
    </row>
    <row r="909" spans="1:4">
      <c r="A909" s="100"/>
      <c r="B909" s="100"/>
      <c r="C909" s="59" t="s">
        <v>3017</v>
      </c>
      <c r="D909" s="59"/>
    </row>
    <row r="910" spans="1:4">
      <c r="A910" s="100"/>
      <c r="B910" s="100"/>
      <c r="C910" s="59" t="s">
        <v>3018</v>
      </c>
      <c r="D910" s="59"/>
    </row>
    <row r="911" spans="1:4">
      <c r="A911" s="100"/>
      <c r="B911" s="100"/>
      <c r="C911" s="59" t="s">
        <v>3019</v>
      </c>
      <c r="D911" s="59"/>
    </row>
    <row r="912" spans="1:4">
      <c r="A912" s="95" t="s">
        <v>3020</v>
      </c>
      <c r="B912" s="95" t="s">
        <v>5</v>
      </c>
      <c r="C912" s="67" t="s">
        <v>40</v>
      </c>
      <c r="D912" s="67"/>
    </row>
    <row r="913" spans="1:5">
      <c r="A913" s="77"/>
      <c r="B913" s="77"/>
      <c r="C913" s="67" t="s">
        <v>2988</v>
      </c>
      <c r="D913" s="67"/>
    </row>
    <row r="914" spans="1:5">
      <c r="A914" s="77"/>
      <c r="B914" s="77"/>
      <c r="C914" s="62" t="s">
        <v>51</v>
      </c>
      <c r="D914" s="62"/>
    </row>
    <row r="915" spans="1:5">
      <c r="A915" s="77"/>
      <c r="B915" s="77"/>
      <c r="C915" s="62" t="s">
        <v>95</v>
      </c>
      <c r="D915" s="62"/>
    </row>
    <row r="916" spans="1:5">
      <c r="A916" s="77"/>
      <c r="B916" s="77"/>
      <c r="C916" s="62" t="s">
        <v>2989</v>
      </c>
      <c r="D916" s="62"/>
    </row>
    <row r="917" spans="1:5">
      <c r="A917" s="77"/>
      <c r="B917" s="77"/>
      <c r="C917" s="62" t="s">
        <v>2990</v>
      </c>
      <c r="D917" s="62"/>
    </row>
    <row r="918" spans="1:5">
      <c r="A918" s="77"/>
      <c r="B918" s="77"/>
      <c r="C918" s="67" t="s">
        <v>29</v>
      </c>
      <c r="D918" s="67"/>
    </row>
    <row r="919" spans="1:5">
      <c r="A919" s="77"/>
      <c r="B919" s="77"/>
      <c r="C919" s="67" t="s">
        <v>2991</v>
      </c>
      <c r="D919" s="67"/>
    </row>
    <row r="920" spans="1:5" ht="15">
      <c r="A920" s="99" t="s">
        <v>3021</v>
      </c>
      <c r="B920" s="99" t="s">
        <v>5</v>
      </c>
      <c r="C920" s="65" t="s">
        <v>3022</v>
      </c>
      <c r="D920" s="65"/>
      <c r="E920" s="66"/>
    </row>
    <row r="921" spans="1:5" ht="15">
      <c r="A921" s="100"/>
      <c r="B921" s="100"/>
      <c r="C921" s="65" t="s">
        <v>3023</v>
      </c>
      <c r="D921" s="65"/>
      <c r="E921" s="66"/>
    </row>
    <row r="922" spans="1:5" ht="15">
      <c r="A922" s="100"/>
      <c r="B922" s="100"/>
      <c r="C922" s="59" t="s">
        <v>3024</v>
      </c>
      <c r="D922" s="59"/>
      <c r="E922" s="66"/>
    </row>
    <row r="923" spans="1:5" ht="15">
      <c r="A923" s="100"/>
      <c r="B923" s="100"/>
      <c r="C923" s="59" t="s">
        <v>3025</v>
      </c>
      <c r="D923" s="59"/>
      <c r="E923" s="66"/>
    </row>
    <row r="924" spans="1:5" ht="15">
      <c r="A924" s="100"/>
      <c r="B924" s="100"/>
      <c r="C924" s="59" t="s">
        <v>3026</v>
      </c>
      <c r="D924" s="59"/>
      <c r="E924" s="66"/>
    </row>
    <row r="925" spans="1:5">
      <c r="A925" s="100"/>
      <c r="B925" s="100"/>
      <c r="C925" s="59" t="s">
        <v>498</v>
      </c>
      <c r="D925" s="59"/>
    </row>
    <row r="926" spans="1:5">
      <c r="A926" s="95" t="s">
        <v>3027</v>
      </c>
      <c r="B926" s="95" t="s">
        <v>5</v>
      </c>
      <c r="C926" s="62" t="s">
        <v>3028</v>
      </c>
      <c r="D926" s="62"/>
    </row>
    <row r="927" spans="1:5">
      <c r="A927" s="77"/>
      <c r="B927" s="77"/>
      <c r="C927" s="62" t="s">
        <v>3029</v>
      </c>
      <c r="D927" s="62"/>
    </row>
    <row r="928" spans="1:5">
      <c r="A928" s="77"/>
      <c r="B928" s="77"/>
      <c r="C928" s="62" t="s">
        <v>3030</v>
      </c>
      <c r="D928" s="62"/>
    </row>
    <row r="929" spans="1:5">
      <c r="A929" s="96" t="s">
        <v>3031</v>
      </c>
      <c r="B929" s="96" t="s">
        <v>5</v>
      </c>
      <c r="C929" s="65" t="s">
        <v>3032</v>
      </c>
      <c r="D929" s="65"/>
    </row>
    <row r="930" spans="1:5">
      <c r="A930" s="97"/>
      <c r="B930" s="97"/>
      <c r="C930" s="65" t="s">
        <v>138</v>
      </c>
      <c r="D930" s="65"/>
    </row>
    <row r="931" spans="1:5">
      <c r="A931" s="97"/>
      <c r="B931" s="97"/>
      <c r="C931" s="59" t="s">
        <v>156</v>
      </c>
      <c r="D931" s="59"/>
    </row>
    <row r="932" spans="1:5">
      <c r="A932" s="97"/>
      <c r="B932" s="97"/>
      <c r="C932" s="59" t="s">
        <v>565</v>
      </c>
      <c r="D932" s="59"/>
    </row>
    <row r="933" spans="1:5">
      <c r="A933" s="97"/>
      <c r="B933" s="97"/>
      <c r="C933" s="59" t="s">
        <v>498</v>
      </c>
      <c r="D933" s="59"/>
    </row>
    <row r="934" spans="1:5">
      <c r="A934" s="103" t="s">
        <v>3033</v>
      </c>
      <c r="B934" s="103" t="s">
        <v>5</v>
      </c>
      <c r="C934" s="67" t="s">
        <v>156</v>
      </c>
      <c r="D934" s="67"/>
    </row>
    <row r="935" spans="1:5">
      <c r="A935" s="104"/>
      <c r="B935" s="104"/>
      <c r="C935" s="67" t="s">
        <v>138</v>
      </c>
      <c r="D935" s="67"/>
    </row>
    <row r="936" spans="1:5">
      <c r="A936" s="104"/>
      <c r="B936" s="104"/>
      <c r="C936" s="62" t="s">
        <v>565</v>
      </c>
      <c r="D936" s="62"/>
    </row>
    <row r="937" spans="1:5">
      <c r="A937" s="104"/>
      <c r="B937" s="104"/>
      <c r="C937" s="62" t="s">
        <v>2323</v>
      </c>
      <c r="D937" s="62"/>
    </row>
    <row r="938" spans="1:5">
      <c r="A938" s="104"/>
      <c r="B938" s="104"/>
      <c r="C938" s="62" t="s">
        <v>3034</v>
      </c>
      <c r="D938" s="62"/>
    </row>
    <row r="939" spans="1:5">
      <c r="A939" s="104"/>
      <c r="B939" s="104"/>
      <c r="C939" s="67" t="s">
        <v>3034</v>
      </c>
      <c r="D939" s="67"/>
    </row>
    <row r="940" spans="1:5">
      <c r="A940" s="104"/>
      <c r="B940" s="104"/>
      <c r="C940" s="67" t="s">
        <v>1366</v>
      </c>
      <c r="D940" s="67"/>
    </row>
    <row r="941" spans="1:5">
      <c r="A941" s="104"/>
      <c r="B941" s="104"/>
      <c r="C941" s="62" t="s">
        <v>2995</v>
      </c>
      <c r="D941" s="62"/>
    </row>
    <row r="942" spans="1:5">
      <c r="A942" s="104"/>
      <c r="B942" s="104"/>
      <c r="C942" s="67" t="s">
        <v>2996</v>
      </c>
      <c r="D942" s="67"/>
    </row>
    <row r="943" spans="1:5">
      <c r="A943" s="104"/>
      <c r="B943" s="104"/>
      <c r="C943" s="67" t="s">
        <v>3032</v>
      </c>
      <c r="D943" s="67"/>
    </row>
    <row r="944" spans="1:5">
      <c r="A944" s="104"/>
      <c r="B944" s="104"/>
      <c r="C944" s="62" t="s">
        <v>3035</v>
      </c>
      <c r="D944" s="62" t="s">
        <v>3035</v>
      </c>
      <c r="E944" s="15" t="s">
        <v>2410</v>
      </c>
    </row>
    <row r="945" spans="1:4">
      <c r="A945" s="132"/>
      <c r="B945" s="132"/>
      <c r="C945" s="62" t="s">
        <v>498</v>
      </c>
      <c r="D945" s="62"/>
    </row>
    <row r="946" spans="1:4" ht="14.25" customHeight="1">
      <c r="A946" s="96" t="s">
        <v>3036</v>
      </c>
      <c r="B946" s="96" t="s">
        <v>5</v>
      </c>
      <c r="C946" s="65" t="s">
        <v>3037</v>
      </c>
      <c r="D946" s="65"/>
    </row>
    <row r="947" spans="1:4">
      <c r="A947" s="97"/>
      <c r="B947" s="97"/>
      <c r="C947" s="65" t="s">
        <v>3038</v>
      </c>
      <c r="D947" s="65"/>
    </row>
    <row r="948" spans="1:4">
      <c r="A948" s="97"/>
      <c r="B948" s="97"/>
      <c r="C948" s="59" t="s">
        <v>3039</v>
      </c>
      <c r="D948" s="59"/>
    </row>
    <row r="949" spans="1:4">
      <c r="A949" s="97"/>
      <c r="B949" s="97"/>
      <c r="C949" s="59" t="s">
        <v>3040</v>
      </c>
      <c r="D949" s="59"/>
    </row>
    <row r="950" spans="1:4">
      <c r="A950" s="97"/>
      <c r="B950" s="97"/>
      <c r="C950" s="59" t="s">
        <v>3041</v>
      </c>
      <c r="D950" s="59"/>
    </row>
    <row r="951" spans="1:4">
      <c r="A951" s="97"/>
      <c r="B951" s="97"/>
      <c r="C951" s="65" t="s">
        <v>1474</v>
      </c>
      <c r="D951" s="65"/>
    </row>
    <row r="952" spans="1:4">
      <c r="A952" s="97"/>
      <c r="B952" s="97"/>
      <c r="C952" s="65" t="s">
        <v>3032</v>
      </c>
      <c r="D952" s="65"/>
    </row>
    <row r="953" spans="1:4">
      <c r="A953" s="97"/>
      <c r="B953" s="97"/>
      <c r="C953" s="59" t="s">
        <v>3042</v>
      </c>
      <c r="D953" s="59" t="s">
        <v>3043</v>
      </c>
    </row>
    <row r="954" spans="1:4">
      <c r="A954" s="97"/>
      <c r="B954" s="97"/>
      <c r="C954" s="59" t="s">
        <v>3003</v>
      </c>
      <c r="D954" s="59" t="s">
        <v>3004</v>
      </c>
    </row>
    <row r="955" spans="1:4">
      <c r="A955" s="97"/>
      <c r="B955" s="97"/>
      <c r="C955" s="59" t="s">
        <v>498</v>
      </c>
      <c r="D955" s="59"/>
    </row>
    <row r="956" spans="1:4">
      <c r="A956" s="103" t="s">
        <v>2849</v>
      </c>
      <c r="B956" s="103" t="s">
        <v>5</v>
      </c>
      <c r="C956" s="62" t="s">
        <v>3044</v>
      </c>
      <c r="D956" s="62"/>
    </row>
    <row r="957" spans="1:4">
      <c r="A957" s="104"/>
      <c r="B957" s="104"/>
      <c r="C957" s="62" t="s">
        <v>1607</v>
      </c>
      <c r="D957" s="62"/>
    </row>
    <row r="958" spans="1:4">
      <c r="A958" s="104"/>
      <c r="B958" s="104"/>
      <c r="C958" s="62" t="s">
        <v>3045</v>
      </c>
      <c r="D958" s="62"/>
    </row>
    <row r="959" spans="1:4">
      <c r="A959" s="104"/>
      <c r="B959" s="104"/>
      <c r="C959" s="62" t="s">
        <v>1654</v>
      </c>
      <c r="D959" s="62"/>
    </row>
    <row r="960" spans="1:4">
      <c r="A960" s="104"/>
      <c r="B960" s="104"/>
      <c r="C960" s="62" t="s">
        <v>3046</v>
      </c>
      <c r="D960" s="62"/>
    </row>
    <row r="961" spans="1:5">
      <c r="A961" s="104"/>
      <c r="B961" s="104"/>
      <c r="C961" s="62" t="s">
        <v>3047</v>
      </c>
      <c r="D961" s="62"/>
    </row>
    <row r="962" spans="1:5">
      <c r="A962" s="104"/>
      <c r="B962" s="104"/>
      <c r="C962" s="62" t="s">
        <v>3048</v>
      </c>
      <c r="D962" s="62"/>
    </row>
    <row r="963" spans="1:5">
      <c r="A963" s="104"/>
      <c r="B963" s="104"/>
      <c r="C963" s="62" t="s">
        <v>2902</v>
      </c>
      <c r="D963" s="62"/>
      <c r="E963" s="15" t="s">
        <v>2410</v>
      </c>
    </row>
    <row r="964" spans="1:5">
      <c r="A964" s="105" t="s">
        <v>3049</v>
      </c>
      <c r="B964" s="96" t="s">
        <v>5</v>
      </c>
      <c r="C964" s="59" t="s">
        <v>3010</v>
      </c>
      <c r="D964" s="59"/>
    </row>
    <row r="965" spans="1:5">
      <c r="A965" s="106"/>
      <c r="B965" s="97"/>
      <c r="C965" s="59" t="s">
        <v>3011</v>
      </c>
      <c r="D965" s="59"/>
    </row>
    <row r="966" spans="1:5">
      <c r="A966" s="106"/>
      <c r="B966" s="97"/>
      <c r="C966" s="59" t="s">
        <v>2081</v>
      </c>
      <c r="D966" s="59"/>
    </row>
    <row r="967" spans="1:5">
      <c r="A967" s="106"/>
      <c r="B967" s="97"/>
      <c r="C967" s="59" t="s">
        <v>3012</v>
      </c>
      <c r="D967" s="59"/>
    </row>
    <row r="968" spans="1:5">
      <c r="A968" s="106"/>
      <c r="B968" s="97"/>
      <c r="C968" s="59" t="s">
        <v>3013</v>
      </c>
      <c r="D968" s="59"/>
    </row>
    <row r="969" spans="1:5">
      <c r="A969" s="106"/>
      <c r="B969" s="97"/>
      <c r="C969" s="59" t="s">
        <v>3050</v>
      </c>
      <c r="D969" s="59"/>
      <c r="E969" s="15" t="s">
        <v>2410</v>
      </c>
    </row>
    <row r="970" spans="1:5">
      <c r="A970" s="107" t="s">
        <v>3051</v>
      </c>
      <c r="B970" s="103" t="s">
        <v>5</v>
      </c>
      <c r="C970" s="62" t="s">
        <v>3052</v>
      </c>
      <c r="D970" s="62"/>
    </row>
    <row r="971" spans="1:5">
      <c r="A971" s="108"/>
      <c r="B971" s="104"/>
      <c r="C971" s="62" t="s">
        <v>3053</v>
      </c>
      <c r="D971" s="62"/>
    </row>
    <row r="972" spans="1:5">
      <c r="A972" s="108"/>
      <c r="B972" s="104"/>
      <c r="C972" s="62" t="s">
        <v>3054</v>
      </c>
      <c r="D972" s="62"/>
    </row>
    <row r="973" spans="1:5">
      <c r="A973" s="108"/>
      <c r="B973" s="104"/>
      <c r="C973" s="62" t="s">
        <v>3055</v>
      </c>
      <c r="D973" s="62"/>
    </row>
    <row r="974" spans="1:5">
      <c r="A974" s="108"/>
      <c r="B974" s="104"/>
      <c r="C974" s="62" t="s">
        <v>2341</v>
      </c>
      <c r="D974" s="62"/>
    </row>
    <row r="975" spans="1:5">
      <c r="A975" s="108"/>
      <c r="B975" s="104"/>
      <c r="C975" s="62" t="s">
        <v>2138</v>
      </c>
      <c r="D975" s="62"/>
    </row>
    <row r="976" spans="1:5">
      <c r="A976" s="133"/>
      <c r="B976" s="132"/>
      <c r="C976" s="62" t="s">
        <v>498</v>
      </c>
      <c r="D976" s="62"/>
    </row>
    <row r="977" spans="1:5">
      <c r="A977" s="96" t="s">
        <v>3056</v>
      </c>
      <c r="B977" s="96" t="s">
        <v>5</v>
      </c>
      <c r="C977" s="59" t="s">
        <v>3057</v>
      </c>
      <c r="D977" s="59"/>
      <c r="E977" s="15" t="s">
        <v>3058</v>
      </c>
    </row>
    <row r="978" spans="1:5">
      <c r="A978" s="97"/>
      <c r="B978" s="97"/>
      <c r="C978" s="59" t="s">
        <v>3059</v>
      </c>
      <c r="D978" s="59"/>
    </row>
    <row r="979" spans="1:5">
      <c r="A979" s="97"/>
      <c r="B979" s="97"/>
      <c r="C979" s="59" t="s">
        <v>3060</v>
      </c>
      <c r="D979" s="59"/>
    </row>
    <row r="980" spans="1:5">
      <c r="A980" s="97"/>
      <c r="B980" s="97"/>
      <c r="C980" s="59" t="s">
        <v>2079</v>
      </c>
      <c r="D980" s="59"/>
    </row>
    <row r="981" spans="1:5">
      <c r="A981" s="97"/>
      <c r="B981" s="97"/>
      <c r="C981" s="59" t="s">
        <v>3061</v>
      </c>
      <c r="D981" s="59"/>
    </row>
    <row r="982" spans="1:5">
      <c r="A982" s="97"/>
      <c r="B982" s="97"/>
      <c r="C982" s="59" t="s">
        <v>3062</v>
      </c>
      <c r="D982" s="59"/>
    </row>
    <row r="983" spans="1:5">
      <c r="A983" s="97"/>
      <c r="B983" s="97"/>
      <c r="C983" s="59" t="s">
        <v>3063</v>
      </c>
      <c r="D983" s="59"/>
    </row>
    <row r="984" spans="1:5">
      <c r="A984" s="97"/>
      <c r="B984" s="97"/>
      <c r="C984" s="59" t="s">
        <v>3064</v>
      </c>
      <c r="D984" s="59"/>
    </row>
    <row r="985" spans="1:5">
      <c r="A985" s="97"/>
      <c r="B985" s="97"/>
      <c r="C985" s="59" t="s">
        <v>3065</v>
      </c>
      <c r="D985" s="59" t="s">
        <v>3066</v>
      </c>
      <c r="E985" s="15" t="s">
        <v>2410</v>
      </c>
    </row>
    <row r="986" spans="1:5">
      <c r="A986" s="107" t="s">
        <v>3067</v>
      </c>
      <c r="B986" s="103" t="s">
        <v>5</v>
      </c>
      <c r="C986" s="62" t="s">
        <v>1341</v>
      </c>
      <c r="D986" s="62"/>
    </row>
    <row r="987" spans="1:5">
      <c r="A987" s="108"/>
      <c r="B987" s="104"/>
      <c r="C987" s="62" t="s">
        <v>3015</v>
      </c>
      <c r="D987" s="62"/>
    </row>
    <row r="988" spans="1:5">
      <c r="A988" s="108"/>
      <c r="B988" s="104"/>
      <c r="C988" s="62" t="s">
        <v>3068</v>
      </c>
      <c r="D988" s="62"/>
    </row>
    <row r="989" spans="1:5">
      <c r="A989" s="108"/>
      <c r="B989" s="104"/>
      <c r="C989" s="62" t="s">
        <v>3069</v>
      </c>
      <c r="D989" s="62"/>
    </row>
    <row r="990" spans="1:5">
      <c r="A990" s="108"/>
      <c r="B990" s="104"/>
      <c r="C990" s="62" t="s">
        <v>3070</v>
      </c>
      <c r="D990" s="62"/>
    </row>
    <row r="991" spans="1:5">
      <c r="A991" s="108"/>
      <c r="B991" s="104"/>
      <c r="C991" s="62" t="s">
        <v>3071</v>
      </c>
      <c r="D991" s="62"/>
    </row>
    <row r="992" spans="1:5">
      <c r="A992" s="96" t="s">
        <v>3072</v>
      </c>
      <c r="B992" s="96" t="s">
        <v>5</v>
      </c>
      <c r="C992" s="59" t="s">
        <v>138</v>
      </c>
      <c r="D992" s="59"/>
    </row>
    <row r="993" spans="1:5">
      <c r="A993" s="97"/>
      <c r="B993" s="97"/>
      <c r="C993" s="59" t="s">
        <v>156</v>
      </c>
      <c r="D993" s="59"/>
    </row>
    <row r="994" spans="1:5">
      <c r="A994" s="97"/>
      <c r="B994" s="97"/>
      <c r="C994" s="59" t="s">
        <v>2991</v>
      </c>
      <c r="D994" s="59"/>
    </row>
    <row r="995" spans="1:5">
      <c r="A995" s="97"/>
      <c r="B995" s="97"/>
      <c r="C995" s="59" t="s">
        <v>565</v>
      </c>
      <c r="D995" s="59"/>
    </row>
    <row r="996" spans="1:5">
      <c r="A996" s="97"/>
      <c r="B996" s="97"/>
      <c r="C996" s="59" t="s">
        <v>3073</v>
      </c>
      <c r="D996" s="59" t="s">
        <v>3074</v>
      </c>
    </row>
    <row r="997" spans="1:5">
      <c r="A997" s="97"/>
      <c r="B997" s="97"/>
      <c r="C997" s="59" t="s">
        <v>498</v>
      </c>
      <c r="D997" s="59"/>
    </row>
    <row r="998" spans="1:5">
      <c r="A998" s="103" t="s">
        <v>3075</v>
      </c>
      <c r="B998" s="103" t="s">
        <v>5</v>
      </c>
      <c r="C998" s="62" t="s">
        <v>2367</v>
      </c>
      <c r="D998" s="62"/>
      <c r="E998" s="15" t="s">
        <v>3058</v>
      </c>
    </row>
    <row r="999" spans="1:5">
      <c r="A999" s="104"/>
      <c r="B999" s="104"/>
      <c r="C999" s="62" t="s">
        <v>3076</v>
      </c>
      <c r="D999" s="62"/>
    </row>
    <row r="1000" spans="1:5">
      <c r="A1000" s="96" t="s">
        <v>3077</v>
      </c>
      <c r="B1000" s="96" t="s">
        <v>5</v>
      </c>
      <c r="C1000" s="59" t="s">
        <v>3078</v>
      </c>
      <c r="D1000" s="59"/>
    </row>
    <row r="1001" spans="1:5">
      <c r="A1001" s="97"/>
      <c r="B1001" s="97"/>
      <c r="C1001" s="59" t="s">
        <v>3079</v>
      </c>
      <c r="D1001" s="59"/>
    </row>
    <row r="1002" spans="1:5">
      <c r="A1002" s="97"/>
      <c r="B1002" s="97"/>
      <c r="C1002" s="59" t="s">
        <v>3080</v>
      </c>
      <c r="D1002" s="59"/>
    </row>
    <row r="1003" spans="1:5">
      <c r="A1003" s="97"/>
      <c r="B1003" s="97"/>
      <c r="C1003" s="59" t="s">
        <v>3081</v>
      </c>
      <c r="D1003" s="59"/>
      <c r="E1003" s="15" t="s">
        <v>2410</v>
      </c>
    </row>
    <row r="1004" spans="1:5">
      <c r="A1004" s="97"/>
      <c r="B1004" s="97"/>
      <c r="C1004" s="59" t="s">
        <v>3082</v>
      </c>
      <c r="D1004" s="59"/>
    </row>
    <row r="1005" spans="1:5">
      <c r="A1005" s="97"/>
      <c r="B1005" s="97"/>
      <c r="C1005" s="59" t="s">
        <v>3083</v>
      </c>
      <c r="D1005" s="59"/>
    </row>
    <row r="1006" spans="1:5">
      <c r="A1006" s="97"/>
      <c r="B1006" s="97"/>
      <c r="C1006" s="59" t="s">
        <v>3084</v>
      </c>
      <c r="D1006" s="59"/>
      <c r="E1006" s="15" t="s">
        <v>2410</v>
      </c>
    </row>
    <row r="1007" spans="1:5">
      <c r="A1007" s="97"/>
      <c r="B1007" s="97"/>
      <c r="C1007" s="59" t="s">
        <v>3085</v>
      </c>
      <c r="D1007" s="59"/>
    </row>
    <row r="1008" spans="1:5">
      <c r="A1008" s="97"/>
      <c r="B1008" s="97"/>
      <c r="C1008" s="59" t="s">
        <v>3086</v>
      </c>
      <c r="D1008" s="59"/>
    </row>
    <row r="1009" spans="1:4">
      <c r="A1009" s="97"/>
      <c r="B1009" s="97"/>
      <c r="C1009" s="59" t="s">
        <v>3087</v>
      </c>
      <c r="D1009" s="59"/>
    </row>
    <row r="1010" spans="1:4">
      <c r="A1010" s="97"/>
      <c r="B1010" s="97"/>
      <c r="C1010" s="59" t="s">
        <v>2380</v>
      </c>
      <c r="D1010" s="59"/>
    </row>
    <row r="1011" spans="1:4">
      <c r="A1011" s="97"/>
      <c r="B1011" s="97"/>
      <c r="C1011" s="59" t="s">
        <v>3088</v>
      </c>
      <c r="D1011" s="59"/>
    </row>
    <row r="1012" spans="1:4">
      <c r="A1012" s="97"/>
      <c r="B1012" s="97"/>
      <c r="C1012" s="59" t="s">
        <v>3089</v>
      </c>
      <c r="D1012" s="59"/>
    </row>
    <row r="1013" spans="1:4">
      <c r="A1013" s="97"/>
      <c r="B1013" s="97"/>
      <c r="C1013" s="59" t="s">
        <v>3090</v>
      </c>
      <c r="D1013" s="59"/>
    </row>
    <row r="1014" spans="1:4">
      <c r="A1014" s="97"/>
      <c r="B1014" s="97"/>
      <c r="C1014" s="59" t="s">
        <v>3091</v>
      </c>
      <c r="D1014" s="59"/>
    </row>
    <row r="1015" spans="1:4">
      <c r="A1015" s="97"/>
      <c r="B1015" s="97"/>
      <c r="C1015" s="59" t="s">
        <v>2375</v>
      </c>
      <c r="D1015" s="59"/>
    </row>
    <row r="1016" spans="1:4">
      <c r="A1016" s="97"/>
      <c r="B1016" s="97"/>
      <c r="C1016" s="59" t="s">
        <v>3092</v>
      </c>
      <c r="D1016" s="59"/>
    </row>
    <row r="1017" spans="1:4">
      <c r="A1017" s="97"/>
      <c r="B1017" s="97"/>
      <c r="C1017" s="59" t="s">
        <v>2383</v>
      </c>
      <c r="D1017" s="59"/>
    </row>
    <row r="1018" spans="1:4">
      <c r="A1018" s="97"/>
      <c r="B1018" s="97"/>
      <c r="C1018" s="59" t="s">
        <v>3093</v>
      </c>
      <c r="D1018" s="59"/>
    </row>
    <row r="1019" spans="1:4">
      <c r="A1019" s="97"/>
      <c r="B1019" s="97"/>
      <c r="C1019" s="59" t="s">
        <v>3094</v>
      </c>
      <c r="D1019" s="59"/>
    </row>
    <row r="1020" spans="1:4">
      <c r="A1020" s="97"/>
      <c r="B1020" s="97"/>
      <c r="C1020" s="59" t="s">
        <v>3095</v>
      </c>
      <c r="D1020" s="59"/>
    </row>
    <row r="1021" spans="1:4">
      <c r="A1021" s="97"/>
      <c r="B1021" s="97"/>
      <c r="C1021" s="59" t="s">
        <v>3096</v>
      </c>
      <c r="D1021" s="59"/>
    </row>
    <row r="1022" spans="1:4">
      <c r="A1022" s="97"/>
      <c r="B1022" s="97"/>
      <c r="C1022" s="59" t="s">
        <v>3097</v>
      </c>
      <c r="D1022" s="59"/>
    </row>
    <row r="1023" spans="1:4">
      <c r="A1023" s="97"/>
      <c r="B1023" s="97"/>
      <c r="C1023" s="59" t="s">
        <v>3098</v>
      </c>
      <c r="D1023" s="59"/>
    </row>
    <row r="1024" spans="1:4">
      <c r="A1024" s="97"/>
      <c r="B1024" s="97"/>
      <c r="C1024" s="59" t="s">
        <v>3099</v>
      </c>
      <c r="D1024" s="59"/>
    </row>
    <row r="1025" spans="1:5">
      <c r="A1025" s="97"/>
      <c r="B1025" s="97"/>
      <c r="C1025" s="59" t="s">
        <v>3100</v>
      </c>
      <c r="D1025" s="59"/>
    </row>
    <row r="1026" spans="1:5">
      <c r="A1026" s="97"/>
      <c r="B1026" s="97"/>
      <c r="C1026" s="59" t="s">
        <v>3101</v>
      </c>
      <c r="D1026" s="59"/>
    </row>
    <row r="1027" spans="1:5">
      <c r="A1027" s="97"/>
      <c r="B1027" s="97"/>
      <c r="C1027" s="59" t="s">
        <v>3102</v>
      </c>
      <c r="D1027" s="59"/>
    </row>
    <row r="1028" spans="1:5">
      <c r="A1028" s="97"/>
      <c r="B1028" s="97"/>
      <c r="C1028" s="59" t="s">
        <v>3103</v>
      </c>
      <c r="D1028" s="59"/>
    </row>
    <row r="1029" spans="1:5">
      <c r="A1029" s="97"/>
      <c r="B1029" s="97"/>
      <c r="C1029" s="59" t="s">
        <v>3104</v>
      </c>
      <c r="D1029" s="59"/>
    </row>
    <row r="1030" spans="1:5">
      <c r="A1030" s="97"/>
      <c r="B1030" s="97"/>
      <c r="C1030" s="59" t="s">
        <v>3105</v>
      </c>
      <c r="D1030" s="59"/>
    </row>
    <row r="1031" spans="1:5">
      <c r="A1031" s="97"/>
      <c r="B1031" s="97"/>
      <c r="C1031" s="142" t="s">
        <v>3106</v>
      </c>
      <c r="D1031" s="59"/>
      <c r="E1031" s="15" t="s">
        <v>2410</v>
      </c>
    </row>
    <row r="1032" spans="1:5">
      <c r="A1032" s="97"/>
      <c r="B1032" s="97"/>
      <c r="C1032" s="59" t="s">
        <v>3107</v>
      </c>
      <c r="D1032" s="59"/>
    </row>
    <row r="1033" spans="1:5">
      <c r="A1033" s="97"/>
      <c r="B1033" s="97"/>
      <c r="C1033" s="59" t="s">
        <v>498</v>
      </c>
      <c r="D1033" s="59"/>
    </row>
    <row r="1034" spans="1:5">
      <c r="A1034" s="73" t="s">
        <v>3108</v>
      </c>
      <c r="B1034" s="73" t="s">
        <v>5</v>
      </c>
      <c r="C1034" s="62" t="s">
        <v>3109</v>
      </c>
      <c r="D1034" s="62"/>
      <c r="E1034" s="15" t="s">
        <v>3058</v>
      </c>
    </row>
    <row r="1035" spans="1:5">
      <c r="A1035" s="74"/>
      <c r="B1035" s="74"/>
      <c r="C1035" s="62" t="s">
        <v>3110</v>
      </c>
      <c r="D1035" s="62"/>
    </row>
    <row r="1036" spans="1:5">
      <c r="A1036" s="74"/>
      <c r="B1036" s="74"/>
      <c r="C1036" s="62" t="s">
        <v>498</v>
      </c>
      <c r="D1036" s="62"/>
    </row>
    <row r="1037" spans="1:5">
      <c r="A1037" s="96" t="s">
        <v>3111</v>
      </c>
      <c r="B1037" s="96" t="s">
        <v>5</v>
      </c>
      <c r="C1037" s="59" t="s">
        <v>3112</v>
      </c>
      <c r="D1037" s="59"/>
    </row>
    <row r="1038" spans="1:5">
      <c r="A1038" s="97"/>
      <c r="B1038" s="97"/>
      <c r="C1038" s="59" t="s">
        <v>3113</v>
      </c>
      <c r="D1038" s="59" t="s">
        <v>3114</v>
      </c>
    </row>
    <row r="1039" spans="1:5">
      <c r="A1039" s="97"/>
      <c r="B1039" s="97"/>
      <c r="C1039" s="59" t="s">
        <v>3115</v>
      </c>
      <c r="D1039" s="59" t="s">
        <v>3116</v>
      </c>
    </row>
    <row r="1040" spans="1:5">
      <c r="A1040" s="97"/>
      <c r="B1040" s="97"/>
      <c r="C1040" s="59" t="s">
        <v>3117</v>
      </c>
      <c r="D1040" s="59" t="s">
        <v>3118</v>
      </c>
    </row>
    <row r="1044" spans="4:4">
      <c r="D1044" s="61"/>
    </row>
    <row r="1045" spans="4:4">
      <c r="D1045" s="61"/>
    </row>
    <row r="1046" spans="4:4">
      <c r="D1046" s="61"/>
    </row>
    <row r="1047" spans="4:4">
      <c r="D1047" s="61"/>
    </row>
    <row r="1065" spans="1:4">
      <c r="D1065" s="36"/>
    </row>
    <row r="1070" spans="1:4">
      <c r="A1070" s="36"/>
    </row>
    <row r="1072" spans="1:4">
      <c r="C1072" s="15"/>
    </row>
    <row r="1073" spans="1:5" s="9" customFormat="1">
      <c r="B1073" s="15"/>
      <c r="C1073" s="15"/>
      <c r="E1073" s="15"/>
    </row>
    <row r="1074" spans="1:5" s="9" customFormat="1">
      <c r="A1074" s="48"/>
      <c r="B1074" s="15"/>
      <c r="C1074" s="15"/>
      <c r="E1074" s="15"/>
    </row>
    <row r="1075" spans="1:5" s="9" customFormat="1">
      <c r="B1075" s="15"/>
      <c r="C1075" s="61"/>
      <c r="E1075" s="15"/>
    </row>
    <row r="1076" spans="1:5" s="9" customFormat="1">
      <c r="B1076" s="15"/>
      <c r="C1076" s="61" t="s">
        <v>134</v>
      </c>
      <c r="E1076" s="15"/>
    </row>
    <row r="1077" spans="1:5" s="9" customFormat="1">
      <c r="B1077" s="15"/>
      <c r="C1077" s="61" t="s">
        <v>121</v>
      </c>
      <c r="E1077" s="15"/>
    </row>
    <row r="1078" spans="1:5" s="9" customFormat="1">
      <c r="B1078" s="15"/>
      <c r="C1078" s="61" t="s">
        <v>366</v>
      </c>
      <c r="E1078" s="15"/>
    </row>
    <row r="1079" spans="1:5" s="9" customFormat="1">
      <c r="B1079" s="15"/>
      <c r="C1079" s="61" t="s">
        <v>651</v>
      </c>
      <c r="E1079" s="15"/>
    </row>
    <row r="1080" spans="1:5" s="9" customFormat="1">
      <c r="B1080" s="15"/>
      <c r="C1080" s="61"/>
      <c r="E1080" s="15"/>
    </row>
    <row r="1081" spans="1:5" s="9" customFormat="1">
      <c r="B1081" s="15"/>
      <c r="C1081" s="61" t="s">
        <v>134</v>
      </c>
      <c r="E1081" s="15"/>
    </row>
    <row r="1082" spans="1:5" s="9" customFormat="1">
      <c r="B1082" s="15"/>
      <c r="C1082" s="61" t="s">
        <v>121</v>
      </c>
      <c r="E1082" s="15"/>
    </row>
    <row r="1083" spans="1:5" s="9" customFormat="1">
      <c r="B1083" s="15"/>
      <c r="C1083" s="61" t="s">
        <v>366</v>
      </c>
      <c r="E1083" s="15"/>
    </row>
    <row r="1084" spans="1:5" s="9" customFormat="1">
      <c r="B1084" s="15"/>
      <c r="C1084" s="61" t="s">
        <v>651</v>
      </c>
      <c r="E1084" s="15"/>
    </row>
    <row r="1085" spans="1:5" s="9" customFormat="1">
      <c r="B1085" s="15"/>
      <c r="C1085" s="61" t="s">
        <v>492</v>
      </c>
      <c r="E1085" s="15"/>
    </row>
    <row r="1086" spans="1:5" s="9" customFormat="1">
      <c r="B1086" s="15"/>
      <c r="C1086" s="61"/>
      <c r="E1086" s="15"/>
    </row>
    <row r="1087" spans="1:5" s="9" customFormat="1">
      <c r="A1087" s="36"/>
      <c r="B1087" s="15"/>
      <c r="C1087" s="61" t="s">
        <v>134</v>
      </c>
      <c r="E1087" s="15"/>
    </row>
    <row r="1088" spans="1:5" s="9" customFormat="1">
      <c r="B1088" s="15"/>
      <c r="C1088" s="61" t="s">
        <v>121</v>
      </c>
      <c r="E1088" s="15"/>
    </row>
    <row r="1089" spans="2:5" s="9" customFormat="1">
      <c r="B1089" s="15"/>
      <c r="C1089" s="61" t="s">
        <v>651</v>
      </c>
      <c r="E1089" s="15"/>
    </row>
    <row r="1090" spans="2:5" s="9" customFormat="1">
      <c r="B1090" s="15"/>
      <c r="C1090" s="61"/>
      <c r="E1090" s="15"/>
    </row>
    <row r="1091" spans="2:5" s="9" customFormat="1">
      <c r="B1091" s="15"/>
      <c r="C1091" s="61" t="s">
        <v>1392</v>
      </c>
      <c r="E1091" s="15"/>
    </row>
    <row r="1092" spans="2:5" s="9" customFormat="1">
      <c r="B1092" s="15"/>
      <c r="C1092" s="61" t="s">
        <v>498</v>
      </c>
      <c r="E1092" s="15"/>
    </row>
    <row r="1093" spans="2:5" s="9" customFormat="1">
      <c r="B1093" s="15"/>
      <c r="C1093" s="61"/>
      <c r="E1093" s="15"/>
    </row>
    <row r="1094" spans="2:5" s="9" customFormat="1">
      <c r="B1094" s="15"/>
      <c r="C1094" s="61" t="s">
        <v>151</v>
      </c>
      <c r="E1094" s="15"/>
    </row>
    <row r="1095" spans="2:5" s="9" customFormat="1">
      <c r="B1095" s="15"/>
      <c r="C1095" s="61" t="s">
        <v>2823</v>
      </c>
      <c r="E1095" s="15"/>
    </row>
    <row r="1096" spans="2:5" s="9" customFormat="1">
      <c r="B1096" s="15"/>
      <c r="C1096" s="61" t="s">
        <v>2824</v>
      </c>
      <c r="E1096" s="15"/>
    </row>
    <row r="1097" spans="2:5" s="9" customFormat="1">
      <c r="B1097" s="15"/>
      <c r="C1097" s="61" t="s">
        <v>2827</v>
      </c>
      <c r="E1097" s="15"/>
    </row>
    <row r="1098" spans="2:5" s="9" customFormat="1">
      <c r="B1098" s="15"/>
      <c r="C1098" s="61" t="s">
        <v>2828</v>
      </c>
      <c r="E1098" s="15"/>
    </row>
    <row r="1099" spans="2:5" s="9" customFormat="1">
      <c r="B1099" s="15"/>
      <c r="C1099" s="61" t="s">
        <v>2081</v>
      </c>
      <c r="E1099" s="15"/>
    </row>
    <row r="1100" spans="2:5" s="9" customFormat="1">
      <c r="B1100" s="15"/>
      <c r="C1100" s="61" t="s">
        <v>1334</v>
      </c>
      <c r="E1100" s="15"/>
    </row>
    <row r="1101" spans="2:5" s="9" customFormat="1">
      <c r="B1101" s="15"/>
      <c r="C1101" s="61" t="s">
        <v>2829</v>
      </c>
      <c r="E1101" s="15"/>
    </row>
    <row r="1102" spans="2:5" s="9" customFormat="1">
      <c r="B1102" s="15"/>
      <c r="C1102" s="61" t="s">
        <v>2830</v>
      </c>
      <c r="E1102" s="15"/>
    </row>
    <row r="1103" spans="2:5" s="9" customFormat="1">
      <c r="B1103" s="15"/>
      <c r="C1103" s="61" t="s">
        <v>1342</v>
      </c>
      <c r="E1103" s="15"/>
    </row>
    <row r="1104" spans="2:5" s="9" customFormat="1">
      <c r="B1104" s="15"/>
      <c r="C1104" s="61" t="s">
        <v>1565</v>
      </c>
      <c r="E1104" s="15"/>
    </row>
    <row r="1105" spans="2:5" s="9" customFormat="1">
      <c r="B1105" s="15"/>
      <c r="C1105" s="61" t="s">
        <v>498</v>
      </c>
      <c r="E1105" s="15"/>
    </row>
    <row r="1106" spans="2:5" s="9" customFormat="1">
      <c r="B1106" s="15"/>
      <c r="C1106" s="61"/>
      <c r="E1106" s="15"/>
    </row>
    <row r="1107" spans="2:5" s="9" customFormat="1">
      <c r="B1107" s="15"/>
      <c r="C1107" s="61"/>
      <c r="E1107" s="15"/>
    </row>
    <row r="1108" spans="2:5">
      <c r="C1108" s="61" t="s">
        <v>1359</v>
      </c>
    </row>
    <row r="1109" spans="2:5" s="9" customFormat="1">
      <c r="B1109" s="15"/>
      <c r="C1109" s="61" t="s">
        <v>1482</v>
      </c>
      <c r="E1109" s="15"/>
    </row>
    <row r="1110" spans="2:5" s="9" customFormat="1">
      <c r="B1110" s="15"/>
      <c r="C1110" s="61" t="s">
        <v>2938</v>
      </c>
      <c r="E1110" s="15"/>
    </row>
    <row r="1111" spans="2:5" s="9" customFormat="1">
      <c r="B1111" s="15"/>
      <c r="C1111" s="61" t="s">
        <v>498</v>
      </c>
      <c r="E1111" s="15"/>
    </row>
    <row r="1112" spans="2:5" s="9" customFormat="1">
      <c r="B1112" s="15"/>
      <c r="C1112" s="61"/>
      <c r="E1112" s="15"/>
    </row>
    <row r="1113" spans="2:5" s="9" customFormat="1">
      <c r="B1113" s="15"/>
      <c r="C1113" s="61" t="s">
        <v>137</v>
      </c>
      <c r="E1113" s="15"/>
    </row>
    <row r="1114" spans="2:5" s="9" customFormat="1">
      <c r="B1114" s="15"/>
      <c r="C1114" s="61" t="s">
        <v>2493</v>
      </c>
      <c r="E1114" s="15"/>
    </row>
    <row r="1115" spans="2:5" s="9" customFormat="1">
      <c r="B1115" s="15"/>
      <c r="C1115" s="61" t="s">
        <v>33</v>
      </c>
      <c r="E1115" s="15"/>
    </row>
    <row r="1116" spans="2:5" s="9" customFormat="1">
      <c r="B1116" s="15"/>
      <c r="C1116" s="61" t="s">
        <v>498</v>
      </c>
      <c r="E1116" s="15"/>
    </row>
    <row r="1117" spans="2:5" s="9" customFormat="1">
      <c r="B1117" s="15"/>
      <c r="C1117" s="61"/>
      <c r="E1117" s="15"/>
    </row>
    <row r="1118" spans="2:5" s="9" customFormat="1">
      <c r="B1118" s="15"/>
      <c r="C1118" s="61" t="s">
        <v>139</v>
      </c>
      <c r="E1118" s="15"/>
    </row>
    <row r="1119" spans="2:5" s="9" customFormat="1">
      <c r="B1119" s="15"/>
      <c r="C1119" s="61" t="s">
        <v>3119</v>
      </c>
      <c r="E1119" s="15"/>
    </row>
    <row r="1120" spans="2:5" s="9" customFormat="1">
      <c r="B1120" s="15"/>
      <c r="C1120" s="61"/>
      <c r="E1120" s="15"/>
    </row>
    <row r="1121" spans="2:5">
      <c r="C1121" s="61" t="s">
        <v>139</v>
      </c>
    </row>
    <row r="1122" spans="2:5" s="9" customFormat="1">
      <c r="B1122" s="15"/>
      <c r="C1122" s="61" t="s">
        <v>1050</v>
      </c>
      <c r="E1122" s="15"/>
    </row>
    <row r="1123" spans="2:5" s="9" customFormat="1">
      <c r="B1123" s="15"/>
      <c r="C1123" s="61" t="s">
        <v>2497</v>
      </c>
      <c r="E1123" s="15"/>
    </row>
    <row r="1124" spans="2:5" s="9" customFormat="1">
      <c r="B1124" s="15"/>
      <c r="C1124" s="61" t="s">
        <v>2499</v>
      </c>
      <c r="E1124" s="15"/>
    </row>
    <row r="1125" spans="2:5">
      <c r="C1125" s="61" t="s">
        <v>2504</v>
      </c>
    </row>
    <row r="1126" spans="2:5">
      <c r="C1126" s="61" t="s">
        <v>498</v>
      </c>
    </row>
    <row r="1129" spans="2:5">
      <c r="C1129" s="61" t="s">
        <v>1450</v>
      </c>
    </row>
    <row r="1130" spans="2:5">
      <c r="C1130" s="61" t="s">
        <v>780</v>
      </c>
    </row>
    <row r="1131" spans="2:5">
      <c r="C1131" s="61" t="s">
        <v>2586</v>
      </c>
    </row>
    <row r="1132" spans="2:5">
      <c r="C1132" s="61" t="s">
        <v>151</v>
      </c>
    </row>
    <row r="1133" spans="2:5">
      <c r="C1133" s="61" t="s">
        <v>220</v>
      </c>
    </row>
    <row r="1134" spans="2:5">
      <c r="C1134" s="61" t="s">
        <v>447</v>
      </c>
    </row>
    <row r="1135" spans="2:5">
      <c r="C1135" s="61" t="s">
        <v>1051</v>
      </c>
    </row>
    <row r="1136" spans="2:5">
      <c r="C1136" s="61" t="s">
        <v>170</v>
      </c>
    </row>
    <row r="1137" spans="3:3">
      <c r="C1137" s="61" t="s">
        <v>727</v>
      </c>
    </row>
    <row r="1138" spans="3:3">
      <c r="C1138" s="61" t="s">
        <v>162</v>
      </c>
    </row>
    <row r="1139" spans="3:3">
      <c r="C1139" s="61" t="s">
        <v>285</v>
      </c>
    </row>
    <row r="1140" spans="3:3">
      <c r="C1140" s="61" t="s">
        <v>1514</v>
      </c>
    </row>
    <row r="1141" spans="3:3">
      <c r="C1141" s="61" t="s">
        <v>2588</v>
      </c>
    </row>
    <row r="1142" spans="3:3">
      <c r="C1142" s="61" t="s">
        <v>199</v>
      </c>
    </row>
    <row r="1143" spans="3:3">
      <c r="C1143" s="61" t="s">
        <v>2589</v>
      </c>
    </row>
    <row r="1144" spans="3:3">
      <c r="C1144" s="61" t="s">
        <v>369</v>
      </c>
    </row>
    <row r="1145" spans="3:3">
      <c r="C1145" s="61" t="s">
        <v>887</v>
      </c>
    </row>
    <row r="1146" spans="3:3">
      <c r="C1146" s="61" t="s">
        <v>140</v>
      </c>
    </row>
    <row r="1147" spans="3:3">
      <c r="C1147" s="61" t="s">
        <v>798</v>
      </c>
    </row>
    <row r="1148" spans="3:3">
      <c r="C1148" s="61" t="s">
        <v>878</v>
      </c>
    </row>
    <row r="1149" spans="3:3">
      <c r="C1149" s="61" t="s">
        <v>2592</v>
      </c>
    </row>
    <row r="1150" spans="3:3">
      <c r="C1150" s="61" t="s">
        <v>544</v>
      </c>
    </row>
    <row r="1151" spans="3:3">
      <c r="C1151" s="61" t="s">
        <v>555</v>
      </c>
    </row>
    <row r="1152" spans="3:3">
      <c r="C1152" s="61" t="s">
        <v>718</v>
      </c>
    </row>
    <row r="1153" spans="3:3">
      <c r="C1153" s="61" t="s">
        <v>186</v>
      </c>
    </row>
    <row r="1154" spans="3:3">
      <c r="C1154" s="61" t="s">
        <v>208</v>
      </c>
    </row>
    <row r="1155" spans="3:3">
      <c r="C1155" s="61" t="s">
        <v>2593</v>
      </c>
    </row>
    <row r="1156" spans="3:3">
      <c r="C1156" s="61" t="s">
        <v>573</v>
      </c>
    </row>
    <row r="1157" spans="3:3">
      <c r="C1157" s="61" t="s">
        <v>2594</v>
      </c>
    </row>
    <row r="1158" spans="3:3">
      <c r="C1158" s="61" t="s">
        <v>2595</v>
      </c>
    </row>
    <row r="1159" spans="3:3">
      <c r="C1159" s="61" t="s">
        <v>2596</v>
      </c>
    </row>
    <row r="1160" spans="3:3">
      <c r="C1160" s="61" t="s">
        <v>2597</v>
      </c>
    </row>
    <row r="1161" spans="3:3">
      <c r="C1161" s="61" t="s">
        <v>2598</v>
      </c>
    </row>
    <row r="1162" spans="3:3">
      <c r="C1162" s="61" t="s">
        <v>1571</v>
      </c>
    </row>
    <row r="1163" spans="3:3" ht="14.45" customHeight="1">
      <c r="C1163" s="61" t="s">
        <v>2599</v>
      </c>
    </row>
    <row r="1164" spans="3:3">
      <c r="C1164" s="61" t="s">
        <v>734</v>
      </c>
    </row>
    <row r="1165" spans="3:3">
      <c r="C1165" s="61" t="s">
        <v>829</v>
      </c>
    </row>
    <row r="1166" spans="3:3">
      <c r="C1166" s="61" t="s">
        <v>465</v>
      </c>
    </row>
    <row r="1167" spans="3:3">
      <c r="C1167" s="61" t="s">
        <v>378</v>
      </c>
    </row>
    <row r="1168" spans="3:3">
      <c r="C1168" s="61" t="s">
        <v>480</v>
      </c>
    </row>
    <row r="1169" spans="3:3">
      <c r="C1169" s="61" t="s">
        <v>612</v>
      </c>
    </row>
    <row r="1170" spans="3:3">
      <c r="C1170" s="61" t="s">
        <v>498</v>
      </c>
    </row>
    <row r="1171" spans="3:3">
      <c r="C1171" s="61" t="s">
        <v>2605</v>
      </c>
    </row>
    <row r="1172" spans="3:3">
      <c r="C1172" s="61" t="s">
        <v>2606</v>
      </c>
    </row>
    <row r="1173" spans="3:3">
      <c r="C1173" s="61" t="s">
        <v>2607</v>
      </c>
    </row>
    <row r="1174" spans="3:3">
      <c r="C1174" s="61" t="s">
        <v>2608</v>
      </c>
    </row>
    <row r="1175" spans="3:3">
      <c r="C1175" s="61" t="s">
        <v>2609</v>
      </c>
    </row>
    <row r="1176" spans="3:3">
      <c r="C1176" s="61" t="s">
        <v>2610</v>
      </c>
    </row>
    <row r="1177" spans="3:3">
      <c r="C1177" s="61" t="s">
        <v>2611</v>
      </c>
    </row>
    <row r="1178" spans="3:3">
      <c r="C1178" s="61" t="s">
        <v>2612</v>
      </c>
    </row>
    <row r="1179" spans="3:3">
      <c r="C1179" s="61" t="s">
        <v>2613</v>
      </c>
    </row>
    <row r="1180" spans="3:3">
      <c r="C1180" s="61" t="s">
        <v>2614</v>
      </c>
    </row>
    <row r="1181" spans="3:3">
      <c r="C1181" s="61" t="s">
        <v>2615</v>
      </c>
    </row>
    <row r="1182" spans="3:3">
      <c r="C1182" s="61" t="s">
        <v>2616</v>
      </c>
    </row>
    <row r="1183" spans="3:3">
      <c r="C1183" s="61" t="s">
        <v>2617</v>
      </c>
    </row>
    <row r="1184" spans="3:3">
      <c r="C1184" s="61" t="s">
        <v>2618</v>
      </c>
    </row>
    <row r="1185" spans="3:3">
      <c r="C1185" s="61" t="s">
        <v>2619</v>
      </c>
    </row>
    <row r="1186" spans="3:3">
      <c r="C1186" s="61" t="s">
        <v>2620</v>
      </c>
    </row>
    <row r="1187" spans="3:3">
      <c r="C1187" s="61" t="s">
        <v>2621</v>
      </c>
    </row>
    <row r="1188" spans="3:3">
      <c r="C1188" s="61" t="s">
        <v>2622</v>
      </c>
    </row>
    <row r="1189" spans="3:3">
      <c r="C1189" s="61" t="s">
        <v>2624</v>
      </c>
    </row>
    <row r="1190" spans="3:3">
      <c r="C1190" s="61" t="s">
        <v>2626</v>
      </c>
    </row>
    <row r="1191" spans="3:3">
      <c r="C1191" s="61" t="s">
        <v>663</v>
      </c>
    </row>
    <row r="1192" spans="3:3">
      <c r="C1192" s="141" t="s">
        <v>2628</v>
      </c>
    </row>
    <row r="1193" spans="3:3">
      <c r="C1193" s="61" t="s">
        <v>2630</v>
      </c>
    </row>
    <row r="1194" spans="3:3">
      <c r="C1194" s="61" t="s">
        <v>2631</v>
      </c>
    </row>
    <row r="1195" spans="3:3">
      <c r="C1195" s="61" t="s">
        <v>2632</v>
      </c>
    </row>
    <row r="1196" spans="3:3">
      <c r="C1196" s="61" t="s">
        <v>900</v>
      </c>
    </row>
    <row r="1197" spans="3:3">
      <c r="C1197" s="61" t="s">
        <v>2633</v>
      </c>
    </row>
    <row r="1198" spans="3:3">
      <c r="C1198" s="61" t="s">
        <v>895</v>
      </c>
    </row>
    <row r="1199" spans="3:3">
      <c r="C1199" s="61" t="s">
        <v>2634</v>
      </c>
    </row>
    <row r="1200" spans="3:3">
      <c r="C1200" s="61" t="s">
        <v>2635</v>
      </c>
    </row>
    <row r="1201" spans="3:3">
      <c r="C1201" s="61" t="s">
        <v>2637</v>
      </c>
    </row>
    <row r="1202" spans="3:3">
      <c r="C1202" s="61" t="s">
        <v>918</v>
      </c>
    </row>
    <row r="1203" spans="3:3">
      <c r="C1203" s="61" t="s">
        <v>2639</v>
      </c>
    </row>
    <row r="1204" spans="3:3">
      <c r="C1204" s="61" t="s">
        <v>2640</v>
      </c>
    </row>
    <row r="1205" spans="3:3">
      <c r="C1205" s="61" t="s">
        <v>2641</v>
      </c>
    </row>
    <row r="1206" spans="3:3">
      <c r="C1206" s="61" t="s">
        <v>2642</v>
      </c>
    </row>
    <row r="1207" spans="3:3">
      <c r="C1207" s="61" t="s">
        <v>2643</v>
      </c>
    </row>
    <row r="1208" spans="3:3">
      <c r="C1208" s="61" t="s">
        <v>1059</v>
      </c>
    </row>
    <row r="1209" spans="3:3">
      <c r="C1209" s="61" t="s">
        <v>2645</v>
      </c>
    </row>
    <row r="1210" spans="3:3">
      <c r="C1210" s="61" t="s">
        <v>2646</v>
      </c>
    </row>
    <row r="1211" spans="3:3">
      <c r="C1211" s="61" t="s">
        <v>2647</v>
      </c>
    </row>
    <row r="1212" spans="3:3">
      <c r="C1212" s="61" t="s">
        <v>655</v>
      </c>
    </row>
    <row r="1213" spans="3:3">
      <c r="C1213" s="61" t="s">
        <v>2648</v>
      </c>
    </row>
    <row r="1214" spans="3:3">
      <c r="C1214" s="61" t="s">
        <v>2649</v>
      </c>
    </row>
    <row r="1215" spans="3:3">
      <c r="C1215" s="61" t="s">
        <v>2650</v>
      </c>
    </row>
    <row r="1216" spans="3:3">
      <c r="C1216" s="61" t="s">
        <v>952</v>
      </c>
    </row>
    <row r="1217" spans="3:3">
      <c r="C1217" s="61" t="s">
        <v>2652</v>
      </c>
    </row>
    <row r="1218" spans="3:3">
      <c r="C1218" s="61" t="s">
        <v>2653</v>
      </c>
    </row>
    <row r="1219" spans="3:3">
      <c r="C1219" s="61" t="s">
        <v>2654</v>
      </c>
    </row>
    <row r="1220" spans="3:3">
      <c r="C1220" s="61" t="s">
        <v>2655</v>
      </c>
    </row>
    <row r="1221" spans="3:3">
      <c r="C1221" s="61" t="s">
        <v>963</v>
      </c>
    </row>
    <row r="1222" spans="3:3">
      <c r="C1222" s="61" t="s">
        <v>2656</v>
      </c>
    </row>
    <row r="1223" spans="3:3">
      <c r="C1223" s="61" t="s">
        <v>927</v>
      </c>
    </row>
    <row r="1224" spans="3:3">
      <c r="C1224" s="61" t="s">
        <v>2657</v>
      </c>
    </row>
    <row r="1225" spans="3:3">
      <c r="C1225" s="61" t="s">
        <v>937</v>
      </c>
    </row>
    <row r="1226" spans="3:3">
      <c r="C1226" s="61" t="s">
        <v>932</v>
      </c>
    </row>
    <row r="1227" spans="3:3">
      <c r="C1227" s="61" t="s">
        <v>2658</v>
      </c>
    </row>
    <row r="1228" spans="3:3">
      <c r="C1228" s="61" t="s">
        <v>2659</v>
      </c>
    </row>
    <row r="1229" spans="3:3">
      <c r="C1229" s="61" t="s">
        <v>2660</v>
      </c>
    </row>
    <row r="1230" spans="3:3">
      <c r="C1230" s="61" t="s">
        <v>2661</v>
      </c>
    </row>
    <row r="1231" spans="3:3">
      <c r="C1231" s="61" t="s">
        <v>2662</v>
      </c>
    </row>
    <row r="1232" spans="3:3">
      <c r="C1232" s="61" t="s">
        <v>2663</v>
      </c>
    </row>
    <row r="1233" spans="3:3">
      <c r="C1233" s="61" t="s">
        <v>2664</v>
      </c>
    </row>
    <row r="1234" spans="3:3">
      <c r="C1234" s="61" t="s">
        <v>1043</v>
      </c>
    </row>
    <row r="1235" spans="3:3">
      <c r="C1235" s="61" t="s">
        <v>2665</v>
      </c>
    </row>
    <row r="1236" spans="3:3">
      <c r="C1236" s="61" t="s">
        <v>2666</v>
      </c>
    </row>
    <row r="1237" spans="3:3">
      <c r="C1237" s="61" t="s">
        <v>2668</v>
      </c>
    </row>
    <row r="1238" spans="3:3">
      <c r="C1238" s="61" t="s">
        <v>2669</v>
      </c>
    </row>
    <row r="1239" spans="3:3">
      <c r="C1239" s="61" t="s">
        <v>2670</v>
      </c>
    </row>
    <row r="1240" spans="3:3">
      <c r="C1240" s="61" t="s">
        <v>2671</v>
      </c>
    </row>
    <row r="1241" spans="3:3">
      <c r="C1241" s="61" t="s">
        <v>2672</v>
      </c>
    </row>
    <row r="1242" spans="3:3">
      <c r="C1242" s="61" t="s">
        <v>2673</v>
      </c>
    </row>
    <row r="1243" spans="3:3">
      <c r="C1243" s="61" t="s">
        <v>2674</v>
      </c>
    </row>
    <row r="1244" spans="3:3">
      <c r="C1244" s="61" t="s">
        <v>995</v>
      </c>
    </row>
    <row r="1245" spans="3:3">
      <c r="C1245" s="61" t="s">
        <v>1613</v>
      </c>
    </row>
    <row r="1248" spans="3:3">
      <c r="C1248" s="61" t="s">
        <v>1449</v>
      </c>
    </row>
    <row r="1249" spans="3:3">
      <c r="C1249" s="61" t="s">
        <v>1050</v>
      </c>
    </row>
    <row r="1250" spans="3:3">
      <c r="C1250" s="61" t="s">
        <v>2497</v>
      </c>
    </row>
    <row r="1251" spans="3:3">
      <c r="C1251" s="61" t="s">
        <v>2500</v>
      </c>
    </row>
    <row r="1252" spans="3:3">
      <c r="C1252" s="61" t="s">
        <v>2502</v>
      </c>
    </row>
    <row r="1253" spans="3:3">
      <c r="C1253" s="61" t="s">
        <v>498</v>
      </c>
    </row>
    <row r="1255" spans="3:3">
      <c r="C1255" s="61" t="s">
        <v>1449</v>
      </c>
    </row>
    <row r="1256" spans="3:3">
      <c r="C1256" s="61" t="s">
        <v>2499</v>
      </c>
    </row>
    <row r="1257" spans="3:3">
      <c r="C1257" s="61" t="s">
        <v>2504</v>
      </c>
    </row>
    <row r="1258" spans="3:3">
      <c r="C1258" s="61" t="s">
        <v>1050</v>
      </c>
    </row>
    <row r="1259" spans="3:3">
      <c r="C1259" s="61" t="s">
        <v>498</v>
      </c>
    </row>
    <row r="1261" spans="3:3">
      <c r="C1261" s="61" t="s">
        <v>139</v>
      </c>
    </row>
    <row r="1262" spans="3:3">
      <c r="C1262" s="61" t="s">
        <v>1050</v>
      </c>
    </row>
    <row r="1263" spans="3:3">
      <c r="C1263" s="61" t="s">
        <v>2502</v>
      </c>
    </row>
    <row r="1264" spans="3:3">
      <c r="C1264" s="61" t="s">
        <v>2500</v>
      </c>
    </row>
    <row r="1265" spans="3:3">
      <c r="C1265" s="61" t="s">
        <v>498</v>
      </c>
    </row>
    <row r="1267" spans="3:3">
      <c r="C1267" s="61" t="s">
        <v>1449</v>
      </c>
    </row>
    <row r="1268" spans="3:3">
      <c r="C1268" s="61" t="s">
        <v>1050</v>
      </c>
    </row>
    <row r="1269" spans="3:3">
      <c r="C1269" s="61" t="s">
        <v>498</v>
      </c>
    </row>
    <row r="1272" spans="3:3">
      <c r="C1272" s="61" t="s">
        <v>139</v>
      </c>
    </row>
    <row r="1273" spans="3:3">
      <c r="C1273" s="61" t="s">
        <v>1050</v>
      </c>
    </row>
    <row r="1274" spans="3:3">
      <c r="C1274" s="61" t="s">
        <v>2497</v>
      </c>
    </row>
    <row r="1275" spans="3:3">
      <c r="C1275" s="61" t="s">
        <v>2499</v>
      </c>
    </row>
    <row r="1276" spans="3:3">
      <c r="C1276" s="61" t="s">
        <v>2500</v>
      </c>
    </row>
    <row r="1277" spans="3:3">
      <c r="C1277" s="61" t="s">
        <v>2501</v>
      </c>
    </row>
    <row r="1278" spans="3:3">
      <c r="C1278" s="61" t="s">
        <v>2502</v>
      </c>
    </row>
    <row r="1279" spans="3:3">
      <c r="C1279" s="61" t="s">
        <v>2503</v>
      </c>
    </row>
    <row r="1280" spans="3:3">
      <c r="C1280" s="61" t="s">
        <v>2504</v>
      </c>
    </row>
    <row r="1281" spans="3:3">
      <c r="C1281" s="61" t="s">
        <v>498</v>
      </c>
    </row>
    <row r="1283" spans="3:3">
      <c r="C1283" s="61" t="s">
        <v>31</v>
      </c>
    </row>
    <row r="1284" spans="3:3">
      <c r="C1284" s="61" t="s">
        <v>2507</v>
      </c>
    </row>
    <row r="1285" spans="3:3">
      <c r="C1285" s="61" t="s">
        <v>914</v>
      </c>
    </row>
    <row r="1286" spans="3:3">
      <c r="C1286" s="61" t="s">
        <v>894</v>
      </c>
    </row>
    <row r="1287" spans="3:3">
      <c r="C1287" s="61" t="s">
        <v>2511</v>
      </c>
    </row>
    <row r="1288" spans="3:3">
      <c r="C1288" s="61" t="s">
        <v>2513</v>
      </c>
    </row>
    <row r="1289" spans="3:3">
      <c r="C1289" s="61" t="s">
        <v>2515</v>
      </c>
    </row>
    <row r="1290" spans="3:3">
      <c r="C1290" s="61" t="s">
        <v>2517</v>
      </c>
    </row>
    <row r="1291" spans="3:3">
      <c r="C1291" s="61" t="s">
        <v>2519</v>
      </c>
    </row>
    <row r="1292" spans="3:3">
      <c r="C1292" s="61" t="s">
        <v>2521</v>
      </c>
    </row>
    <row r="1293" spans="3:3">
      <c r="C1293" s="61" t="s">
        <v>2523</v>
      </c>
    </row>
    <row r="1294" spans="3:3">
      <c r="C1294" s="61" t="s">
        <v>1333</v>
      </c>
    </row>
    <row r="1295" spans="3:3">
      <c r="C1295" s="61" t="s">
        <v>1157</v>
      </c>
    </row>
    <row r="1296" spans="3:3">
      <c r="C1296" s="61" t="s">
        <v>1064</v>
      </c>
    </row>
    <row r="1297" spans="3:3">
      <c r="C1297" s="61" t="s">
        <v>1153</v>
      </c>
    </row>
    <row r="1298" spans="3:3">
      <c r="C1298" s="61" t="s">
        <v>2529</v>
      </c>
    </row>
    <row r="1299" spans="3:3">
      <c r="C1299" s="61" t="s">
        <v>2531</v>
      </c>
    </row>
    <row r="1300" spans="3:3">
      <c r="C1300" s="61" t="s">
        <v>1310</v>
      </c>
    </row>
    <row r="1301" spans="3:3">
      <c r="C1301" s="61" t="s">
        <v>2534</v>
      </c>
    </row>
    <row r="1302" spans="3:3">
      <c r="C1302" s="61" t="s">
        <v>2536</v>
      </c>
    </row>
    <row r="1303" spans="3:3">
      <c r="C1303" s="61" t="s">
        <v>1139</v>
      </c>
    </row>
    <row r="1304" spans="3:3">
      <c r="C1304" s="61" t="s">
        <v>2539</v>
      </c>
    </row>
    <row r="1305" spans="3:3">
      <c r="C1305" s="61" t="s">
        <v>2541</v>
      </c>
    </row>
    <row r="1306" spans="3:3">
      <c r="C1306" s="61" t="s">
        <v>2543</v>
      </c>
    </row>
    <row r="1307" spans="3:3">
      <c r="C1307" s="61" t="s">
        <v>2545</v>
      </c>
    </row>
    <row r="1308" spans="3:3">
      <c r="C1308" s="61" t="s">
        <v>2547</v>
      </c>
    </row>
    <row r="1309" spans="3:3">
      <c r="C1309" s="61" t="s">
        <v>2549</v>
      </c>
    </row>
    <row r="1310" spans="3:3">
      <c r="C1310" s="61" t="s">
        <v>2551</v>
      </c>
    </row>
    <row r="1311" spans="3:3">
      <c r="C1311" s="61" t="s">
        <v>2553</v>
      </c>
    </row>
    <row r="1312" spans="3:3">
      <c r="C1312" s="61" t="s">
        <v>2555</v>
      </c>
    </row>
    <row r="1313" spans="3:3">
      <c r="C1313" s="61" t="s">
        <v>2557</v>
      </c>
    </row>
    <row r="1314" spans="3:3">
      <c r="C1314" s="61" t="s">
        <v>2559</v>
      </c>
    </row>
    <row r="1315" spans="3:3">
      <c r="C1315" s="61" t="s">
        <v>498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6" customWidth="1"/>
    <col min="2" max="2" width="48.75" style="66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8" t="s">
        <v>3254</v>
      </c>
      <c r="B1" s="119" t="s">
        <v>3255</v>
      </c>
      <c r="C1" s="119" t="s">
        <v>3256</v>
      </c>
      <c r="D1" s="120" t="s">
        <v>3257</v>
      </c>
    </row>
    <row r="2" spans="1:4" ht="15.75" hidden="1" outlineLevel="1">
      <c r="A2" s="43" t="s">
        <v>2977</v>
      </c>
      <c r="B2" s="44" t="s">
        <v>0</v>
      </c>
      <c r="C2" s="43">
        <v>5.0999999999999996</v>
      </c>
      <c r="D2" s="122"/>
    </row>
    <row r="3" spans="1:4" ht="15.75" hidden="1" outlineLevel="1">
      <c r="A3" s="43" t="s">
        <v>2977</v>
      </c>
      <c r="B3" s="44" t="s">
        <v>1</v>
      </c>
      <c r="C3" s="43">
        <v>5.2</v>
      </c>
      <c r="D3" s="122"/>
    </row>
    <row r="4" spans="1:4" ht="15.75" hidden="1" outlineLevel="1">
      <c r="A4" s="43" t="s">
        <v>2977</v>
      </c>
      <c r="B4" s="44" t="s">
        <v>2349</v>
      </c>
      <c r="C4" s="43">
        <v>5.4</v>
      </c>
      <c r="D4" s="122"/>
    </row>
    <row r="5" spans="1:4" ht="15.75" hidden="1" outlineLevel="1">
      <c r="A5" s="43" t="s">
        <v>2977</v>
      </c>
      <c r="B5" s="44" t="s">
        <v>2350</v>
      </c>
      <c r="C5" s="43">
        <v>5.7</v>
      </c>
      <c r="D5" s="122"/>
    </row>
    <row r="6" spans="1:4" ht="15.75" hidden="1" outlineLevel="1">
      <c r="A6" s="43" t="s">
        <v>2977</v>
      </c>
      <c r="B6" s="44" t="s">
        <v>2351</v>
      </c>
      <c r="C6" s="43">
        <v>5.1100000000000003</v>
      </c>
      <c r="D6" s="122"/>
    </row>
    <row r="7" spans="1:4" ht="15.75" hidden="1" outlineLevel="1">
      <c r="A7" s="43" t="s">
        <v>2977</v>
      </c>
      <c r="B7" s="44" t="s">
        <v>5</v>
      </c>
      <c r="C7" s="43">
        <v>5.26</v>
      </c>
      <c r="D7" s="122"/>
    </row>
    <row r="8" spans="1:4" ht="15.75" hidden="1" outlineLevel="1">
      <c r="A8" s="43" t="s">
        <v>2977</v>
      </c>
      <c r="B8" s="44" t="s">
        <v>6</v>
      </c>
      <c r="C8" s="43">
        <v>5.27</v>
      </c>
      <c r="D8" s="122"/>
    </row>
    <row r="9" spans="1:4" ht="15.75" hidden="1" outlineLevel="1">
      <c r="A9" s="43" t="s">
        <v>2977</v>
      </c>
      <c r="B9" s="44" t="s">
        <v>125</v>
      </c>
      <c r="C9" s="43">
        <v>5.36</v>
      </c>
      <c r="D9" s="122"/>
    </row>
    <row r="10" spans="1:4" ht="15.75" hidden="1" outlineLevel="1">
      <c r="A10" s="43" t="s">
        <v>2977</v>
      </c>
      <c r="B10" s="44" t="s">
        <v>2353</v>
      </c>
      <c r="C10" s="45">
        <v>5.5</v>
      </c>
      <c r="D10" s="122"/>
    </row>
    <row r="11" spans="1:4" ht="15.75" hidden="1" outlineLevel="1">
      <c r="A11" s="43" t="s">
        <v>2977</v>
      </c>
      <c r="B11" s="44" t="s">
        <v>10</v>
      </c>
      <c r="C11" s="43">
        <v>5.51</v>
      </c>
      <c r="D11" s="122"/>
    </row>
    <row r="12" spans="1:4" ht="15.75" hidden="1" outlineLevel="1">
      <c r="A12" s="43" t="s">
        <v>2977</v>
      </c>
      <c r="B12" s="44" t="s">
        <v>11</v>
      </c>
      <c r="C12" s="43">
        <v>5.53</v>
      </c>
      <c r="D12" s="122"/>
    </row>
    <row r="13" spans="1:4" ht="15.75" hidden="1" outlineLevel="1">
      <c r="A13" s="43" t="s">
        <v>2977</v>
      </c>
      <c r="B13" s="44" t="s">
        <v>2354</v>
      </c>
      <c r="C13" s="43">
        <v>5.59</v>
      </c>
      <c r="D13" s="122"/>
    </row>
    <row r="14" spans="1:4" ht="15.75" hidden="1" outlineLevel="1">
      <c r="A14" s="43" t="s">
        <v>2977</v>
      </c>
      <c r="B14" s="44" t="s">
        <v>18</v>
      </c>
      <c r="C14" s="43">
        <v>5.54</v>
      </c>
      <c r="D14" s="122"/>
    </row>
    <row r="15" spans="1:4" ht="15.75" hidden="1" outlineLevel="1">
      <c r="A15" s="43" t="s">
        <v>2977</v>
      </c>
      <c r="B15" s="44" t="s">
        <v>14</v>
      </c>
      <c r="C15" s="45">
        <v>5.7</v>
      </c>
      <c r="D15" s="121" t="s">
        <v>3258</v>
      </c>
    </row>
    <row r="16" spans="1:4" ht="15.75" hidden="1" outlineLevel="1">
      <c r="A16" s="43" t="s">
        <v>2977</v>
      </c>
      <c r="B16" s="44" t="s">
        <v>20</v>
      </c>
      <c r="C16" s="43">
        <v>5.63</v>
      </c>
      <c r="D16" s="122"/>
    </row>
    <row r="17" spans="1:4" ht="15.75" hidden="1" outlineLevel="1">
      <c r="A17" s="43" t="s">
        <v>2977</v>
      </c>
      <c r="B17" s="44" t="s">
        <v>24</v>
      </c>
      <c r="C17" s="43">
        <v>5.47</v>
      </c>
      <c r="D17" s="122"/>
    </row>
    <row r="18" spans="1:4" ht="15.75" hidden="1" outlineLevel="1">
      <c r="A18" s="43" t="s">
        <v>2977</v>
      </c>
      <c r="B18" s="44" t="s">
        <v>25</v>
      </c>
      <c r="C18" s="43">
        <v>5.48</v>
      </c>
      <c r="D18" s="122"/>
    </row>
    <row r="19" spans="1:4" ht="15.75">
      <c r="A19" s="49" t="s">
        <v>2977</v>
      </c>
      <c r="B19" s="44"/>
      <c r="C19" s="43"/>
      <c r="D19" s="122"/>
    </row>
    <row r="20" spans="1:4" ht="15.75" hidden="1" outlineLevel="1">
      <c r="A20" s="43" t="s">
        <v>2987</v>
      </c>
      <c r="B20" s="44" t="s">
        <v>0</v>
      </c>
      <c r="C20" s="43">
        <v>5.0999999999999996</v>
      </c>
      <c r="D20" s="122"/>
    </row>
    <row r="21" spans="1:4" ht="15.75" hidden="1" outlineLevel="1">
      <c r="A21" s="43" t="s">
        <v>2987</v>
      </c>
      <c r="B21" s="44" t="s">
        <v>1</v>
      </c>
      <c r="C21" s="43">
        <v>5.2</v>
      </c>
      <c r="D21" s="122"/>
    </row>
    <row r="22" spans="1:4" ht="15.75" hidden="1" outlineLevel="1">
      <c r="A22" s="43" t="s">
        <v>2987</v>
      </c>
      <c r="B22" s="44" t="s">
        <v>2</v>
      </c>
      <c r="C22" s="43">
        <v>5.3</v>
      </c>
      <c r="D22" s="122"/>
    </row>
    <row r="23" spans="1:4" ht="15.75" hidden="1" outlineLevel="1">
      <c r="A23" s="43" t="s">
        <v>2987</v>
      </c>
      <c r="B23" s="44" t="s">
        <v>1283</v>
      </c>
      <c r="C23" s="43">
        <v>5.14</v>
      </c>
      <c r="D23" s="122"/>
    </row>
    <row r="24" spans="1:4" ht="15.75" hidden="1" outlineLevel="1">
      <c r="A24" s="43" t="s">
        <v>2987</v>
      </c>
      <c r="B24" s="44" t="s">
        <v>4</v>
      </c>
      <c r="C24" s="43">
        <v>5.19</v>
      </c>
      <c r="D24" s="122"/>
    </row>
    <row r="25" spans="1:4" ht="15.75" hidden="1" outlineLevel="1">
      <c r="A25" s="43" t="s">
        <v>2987</v>
      </c>
      <c r="B25" s="44" t="s">
        <v>5</v>
      </c>
      <c r="C25" s="43">
        <v>5.26</v>
      </c>
      <c r="D25" s="122"/>
    </row>
    <row r="26" spans="1:4" ht="15.75" hidden="1" outlineLevel="1">
      <c r="A26" s="43" t="s">
        <v>2987</v>
      </c>
      <c r="B26" s="44" t="s">
        <v>6</v>
      </c>
      <c r="C26" s="43">
        <v>5.27</v>
      </c>
      <c r="D26" s="122"/>
    </row>
    <row r="27" spans="1:4" ht="15.75" hidden="1" outlineLevel="1">
      <c r="A27" s="43" t="s">
        <v>2987</v>
      </c>
      <c r="B27" s="44" t="s">
        <v>7</v>
      </c>
      <c r="C27" s="43">
        <v>5.28</v>
      </c>
      <c r="D27" s="122"/>
    </row>
    <row r="28" spans="1:4" ht="15.75" hidden="1" outlineLevel="1">
      <c r="A28" s="43" t="s">
        <v>2987</v>
      </c>
      <c r="B28" s="44" t="s">
        <v>8</v>
      </c>
      <c r="C28" s="45">
        <v>5.3</v>
      </c>
      <c r="D28" s="122"/>
    </row>
    <row r="29" spans="1:4" ht="15.75" hidden="1" outlineLevel="1">
      <c r="A29" s="43" t="s">
        <v>2987</v>
      </c>
      <c r="B29" s="44" t="s">
        <v>9</v>
      </c>
      <c r="C29" s="43">
        <v>5.49</v>
      </c>
      <c r="D29" s="122"/>
    </row>
    <row r="30" spans="1:4" ht="15.75" hidden="1" outlineLevel="1">
      <c r="A30" s="43" t="s">
        <v>2987</v>
      </c>
      <c r="B30" s="44" t="s">
        <v>10</v>
      </c>
      <c r="C30" s="43">
        <v>5.51</v>
      </c>
      <c r="D30" s="122"/>
    </row>
    <row r="31" spans="1:4" ht="15.75" hidden="1" outlineLevel="1">
      <c r="A31" s="43" t="s">
        <v>2987</v>
      </c>
      <c r="B31" s="44" t="s">
        <v>11</v>
      </c>
      <c r="C31" s="43">
        <v>5.53</v>
      </c>
      <c r="D31" s="122"/>
    </row>
    <row r="32" spans="1:4" ht="15.75" hidden="1" outlineLevel="1">
      <c r="A32" s="43" t="s">
        <v>2987</v>
      </c>
      <c r="B32" s="44" t="s">
        <v>12</v>
      </c>
      <c r="C32" s="43">
        <v>5.69</v>
      </c>
      <c r="D32" s="122"/>
    </row>
    <row r="33" spans="1:4" ht="15.75" hidden="1" outlineLevel="1">
      <c r="A33" s="43" t="s">
        <v>2987</v>
      </c>
      <c r="B33" s="44" t="s">
        <v>13</v>
      </c>
      <c r="C33" s="43">
        <v>5.75</v>
      </c>
      <c r="D33" s="122"/>
    </row>
    <row r="34" spans="1:4" ht="15.75" hidden="1" outlineLevel="1">
      <c r="A34" s="43" t="s">
        <v>2987</v>
      </c>
      <c r="B34" s="44" t="s">
        <v>14</v>
      </c>
      <c r="C34" s="45">
        <v>5.7</v>
      </c>
      <c r="D34" s="122"/>
    </row>
    <row r="35" spans="1:4" ht="15.75" hidden="1" outlineLevel="1">
      <c r="A35" s="43" t="s">
        <v>2987</v>
      </c>
      <c r="B35" s="44" t="s">
        <v>15</v>
      </c>
      <c r="C35" s="43">
        <v>5.74</v>
      </c>
      <c r="D35" s="122"/>
    </row>
    <row r="36" spans="1:4" ht="15.75" hidden="1" outlineLevel="1">
      <c r="A36" s="43" t="s">
        <v>2987</v>
      </c>
      <c r="B36" s="44" t="s">
        <v>16</v>
      </c>
      <c r="C36" s="43">
        <v>5.62</v>
      </c>
      <c r="D36" s="122"/>
    </row>
    <row r="37" spans="1:4" ht="15.75" hidden="1" outlineLevel="1">
      <c r="A37" s="43" t="s">
        <v>2987</v>
      </c>
      <c r="B37" s="44" t="s">
        <v>17</v>
      </c>
      <c r="C37" s="43">
        <v>5.58</v>
      </c>
      <c r="D37" s="122"/>
    </row>
    <row r="38" spans="1:4" ht="15.75" hidden="1" outlineLevel="1">
      <c r="A38" s="43" t="s">
        <v>2987</v>
      </c>
      <c r="B38" s="44" t="s">
        <v>18</v>
      </c>
      <c r="C38" s="43">
        <v>5.54</v>
      </c>
      <c r="D38" s="122"/>
    </row>
    <row r="39" spans="1:4" ht="15.75" hidden="1" outlineLevel="1">
      <c r="A39" s="43" t="s">
        <v>2987</v>
      </c>
      <c r="B39" s="44" t="s">
        <v>19</v>
      </c>
      <c r="C39" s="43">
        <v>5.55</v>
      </c>
      <c r="D39" s="122"/>
    </row>
    <row r="40" spans="1:4" ht="15.75" hidden="1" outlineLevel="1">
      <c r="A40" s="43" t="s">
        <v>2987</v>
      </c>
      <c r="B40" s="44" t="s">
        <v>20</v>
      </c>
      <c r="C40" s="43">
        <v>5.63</v>
      </c>
      <c r="D40" s="122"/>
    </row>
    <row r="41" spans="1:4" ht="15.75" hidden="1" outlineLevel="1">
      <c r="A41" s="43" t="s">
        <v>2987</v>
      </c>
      <c r="B41" s="44" t="s">
        <v>21</v>
      </c>
      <c r="C41" s="43">
        <v>5.65</v>
      </c>
      <c r="D41" s="122"/>
    </row>
    <row r="42" spans="1:4" ht="15.75" hidden="1" outlineLevel="1">
      <c r="A42" s="43" t="s">
        <v>2987</v>
      </c>
      <c r="B42" s="44" t="s">
        <v>22</v>
      </c>
      <c r="C42" s="43">
        <v>5.68</v>
      </c>
      <c r="D42" s="122"/>
    </row>
    <row r="43" spans="1:4" ht="15.75" hidden="1" outlineLevel="1">
      <c r="A43" s="43" t="s">
        <v>2987</v>
      </c>
      <c r="B43" s="44" t="s">
        <v>23</v>
      </c>
      <c r="C43" s="43">
        <v>5.45</v>
      </c>
      <c r="D43" s="122"/>
    </row>
    <row r="44" spans="1:4" ht="15.75" hidden="1" outlineLevel="1">
      <c r="A44" s="43" t="s">
        <v>2987</v>
      </c>
      <c r="B44" s="44" t="s">
        <v>24</v>
      </c>
      <c r="C44" s="43">
        <v>5.47</v>
      </c>
      <c r="D44" s="122"/>
    </row>
    <row r="45" spans="1:4" ht="15.75" hidden="1" outlineLevel="1">
      <c r="A45" s="43" t="s">
        <v>2987</v>
      </c>
      <c r="B45" s="44" t="s">
        <v>25</v>
      </c>
      <c r="C45" s="43">
        <v>5.48</v>
      </c>
      <c r="D45" s="122"/>
    </row>
    <row r="46" spans="1:4" ht="15.75">
      <c r="A46" s="49" t="s">
        <v>2987</v>
      </c>
      <c r="B46" s="44"/>
      <c r="C46" s="43"/>
      <c r="D46" s="122"/>
    </row>
    <row r="47" spans="1:4" ht="15.75" hidden="1" outlineLevel="1">
      <c r="A47" s="43" t="s">
        <v>2992</v>
      </c>
      <c r="B47" s="44" t="s">
        <v>0</v>
      </c>
      <c r="C47" s="43">
        <v>5.0999999999999996</v>
      </c>
      <c r="D47" s="122"/>
    </row>
    <row r="48" spans="1:4" ht="15.75" hidden="1" outlineLevel="1">
      <c r="A48" s="43" t="s">
        <v>2992</v>
      </c>
      <c r="B48" s="44" t="s">
        <v>1</v>
      </c>
      <c r="C48" s="43">
        <v>5.2</v>
      </c>
      <c r="D48" s="122"/>
    </row>
    <row r="49" spans="1:4" ht="15.75" hidden="1" outlineLevel="1">
      <c r="A49" s="43" t="s">
        <v>2992</v>
      </c>
      <c r="B49" s="44" t="s">
        <v>2</v>
      </c>
      <c r="C49" s="43">
        <v>5.3</v>
      </c>
      <c r="D49" s="122"/>
    </row>
    <row r="50" spans="1:4" ht="15.75" hidden="1" outlineLevel="1">
      <c r="A50" s="43" t="s">
        <v>2992</v>
      </c>
      <c r="B50" s="44" t="s">
        <v>121</v>
      </c>
      <c r="C50" s="43">
        <v>5.6</v>
      </c>
      <c r="D50" s="122"/>
    </row>
    <row r="51" spans="1:4" ht="15.75" hidden="1" outlineLevel="1">
      <c r="A51" s="43" t="s">
        <v>2992</v>
      </c>
      <c r="B51" s="44" t="s">
        <v>3259</v>
      </c>
      <c r="C51" s="45">
        <v>5.0999999999999996</v>
      </c>
      <c r="D51" s="122"/>
    </row>
    <row r="52" spans="1:4" ht="15.75" hidden="1" outlineLevel="1">
      <c r="A52" s="43" t="s">
        <v>2992</v>
      </c>
      <c r="B52" s="44" t="s">
        <v>1283</v>
      </c>
      <c r="C52" s="43">
        <v>5.14</v>
      </c>
      <c r="D52" s="122"/>
    </row>
    <row r="53" spans="1:4" ht="15.75" hidden="1" outlineLevel="1">
      <c r="A53" s="43" t="s">
        <v>2992</v>
      </c>
      <c r="B53" s="44" t="s">
        <v>4</v>
      </c>
      <c r="C53" s="43">
        <v>5.19</v>
      </c>
      <c r="D53" s="122"/>
    </row>
    <row r="54" spans="1:4" ht="15.75" hidden="1" outlineLevel="1">
      <c r="A54" s="43" t="s">
        <v>2992</v>
      </c>
      <c r="B54" s="44" t="s">
        <v>123</v>
      </c>
      <c r="C54" s="43">
        <v>5.24</v>
      </c>
      <c r="D54" s="122"/>
    </row>
    <row r="55" spans="1:4" ht="15.75" hidden="1" outlineLevel="1">
      <c r="A55" s="43" t="s">
        <v>2992</v>
      </c>
      <c r="B55" s="44" t="s">
        <v>5</v>
      </c>
      <c r="C55" s="43">
        <v>5.26</v>
      </c>
      <c r="D55" s="122"/>
    </row>
    <row r="56" spans="1:4" ht="15.75" hidden="1" outlineLevel="1">
      <c r="A56" s="43" t="s">
        <v>2992</v>
      </c>
      <c r="B56" s="44" t="s">
        <v>6</v>
      </c>
      <c r="C56" s="43">
        <v>5.27</v>
      </c>
      <c r="D56" s="122"/>
    </row>
    <row r="57" spans="1:4" ht="15.75" hidden="1" outlineLevel="1">
      <c r="A57" s="43" t="s">
        <v>2992</v>
      </c>
      <c r="B57" s="44" t="s">
        <v>7</v>
      </c>
      <c r="C57" s="43">
        <v>5.28</v>
      </c>
      <c r="D57" s="122"/>
    </row>
    <row r="58" spans="1:4" ht="15.75" hidden="1" outlineLevel="1">
      <c r="A58" s="43" t="s">
        <v>2992</v>
      </c>
      <c r="B58" s="44" t="s">
        <v>8</v>
      </c>
      <c r="C58" s="45">
        <v>5.3</v>
      </c>
      <c r="D58" s="122"/>
    </row>
    <row r="59" spans="1:4" ht="15.75" hidden="1" outlineLevel="1">
      <c r="A59" s="43" t="s">
        <v>2992</v>
      </c>
      <c r="B59" s="44" t="s">
        <v>124</v>
      </c>
      <c r="C59" s="43">
        <v>5.31</v>
      </c>
      <c r="D59" s="122"/>
    </row>
    <row r="60" spans="1:4" ht="15.75" hidden="1" outlineLevel="1">
      <c r="A60" s="43" t="s">
        <v>2992</v>
      </c>
      <c r="B60" s="44" t="s">
        <v>125</v>
      </c>
      <c r="C60" s="43">
        <v>5.36</v>
      </c>
      <c r="D60" s="122"/>
    </row>
    <row r="61" spans="1:4" ht="15.75" hidden="1" outlineLevel="1">
      <c r="A61" s="43" t="s">
        <v>2992</v>
      </c>
      <c r="B61" s="44" t="s">
        <v>9</v>
      </c>
      <c r="C61" s="43">
        <v>5.49</v>
      </c>
      <c r="D61" s="122"/>
    </row>
    <row r="62" spans="1:4" ht="15.75" hidden="1" outlineLevel="1">
      <c r="A62" s="43" t="s">
        <v>2992</v>
      </c>
      <c r="B62" s="44" t="s">
        <v>10</v>
      </c>
      <c r="C62" s="43">
        <v>5.51</v>
      </c>
      <c r="D62" s="122"/>
    </row>
    <row r="63" spans="1:4" ht="15.75" hidden="1" outlineLevel="1">
      <c r="A63" s="43" t="s">
        <v>2992</v>
      </c>
      <c r="B63" s="44" t="s">
        <v>3260</v>
      </c>
      <c r="C63" s="43">
        <v>5.52</v>
      </c>
      <c r="D63" s="122"/>
    </row>
    <row r="64" spans="1:4" ht="15.75" hidden="1" outlineLevel="1">
      <c r="A64" s="43" t="s">
        <v>2992</v>
      </c>
      <c r="B64" s="44" t="s">
        <v>11</v>
      </c>
      <c r="C64" s="43">
        <v>5.53</v>
      </c>
      <c r="D64" s="122"/>
    </row>
    <row r="65" spans="1:4" ht="15.75" hidden="1" outlineLevel="1">
      <c r="A65" s="43" t="s">
        <v>2992</v>
      </c>
      <c r="B65" s="44" t="s">
        <v>12</v>
      </c>
      <c r="C65" s="43">
        <v>5.69</v>
      </c>
      <c r="D65" s="122"/>
    </row>
    <row r="66" spans="1:4" ht="15.75" hidden="1" outlineLevel="1">
      <c r="A66" s="43" t="s">
        <v>2992</v>
      </c>
      <c r="B66" s="44" t="s">
        <v>127</v>
      </c>
      <c r="C66" s="45">
        <v>5.72</v>
      </c>
      <c r="D66" s="122"/>
    </row>
    <row r="67" spans="1:4" ht="15.75" hidden="1" outlineLevel="1">
      <c r="A67" s="43" t="s">
        <v>2992</v>
      </c>
      <c r="B67" s="44" t="s">
        <v>13</v>
      </c>
      <c r="C67" s="43">
        <v>5.75</v>
      </c>
      <c r="D67" s="122"/>
    </row>
    <row r="68" spans="1:4" ht="15.75" hidden="1" outlineLevel="1">
      <c r="A68" s="43" t="s">
        <v>2992</v>
      </c>
      <c r="B68" s="44" t="s">
        <v>14</v>
      </c>
      <c r="C68" s="45">
        <v>5.7</v>
      </c>
      <c r="D68" s="122"/>
    </row>
    <row r="69" spans="1:4" ht="15.75" hidden="1" outlineLevel="1">
      <c r="A69" s="43" t="s">
        <v>2992</v>
      </c>
      <c r="B69" s="44" t="s">
        <v>15</v>
      </c>
      <c r="C69" s="43">
        <v>5.74</v>
      </c>
      <c r="D69" s="122"/>
    </row>
    <row r="70" spans="1:4" ht="15.75" hidden="1" outlineLevel="1">
      <c r="A70" s="43" t="s">
        <v>2992</v>
      </c>
      <c r="B70" s="44" t="s">
        <v>128</v>
      </c>
      <c r="C70" s="43">
        <v>5.76</v>
      </c>
      <c r="D70" s="122"/>
    </row>
    <row r="71" spans="1:4" ht="15.75" hidden="1" outlineLevel="1">
      <c r="A71" s="43" t="s">
        <v>2992</v>
      </c>
      <c r="B71" s="44" t="s">
        <v>129</v>
      </c>
      <c r="C71" s="43">
        <v>5.89</v>
      </c>
      <c r="D71" s="121" t="s">
        <v>3258</v>
      </c>
    </row>
    <row r="72" spans="1:4" ht="15.75" hidden="1" outlineLevel="1">
      <c r="A72" s="43" t="s">
        <v>2992</v>
      </c>
      <c r="B72" s="44" t="s">
        <v>17</v>
      </c>
      <c r="C72" s="43">
        <v>5.58</v>
      </c>
      <c r="D72" s="122"/>
    </row>
    <row r="73" spans="1:4" ht="15.75" hidden="1" outlineLevel="1">
      <c r="A73" s="43" t="s">
        <v>2992</v>
      </c>
      <c r="B73" s="44" t="s">
        <v>16</v>
      </c>
      <c r="C73" s="43">
        <v>5.62</v>
      </c>
      <c r="D73" s="122"/>
    </row>
    <row r="74" spans="1:4" ht="15.75" hidden="1" outlineLevel="1">
      <c r="A74" s="43" t="s">
        <v>2992</v>
      </c>
      <c r="B74" s="44" t="s">
        <v>18</v>
      </c>
      <c r="C74" s="43">
        <v>5.54</v>
      </c>
      <c r="D74" s="122"/>
    </row>
    <row r="75" spans="1:4" ht="15.75" hidden="1" outlineLevel="1">
      <c r="A75" s="43" t="s">
        <v>2992</v>
      </c>
      <c r="B75" s="44" t="s">
        <v>19</v>
      </c>
      <c r="C75" s="43">
        <v>5.55</v>
      </c>
      <c r="D75" s="122"/>
    </row>
    <row r="76" spans="1:4" ht="15.75" hidden="1" outlineLevel="1">
      <c r="A76" s="43" t="s">
        <v>2992</v>
      </c>
      <c r="B76" s="44" t="s">
        <v>20</v>
      </c>
      <c r="C76" s="43">
        <v>5.63</v>
      </c>
      <c r="D76" s="122"/>
    </row>
    <row r="77" spans="1:4" ht="15.75" hidden="1" outlineLevel="1">
      <c r="A77" s="43" t="s">
        <v>2992</v>
      </c>
      <c r="B77" s="44" t="s">
        <v>21</v>
      </c>
      <c r="C77" s="43">
        <v>5.65</v>
      </c>
      <c r="D77" s="122"/>
    </row>
    <row r="78" spans="1:4" ht="15.75" hidden="1" outlineLevel="1">
      <c r="A78" s="43" t="s">
        <v>2992</v>
      </c>
      <c r="B78" s="44" t="s">
        <v>130</v>
      </c>
      <c r="C78" s="43">
        <v>5.66</v>
      </c>
      <c r="D78" s="122"/>
    </row>
    <row r="79" spans="1:4" ht="15.75" hidden="1" outlineLevel="1">
      <c r="A79" s="43" t="s">
        <v>2992</v>
      </c>
      <c r="B79" s="44" t="s">
        <v>22</v>
      </c>
      <c r="C79" s="43">
        <v>5.68</v>
      </c>
      <c r="D79" s="122"/>
    </row>
    <row r="80" spans="1:4" ht="15.75" hidden="1" outlineLevel="1">
      <c r="A80" s="43" t="s">
        <v>2992</v>
      </c>
      <c r="B80" s="44" t="s">
        <v>23</v>
      </c>
      <c r="C80" s="43">
        <v>5.45</v>
      </c>
      <c r="D80" s="122"/>
    </row>
    <row r="81" spans="1:4" ht="15.75" hidden="1" outlineLevel="1">
      <c r="A81" s="43" t="s">
        <v>2992</v>
      </c>
      <c r="B81" s="44" t="s">
        <v>24</v>
      </c>
      <c r="C81" s="43">
        <v>5.47</v>
      </c>
      <c r="D81" s="122"/>
    </row>
    <row r="82" spans="1:4" ht="15.75" hidden="1" outlineLevel="1">
      <c r="A82" s="43" t="s">
        <v>2992</v>
      </c>
      <c r="B82" s="44" t="s">
        <v>25</v>
      </c>
      <c r="C82" s="43">
        <v>5.48</v>
      </c>
      <c r="D82" s="122"/>
    </row>
    <row r="83" spans="1:4" ht="15.75">
      <c r="A83" s="49" t="s">
        <v>2992</v>
      </c>
      <c r="B83" s="44"/>
      <c r="C83" s="43"/>
      <c r="D83" s="122"/>
    </row>
    <row r="84" spans="1:4" ht="15.75" hidden="1" outlineLevel="1">
      <c r="A84" s="43" t="s">
        <v>2993</v>
      </c>
      <c r="B84" s="44" t="s">
        <v>0</v>
      </c>
      <c r="C84" s="43">
        <v>5.0999999999999996</v>
      </c>
      <c r="D84" s="122"/>
    </row>
    <row r="85" spans="1:4" ht="15.75" hidden="1" outlineLevel="1">
      <c r="A85" s="43" t="s">
        <v>2993</v>
      </c>
      <c r="B85" s="44" t="s">
        <v>1</v>
      </c>
      <c r="C85" s="43">
        <v>5.2</v>
      </c>
      <c r="D85" s="122"/>
    </row>
    <row r="86" spans="1:4" ht="15.75" hidden="1" outlineLevel="1">
      <c r="A86" s="43" t="s">
        <v>2993</v>
      </c>
      <c r="B86" s="44" t="s">
        <v>2</v>
      </c>
      <c r="C86" s="43">
        <v>5.3</v>
      </c>
      <c r="D86" s="122"/>
    </row>
    <row r="87" spans="1:4" ht="15.75" hidden="1" outlineLevel="1">
      <c r="A87" s="43" t="s">
        <v>2993</v>
      </c>
      <c r="B87" s="44" t="s">
        <v>121</v>
      </c>
      <c r="C87" s="43">
        <v>5.6</v>
      </c>
      <c r="D87" s="122"/>
    </row>
    <row r="88" spans="1:4" ht="15.75" hidden="1" outlineLevel="1">
      <c r="A88" s="43" t="s">
        <v>2993</v>
      </c>
      <c r="B88" s="44" t="s">
        <v>3259</v>
      </c>
      <c r="C88" s="45">
        <v>5.0999999999999996</v>
      </c>
      <c r="D88" s="122"/>
    </row>
    <row r="89" spans="1:4" ht="15.75" hidden="1" outlineLevel="1">
      <c r="A89" s="43" t="s">
        <v>2993</v>
      </c>
      <c r="B89" s="44" t="s">
        <v>1283</v>
      </c>
      <c r="C89" s="43">
        <v>5.14</v>
      </c>
      <c r="D89" s="122"/>
    </row>
    <row r="90" spans="1:4" ht="15.75" hidden="1" outlineLevel="1">
      <c r="A90" s="43" t="s">
        <v>2993</v>
      </c>
      <c r="B90" s="44" t="s">
        <v>4</v>
      </c>
      <c r="C90" s="43">
        <v>5.19</v>
      </c>
      <c r="D90" s="122"/>
    </row>
    <row r="91" spans="1:4" ht="15.75" hidden="1" outlineLevel="1">
      <c r="A91" s="43" t="s">
        <v>2993</v>
      </c>
      <c r="B91" s="44" t="s">
        <v>123</v>
      </c>
      <c r="C91" s="43">
        <v>5.24</v>
      </c>
      <c r="D91" s="122"/>
    </row>
    <row r="92" spans="1:4" ht="15.75" hidden="1" outlineLevel="1">
      <c r="A92" s="43" t="s">
        <v>2993</v>
      </c>
      <c r="B92" s="44" t="s">
        <v>5</v>
      </c>
      <c r="C92" s="43">
        <v>5.26</v>
      </c>
      <c r="D92" s="122"/>
    </row>
    <row r="93" spans="1:4" ht="15.75" hidden="1" outlineLevel="1">
      <c r="A93" s="43" t="s">
        <v>2993</v>
      </c>
      <c r="B93" s="44" t="s">
        <v>6</v>
      </c>
      <c r="C93" s="43">
        <v>5.27</v>
      </c>
      <c r="D93" s="122"/>
    </row>
    <row r="94" spans="1:4" ht="15.75" hidden="1" outlineLevel="1">
      <c r="A94" s="43" t="s">
        <v>2993</v>
      </c>
      <c r="B94" s="44" t="s">
        <v>7</v>
      </c>
      <c r="C94" s="43">
        <v>5.28</v>
      </c>
      <c r="D94" s="122"/>
    </row>
    <row r="95" spans="1:4" ht="15.75" hidden="1" outlineLevel="1">
      <c r="A95" s="43" t="s">
        <v>2993</v>
      </c>
      <c r="B95" s="44" t="s">
        <v>131</v>
      </c>
      <c r="C95" s="43">
        <v>5.29</v>
      </c>
      <c r="D95" s="122"/>
    </row>
    <row r="96" spans="1:4" ht="15.75" hidden="1" outlineLevel="1">
      <c r="A96" s="43" t="s">
        <v>2993</v>
      </c>
      <c r="B96" s="44" t="s">
        <v>8</v>
      </c>
      <c r="C96" s="45">
        <v>5.3</v>
      </c>
      <c r="D96" s="122"/>
    </row>
    <row r="97" spans="1:4" ht="15.75" hidden="1" outlineLevel="1">
      <c r="A97" s="43" t="s">
        <v>2993</v>
      </c>
      <c r="B97" s="44" t="s">
        <v>124</v>
      </c>
      <c r="C97" s="43">
        <v>5.31</v>
      </c>
      <c r="D97" s="122"/>
    </row>
    <row r="98" spans="1:4" ht="15.75" hidden="1" outlineLevel="1">
      <c r="A98" s="43" t="s">
        <v>2993</v>
      </c>
      <c r="B98" s="44" t="s">
        <v>125</v>
      </c>
      <c r="C98" s="43">
        <v>5.36</v>
      </c>
      <c r="D98" s="122"/>
    </row>
    <row r="99" spans="1:4" ht="15.75" hidden="1" outlineLevel="1">
      <c r="A99" s="43" t="s">
        <v>2993</v>
      </c>
      <c r="B99" s="44" t="s">
        <v>9</v>
      </c>
      <c r="C99" s="43">
        <v>5.49</v>
      </c>
      <c r="D99" s="122"/>
    </row>
    <row r="100" spans="1:4" ht="15.75" hidden="1" outlineLevel="1">
      <c r="A100" s="43" t="s">
        <v>2993</v>
      </c>
      <c r="B100" s="44" t="s">
        <v>10</v>
      </c>
      <c r="C100" s="43">
        <v>5.51</v>
      </c>
      <c r="D100" s="122"/>
    </row>
    <row r="101" spans="1:4" ht="15.75" hidden="1" outlineLevel="1">
      <c r="A101" s="43" t="s">
        <v>2993</v>
      </c>
      <c r="B101" s="44" t="s">
        <v>3260</v>
      </c>
      <c r="C101" s="43">
        <v>5.52</v>
      </c>
      <c r="D101" s="122"/>
    </row>
    <row r="102" spans="1:4" ht="15.75" hidden="1" outlineLevel="1">
      <c r="A102" s="43" t="s">
        <v>2993</v>
      </c>
      <c r="B102" s="44" t="s">
        <v>11</v>
      </c>
      <c r="C102" s="43">
        <v>5.53</v>
      </c>
      <c r="D102" s="122"/>
    </row>
    <row r="103" spans="1:4" ht="15.75" hidden="1" outlineLevel="1">
      <c r="A103" s="43" t="s">
        <v>2993</v>
      </c>
      <c r="B103" s="44" t="s">
        <v>12</v>
      </c>
      <c r="C103" s="43">
        <v>5.69</v>
      </c>
      <c r="D103" s="122"/>
    </row>
    <row r="104" spans="1:4" ht="15.75" hidden="1" outlineLevel="1">
      <c r="A104" s="43" t="s">
        <v>2993</v>
      </c>
      <c r="B104" s="44" t="s">
        <v>13</v>
      </c>
      <c r="C104" s="43">
        <v>5.75</v>
      </c>
      <c r="D104" s="122"/>
    </row>
    <row r="105" spans="1:4" ht="15.75" hidden="1" outlineLevel="1">
      <c r="A105" s="43" t="s">
        <v>2993</v>
      </c>
      <c r="B105" s="44" t="s">
        <v>14</v>
      </c>
      <c r="C105" s="45">
        <v>5.7</v>
      </c>
      <c r="D105" s="122"/>
    </row>
    <row r="106" spans="1:4" ht="15.75" hidden="1" outlineLevel="1">
      <c r="A106" s="43" t="s">
        <v>2993</v>
      </c>
      <c r="B106" s="44" t="s">
        <v>15</v>
      </c>
      <c r="C106" s="43">
        <v>5.74</v>
      </c>
      <c r="D106" s="122"/>
    </row>
    <row r="107" spans="1:4" ht="15.75" hidden="1" outlineLevel="1">
      <c r="A107" s="43" t="s">
        <v>2993</v>
      </c>
      <c r="B107" s="44" t="s">
        <v>128</v>
      </c>
      <c r="C107" s="43">
        <v>5.76</v>
      </c>
      <c r="D107" s="122"/>
    </row>
    <row r="108" spans="1:4" ht="15.75" hidden="1" outlineLevel="1">
      <c r="A108" s="43" t="s">
        <v>2993</v>
      </c>
      <c r="B108" s="44" t="s">
        <v>129</v>
      </c>
      <c r="C108" s="43">
        <v>5.89</v>
      </c>
      <c r="D108" s="121" t="s">
        <v>3258</v>
      </c>
    </row>
    <row r="109" spans="1:4" ht="15.75" hidden="1" outlineLevel="1">
      <c r="A109" s="43" t="s">
        <v>2993</v>
      </c>
      <c r="B109" s="44" t="s">
        <v>17</v>
      </c>
      <c r="C109" s="43">
        <v>5.58</v>
      </c>
      <c r="D109" s="122"/>
    </row>
    <row r="110" spans="1:4" ht="15.75" hidden="1" outlineLevel="1">
      <c r="A110" s="43" t="s">
        <v>2993</v>
      </c>
      <c r="B110" s="44" t="s">
        <v>16</v>
      </c>
      <c r="C110" s="43">
        <v>5.62</v>
      </c>
      <c r="D110" s="122"/>
    </row>
    <row r="111" spans="1:4" ht="15.75" hidden="1" outlineLevel="1">
      <c r="A111" s="43" t="s">
        <v>2993</v>
      </c>
      <c r="B111" s="44" t="s">
        <v>18</v>
      </c>
      <c r="C111" s="43">
        <v>5.54</v>
      </c>
      <c r="D111" s="122"/>
    </row>
    <row r="112" spans="1:4" ht="15.75" hidden="1" outlineLevel="1">
      <c r="A112" s="43" t="s">
        <v>2993</v>
      </c>
      <c r="B112" s="44" t="s">
        <v>19</v>
      </c>
      <c r="C112" s="43">
        <v>5.55</v>
      </c>
      <c r="D112" s="122"/>
    </row>
    <row r="113" spans="1:4" ht="15.75" hidden="1" outlineLevel="1">
      <c r="A113" s="43" t="s">
        <v>2993</v>
      </c>
      <c r="B113" s="44" t="s">
        <v>21</v>
      </c>
      <c r="C113" s="43">
        <v>5.65</v>
      </c>
      <c r="D113" s="122"/>
    </row>
    <row r="114" spans="1:4" ht="15.75" hidden="1" outlineLevel="1">
      <c r="A114" s="43" t="s">
        <v>2993</v>
      </c>
      <c r="B114" s="44" t="s">
        <v>130</v>
      </c>
      <c r="C114" s="43">
        <v>5.66</v>
      </c>
      <c r="D114" s="122"/>
    </row>
    <row r="115" spans="1:4" ht="15.75" hidden="1" outlineLevel="1">
      <c r="A115" s="43" t="s">
        <v>2993</v>
      </c>
      <c r="B115" s="44" t="s">
        <v>22</v>
      </c>
      <c r="C115" s="43">
        <v>5.68</v>
      </c>
      <c r="D115" s="122"/>
    </row>
    <row r="116" spans="1:4" ht="15.75" hidden="1" outlineLevel="1">
      <c r="A116" s="43" t="s">
        <v>2993</v>
      </c>
      <c r="B116" s="44" t="s">
        <v>23</v>
      </c>
      <c r="C116" s="43">
        <v>5.45</v>
      </c>
      <c r="D116" s="122"/>
    </row>
    <row r="117" spans="1:4" ht="15.75" hidden="1" outlineLevel="1">
      <c r="A117" s="43" t="s">
        <v>2993</v>
      </c>
      <c r="B117" s="44" t="s">
        <v>24</v>
      </c>
      <c r="C117" s="43">
        <v>5.47</v>
      </c>
      <c r="D117" s="122"/>
    </row>
    <row r="118" spans="1:4" ht="15.75" hidden="1" outlineLevel="1">
      <c r="A118" s="43" t="s">
        <v>2993</v>
      </c>
      <c r="B118" s="44" t="s">
        <v>25</v>
      </c>
      <c r="C118" s="43">
        <v>5.48</v>
      </c>
      <c r="D118" s="122"/>
    </row>
    <row r="119" spans="1:4" ht="15.75">
      <c r="A119" s="49" t="s">
        <v>2993</v>
      </c>
      <c r="B119" s="44"/>
      <c r="C119" s="43"/>
      <c r="D119" s="122"/>
    </row>
    <row r="120" spans="1:4" ht="15.75" hidden="1" outlineLevel="1">
      <c r="A120" s="43" t="s">
        <v>3261</v>
      </c>
      <c r="B120" s="44" t="s">
        <v>0</v>
      </c>
      <c r="C120" s="43">
        <v>5.0999999999999996</v>
      </c>
      <c r="D120" s="122"/>
    </row>
    <row r="121" spans="1:4" ht="15.75" hidden="1" outlineLevel="1">
      <c r="A121" s="43" t="s">
        <v>3261</v>
      </c>
      <c r="B121" s="44" t="s">
        <v>1</v>
      </c>
      <c r="C121" s="43">
        <v>5.2</v>
      </c>
      <c r="D121" s="122"/>
    </row>
    <row r="122" spans="1:4" ht="15.75" hidden="1" outlineLevel="1">
      <c r="A122" s="43" t="s">
        <v>3261</v>
      </c>
      <c r="B122" s="44" t="s">
        <v>2</v>
      </c>
      <c r="C122" s="43">
        <v>5.3</v>
      </c>
      <c r="D122" s="122"/>
    </row>
    <row r="123" spans="1:4" ht="15.75" hidden="1" outlineLevel="1">
      <c r="A123" s="43" t="s">
        <v>3261</v>
      </c>
      <c r="B123" s="44" t="s">
        <v>121</v>
      </c>
      <c r="C123" s="43">
        <v>5.6</v>
      </c>
      <c r="D123" s="122"/>
    </row>
    <row r="124" spans="1:4" ht="15.75" hidden="1" outlineLevel="1">
      <c r="A124" s="43" t="s">
        <v>3261</v>
      </c>
      <c r="B124" s="44" t="s">
        <v>3259</v>
      </c>
      <c r="C124" s="45">
        <v>5.0999999999999996</v>
      </c>
      <c r="D124" s="122"/>
    </row>
    <row r="125" spans="1:4" ht="15.75" hidden="1" outlineLevel="1">
      <c r="A125" s="43" t="s">
        <v>3261</v>
      </c>
      <c r="B125" s="44" t="s">
        <v>1283</v>
      </c>
      <c r="C125" s="43">
        <v>5.14</v>
      </c>
      <c r="D125" s="122"/>
    </row>
    <row r="126" spans="1:4" ht="15.75" hidden="1" outlineLevel="1">
      <c r="A126" s="43" t="s">
        <v>3261</v>
      </c>
      <c r="B126" s="44" t="s">
        <v>4</v>
      </c>
      <c r="C126" s="43">
        <v>5.19</v>
      </c>
      <c r="D126" s="122"/>
    </row>
    <row r="127" spans="1:4" ht="15.75" hidden="1" outlineLevel="1">
      <c r="A127" s="43" t="s">
        <v>3261</v>
      </c>
      <c r="B127" s="44" t="s">
        <v>123</v>
      </c>
      <c r="C127" s="43">
        <v>5.24</v>
      </c>
      <c r="D127" s="122"/>
    </row>
    <row r="128" spans="1:4" ht="15.75" hidden="1" outlineLevel="1">
      <c r="A128" s="43" t="s">
        <v>3261</v>
      </c>
      <c r="B128" s="44" t="s">
        <v>5</v>
      </c>
      <c r="C128" s="43">
        <v>5.26</v>
      </c>
      <c r="D128" s="122"/>
    </row>
    <row r="129" spans="1:4" ht="15.75" hidden="1" outlineLevel="1">
      <c r="A129" s="43" t="s">
        <v>3261</v>
      </c>
      <c r="B129" s="44" t="s">
        <v>6</v>
      </c>
      <c r="C129" s="43">
        <v>5.27</v>
      </c>
      <c r="D129" s="122"/>
    </row>
    <row r="130" spans="1:4" ht="15.75" hidden="1" outlineLevel="1">
      <c r="A130" s="43" t="s">
        <v>3261</v>
      </c>
      <c r="B130" s="44" t="s">
        <v>7</v>
      </c>
      <c r="C130" s="43">
        <v>5.28</v>
      </c>
      <c r="D130" s="122"/>
    </row>
    <row r="131" spans="1:4" ht="15.75" hidden="1" outlineLevel="1">
      <c r="A131" s="43" t="s">
        <v>3261</v>
      </c>
      <c r="B131" s="44" t="s">
        <v>131</v>
      </c>
      <c r="C131" s="43">
        <v>5.29</v>
      </c>
      <c r="D131" s="122"/>
    </row>
    <row r="132" spans="1:4" ht="15.75" hidden="1" outlineLevel="1">
      <c r="A132" s="43" t="s">
        <v>3261</v>
      </c>
      <c r="B132" s="44" t="s">
        <v>8</v>
      </c>
      <c r="C132" s="45">
        <v>5.3</v>
      </c>
      <c r="D132" s="122"/>
    </row>
    <row r="133" spans="1:4" ht="15.75" hidden="1" outlineLevel="1">
      <c r="A133" s="43" t="s">
        <v>3261</v>
      </c>
      <c r="B133" s="44" t="s">
        <v>124</v>
      </c>
      <c r="C133" s="43">
        <v>5.31</v>
      </c>
      <c r="D133" s="122"/>
    </row>
    <row r="134" spans="1:4" ht="15.75" hidden="1" outlineLevel="1">
      <c r="A134" s="43" t="s">
        <v>3261</v>
      </c>
      <c r="B134" s="44" t="s">
        <v>125</v>
      </c>
      <c r="C134" s="43">
        <v>5.36</v>
      </c>
      <c r="D134" s="122"/>
    </row>
    <row r="135" spans="1:4" ht="15.75" hidden="1" outlineLevel="1">
      <c r="A135" s="43" t="s">
        <v>3261</v>
      </c>
      <c r="B135" s="44" t="s">
        <v>11</v>
      </c>
      <c r="C135" s="43">
        <v>5.53</v>
      </c>
      <c r="D135" s="122"/>
    </row>
    <row r="136" spans="1:4" ht="15.75" hidden="1" outlineLevel="1">
      <c r="A136" s="43" t="s">
        <v>3261</v>
      </c>
      <c r="B136" s="44" t="s">
        <v>17</v>
      </c>
      <c r="C136" s="43">
        <v>5.58</v>
      </c>
      <c r="D136" s="122"/>
    </row>
    <row r="137" spans="1:4" ht="15.75" hidden="1" outlineLevel="1">
      <c r="A137" s="43" t="s">
        <v>3261</v>
      </c>
      <c r="B137" s="44" t="s">
        <v>16</v>
      </c>
      <c r="C137" s="43">
        <v>5.62</v>
      </c>
      <c r="D137" s="122"/>
    </row>
    <row r="138" spans="1:4" ht="15.75" hidden="1" outlineLevel="1">
      <c r="A138" s="43" t="s">
        <v>3261</v>
      </c>
      <c r="B138" s="44" t="s">
        <v>18</v>
      </c>
      <c r="C138" s="43">
        <v>5.54</v>
      </c>
      <c r="D138" s="122"/>
    </row>
    <row r="139" spans="1:4" ht="15.75" hidden="1" outlineLevel="1">
      <c r="A139" s="43" t="s">
        <v>3261</v>
      </c>
      <c r="B139" s="44" t="s">
        <v>19</v>
      </c>
      <c r="C139" s="43">
        <v>5.55</v>
      </c>
      <c r="D139" s="122"/>
    </row>
    <row r="140" spans="1:4" ht="15.75" hidden="1" outlineLevel="1">
      <c r="A140" s="43" t="s">
        <v>3261</v>
      </c>
      <c r="B140" s="44" t="s">
        <v>20</v>
      </c>
      <c r="C140" s="43">
        <v>5.63</v>
      </c>
      <c r="D140" s="122"/>
    </row>
    <row r="141" spans="1:4" ht="15.75" hidden="1" outlineLevel="1">
      <c r="A141" s="43" t="s">
        <v>3261</v>
      </c>
      <c r="B141" s="44" t="s">
        <v>23</v>
      </c>
      <c r="C141" s="43">
        <v>5.45</v>
      </c>
      <c r="D141" s="122"/>
    </row>
    <row r="142" spans="1:4" ht="15.75" hidden="1" outlineLevel="1">
      <c r="A142" s="43" t="s">
        <v>3261</v>
      </c>
      <c r="B142" s="44" t="s">
        <v>24</v>
      </c>
      <c r="C142" s="43">
        <v>5.47</v>
      </c>
      <c r="D142" s="122"/>
    </row>
    <row r="143" spans="1:4" ht="15.75" hidden="1" outlineLevel="1">
      <c r="A143" s="43" t="s">
        <v>3261</v>
      </c>
      <c r="B143" s="44" t="s">
        <v>25</v>
      </c>
      <c r="C143" s="43">
        <v>5.48</v>
      </c>
      <c r="D143" s="122"/>
    </row>
    <row r="144" spans="1:4" ht="15.75">
      <c r="A144" s="49" t="s">
        <v>3261</v>
      </c>
      <c r="B144" s="44"/>
      <c r="C144" s="43"/>
      <c r="D144" s="122"/>
    </row>
    <row r="145" spans="1:4" ht="15.75" hidden="1" outlineLevel="1">
      <c r="A145" s="43" t="s">
        <v>1571</v>
      </c>
      <c r="B145" s="44" t="s">
        <v>0</v>
      </c>
      <c r="C145" s="43">
        <v>5.0999999999999996</v>
      </c>
      <c r="D145" s="122"/>
    </row>
    <row r="146" spans="1:4" ht="15.75" hidden="1" outlineLevel="1">
      <c r="A146" s="43" t="s">
        <v>1571</v>
      </c>
      <c r="B146" s="44" t="s">
        <v>1</v>
      </c>
      <c r="C146" s="43">
        <v>5.2</v>
      </c>
      <c r="D146" s="122"/>
    </row>
    <row r="147" spans="1:4" ht="15.75" hidden="1" outlineLevel="1">
      <c r="A147" s="43" t="s">
        <v>1571</v>
      </c>
      <c r="B147" s="44" t="s">
        <v>2</v>
      </c>
      <c r="C147" s="43">
        <v>5.3</v>
      </c>
      <c r="D147" s="122"/>
    </row>
    <row r="148" spans="1:4" ht="15.75" hidden="1" outlineLevel="1">
      <c r="A148" s="43" t="s">
        <v>1571</v>
      </c>
      <c r="B148" s="44" t="s">
        <v>121</v>
      </c>
      <c r="C148" s="43">
        <v>5.6</v>
      </c>
      <c r="D148" s="122"/>
    </row>
    <row r="149" spans="1:4" ht="15.75" hidden="1" outlineLevel="1">
      <c r="A149" s="43" t="s">
        <v>1571</v>
      </c>
      <c r="B149" s="44" t="s">
        <v>3259</v>
      </c>
      <c r="C149" s="45">
        <v>5.0999999999999996</v>
      </c>
      <c r="D149" s="122"/>
    </row>
    <row r="150" spans="1:4" ht="15.75" hidden="1" outlineLevel="1">
      <c r="A150" s="43" t="s">
        <v>1571</v>
      </c>
      <c r="B150" s="44" t="s">
        <v>1283</v>
      </c>
      <c r="C150" s="43">
        <v>5.14</v>
      </c>
      <c r="D150" s="122"/>
    </row>
    <row r="151" spans="1:4" ht="15.75" hidden="1" outlineLevel="1">
      <c r="A151" s="43" t="s">
        <v>1571</v>
      </c>
      <c r="B151" s="44" t="s">
        <v>4</v>
      </c>
      <c r="C151" s="43">
        <v>5.19</v>
      </c>
      <c r="D151" s="122"/>
    </row>
    <row r="152" spans="1:4" ht="15.75" hidden="1" outlineLevel="1">
      <c r="A152" s="43" t="s">
        <v>1571</v>
      </c>
      <c r="B152" s="44" t="s">
        <v>123</v>
      </c>
      <c r="C152" s="43">
        <v>5.24</v>
      </c>
      <c r="D152" s="122"/>
    </row>
    <row r="153" spans="1:4" ht="15.75" hidden="1" outlineLevel="1">
      <c r="A153" s="43" t="s">
        <v>1571</v>
      </c>
      <c r="B153" s="44" t="s">
        <v>5</v>
      </c>
      <c r="C153" s="43">
        <v>5.26</v>
      </c>
      <c r="D153" s="122"/>
    </row>
    <row r="154" spans="1:4" ht="15.75" hidden="1" outlineLevel="1">
      <c r="A154" s="43" t="s">
        <v>1571</v>
      </c>
      <c r="B154" s="44" t="s">
        <v>6</v>
      </c>
      <c r="C154" s="43">
        <v>5.27</v>
      </c>
      <c r="D154" s="122"/>
    </row>
    <row r="155" spans="1:4" ht="15.75" hidden="1" outlineLevel="1">
      <c r="A155" s="43" t="s">
        <v>1571</v>
      </c>
      <c r="B155" s="44" t="s">
        <v>7</v>
      </c>
      <c r="C155" s="43">
        <v>5.28</v>
      </c>
      <c r="D155" s="122"/>
    </row>
    <row r="156" spans="1:4" ht="15.75" hidden="1" outlineLevel="1">
      <c r="A156" s="43" t="s">
        <v>1571</v>
      </c>
      <c r="B156" s="44" t="s">
        <v>8</v>
      </c>
      <c r="C156" s="45">
        <v>5.3</v>
      </c>
      <c r="D156" s="122"/>
    </row>
    <row r="157" spans="1:4" ht="15.75" hidden="1" outlineLevel="1">
      <c r="A157" s="43" t="s">
        <v>1571</v>
      </c>
      <c r="B157" s="44" t="s">
        <v>1065</v>
      </c>
      <c r="C157" s="43">
        <v>5.32</v>
      </c>
      <c r="D157" s="122"/>
    </row>
    <row r="158" spans="1:4" ht="15.75" hidden="1" outlineLevel="1">
      <c r="A158" s="43" t="s">
        <v>1571</v>
      </c>
      <c r="B158" s="44" t="s">
        <v>125</v>
      </c>
      <c r="C158" s="43">
        <v>5.36</v>
      </c>
      <c r="D158" s="122"/>
    </row>
    <row r="159" spans="1:4" ht="15.75" hidden="1" outlineLevel="1">
      <c r="A159" s="43" t="s">
        <v>1571</v>
      </c>
      <c r="B159" s="44" t="s">
        <v>11</v>
      </c>
      <c r="C159" s="43">
        <v>5.53</v>
      </c>
      <c r="D159" s="122"/>
    </row>
    <row r="160" spans="1:4" ht="15.75" hidden="1" outlineLevel="1">
      <c r="A160" s="43" t="s">
        <v>1571</v>
      </c>
      <c r="B160" s="44" t="s">
        <v>17</v>
      </c>
      <c r="C160" s="43">
        <v>5.58</v>
      </c>
      <c r="D160" s="122"/>
    </row>
    <row r="161" spans="1:4" ht="15.75" hidden="1" outlineLevel="1">
      <c r="A161" s="43" t="s">
        <v>1571</v>
      </c>
      <c r="B161" s="44" t="s">
        <v>18</v>
      </c>
      <c r="C161" s="43">
        <v>5.54</v>
      </c>
      <c r="D161" s="122"/>
    </row>
    <row r="162" spans="1:4" ht="15.75" hidden="1" outlineLevel="1">
      <c r="A162" s="43" t="s">
        <v>1571</v>
      </c>
      <c r="B162" s="44" t="s">
        <v>19</v>
      </c>
      <c r="C162" s="43">
        <v>5.55</v>
      </c>
      <c r="D162" s="122"/>
    </row>
    <row r="163" spans="1:4" ht="15.75" hidden="1" outlineLevel="1">
      <c r="A163" s="43" t="s">
        <v>1571</v>
      </c>
      <c r="B163" s="44" t="s">
        <v>16</v>
      </c>
      <c r="C163" s="43">
        <v>5.62</v>
      </c>
      <c r="D163" s="122"/>
    </row>
    <row r="164" spans="1:4" ht="15.75" hidden="1" outlineLevel="1">
      <c r="A164" s="43" t="s">
        <v>1571</v>
      </c>
      <c r="B164" s="44" t="s">
        <v>20</v>
      </c>
      <c r="C164" s="43">
        <v>5.63</v>
      </c>
      <c r="D164" s="122"/>
    </row>
    <row r="165" spans="1:4" ht="15.75" hidden="1" outlineLevel="1">
      <c r="A165" s="43" t="s">
        <v>1571</v>
      </c>
      <c r="B165" s="44" t="s">
        <v>23</v>
      </c>
      <c r="C165" s="43">
        <v>5.45</v>
      </c>
      <c r="D165" s="122"/>
    </row>
    <row r="166" spans="1:4" ht="15.75" hidden="1" outlineLevel="1">
      <c r="A166" s="43" t="s">
        <v>1571</v>
      </c>
      <c r="B166" s="44" t="s">
        <v>24</v>
      </c>
      <c r="C166" s="43">
        <v>5.47</v>
      </c>
      <c r="D166" s="122"/>
    </row>
    <row r="167" spans="1:4" ht="15.75" hidden="1" outlineLevel="1">
      <c r="A167" s="43" t="s">
        <v>1571</v>
      </c>
      <c r="B167" s="44" t="s">
        <v>25</v>
      </c>
      <c r="C167" s="43">
        <v>5.48</v>
      </c>
      <c r="D167" s="122"/>
    </row>
    <row r="168" spans="1:4" ht="15.75">
      <c r="A168" s="49" t="s">
        <v>1571</v>
      </c>
      <c r="B168" s="44"/>
      <c r="C168" s="43"/>
      <c r="D168" s="122"/>
    </row>
    <row r="169" spans="1:4" ht="15.75" hidden="1" outlineLevel="1">
      <c r="A169" s="43" t="s">
        <v>3007</v>
      </c>
      <c r="B169" s="44" t="s">
        <v>0</v>
      </c>
      <c r="C169" s="43">
        <v>5.0999999999999996</v>
      </c>
      <c r="D169" s="122"/>
    </row>
    <row r="170" spans="1:4" ht="15.75" hidden="1" outlineLevel="1">
      <c r="A170" s="43" t="s">
        <v>3007</v>
      </c>
      <c r="B170" s="44" t="s">
        <v>1</v>
      </c>
      <c r="C170" s="43">
        <v>5.2</v>
      </c>
      <c r="D170" s="122"/>
    </row>
    <row r="171" spans="1:4" ht="15.75" hidden="1" outlineLevel="1">
      <c r="A171" s="43" t="s">
        <v>3007</v>
      </c>
      <c r="B171" s="44" t="s">
        <v>2</v>
      </c>
      <c r="C171" s="43">
        <v>5.3</v>
      </c>
      <c r="D171" s="122"/>
    </row>
    <row r="172" spans="1:4" ht="15.75" hidden="1" outlineLevel="1">
      <c r="A172" s="43" t="s">
        <v>3007</v>
      </c>
      <c r="B172" s="44" t="s">
        <v>121</v>
      </c>
      <c r="C172" s="43">
        <v>5.6</v>
      </c>
      <c r="D172" s="122"/>
    </row>
    <row r="173" spans="1:4" ht="15.75" hidden="1" outlineLevel="1">
      <c r="A173" s="43" t="s">
        <v>3007</v>
      </c>
      <c r="B173" s="44" t="s">
        <v>3259</v>
      </c>
      <c r="C173" s="45">
        <v>5.0999999999999996</v>
      </c>
      <c r="D173" s="122"/>
    </row>
    <row r="174" spans="1:4" ht="15.75" hidden="1" outlineLevel="1">
      <c r="A174" s="43" t="s">
        <v>3007</v>
      </c>
      <c r="B174" s="44" t="s">
        <v>1283</v>
      </c>
      <c r="C174" s="43">
        <v>5.14</v>
      </c>
      <c r="D174" s="122"/>
    </row>
    <row r="175" spans="1:4" ht="15.75" hidden="1" outlineLevel="1">
      <c r="A175" s="43" t="s">
        <v>3007</v>
      </c>
      <c r="B175" s="44" t="s">
        <v>4</v>
      </c>
      <c r="C175" s="43">
        <v>5.19</v>
      </c>
      <c r="D175" s="122"/>
    </row>
    <row r="176" spans="1:4" ht="15.75" hidden="1" outlineLevel="1">
      <c r="A176" s="43" t="s">
        <v>3007</v>
      </c>
      <c r="B176" s="44" t="s">
        <v>123</v>
      </c>
      <c r="C176" s="43">
        <v>5.24</v>
      </c>
      <c r="D176" s="122"/>
    </row>
    <row r="177" spans="1:4" ht="15.75" hidden="1" outlineLevel="1">
      <c r="A177" s="43" t="s">
        <v>3007</v>
      </c>
      <c r="B177" s="44" t="s">
        <v>5</v>
      </c>
      <c r="C177" s="43">
        <v>5.26</v>
      </c>
      <c r="D177" s="122"/>
    </row>
    <row r="178" spans="1:4" ht="15.75" hidden="1" outlineLevel="1">
      <c r="A178" s="43" t="s">
        <v>3007</v>
      </c>
      <c r="B178" s="44" t="s">
        <v>6</v>
      </c>
      <c r="C178" s="43">
        <v>5.27</v>
      </c>
      <c r="D178" s="122"/>
    </row>
    <row r="179" spans="1:4" ht="15.75" hidden="1" outlineLevel="1">
      <c r="A179" s="43" t="s">
        <v>3007</v>
      </c>
      <c r="B179" s="44" t="s">
        <v>7</v>
      </c>
      <c r="C179" s="43">
        <v>5.28</v>
      </c>
      <c r="D179" s="122"/>
    </row>
    <row r="180" spans="1:4" ht="15.75" hidden="1" outlineLevel="1">
      <c r="A180" s="43" t="s">
        <v>3007</v>
      </c>
      <c r="B180" s="44" t="s">
        <v>131</v>
      </c>
      <c r="C180" s="43">
        <v>5.29</v>
      </c>
      <c r="D180" s="122"/>
    </row>
    <row r="181" spans="1:4" ht="15.75" hidden="1" outlineLevel="1">
      <c r="A181" s="43" t="s">
        <v>3007</v>
      </c>
      <c r="B181" s="44" t="s">
        <v>8</v>
      </c>
      <c r="C181" s="45">
        <v>5.3</v>
      </c>
      <c r="D181" s="122"/>
    </row>
    <row r="182" spans="1:4" ht="15.75" hidden="1" outlineLevel="1">
      <c r="A182" s="43" t="s">
        <v>3007</v>
      </c>
      <c r="B182" s="44" t="s">
        <v>1065</v>
      </c>
      <c r="C182" s="43">
        <v>5.32</v>
      </c>
      <c r="D182" s="122"/>
    </row>
    <row r="183" spans="1:4" ht="15.75" hidden="1" outlineLevel="1">
      <c r="A183" s="43" t="s">
        <v>3007</v>
      </c>
      <c r="B183" s="44" t="s">
        <v>125</v>
      </c>
      <c r="C183" s="43">
        <v>5.36</v>
      </c>
      <c r="D183" s="122"/>
    </row>
    <row r="184" spans="1:4" ht="15.75" hidden="1" outlineLevel="1">
      <c r="A184" s="43" t="s">
        <v>3007</v>
      </c>
      <c r="B184" s="44" t="s">
        <v>11</v>
      </c>
      <c r="C184" s="43">
        <v>5.53</v>
      </c>
      <c r="D184" s="122"/>
    </row>
    <row r="185" spans="1:4" ht="15.75" hidden="1" outlineLevel="1">
      <c r="A185" s="43" t="s">
        <v>3007</v>
      </c>
      <c r="B185" s="44" t="s">
        <v>17</v>
      </c>
      <c r="C185" s="43">
        <v>5.58</v>
      </c>
      <c r="D185" s="122"/>
    </row>
    <row r="186" spans="1:4" ht="15.75" hidden="1" outlineLevel="1">
      <c r="A186" s="43" t="s">
        <v>3007</v>
      </c>
      <c r="B186" s="44" t="s">
        <v>18</v>
      </c>
      <c r="C186" s="43">
        <v>5.54</v>
      </c>
      <c r="D186" s="122"/>
    </row>
    <row r="187" spans="1:4" ht="15.75" hidden="1" outlineLevel="1">
      <c r="A187" s="43" t="s">
        <v>3007</v>
      </c>
      <c r="B187" s="44" t="s">
        <v>19</v>
      </c>
      <c r="C187" s="43">
        <v>5.55</v>
      </c>
      <c r="D187" s="122"/>
    </row>
    <row r="188" spans="1:4" ht="15.75" hidden="1" outlineLevel="1">
      <c r="A188" s="43" t="s">
        <v>3007</v>
      </c>
      <c r="B188" s="44" t="s">
        <v>20</v>
      </c>
      <c r="C188" s="43">
        <v>5.63</v>
      </c>
      <c r="D188" s="122"/>
    </row>
    <row r="189" spans="1:4" ht="15.75" hidden="1" outlineLevel="1">
      <c r="A189" s="43" t="s">
        <v>3007</v>
      </c>
      <c r="B189" s="44" t="s">
        <v>23</v>
      </c>
      <c r="C189" s="43">
        <v>5.45</v>
      </c>
      <c r="D189" s="122"/>
    </row>
    <row r="190" spans="1:4" ht="15.75" hidden="1" outlineLevel="1">
      <c r="A190" s="43" t="s">
        <v>3007</v>
      </c>
      <c r="B190" s="44" t="s">
        <v>24</v>
      </c>
      <c r="C190" s="43">
        <v>5.47</v>
      </c>
      <c r="D190" s="122"/>
    </row>
    <row r="191" spans="1:4" ht="15.75" hidden="1" outlineLevel="1">
      <c r="A191" s="43" t="s">
        <v>3007</v>
      </c>
      <c r="B191" s="44" t="s">
        <v>25</v>
      </c>
      <c r="C191" s="43">
        <v>5.48</v>
      </c>
      <c r="D191" s="122"/>
    </row>
    <row r="192" spans="1:4" ht="15.75">
      <c r="A192" s="49" t="s">
        <v>3007</v>
      </c>
      <c r="B192" s="44"/>
      <c r="C192" s="43"/>
      <c r="D192" s="122"/>
    </row>
    <row r="193" spans="1:4" ht="15.75" hidden="1" outlineLevel="1">
      <c r="A193" s="43" t="s">
        <v>3262</v>
      </c>
      <c r="B193" s="44" t="s">
        <v>0</v>
      </c>
      <c r="C193" s="43">
        <v>5.0999999999999996</v>
      </c>
      <c r="D193" s="122"/>
    </row>
    <row r="194" spans="1:4" ht="15.75" hidden="1" outlineLevel="1">
      <c r="A194" s="43" t="s">
        <v>3262</v>
      </c>
      <c r="B194" s="44" t="s">
        <v>1</v>
      </c>
      <c r="C194" s="43">
        <v>5.2</v>
      </c>
      <c r="D194" s="122"/>
    </row>
    <row r="195" spans="1:4" ht="15.75" hidden="1" outlineLevel="1">
      <c r="A195" s="43" t="s">
        <v>3262</v>
      </c>
      <c r="B195" s="44" t="s">
        <v>2</v>
      </c>
      <c r="C195" s="43">
        <v>5.3</v>
      </c>
      <c r="D195" s="122"/>
    </row>
    <row r="196" spans="1:4" ht="15.75" hidden="1" outlineLevel="1">
      <c r="A196" s="43" t="s">
        <v>3262</v>
      </c>
      <c r="B196" s="44" t="s">
        <v>121</v>
      </c>
      <c r="C196" s="43">
        <v>5.6</v>
      </c>
      <c r="D196" s="122"/>
    </row>
    <row r="197" spans="1:4" ht="15.75" hidden="1" outlineLevel="1">
      <c r="A197" s="43" t="s">
        <v>3262</v>
      </c>
      <c r="B197" s="44" t="s">
        <v>3259</v>
      </c>
      <c r="C197" s="45">
        <v>5.0999999999999996</v>
      </c>
      <c r="D197" s="122"/>
    </row>
    <row r="198" spans="1:4" ht="15.75" hidden="1" outlineLevel="1">
      <c r="A198" s="43" t="s">
        <v>3262</v>
      </c>
      <c r="B198" s="44" t="s">
        <v>1283</v>
      </c>
      <c r="C198" s="43">
        <v>5.14</v>
      </c>
      <c r="D198" s="122"/>
    </row>
    <row r="199" spans="1:4" ht="15.75" hidden="1" outlineLevel="1">
      <c r="A199" s="43" t="s">
        <v>3262</v>
      </c>
      <c r="B199" s="44" t="s">
        <v>4</v>
      </c>
      <c r="C199" s="43">
        <v>5.19</v>
      </c>
      <c r="D199" s="122"/>
    </row>
    <row r="200" spans="1:4" ht="15.75" hidden="1" outlineLevel="1">
      <c r="A200" s="43" t="s">
        <v>3262</v>
      </c>
      <c r="B200" s="44" t="s">
        <v>123</v>
      </c>
      <c r="C200" s="43">
        <v>5.24</v>
      </c>
      <c r="D200" s="122"/>
    </row>
    <row r="201" spans="1:4" ht="15.75" hidden="1" outlineLevel="1">
      <c r="A201" s="43" t="s">
        <v>3262</v>
      </c>
      <c r="B201" s="44" t="s">
        <v>6</v>
      </c>
      <c r="C201" s="43">
        <v>5.27</v>
      </c>
      <c r="D201" s="122"/>
    </row>
    <row r="202" spans="1:4" ht="15.75" hidden="1" outlineLevel="1">
      <c r="A202" s="43" t="s">
        <v>3262</v>
      </c>
      <c r="B202" s="44" t="s">
        <v>7</v>
      </c>
      <c r="C202" s="43">
        <v>5.28</v>
      </c>
      <c r="D202" s="122"/>
    </row>
    <row r="203" spans="1:4" ht="15.75" hidden="1" outlineLevel="1">
      <c r="A203" s="43" t="s">
        <v>3262</v>
      </c>
      <c r="B203" s="44" t="s">
        <v>131</v>
      </c>
      <c r="C203" s="43">
        <v>5.29</v>
      </c>
      <c r="D203" s="122"/>
    </row>
    <row r="204" spans="1:4" ht="15.75" hidden="1" outlineLevel="1">
      <c r="A204" s="43" t="s">
        <v>3262</v>
      </c>
      <c r="B204" s="44" t="s">
        <v>8</v>
      </c>
      <c r="C204" s="45">
        <v>5.3</v>
      </c>
      <c r="D204" s="122"/>
    </row>
    <row r="205" spans="1:4" ht="15.75" hidden="1" outlineLevel="1">
      <c r="A205" s="43" t="s">
        <v>3262</v>
      </c>
      <c r="B205" s="44" t="s">
        <v>1318</v>
      </c>
      <c r="C205" s="43">
        <v>5.34</v>
      </c>
      <c r="D205" s="122"/>
    </row>
    <row r="206" spans="1:4" ht="15.75" hidden="1" outlineLevel="1">
      <c r="A206" s="43" t="s">
        <v>3262</v>
      </c>
      <c r="B206" s="44" t="s">
        <v>124</v>
      </c>
      <c r="C206" s="43">
        <v>5.31</v>
      </c>
      <c r="D206" s="122"/>
    </row>
    <row r="207" spans="1:4" ht="15.75" hidden="1" outlineLevel="1">
      <c r="A207" s="43" t="s">
        <v>3262</v>
      </c>
      <c r="B207" s="44" t="s">
        <v>1319</v>
      </c>
      <c r="C207" s="43">
        <v>5.101</v>
      </c>
      <c r="D207" s="122"/>
    </row>
    <row r="208" spans="1:4" ht="15.75" hidden="1" outlineLevel="1">
      <c r="A208" s="43" t="s">
        <v>3262</v>
      </c>
      <c r="B208" s="44" t="s">
        <v>125</v>
      </c>
      <c r="C208" s="43">
        <v>5.36</v>
      </c>
      <c r="D208" s="122"/>
    </row>
    <row r="209" spans="1:4" ht="15.75" hidden="1" outlineLevel="1">
      <c r="A209" s="43" t="s">
        <v>3262</v>
      </c>
      <c r="B209" s="44" t="s">
        <v>11</v>
      </c>
      <c r="C209" s="43">
        <v>5.53</v>
      </c>
      <c r="D209" s="122"/>
    </row>
    <row r="210" spans="1:4" ht="15.75" hidden="1" outlineLevel="1">
      <c r="A210" s="43" t="s">
        <v>3262</v>
      </c>
      <c r="B210" s="44" t="s">
        <v>1320</v>
      </c>
      <c r="C210" s="43">
        <v>5.1020000000000003</v>
      </c>
      <c r="D210" s="122"/>
    </row>
    <row r="211" spans="1:4" ht="15.75" hidden="1" outlineLevel="1">
      <c r="A211" s="43" t="s">
        <v>3262</v>
      </c>
      <c r="B211" s="44" t="s">
        <v>1321</v>
      </c>
      <c r="C211" s="46">
        <v>5.0999999999999996</v>
      </c>
      <c r="D211" s="122"/>
    </row>
    <row r="212" spans="1:4" ht="15.75" hidden="1" outlineLevel="1">
      <c r="A212" s="43" t="s">
        <v>3262</v>
      </c>
      <c r="B212" s="44" t="s">
        <v>17</v>
      </c>
      <c r="C212" s="43">
        <v>5.58</v>
      </c>
      <c r="D212" s="122"/>
    </row>
    <row r="213" spans="1:4" ht="15.75" hidden="1" outlineLevel="1">
      <c r="A213" s="43" t="s">
        <v>3262</v>
      </c>
      <c r="B213" s="44" t="s">
        <v>18</v>
      </c>
      <c r="C213" s="43">
        <v>5.54</v>
      </c>
      <c r="D213" s="122"/>
    </row>
    <row r="214" spans="1:4" ht="15.75" hidden="1" outlineLevel="1">
      <c r="A214" s="43" t="s">
        <v>3262</v>
      </c>
      <c r="B214" s="44" t="s">
        <v>19</v>
      </c>
      <c r="C214" s="43">
        <v>5.55</v>
      </c>
      <c r="D214" s="122"/>
    </row>
    <row r="215" spans="1:4" ht="15.75" hidden="1" outlineLevel="1">
      <c r="A215" s="43" t="s">
        <v>3262</v>
      </c>
      <c r="B215" s="44" t="s">
        <v>20</v>
      </c>
      <c r="C215" s="43">
        <v>5.63</v>
      </c>
      <c r="D215" s="122"/>
    </row>
    <row r="216" spans="1:4" ht="15.75" hidden="1" outlineLevel="1">
      <c r="A216" s="43" t="s">
        <v>3262</v>
      </c>
      <c r="B216" s="44" t="s">
        <v>24</v>
      </c>
      <c r="C216" s="43">
        <v>5.47</v>
      </c>
      <c r="D216" s="122"/>
    </row>
    <row r="217" spans="1:4" ht="15.75" hidden="1" outlineLevel="1">
      <c r="A217" s="43" t="s">
        <v>3262</v>
      </c>
      <c r="B217" s="44" t="s">
        <v>25</v>
      </c>
      <c r="C217" s="43">
        <v>5.48</v>
      </c>
      <c r="D217" s="122"/>
    </row>
    <row r="218" spans="1:4" ht="15.75">
      <c r="A218" s="49" t="s">
        <v>3262</v>
      </c>
      <c r="B218" s="44"/>
      <c r="C218" s="43"/>
      <c r="D218" s="122"/>
    </row>
    <row r="219" spans="1:4" ht="15.75" hidden="1" outlineLevel="1">
      <c r="A219" s="43" t="s">
        <v>3009</v>
      </c>
      <c r="B219" s="44" t="s">
        <v>0</v>
      </c>
      <c r="C219" s="43">
        <v>5.0999999999999996</v>
      </c>
      <c r="D219" s="122"/>
    </row>
    <row r="220" spans="1:4" ht="15.75" hidden="1" outlineLevel="1">
      <c r="A220" s="43" t="s">
        <v>3009</v>
      </c>
      <c r="B220" s="44" t="s">
        <v>1</v>
      </c>
      <c r="C220" s="43">
        <v>5.2</v>
      </c>
      <c r="D220" s="122"/>
    </row>
    <row r="221" spans="1:4" ht="15.75" hidden="1" outlineLevel="1">
      <c r="A221" s="43" t="s">
        <v>3009</v>
      </c>
      <c r="B221" s="44" t="s">
        <v>2</v>
      </c>
      <c r="C221" s="43">
        <v>5.3</v>
      </c>
      <c r="D221" s="122"/>
    </row>
    <row r="222" spans="1:4" ht="15.75" hidden="1" outlineLevel="1">
      <c r="A222" s="43" t="s">
        <v>3009</v>
      </c>
      <c r="B222" s="44" t="s">
        <v>121</v>
      </c>
      <c r="C222" s="43">
        <v>5.6</v>
      </c>
      <c r="D222" s="122"/>
    </row>
    <row r="223" spans="1:4" ht="15.75" hidden="1" outlineLevel="1">
      <c r="A223" s="43" t="s">
        <v>3009</v>
      </c>
      <c r="B223" s="44" t="s">
        <v>3259</v>
      </c>
      <c r="C223" s="45">
        <v>5.0999999999999996</v>
      </c>
      <c r="D223" s="122"/>
    </row>
    <row r="224" spans="1:4" ht="15.75" hidden="1" outlineLevel="1">
      <c r="A224" s="43" t="s">
        <v>3009</v>
      </c>
      <c r="B224" s="44" t="s">
        <v>1283</v>
      </c>
      <c r="C224" s="43">
        <v>5.14</v>
      </c>
      <c r="D224" s="122"/>
    </row>
    <row r="225" spans="1:4" ht="15.75" hidden="1" outlineLevel="1">
      <c r="A225" s="43" t="s">
        <v>3009</v>
      </c>
      <c r="B225" s="44" t="s">
        <v>4</v>
      </c>
      <c r="C225" s="43">
        <v>5.19</v>
      </c>
      <c r="D225" s="122"/>
    </row>
    <row r="226" spans="1:4" ht="15.75" hidden="1" outlineLevel="1">
      <c r="A226" s="43" t="s">
        <v>3009</v>
      </c>
      <c r="B226" s="44" t="s">
        <v>123</v>
      </c>
      <c r="C226" s="43">
        <v>5.24</v>
      </c>
      <c r="D226" s="122"/>
    </row>
    <row r="227" spans="1:4" ht="15.75" hidden="1" outlineLevel="1">
      <c r="A227" s="43" t="s">
        <v>3009</v>
      </c>
      <c r="B227" s="44" t="s">
        <v>5</v>
      </c>
      <c r="C227" s="43">
        <v>5.26</v>
      </c>
      <c r="D227" s="122"/>
    </row>
    <row r="228" spans="1:4" ht="15.75" hidden="1" outlineLevel="1">
      <c r="A228" s="43" t="s">
        <v>3009</v>
      </c>
      <c r="B228" s="44" t="s">
        <v>6</v>
      </c>
      <c r="C228" s="43">
        <v>5.27</v>
      </c>
      <c r="D228" s="122"/>
    </row>
    <row r="229" spans="1:4" ht="15.75" hidden="1" outlineLevel="1">
      <c r="A229" s="43" t="s">
        <v>3009</v>
      </c>
      <c r="B229" s="44" t="s">
        <v>7</v>
      </c>
      <c r="C229" s="43">
        <v>5.28</v>
      </c>
      <c r="D229" s="122"/>
    </row>
    <row r="230" spans="1:4" ht="15.75" hidden="1" outlineLevel="1">
      <c r="A230" s="43" t="s">
        <v>3009</v>
      </c>
      <c r="B230" s="44" t="s">
        <v>131</v>
      </c>
      <c r="C230" s="43">
        <v>5.29</v>
      </c>
      <c r="D230" s="122"/>
    </row>
    <row r="231" spans="1:4" ht="15.75" hidden="1" outlineLevel="1">
      <c r="A231" s="43" t="s">
        <v>3009</v>
      </c>
      <c r="B231" s="44" t="s">
        <v>8</v>
      </c>
      <c r="C231" s="45">
        <v>5.3</v>
      </c>
      <c r="D231" s="122"/>
    </row>
    <row r="232" spans="1:4" ht="15.75" hidden="1" outlineLevel="1">
      <c r="A232" s="43" t="s">
        <v>3009</v>
      </c>
      <c r="B232" s="44" t="s">
        <v>124</v>
      </c>
      <c r="C232" s="43">
        <v>5.31</v>
      </c>
      <c r="D232" s="122"/>
    </row>
    <row r="233" spans="1:4" ht="15.75" hidden="1" outlineLevel="1">
      <c r="A233" s="43" t="s">
        <v>3009</v>
      </c>
      <c r="B233" s="44" t="s">
        <v>1328</v>
      </c>
      <c r="C233" s="43">
        <v>5.33</v>
      </c>
      <c r="D233" s="122"/>
    </row>
    <row r="234" spans="1:4" ht="15.75" hidden="1" outlineLevel="1">
      <c r="A234" s="43" t="s">
        <v>3009</v>
      </c>
      <c r="B234" s="44" t="s">
        <v>1319</v>
      </c>
      <c r="C234" s="43">
        <v>5.101</v>
      </c>
      <c r="D234" s="122"/>
    </row>
    <row r="235" spans="1:4" ht="15.75" hidden="1" outlineLevel="1">
      <c r="A235" s="43" t="s">
        <v>3009</v>
      </c>
      <c r="B235" s="44" t="s">
        <v>125</v>
      </c>
      <c r="C235" s="43">
        <v>5.36</v>
      </c>
      <c r="D235" s="122"/>
    </row>
    <row r="236" spans="1:4" ht="15.75" hidden="1" outlineLevel="1">
      <c r="A236" s="43" t="s">
        <v>3009</v>
      </c>
      <c r="B236" s="44" t="s">
        <v>11</v>
      </c>
      <c r="C236" s="43">
        <v>5.53</v>
      </c>
      <c r="D236" s="122"/>
    </row>
    <row r="237" spans="1:4" ht="15.75" hidden="1" outlineLevel="1">
      <c r="A237" s="43" t="s">
        <v>3009</v>
      </c>
      <c r="B237" s="44" t="s">
        <v>1320</v>
      </c>
      <c r="C237" s="43">
        <v>5.1020000000000003</v>
      </c>
      <c r="D237" s="122"/>
    </row>
    <row r="238" spans="1:4" ht="15.75" hidden="1" outlineLevel="1">
      <c r="A238" s="43" t="s">
        <v>3009</v>
      </c>
      <c r="B238" s="44" t="s">
        <v>17</v>
      </c>
      <c r="C238" s="43">
        <v>5.58</v>
      </c>
      <c r="D238" s="122"/>
    </row>
    <row r="239" spans="1:4" ht="15.75" hidden="1" outlineLevel="1">
      <c r="A239" s="43" t="s">
        <v>3009</v>
      </c>
      <c r="B239" s="44" t="s">
        <v>18</v>
      </c>
      <c r="C239" s="43">
        <v>5.54</v>
      </c>
      <c r="D239" s="122"/>
    </row>
    <row r="240" spans="1:4" ht="15.75" hidden="1" outlineLevel="1">
      <c r="A240" s="43" t="s">
        <v>3009</v>
      </c>
      <c r="B240" s="44" t="s">
        <v>19</v>
      </c>
      <c r="C240" s="43">
        <v>5.55</v>
      </c>
      <c r="D240" s="122"/>
    </row>
    <row r="241" spans="1:4" ht="15.75" hidden="1" outlineLevel="1">
      <c r="A241" s="43" t="s">
        <v>3009</v>
      </c>
      <c r="B241" s="44" t="s">
        <v>20</v>
      </c>
      <c r="C241" s="43">
        <v>5.63</v>
      </c>
      <c r="D241" s="122"/>
    </row>
    <row r="242" spans="1:4" ht="15.75" hidden="1" outlineLevel="1">
      <c r="A242" s="43" t="s">
        <v>3009</v>
      </c>
      <c r="B242" s="44" t="s">
        <v>24</v>
      </c>
      <c r="C242" s="43">
        <v>5.47</v>
      </c>
      <c r="D242" s="122"/>
    </row>
    <row r="243" spans="1:4" ht="15.75" hidden="1" outlineLevel="1">
      <c r="A243" s="43" t="s">
        <v>3009</v>
      </c>
      <c r="B243" s="44" t="s">
        <v>25</v>
      </c>
      <c r="C243" s="43">
        <v>5.48</v>
      </c>
      <c r="D243" s="122"/>
    </row>
    <row r="244" spans="1:4" ht="15.75">
      <c r="A244" s="49" t="s">
        <v>3009</v>
      </c>
      <c r="B244" s="44"/>
      <c r="C244" s="43"/>
      <c r="D244" s="122"/>
    </row>
    <row r="245" spans="1:4" ht="15.75" hidden="1" outlineLevel="1">
      <c r="A245" s="43" t="s">
        <v>3263</v>
      </c>
      <c r="B245" s="44" t="s">
        <v>0</v>
      </c>
      <c r="C245" s="43">
        <v>5.0999999999999996</v>
      </c>
      <c r="D245" s="122"/>
    </row>
    <row r="246" spans="1:4" ht="15.75" hidden="1" outlineLevel="1">
      <c r="A246" s="43" t="s">
        <v>3263</v>
      </c>
      <c r="B246" s="44" t="s">
        <v>1</v>
      </c>
      <c r="C246" s="43">
        <v>5.2</v>
      </c>
      <c r="D246" s="122"/>
    </row>
    <row r="247" spans="1:4" ht="15.75" hidden="1" outlineLevel="1">
      <c r="A247" s="43" t="s">
        <v>3263</v>
      </c>
      <c r="B247" s="44" t="s">
        <v>2</v>
      </c>
      <c r="C247" s="43">
        <v>5.3</v>
      </c>
      <c r="D247" s="122"/>
    </row>
    <row r="248" spans="1:4" ht="15.75" hidden="1" outlineLevel="1">
      <c r="A248" s="43" t="s">
        <v>3263</v>
      </c>
      <c r="B248" s="44" t="s">
        <v>121</v>
      </c>
      <c r="C248" s="43">
        <v>5.6</v>
      </c>
      <c r="D248" s="122"/>
    </row>
    <row r="249" spans="1:4" ht="15.75" hidden="1" outlineLevel="1">
      <c r="A249" s="43" t="s">
        <v>3263</v>
      </c>
      <c r="B249" s="44" t="s">
        <v>3259</v>
      </c>
      <c r="C249" s="45">
        <v>5.0999999999999996</v>
      </c>
      <c r="D249" s="122"/>
    </row>
    <row r="250" spans="1:4" ht="15.75" hidden="1" outlineLevel="1">
      <c r="A250" s="43" t="s">
        <v>3263</v>
      </c>
      <c r="B250" s="44" t="s">
        <v>1283</v>
      </c>
      <c r="C250" s="43">
        <v>5.14</v>
      </c>
      <c r="D250" s="122"/>
    </row>
    <row r="251" spans="1:4" ht="15.75" hidden="1" outlineLevel="1">
      <c r="A251" s="43" t="s">
        <v>3263</v>
      </c>
      <c r="B251" s="44" t="s">
        <v>4</v>
      </c>
      <c r="C251" s="43">
        <v>5.19</v>
      </c>
      <c r="D251" s="122"/>
    </row>
    <row r="252" spans="1:4" ht="15.75" hidden="1" outlineLevel="1">
      <c r="A252" s="43" t="s">
        <v>3263</v>
      </c>
      <c r="B252" s="44" t="s">
        <v>123</v>
      </c>
      <c r="C252" s="43">
        <v>5.24</v>
      </c>
      <c r="D252" s="122"/>
    </row>
    <row r="253" spans="1:4" ht="15.75" hidden="1" outlineLevel="1">
      <c r="A253" s="43" t="s">
        <v>3263</v>
      </c>
      <c r="B253" s="44" t="s">
        <v>6</v>
      </c>
      <c r="C253" s="43">
        <v>5.27</v>
      </c>
      <c r="D253" s="122"/>
    </row>
    <row r="254" spans="1:4" ht="15.75" hidden="1" outlineLevel="1">
      <c r="A254" s="43" t="s">
        <v>3263</v>
      </c>
      <c r="B254" s="44" t="s">
        <v>7</v>
      </c>
      <c r="C254" s="43">
        <v>5.28</v>
      </c>
      <c r="D254" s="122"/>
    </row>
    <row r="255" spans="1:4" ht="15.75" hidden="1" outlineLevel="1">
      <c r="A255" s="43" t="s">
        <v>3263</v>
      </c>
      <c r="B255" s="44" t="s">
        <v>8</v>
      </c>
      <c r="C255" s="45">
        <v>5.3</v>
      </c>
      <c r="D255" s="122"/>
    </row>
    <row r="256" spans="1:4" ht="15.75" hidden="1" outlineLevel="1">
      <c r="A256" s="43" t="s">
        <v>3263</v>
      </c>
      <c r="B256" s="44" t="s">
        <v>1328</v>
      </c>
      <c r="C256" s="43">
        <v>5.33</v>
      </c>
      <c r="D256" s="122"/>
    </row>
    <row r="257" spans="1:4" ht="15.75" hidden="1" outlineLevel="1">
      <c r="A257" s="43" t="s">
        <v>3263</v>
      </c>
      <c r="B257" s="44" t="s">
        <v>125</v>
      </c>
      <c r="C257" s="43">
        <v>5.36</v>
      </c>
      <c r="D257" s="122"/>
    </row>
    <row r="258" spans="1:4" ht="15.75" hidden="1" outlineLevel="1">
      <c r="A258" s="43" t="s">
        <v>3263</v>
      </c>
      <c r="B258" s="44" t="s">
        <v>11</v>
      </c>
      <c r="C258" s="43">
        <v>5.53</v>
      </c>
      <c r="D258" s="122"/>
    </row>
    <row r="259" spans="1:4" ht="15.75" hidden="1" outlineLevel="1">
      <c r="A259" s="43" t="s">
        <v>3263</v>
      </c>
      <c r="B259" s="44" t="s">
        <v>17</v>
      </c>
      <c r="C259" s="43">
        <v>5.58</v>
      </c>
      <c r="D259" s="122"/>
    </row>
    <row r="260" spans="1:4" ht="15.75" hidden="1" outlineLevel="1">
      <c r="A260" s="43" t="s">
        <v>3263</v>
      </c>
      <c r="B260" s="44" t="s">
        <v>18</v>
      </c>
      <c r="C260" s="43">
        <v>5.54</v>
      </c>
      <c r="D260" s="122"/>
    </row>
    <row r="261" spans="1:4" ht="15.75" hidden="1" outlineLevel="1">
      <c r="A261" s="43" t="s">
        <v>3263</v>
      </c>
      <c r="B261" s="44" t="s">
        <v>19</v>
      </c>
      <c r="C261" s="43">
        <v>5.55</v>
      </c>
      <c r="D261" s="122"/>
    </row>
    <row r="262" spans="1:4" ht="15.75" hidden="1" outlineLevel="1">
      <c r="A262" s="43" t="s">
        <v>3263</v>
      </c>
      <c r="B262" s="44" t="s">
        <v>20</v>
      </c>
      <c r="C262" s="43">
        <v>5.63</v>
      </c>
      <c r="D262" s="122"/>
    </row>
    <row r="263" spans="1:4" ht="15.75" hidden="1" outlineLevel="1">
      <c r="A263" s="43" t="s">
        <v>3263</v>
      </c>
      <c r="B263" s="44" t="s">
        <v>24</v>
      </c>
      <c r="C263" s="43">
        <v>5.47</v>
      </c>
      <c r="D263" s="122"/>
    </row>
    <row r="264" spans="1:4" ht="15.75" hidden="1" outlineLevel="1">
      <c r="A264" s="43" t="s">
        <v>3263</v>
      </c>
      <c r="B264" s="44" t="s">
        <v>25</v>
      </c>
      <c r="C264" s="43">
        <v>5.48</v>
      </c>
      <c r="D264" s="122"/>
    </row>
    <row r="265" spans="1:4" ht="15.75">
      <c r="A265" s="49" t="s">
        <v>3263</v>
      </c>
      <c r="B265" s="44"/>
      <c r="C265" s="43"/>
      <c r="D265" s="122"/>
    </row>
    <row r="266" spans="1:4" ht="15.75" hidden="1" outlineLevel="1">
      <c r="A266" s="43" t="s">
        <v>3014</v>
      </c>
      <c r="B266" s="44" t="s">
        <v>0</v>
      </c>
      <c r="C266" s="43">
        <v>5.0999999999999996</v>
      </c>
      <c r="D266" s="122"/>
    </row>
    <row r="267" spans="1:4" ht="15.75" hidden="1" outlineLevel="1">
      <c r="A267" s="43" t="s">
        <v>3014</v>
      </c>
      <c r="B267" s="44" t="s">
        <v>1</v>
      </c>
      <c r="C267" s="43">
        <v>5.2</v>
      </c>
      <c r="D267" s="122"/>
    </row>
    <row r="268" spans="1:4" ht="15.75" hidden="1" outlineLevel="1">
      <c r="A268" s="43" t="s">
        <v>3014</v>
      </c>
      <c r="B268" s="44" t="s">
        <v>2</v>
      </c>
      <c r="C268" s="43">
        <v>5.3</v>
      </c>
      <c r="D268" s="122"/>
    </row>
    <row r="269" spans="1:4" ht="15.75" hidden="1" outlineLevel="1">
      <c r="A269" s="43" t="s">
        <v>3014</v>
      </c>
      <c r="B269" s="44" t="s">
        <v>121</v>
      </c>
      <c r="C269" s="43">
        <v>5.6</v>
      </c>
      <c r="D269" s="122"/>
    </row>
    <row r="270" spans="1:4" ht="15.75" hidden="1" outlineLevel="1">
      <c r="A270" s="43" t="s">
        <v>3014</v>
      </c>
      <c r="B270" s="44" t="s">
        <v>3259</v>
      </c>
      <c r="C270" s="45">
        <v>5.0999999999999996</v>
      </c>
      <c r="D270" s="122"/>
    </row>
    <row r="271" spans="1:4" ht="15.75" hidden="1" outlineLevel="1">
      <c r="A271" s="43" t="s">
        <v>3014</v>
      </c>
      <c r="B271" s="44" t="s">
        <v>1283</v>
      </c>
      <c r="C271" s="43">
        <v>5.14</v>
      </c>
      <c r="D271" s="122"/>
    </row>
    <row r="272" spans="1:4" ht="15.75" hidden="1" outlineLevel="1">
      <c r="A272" s="43" t="s">
        <v>3014</v>
      </c>
      <c r="B272" s="44" t="s">
        <v>4</v>
      </c>
      <c r="C272" s="43">
        <v>5.19</v>
      </c>
      <c r="D272" s="122"/>
    </row>
    <row r="273" spans="1:4" ht="15.75" hidden="1" outlineLevel="1">
      <c r="A273" s="43" t="s">
        <v>3014</v>
      </c>
      <c r="B273" s="44" t="s">
        <v>123</v>
      </c>
      <c r="C273" s="43">
        <v>5.24</v>
      </c>
      <c r="D273" s="122"/>
    </row>
    <row r="274" spans="1:4" ht="15.75" hidden="1" outlineLevel="1">
      <c r="A274" s="43" t="s">
        <v>3014</v>
      </c>
      <c r="B274" s="44" t="s">
        <v>5</v>
      </c>
      <c r="C274" s="43">
        <v>5.26</v>
      </c>
      <c r="D274" s="122"/>
    </row>
    <row r="275" spans="1:4" ht="15.75" hidden="1" outlineLevel="1">
      <c r="A275" s="43" t="s">
        <v>3014</v>
      </c>
      <c r="B275" s="44" t="s">
        <v>6</v>
      </c>
      <c r="C275" s="43">
        <v>5.27</v>
      </c>
      <c r="D275" s="122"/>
    </row>
    <row r="276" spans="1:4" ht="15.75" hidden="1" outlineLevel="1">
      <c r="A276" s="43" t="s">
        <v>3014</v>
      </c>
      <c r="B276" s="44" t="s">
        <v>7</v>
      </c>
      <c r="C276" s="43">
        <v>5.28</v>
      </c>
      <c r="D276" s="122"/>
    </row>
    <row r="277" spans="1:4" ht="15.75" hidden="1" outlineLevel="1">
      <c r="A277" s="43" t="s">
        <v>3014</v>
      </c>
      <c r="B277" s="44" t="s">
        <v>131</v>
      </c>
      <c r="C277" s="43">
        <v>5.29</v>
      </c>
      <c r="D277" s="122"/>
    </row>
    <row r="278" spans="1:4" ht="15.75" hidden="1" outlineLevel="1">
      <c r="A278" s="43" t="s">
        <v>3014</v>
      </c>
      <c r="B278" s="44" t="s">
        <v>8</v>
      </c>
      <c r="C278" s="45">
        <v>5.3</v>
      </c>
      <c r="D278" s="122"/>
    </row>
    <row r="279" spans="1:4" ht="15.75" hidden="1" outlineLevel="1">
      <c r="A279" s="43" t="s">
        <v>3014</v>
      </c>
      <c r="B279" s="44" t="s">
        <v>1328</v>
      </c>
      <c r="C279" s="43">
        <v>5.33</v>
      </c>
      <c r="D279" s="122"/>
    </row>
    <row r="280" spans="1:4" ht="15.75" hidden="1" outlineLevel="1">
      <c r="A280" s="43" t="s">
        <v>3014</v>
      </c>
      <c r="B280" s="44" t="s">
        <v>125</v>
      </c>
      <c r="C280" s="43">
        <v>5.36</v>
      </c>
      <c r="D280" s="122"/>
    </row>
    <row r="281" spans="1:4" ht="15.75" hidden="1" outlineLevel="1">
      <c r="A281" s="43" t="s">
        <v>3014</v>
      </c>
      <c r="B281" s="44" t="s">
        <v>12</v>
      </c>
      <c r="C281" s="43">
        <v>5.69</v>
      </c>
      <c r="D281" s="122"/>
    </row>
    <row r="282" spans="1:4" ht="15.75" hidden="1" outlineLevel="1">
      <c r="A282" s="43" t="s">
        <v>3014</v>
      </c>
      <c r="B282" s="44" t="s">
        <v>14</v>
      </c>
      <c r="C282" s="45">
        <v>5.7</v>
      </c>
      <c r="D282" s="122"/>
    </row>
    <row r="283" spans="1:4" ht="15.75" hidden="1" outlineLevel="1">
      <c r="A283" s="43" t="s">
        <v>3014</v>
      </c>
      <c r="B283" s="44" t="s">
        <v>15</v>
      </c>
      <c r="C283" s="43">
        <v>5.74</v>
      </c>
      <c r="D283" s="122"/>
    </row>
    <row r="284" spans="1:4" ht="15.75" hidden="1" outlineLevel="1">
      <c r="A284" s="43" t="s">
        <v>3014</v>
      </c>
      <c r="B284" s="44" t="s">
        <v>9</v>
      </c>
      <c r="C284" s="43">
        <v>5.49</v>
      </c>
      <c r="D284" s="122"/>
    </row>
    <row r="285" spans="1:4" ht="15.75" hidden="1" outlineLevel="1">
      <c r="A285" s="43" t="s">
        <v>3014</v>
      </c>
      <c r="B285" s="44" t="s">
        <v>10</v>
      </c>
      <c r="C285" s="43">
        <v>5.51</v>
      </c>
      <c r="D285" s="122"/>
    </row>
    <row r="286" spans="1:4" ht="15.75" hidden="1" outlineLevel="1">
      <c r="A286" s="43" t="s">
        <v>3014</v>
      </c>
      <c r="B286" s="44" t="s">
        <v>3260</v>
      </c>
      <c r="C286" s="43">
        <v>5.52</v>
      </c>
      <c r="D286" s="122"/>
    </row>
    <row r="287" spans="1:4" ht="15.75" hidden="1" outlineLevel="1">
      <c r="A287" s="43" t="s">
        <v>3014</v>
      </c>
      <c r="B287" s="44" t="s">
        <v>11</v>
      </c>
      <c r="C287" s="43">
        <v>5.53</v>
      </c>
      <c r="D287" s="122"/>
    </row>
    <row r="288" spans="1:4" ht="15.75" hidden="1" outlineLevel="1">
      <c r="A288" s="43" t="s">
        <v>3014</v>
      </c>
      <c r="B288" s="44" t="s">
        <v>17</v>
      </c>
      <c r="C288" s="43">
        <v>5.58</v>
      </c>
      <c r="D288" s="122"/>
    </row>
    <row r="289" spans="1:4" ht="15.75" hidden="1" outlineLevel="1">
      <c r="A289" s="43" t="s">
        <v>3014</v>
      </c>
      <c r="B289" s="44" t="s">
        <v>18</v>
      </c>
      <c r="C289" s="43">
        <v>5.54</v>
      </c>
      <c r="D289" s="122"/>
    </row>
    <row r="290" spans="1:4" ht="15.75" hidden="1" outlineLevel="1">
      <c r="A290" s="43" t="s">
        <v>3014</v>
      </c>
      <c r="B290" s="44" t="s">
        <v>19</v>
      </c>
      <c r="C290" s="43">
        <v>5.55</v>
      </c>
      <c r="D290" s="122"/>
    </row>
    <row r="291" spans="1:4" ht="15.75" hidden="1" outlineLevel="1">
      <c r="A291" s="43" t="s">
        <v>3014</v>
      </c>
      <c r="B291" s="44" t="s">
        <v>20</v>
      </c>
      <c r="C291" s="43">
        <v>5.63</v>
      </c>
      <c r="D291" s="122"/>
    </row>
    <row r="292" spans="1:4" ht="15.75" hidden="1" outlineLevel="1">
      <c r="A292" s="43" t="s">
        <v>3014</v>
      </c>
      <c r="B292" s="44" t="s">
        <v>24</v>
      </c>
      <c r="C292" s="43">
        <v>5.47</v>
      </c>
      <c r="D292" s="122"/>
    </row>
    <row r="293" spans="1:4" ht="15.75" hidden="1" outlineLevel="1">
      <c r="A293" s="43" t="s">
        <v>3014</v>
      </c>
      <c r="B293" s="44" t="s">
        <v>25</v>
      </c>
      <c r="C293" s="43">
        <v>5.48</v>
      </c>
      <c r="D293" s="122"/>
    </row>
    <row r="294" spans="1:4" ht="15.75">
      <c r="A294" s="49" t="s">
        <v>3014</v>
      </c>
      <c r="B294" s="44"/>
      <c r="C294" s="43"/>
      <c r="D294" s="122"/>
    </row>
    <row r="295" spans="1:4" ht="31.5" hidden="1" outlineLevel="1">
      <c r="A295" s="43" t="s">
        <v>3020</v>
      </c>
      <c r="B295" s="44" t="s">
        <v>0</v>
      </c>
      <c r="C295" s="43">
        <v>5.0999999999999996</v>
      </c>
      <c r="D295" s="122"/>
    </row>
    <row r="296" spans="1:4" ht="31.5" hidden="1" outlineLevel="1">
      <c r="A296" s="43" t="s">
        <v>3020</v>
      </c>
      <c r="B296" s="44" t="s">
        <v>1</v>
      </c>
      <c r="C296" s="43">
        <v>5.2</v>
      </c>
      <c r="D296" s="122"/>
    </row>
    <row r="297" spans="1:4" ht="31.5" hidden="1" outlineLevel="1">
      <c r="A297" s="43" t="s">
        <v>3020</v>
      </c>
      <c r="B297" s="44" t="s">
        <v>2</v>
      </c>
      <c r="C297" s="43">
        <v>5.3</v>
      </c>
      <c r="D297" s="122"/>
    </row>
    <row r="298" spans="1:4" ht="31.5" hidden="1" outlineLevel="1">
      <c r="A298" s="43" t="s">
        <v>3020</v>
      </c>
      <c r="B298" s="44" t="s">
        <v>1283</v>
      </c>
      <c r="C298" s="43">
        <v>5.14</v>
      </c>
      <c r="D298" s="122"/>
    </row>
    <row r="299" spans="1:4" ht="31.5" hidden="1" outlineLevel="1">
      <c r="A299" s="43" t="s">
        <v>3020</v>
      </c>
      <c r="B299" s="44" t="s">
        <v>4</v>
      </c>
      <c r="C299" s="43">
        <v>5.19</v>
      </c>
      <c r="D299" s="122"/>
    </row>
    <row r="300" spans="1:4" ht="31.5" hidden="1" outlineLevel="1">
      <c r="A300" s="43" t="s">
        <v>3020</v>
      </c>
      <c r="B300" s="44" t="s">
        <v>123</v>
      </c>
      <c r="C300" s="43">
        <v>5.24</v>
      </c>
      <c r="D300" s="122"/>
    </row>
    <row r="301" spans="1:4" ht="31.5" hidden="1" outlineLevel="1">
      <c r="A301" s="43" t="s">
        <v>3020</v>
      </c>
      <c r="B301" s="44" t="s">
        <v>5</v>
      </c>
      <c r="C301" s="43">
        <v>5.26</v>
      </c>
      <c r="D301" s="122"/>
    </row>
    <row r="302" spans="1:4" ht="31.5" hidden="1" outlineLevel="1">
      <c r="A302" s="43" t="s">
        <v>3020</v>
      </c>
      <c r="B302" s="44" t="s">
        <v>6</v>
      </c>
      <c r="C302" s="43">
        <v>5.27</v>
      </c>
      <c r="D302" s="122"/>
    </row>
    <row r="303" spans="1:4" ht="31.5" hidden="1" outlineLevel="1">
      <c r="A303" s="43" t="s">
        <v>3020</v>
      </c>
      <c r="B303" s="44" t="s">
        <v>7</v>
      </c>
      <c r="C303" s="43">
        <v>5.28</v>
      </c>
      <c r="D303" s="122"/>
    </row>
    <row r="304" spans="1:4" ht="31.5" hidden="1" outlineLevel="1">
      <c r="A304" s="43" t="s">
        <v>3020</v>
      </c>
      <c r="B304" s="44" t="s">
        <v>1343</v>
      </c>
      <c r="C304" s="43">
        <v>5.37</v>
      </c>
      <c r="D304" s="122"/>
    </row>
    <row r="305" spans="1:4" ht="31.5" hidden="1" outlineLevel="1">
      <c r="A305" s="43" t="s">
        <v>3020</v>
      </c>
      <c r="B305" s="44" t="s">
        <v>9</v>
      </c>
      <c r="C305" s="43">
        <v>5.49</v>
      </c>
      <c r="D305" s="122"/>
    </row>
    <row r="306" spans="1:4" ht="31.5" hidden="1" outlineLevel="1">
      <c r="A306" s="43" t="s">
        <v>3020</v>
      </c>
      <c r="B306" s="44" t="s">
        <v>10</v>
      </c>
      <c r="C306" s="43">
        <v>5.51</v>
      </c>
      <c r="D306" s="122"/>
    </row>
    <row r="307" spans="1:4" ht="31.5" hidden="1" outlineLevel="1">
      <c r="A307" s="43" t="s">
        <v>3020</v>
      </c>
      <c r="B307" s="44" t="s">
        <v>11</v>
      </c>
      <c r="C307" s="43">
        <v>5.53</v>
      </c>
      <c r="D307" s="122"/>
    </row>
    <row r="308" spans="1:4" ht="31.5" hidden="1" outlineLevel="1">
      <c r="A308" s="43" t="s">
        <v>3020</v>
      </c>
      <c r="B308" s="44" t="s">
        <v>12</v>
      </c>
      <c r="C308" s="43">
        <v>5.69</v>
      </c>
      <c r="D308" s="122"/>
    </row>
    <row r="309" spans="1:4" ht="31.5" hidden="1" outlineLevel="1">
      <c r="A309" s="43" t="s">
        <v>3020</v>
      </c>
      <c r="B309" s="44" t="s">
        <v>13</v>
      </c>
      <c r="C309" s="43">
        <v>5.75</v>
      </c>
      <c r="D309" s="122"/>
    </row>
    <row r="310" spans="1:4" ht="31.5" hidden="1" outlineLevel="1">
      <c r="A310" s="43" t="s">
        <v>3020</v>
      </c>
      <c r="B310" s="44" t="s">
        <v>14</v>
      </c>
      <c r="C310" s="45">
        <v>5.7</v>
      </c>
      <c r="D310" s="122"/>
    </row>
    <row r="311" spans="1:4" ht="31.5" hidden="1" outlineLevel="1">
      <c r="A311" s="43" t="s">
        <v>3020</v>
      </c>
      <c r="B311" s="44" t="s">
        <v>15</v>
      </c>
      <c r="C311" s="43">
        <v>5.74</v>
      </c>
      <c r="D311" s="122"/>
    </row>
    <row r="312" spans="1:4" ht="31.5" hidden="1" outlineLevel="1">
      <c r="A312" s="43" t="s">
        <v>3020</v>
      </c>
      <c r="B312" s="44" t="s">
        <v>17</v>
      </c>
      <c r="C312" s="43">
        <v>5.58</v>
      </c>
      <c r="D312" s="122"/>
    </row>
    <row r="313" spans="1:4" ht="31.5" hidden="1" outlineLevel="1">
      <c r="A313" s="43" t="s">
        <v>3020</v>
      </c>
      <c r="B313" s="44" t="s">
        <v>18</v>
      </c>
      <c r="C313" s="43">
        <v>5.54</v>
      </c>
      <c r="D313" s="122"/>
    </row>
    <row r="314" spans="1:4" ht="31.5" hidden="1" outlineLevel="1">
      <c r="A314" s="43" t="s">
        <v>3020</v>
      </c>
      <c r="B314" s="44" t="s">
        <v>19</v>
      </c>
      <c r="C314" s="43">
        <v>5.55</v>
      </c>
      <c r="D314" s="122"/>
    </row>
    <row r="315" spans="1:4" ht="31.5" hidden="1" outlineLevel="1">
      <c r="A315" s="43" t="s">
        <v>3020</v>
      </c>
      <c r="B315" s="44" t="s">
        <v>20</v>
      </c>
      <c r="C315" s="43">
        <v>5.63</v>
      </c>
      <c r="D315" s="122"/>
    </row>
    <row r="316" spans="1:4" ht="31.5" hidden="1" outlineLevel="1">
      <c r="A316" s="43" t="s">
        <v>3020</v>
      </c>
      <c r="B316" s="44" t="s">
        <v>21</v>
      </c>
      <c r="C316" s="43">
        <v>5.65</v>
      </c>
      <c r="D316" s="122"/>
    </row>
    <row r="317" spans="1:4" ht="31.5" hidden="1" outlineLevel="1">
      <c r="A317" s="43" t="s">
        <v>3020</v>
      </c>
      <c r="B317" s="44" t="s">
        <v>22</v>
      </c>
      <c r="C317" s="43">
        <v>5.68</v>
      </c>
      <c r="D317" s="122"/>
    </row>
    <row r="318" spans="1:4" ht="31.5" hidden="1" outlineLevel="1">
      <c r="A318" s="43" t="s">
        <v>3020</v>
      </c>
      <c r="B318" s="44" t="s">
        <v>24</v>
      </c>
      <c r="C318" s="43">
        <v>5.47</v>
      </c>
      <c r="D318" s="122"/>
    </row>
    <row r="319" spans="1:4" ht="31.5" hidden="1" outlineLevel="1">
      <c r="A319" s="43" t="s">
        <v>3020</v>
      </c>
      <c r="B319" s="44" t="s">
        <v>25</v>
      </c>
      <c r="C319" s="43">
        <v>5.48</v>
      </c>
      <c r="D319" s="122"/>
    </row>
    <row r="320" spans="1:4" ht="31.5">
      <c r="A320" s="49" t="s">
        <v>3020</v>
      </c>
      <c r="B320" s="44"/>
      <c r="C320" s="43"/>
      <c r="D320" s="122"/>
    </row>
    <row r="321" spans="1:4" ht="31.5" hidden="1" outlineLevel="1">
      <c r="A321" s="43" t="s">
        <v>3021</v>
      </c>
      <c r="B321" s="44" t="s">
        <v>0</v>
      </c>
      <c r="C321" s="43">
        <v>5.0999999999999996</v>
      </c>
      <c r="D321" s="122"/>
    </row>
    <row r="322" spans="1:4" ht="31.5" hidden="1" outlineLevel="1">
      <c r="A322" s="43" t="s">
        <v>3021</v>
      </c>
      <c r="B322" s="44" t="s">
        <v>1</v>
      </c>
      <c r="C322" s="43">
        <v>5.2</v>
      </c>
      <c r="D322" s="122"/>
    </row>
    <row r="323" spans="1:4" ht="31.5" hidden="1" outlineLevel="1">
      <c r="A323" s="43" t="s">
        <v>3021</v>
      </c>
      <c r="B323" s="44" t="s">
        <v>5</v>
      </c>
      <c r="C323" s="43">
        <v>5.26</v>
      </c>
      <c r="D323" s="122"/>
    </row>
    <row r="324" spans="1:4" ht="31.5" hidden="1" outlineLevel="1">
      <c r="A324" s="43" t="s">
        <v>3021</v>
      </c>
      <c r="B324" s="44" t="s">
        <v>1283</v>
      </c>
      <c r="C324" s="43">
        <v>5.14</v>
      </c>
      <c r="D324" s="122"/>
    </row>
    <row r="325" spans="1:4" ht="31.5" hidden="1" outlineLevel="1">
      <c r="A325" s="43" t="s">
        <v>3021</v>
      </c>
      <c r="B325" s="44" t="s">
        <v>4</v>
      </c>
      <c r="C325" s="43">
        <v>5.19</v>
      </c>
      <c r="D325" s="122"/>
    </row>
    <row r="326" spans="1:4" ht="31.5" hidden="1" outlineLevel="1">
      <c r="A326" s="43" t="s">
        <v>3021</v>
      </c>
      <c r="B326" s="44" t="s">
        <v>1343</v>
      </c>
      <c r="C326" s="43">
        <v>5.37</v>
      </c>
      <c r="D326" s="122"/>
    </row>
    <row r="327" spans="1:4" ht="31.5" hidden="1" outlineLevel="1">
      <c r="A327" s="43" t="s">
        <v>3021</v>
      </c>
      <c r="B327" s="44" t="s">
        <v>12</v>
      </c>
      <c r="C327" s="43">
        <v>5.69</v>
      </c>
      <c r="D327" s="122"/>
    </row>
    <row r="328" spans="1:4" ht="31.5" hidden="1" outlineLevel="1">
      <c r="A328" s="43" t="s">
        <v>3021</v>
      </c>
      <c r="B328" s="44" t="s">
        <v>1344</v>
      </c>
      <c r="C328" s="45">
        <v>5.8</v>
      </c>
      <c r="D328" s="122"/>
    </row>
    <row r="329" spans="1:4" ht="31.5" hidden="1" outlineLevel="1">
      <c r="A329" s="43" t="s">
        <v>3021</v>
      </c>
      <c r="B329" s="44" t="s">
        <v>13</v>
      </c>
      <c r="C329" s="43">
        <v>5.75</v>
      </c>
      <c r="D329" s="122"/>
    </row>
    <row r="330" spans="1:4" ht="31.5" hidden="1" outlineLevel="1">
      <c r="A330" s="43" t="s">
        <v>3021</v>
      </c>
      <c r="B330" s="44" t="s">
        <v>14</v>
      </c>
      <c r="C330" s="45">
        <v>5.7</v>
      </c>
      <c r="D330" s="122"/>
    </row>
    <row r="331" spans="1:4" ht="31.5" hidden="1" outlineLevel="1">
      <c r="A331" s="43" t="s">
        <v>3021</v>
      </c>
      <c r="B331" s="44" t="s">
        <v>15</v>
      </c>
      <c r="C331" s="43">
        <v>5.74</v>
      </c>
      <c r="D331" s="122"/>
    </row>
    <row r="332" spans="1:4" ht="31.5" hidden="1" outlineLevel="1">
      <c r="A332" s="43" t="s">
        <v>3021</v>
      </c>
      <c r="B332" s="44" t="s">
        <v>17</v>
      </c>
      <c r="C332" s="43">
        <v>5.58</v>
      </c>
      <c r="D332" s="122"/>
    </row>
    <row r="333" spans="1:4" ht="31.5" hidden="1" outlineLevel="1">
      <c r="A333" s="43" t="s">
        <v>3021</v>
      </c>
      <c r="B333" s="44" t="s">
        <v>19</v>
      </c>
      <c r="C333" s="43">
        <v>5.55</v>
      </c>
      <c r="D333" s="122"/>
    </row>
    <row r="334" spans="1:4" ht="31.5" hidden="1" outlineLevel="1">
      <c r="A334" s="43" t="s">
        <v>3021</v>
      </c>
      <c r="B334" s="44" t="s">
        <v>20</v>
      </c>
      <c r="C334" s="43">
        <v>5.63</v>
      </c>
      <c r="D334" s="122"/>
    </row>
    <row r="335" spans="1:4" ht="31.5" hidden="1" outlineLevel="1">
      <c r="A335" s="43" t="s">
        <v>3021</v>
      </c>
      <c r="B335" s="44" t="s">
        <v>21</v>
      </c>
      <c r="C335" s="43">
        <v>5.65</v>
      </c>
      <c r="D335" s="122"/>
    </row>
    <row r="336" spans="1:4" ht="31.5" hidden="1" outlineLevel="1">
      <c r="A336" s="43" t="s">
        <v>3021</v>
      </c>
      <c r="B336" s="44" t="s">
        <v>22</v>
      </c>
      <c r="C336" s="43">
        <v>5.68</v>
      </c>
      <c r="D336" s="122"/>
    </row>
    <row r="337" spans="1:4" ht="31.5" hidden="1" outlineLevel="1">
      <c r="A337" s="43" t="s">
        <v>3021</v>
      </c>
      <c r="B337" s="44" t="s">
        <v>24</v>
      </c>
      <c r="C337" s="43">
        <v>5.47</v>
      </c>
      <c r="D337" s="122"/>
    </row>
    <row r="338" spans="1:4" ht="31.5" hidden="1" outlineLevel="1">
      <c r="A338" s="43" t="s">
        <v>3021</v>
      </c>
      <c r="B338" s="44" t="s">
        <v>25</v>
      </c>
      <c r="C338" s="43">
        <v>5.48</v>
      </c>
      <c r="D338" s="122"/>
    </row>
    <row r="339" spans="1:4" ht="31.5">
      <c r="A339" s="49" t="s">
        <v>3021</v>
      </c>
      <c r="B339" s="44"/>
      <c r="C339" s="43"/>
      <c r="D339" s="122"/>
    </row>
    <row r="340" spans="1:4" ht="31.5" hidden="1" outlineLevel="1">
      <c r="A340" s="43" t="s">
        <v>3027</v>
      </c>
      <c r="B340" s="44" t="s">
        <v>1345</v>
      </c>
      <c r="C340" s="43">
        <v>5.0999999999999996</v>
      </c>
      <c r="D340" s="122"/>
    </row>
    <row r="341" spans="1:4" ht="31.5" hidden="1" outlineLevel="1">
      <c r="A341" s="43" t="s">
        <v>3027</v>
      </c>
      <c r="B341" s="44" t="s">
        <v>1</v>
      </c>
      <c r="C341" s="43">
        <v>5.2</v>
      </c>
      <c r="D341" s="122"/>
    </row>
    <row r="342" spans="1:4" ht="31.5" hidden="1" outlineLevel="1">
      <c r="A342" s="43" t="s">
        <v>3027</v>
      </c>
      <c r="B342" s="44" t="s">
        <v>5</v>
      </c>
      <c r="C342" s="43">
        <v>5.26</v>
      </c>
      <c r="D342" s="122"/>
    </row>
    <row r="343" spans="1:4" ht="31.5" hidden="1" outlineLevel="1">
      <c r="A343" s="43" t="s">
        <v>3027</v>
      </c>
      <c r="B343" s="44" t="s">
        <v>1346</v>
      </c>
      <c r="C343" s="43">
        <v>5.38</v>
      </c>
      <c r="D343" s="122"/>
    </row>
    <row r="344" spans="1:4" ht="31.5" hidden="1" outlineLevel="1">
      <c r="A344" s="43" t="s">
        <v>3027</v>
      </c>
      <c r="B344" s="44" t="s">
        <v>1347</v>
      </c>
      <c r="C344" s="43">
        <v>5.39</v>
      </c>
      <c r="D344" s="122"/>
    </row>
    <row r="345" spans="1:4" ht="31.5" hidden="1" outlineLevel="1">
      <c r="A345" s="43" t="s">
        <v>3027</v>
      </c>
      <c r="B345" s="44" t="s">
        <v>1348</v>
      </c>
      <c r="C345" s="45">
        <v>5.6</v>
      </c>
      <c r="D345" s="122"/>
    </row>
    <row r="346" spans="1:4" ht="31.5" hidden="1" outlineLevel="1">
      <c r="A346" s="43" t="s">
        <v>3027</v>
      </c>
      <c r="B346" s="44" t="s">
        <v>25</v>
      </c>
      <c r="C346" s="43">
        <v>5.48</v>
      </c>
      <c r="D346" s="122"/>
    </row>
    <row r="347" spans="1:4" ht="31.5">
      <c r="A347" s="49" t="s">
        <v>3027</v>
      </c>
      <c r="B347" s="44"/>
      <c r="C347" s="43"/>
      <c r="D347" s="122"/>
    </row>
    <row r="348" spans="1:4" ht="31.5" hidden="1" outlineLevel="1">
      <c r="A348" s="43" t="s">
        <v>3031</v>
      </c>
      <c r="B348" s="44" t="s">
        <v>0</v>
      </c>
      <c r="C348" s="43">
        <v>5.0999999999999996</v>
      </c>
      <c r="D348" s="122"/>
    </row>
    <row r="349" spans="1:4" ht="31.5" hidden="1" outlineLevel="1">
      <c r="A349" s="43" t="s">
        <v>3031</v>
      </c>
      <c r="B349" s="44" t="s">
        <v>1</v>
      </c>
      <c r="C349" s="43">
        <v>5.2</v>
      </c>
      <c r="D349" s="122"/>
    </row>
    <row r="350" spans="1:4" ht="31.5" hidden="1" outlineLevel="1">
      <c r="A350" s="43" t="s">
        <v>3031</v>
      </c>
      <c r="B350" s="44" t="s">
        <v>2</v>
      </c>
      <c r="C350" s="43">
        <v>5.3</v>
      </c>
      <c r="D350" s="122"/>
    </row>
    <row r="351" spans="1:4" ht="31.5" hidden="1" outlineLevel="1">
      <c r="A351" s="43" t="s">
        <v>3031</v>
      </c>
      <c r="B351" s="44" t="s">
        <v>121</v>
      </c>
      <c r="C351" s="43">
        <v>5.6</v>
      </c>
      <c r="D351" s="122"/>
    </row>
    <row r="352" spans="1:4" ht="31.5" hidden="1" outlineLevel="1">
      <c r="A352" s="43" t="s">
        <v>3031</v>
      </c>
      <c r="B352" s="44" t="s">
        <v>3259</v>
      </c>
      <c r="C352" s="45">
        <v>5.0999999999999996</v>
      </c>
      <c r="D352" s="122"/>
    </row>
    <row r="353" spans="1:4" ht="31.5" hidden="1" outlineLevel="1">
      <c r="A353" s="43" t="s">
        <v>3031</v>
      </c>
      <c r="B353" s="44" t="s">
        <v>1283</v>
      </c>
      <c r="C353" s="43">
        <v>5.14</v>
      </c>
      <c r="D353" s="122"/>
    </row>
    <row r="354" spans="1:4" ht="31.5" hidden="1" outlineLevel="1">
      <c r="A354" s="43" t="s">
        <v>3031</v>
      </c>
      <c r="B354" s="44" t="s">
        <v>4</v>
      </c>
      <c r="C354" s="43">
        <v>5.19</v>
      </c>
      <c r="D354" s="122"/>
    </row>
    <row r="355" spans="1:4" ht="31.5" hidden="1" outlineLevel="1">
      <c r="A355" s="43" t="s">
        <v>3031</v>
      </c>
      <c r="B355" s="44" t="s">
        <v>123</v>
      </c>
      <c r="C355" s="43">
        <v>5.24</v>
      </c>
      <c r="D355" s="122"/>
    </row>
    <row r="356" spans="1:4" ht="31.5" hidden="1" outlineLevel="1">
      <c r="A356" s="43" t="s">
        <v>3031</v>
      </c>
      <c r="B356" s="44" t="s">
        <v>5</v>
      </c>
      <c r="C356" s="43">
        <v>5.26</v>
      </c>
      <c r="D356" s="122"/>
    </row>
    <row r="357" spans="1:4" ht="31.5" hidden="1" outlineLevel="1">
      <c r="A357" s="43" t="s">
        <v>3031</v>
      </c>
      <c r="B357" s="44" t="s">
        <v>6</v>
      </c>
      <c r="C357" s="43">
        <v>5.27</v>
      </c>
      <c r="D357" s="122"/>
    </row>
    <row r="358" spans="1:4" ht="31.5" hidden="1" outlineLevel="1">
      <c r="A358" s="43" t="s">
        <v>3031</v>
      </c>
      <c r="B358" s="44" t="s">
        <v>7</v>
      </c>
      <c r="C358" s="43">
        <v>5.28</v>
      </c>
      <c r="D358" s="122"/>
    </row>
    <row r="359" spans="1:4" ht="31.5" hidden="1" outlineLevel="1">
      <c r="A359" s="43" t="s">
        <v>3031</v>
      </c>
      <c r="B359" s="44" t="s">
        <v>124</v>
      </c>
      <c r="C359" s="43">
        <v>5.31</v>
      </c>
      <c r="D359" s="122"/>
    </row>
    <row r="360" spans="1:4" ht="31.5" hidden="1" outlineLevel="1">
      <c r="A360" s="43" t="s">
        <v>3031</v>
      </c>
      <c r="B360" s="44" t="s">
        <v>125</v>
      </c>
      <c r="C360" s="43">
        <v>5.36</v>
      </c>
      <c r="D360" s="122"/>
    </row>
    <row r="361" spans="1:4" ht="31.5" hidden="1" outlineLevel="1">
      <c r="A361" s="43" t="s">
        <v>3031</v>
      </c>
      <c r="B361" s="44" t="s">
        <v>1343</v>
      </c>
      <c r="C361" s="43">
        <v>5.37</v>
      </c>
      <c r="D361" s="122"/>
    </row>
    <row r="362" spans="1:4" ht="31.5" hidden="1" outlineLevel="1">
      <c r="A362" s="43" t="s">
        <v>3031</v>
      </c>
      <c r="B362" s="44" t="s">
        <v>9</v>
      </c>
      <c r="C362" s="43">
        <v>5.49</v>
      </c>
      <c r="D362" s="122"/>
    </row>
    <row r="363" spans="1:4" ht="31.5" hidden="1" outlineLevel="1">
      <c r="A363" s="43" t="s">
        <v>3031</v>
      </c>
      <c r="B363" s="44" t="s">
        <v>10</v>
      </c>
      <c r="C363" s="43">
        <v>5.51</v>
      </c>
      <c r="D363" s="122"/>
    </row>
    <row r="364" spans="1:4" ht="31.5" hidden="1" outlineLevel="1">
      <c r="A364" s="43" t="s">
        <v>3031</v>
      </c>
      <c r="B364" s="44" t="s">
        <v>3260</v>
      </c>
      <c r="C364" s="43">
        <v>5.52</v>
      </c>
      <c r="D364" s="122"/>
    </row>
    <row r="365" spans="1:4" ht="31.5" hidden="1" outlineLevel="1">
      <c r="A365" s="43" t="s">
        <v>3031</v>
      </c>
      <c r="B365" s="44" t="s">
        <v>11</v>
      </c>
      <c r="C365" s="43">
        <v>5.53</v>
      </c>
      <c r="D365" s="122"/>
    </row>
    <row r="366" spans="1:4" ht="31.5" hidden="1" outlineLevel="1">
      <c r="A366" s="43" t="s">
        <v>3031</v>
      </c>
      <c r="B366" s="44" t="s">
        <v>12</v>
      </c>
      <c r="C366" s="43">
        <v>5.69</v>
      </c>
      <c r="D366" s="122"/>
    </row>
    <row r="367" spans="1:4" ht="31.5" hidden="1" outlineLevel="1">
      <c r="A367" s="43" t="s">
        <v>3031</v>
      </c>
      <c r="B367" s="44" t="s">
        <v>1344</v>
      </c>
      <c r="C367" s="45">
        <v>5.8</v>
      </c>
      <c r="D367" s="122"/>
    </row>
    <row r="368" spans="1:4" ht="31.5" hidden="1" outlineLevel="1">
      <c r="A368" s="43" t="s">
        <v>3031</v>
      </c>
      <c r="B368" s="44" t="s">
        <v>127</v>
      </c>
      <c r="C368" s="45">
        <v>5.72</v>
      </c>
      <c r="D368" s="122"/>
    </row>
    <row r="369" spans="1:4" ht="31.5" hidden="1" outlineLevel="1">
      <c r="A369" s="43" t="s">
        <v>3031</v>
      </c>
      <c r="B369" s="44" t="s">
        <v>13</v>
      </c>
      <c r="C369" s="43">
        <v>5.75</v>
      </c>
      <c r="D369" s="122"/>
    </row>
    <row r="370" spans="1:4" ht="31.5" hidden="1" outlineLevel="1">
      <c r="A370" s="43" t="s">
        <v>3031</v>
      </c>
      <c r="B370" s="44" t="s">
        <v>14</v>
      </c>
      <c r="C370" s="45">
        <v>5.7</v>
      </c>
      <c r="D370" s="122"/>
    </row>
    <row r="371" spans="1:4" ht="31.5" hidden="1" outlineLevel="1">
      <c r="A371" s="43" t="s">
        <v>3031</v>
      </c>
      <c r="B371" s="44" t="s">
        <v>15</v>
      </c>
      <c r="C371" s="43">
        <v>5.74</v>
      </c>
      <c r="D371" s="122"/>
    </row>
    <row r="372" spans="1:4" ht="31.5" hidden="1" outlineLevel="1">
      <c r="A372" s="43" t="s">
        <v>3031</v>
      </c>
      <c r="B372" s="44" t="s">
        <v>128</v>
      </c>
      <c r="C372" s="43">
        <v>5.76</v>
      </c>
      <c r="D372" s="122"/>
    </row>
    <row r="373" spans="1:4" ht="31.5" hidden="1" outlineLevel="1">
      <c r="A373" s="43" t="s">
        <v>3031</v>
      </c>
      <c r="B373" s="44" t="s">
        <v>129</v>
      </c>
      <c r="C373" s="43">
        <v>5.89</v>
      </c>
      <c r="D373" s="121" t="s">
        <v>3258</v>
      </c>
    </row>
    <row r="374" spans="1:4" ht="31.5" hidden="1" outlineLevel="1">
      <c r="A374" s="43" t="s">
        <v>3031</v>
      </c>
      <c r="B374" s="44" t="s">
        <v>1349</v>
      </c>
      <c r="C374" s="43">
        <v>5.109</v>
      </c>
      <c r="D374" s="121"/>
    </row>
    <row r="375" spans="1:4" ht="31.5" hidden="1" outlineLevel="1">
      <c r="A375" s="43" t="s">
        <v>3031</v>
      </c>
      <c r="B375" s="44" t="s">
        <v>1350</v>
      </c>
      <c r="C375" s="43">
        <v>5.1109999999999998</v>
      </c>
      <c r="D375" s="122"/>
    </row>
    <row r="376" spans="1:4" ht="31.5" hidden="1" outlineLevel="1">
      <c r="A376" s="43" t="s">
        <v>3031</v>
      </c>
      <c r="B376" s="44" t="s">
        <v>1352</v>
      </c>
      <c r="C376" s="43">
        <v>5.1120000000000001</v>
      </c>
      <c r="D376" s="122"/>
    </row>
    <row r="377" spans="1:4" ht="31.5" hidden="1" outlineLevel="1">
      <c r="A377" s="43" t="s">
        <v>3031</v>
      </c>
      <c r="B377" s="47" t="s">
        <v>3264</v>
      </c>
      <c r="C377" s="43">
        <v>5.1130000000000004</v>
      </c>
      <c r="D377" s="122"/>
    </row>
    <row r="378" spans="1:4" ht="31.5" hidden="1" outlineLevel="1">
      <c r="A378" s="43" t="s">
        <v>3031</v>
      </c>
      <c r="B378" s="44" t="s">
        <v>17</v>
      </c>
      <c r="C378" s="43">
        <v>5.58</v>
      </c>
      <c r="D378" s="122"/>
    </row>
    <row r="379" spans="1:4" ht="31.5" hidden="1" outlineLevel="1">
      <c r="A379" s="43" t="s">
        <v>3031</v>
      </c>
      <c r="B379" s="44" t="s">
        <v>18</v>
      </c>
      <c r="C379" s="43">
        <v>5.54</v>
      </c>
      <c r="D379" s="122"/>
    </row>
    <row r="380" spans="1:4" ht="31.5" hidden="1" outlineLevel="1">
      <c r="A380" s="43" t="s">
        <v>3031</v>
      </c>
      <c r="B380" s="44" t="s">
        <v>19</v>
      </c>
      <c r="C380" s="43">
        <v>5.55</v>
      </c>
      <c r="D380" s="122"/>
    </row>
    <row r="381" spans="1:4" ht="31.5" hidden="1" outlineLevel="1">
      <c r="A381" s="43" t="s">
        <v>3031</v>
      </c>
      <c r="B381" s="44" t="s">
        <v>20</v>
      </c>
      <c r="C381" s="43">
        <v>5.63</v>
      </c>
      <c r="D381" s="122"/>
    </row>
    <row r="382" spans="1:4" ht="31.5" hidden="1" outlineLevel="1">
      <c r="A382" s="43" t="s">
        <v>3031</v>
      </c>
      <c r="B382" s="44" t="s">
        <v>21</v>
      </c>
      <c r="C382" s="43">
        <v>5.65</v>
      </c>
      <c r="D382" s="122"/>
    </row>
    <row r="383" spans="1:4" ht="31.5" hidden="1" outlineLevel="1">
      <c r="A383" s="43" t="s">
        <v>3031</v>
      </c>
      <c r="B383" s="44" t="s">
        <v>130</v>
      </c>
      <c r="C383" s="43">
        <v>5.66</v>
      </c>
      <c r="D383" s="122"/>
    </row>
    <row r="384" spans="1:4" ht="31.5" hidden="1" outlineLevel="1">
      <c r="A384" s="43" t="s">
        <v>3031</v>
      </c>
      <c r="B384" s="44" t="s">
        <v>22</v>
      </c>
      <c r="C384" s="43">
        <v>5.68</v>
      </c>
      <c r="D384" s="122"/>
    </row>
    <row r="385" spans="1:4" ht="31.5" hidden="1" outlineLevel="1">
      <c r="A385" s="43" t="s">
        <v>3031</v>
      </c>
      <c r="B385" s="44" t="s">
        <v>24</v>
      </c>
      <c r="C385" s="43">
        <v>5.47</v>
      </c>
      <c r="D385" s="122"/>
    </row>
    <row r="386" spans="1:4" ht="31.5" hidden="1" outlineLevel="1">
      <c r="A386" s="43" t="s">
        <v>3031</v>
      </c>
      <c r="B386" s="44" t="s">
        <v>25</v>
      </c>
      <c r="C386" s="43">
        <v>5.48</v>
      </c>
      <c r="D386" s="122"/>
    </row>
    <row r="387" spans="1:4" ht="31.5">
      <c r="A387" s="49" t="s">
        <v>3031</v>
      </c>
      <c r="B387" s="44"/>
      <c r="C387" s="43"/>
      <c r="D387" s="122"/>
    </row>
    <row r="388" spans="1:4" ht="15.75" hidden="1" outlineLevel="1">
      <c r="A388" s="43" t="s">
        <v>3033</v>
      </c>
      <c r="B388" s="44" t="s">
        <v>0</v>
      </c>
      <c r="C388" s="43">
        <v>5.0999999999999996</v>
      </c>
      <c r="D388" s="122"/>
    </row>
    <row r="389" spans="1:4" ht="15.75" hidden="1" outlineLevel="1">
      <c r="A389" s="43" t="s">
        <v>3033</v>
      </c>
      <c r="B389" s="44" t="s">
        <v>1</v>
      </c>
      <c r="C389" s="43">
        <v>5.2</v>
      </c>
      <c r="D389" s="122"/>
    </row>
    <row r="390" spans="1:4" ht="15.75" hidden="1" outlineLevel="1">
      <c r="A390" s="43" t="s">
        <v>3033</v>
      </c>
      <c r="B390" s="44" t="s">
        <v>2</v>
      </c>
      <c r="C390" s="43">
        <v>5.3</v>
      </c>
      <c r="D390" s="122"/>
    </row>
    <row r="391" spans="1:4" ht="15.75" hidden="1" outlineLevel="1">
      <c r="A391" s="43" t="s">
        <v>3033</v>
      </c>
      <c r="B391" s="44" t="s">
        <v>121</v>
      </c>
      <c r="C391" s="43">
        <v>5.6</v>
      </c>
      <c r="D391" s="122"/>
    </row>
    <row r="392" spans="1:4" ht="15.75" hidden="1" outlineLevel="1">
      <c r="A392" s="43" t="s">
        <v>3033</v>
      </c>
      <c r="B392" s="44" t="s">
        <v>3259</v>
      </c>
      <c r="C392" s="45">
        <v>5.0999999999999996</v>
      </c>
      <c r="D392" s="122"/>
    </row>
    <row r="393" spans="1:4" ht="15.75" hidden="1" outlineLevel="1">
      <c r="A393" s="43" t="s">
        <v>3033</v>
      </c>
      <c r="B393" s="44" t="s">
        <v>1283</v>
      </c>
      <c r="C393" s="43">
        <v>5.14</v>
      </c>
      <c r="D393" s="122"/>
    </row>
    <row r="394" spans="1:4" ht="15.75" hidden="1" outlineLevel="1">
      <c r="A394" s="43" t="s">
        <v>3033</v>
      </c>
      <c r="B394" s="44" t="s">
        <v>4</v>
      </c>
      <c r="C394" s="43">
        <v>5.19</v>
      </c>
      <c r="D394" s="122"/>
    </row>
    <row r="395" spans="1:4" ht="15.75" hidden="1" outlineLevel="1">
      <c r="A395" s="43" t="s">
        <v>3033</v>
      </c>
      <c r="B395" s="44" t="s">
        <v>123</v>
      </c>
      <c r="C395" s="43">
        <v>5.24</v>
      </c>
      <c r="D395" s="122"/>
    </row>
    <row r="396" spans="1:4" ht="15.75" hidden="1" outlineLevel="1">
      <c r="A396" s="43" t="s">
        <v>3033</v>
      </c>
      <c r="B396" s="44" t="s">
        <v>5</v>
      </c>
      <c r="C396" s="43">
        <v>5.26</v>
      </c>
      <c r="D396" s="122"/>
    </row>
    <row r="397" spans="1:4" ht="15.75" hidden="1" outlineLevel="1">
      <c r="A397" s="43" t="s">
        <v>3033</v>
      </c>
      <c r="B397" s="44" t="s">
        <v>6</v>
      </c>
      <c r="C397" s="43">
        <v>5.27</v>
      </c>
      <c r="D397" s="122"/>
    </row>
    <row r="398" spans="1:4" ht="15.75" hidden="1" outlineLevel="1">
      <c r="A398" s="43" t="s">
        <v>3033</v>
      </c>
      <c r="B398" s="44" t="s">
        <v>7</v>
      </c>
      <c r="C398" s="43">
        <v>5.28</v>
      </c>
      <c r="D398" s="122"/>
    </row>
    <row r="399" spans="1:4" ht="15.75" hidden="1" outlineLevel="1">
      <c r="A399" s="43" t="s">
        <v>3033</v>
      </c>
      <c r="B399" s="44" t="s">
        <v>131</v>
      </c>
      <c r="C399" s="43">
        <v>5.29</v>
      </c>
      <c r="D399" s="122"/>
    </row>
    <row r="400" spans="1:4" ht="15.75" hidden="1" outlineLevel="1">
      <c r="A400" s="43" t="s">
        <v>3033</v>
      </c>
      <c r="B400" s="44" t="s">
        <v>124</v>
      </c>
      <c r="C400" s="43">
        <v>5.31</v>
      </c>
      <c r="D400" s="122"/>
    </row>
    <row r="401" spans="1:4" ht="15.75" hidden="1" outlineLevel="1">
      <c r="A401" s="43" t="s">
        <v>3033</v>
      </c>
      <c r="B401" s="44" t="s">
        <v>125</v>
      </c>
      <c r="C401" s="43">
        <v>5.36</v>
      </c>
      <c r="D401" s="122"/>
    </row>
    <row r="402" spans="1:4" ht="15.75" hidden="1" outlineLevel="1">
      <c r="A402" s="43" t="s">
        <v>3033</v>
      </c>
      <c r="B402" s="44" t="s">
        <v>1343</v>
      </c>
      <c r="C402" s="43">
        <v>5.37</v>
      </c>
      <c r="D402" s="122"/>
    </row>
    <row r="403" spans="1:4" ht="15.75" hidden="1" outlineLevel="1">
      <c r="A403" s="43" t="s">
        <v>3033</v>
      </c>
      <c r="B403" s="44" t="s">
        <v>9</v>
      </c>
      <c r="C403" s="43">
        <v>5.49</v>
      </c>
      <c r="D403" s="122"/>
    </row>
    <row r="404" spans="1:4" ht="15.75" hidden="1" outlineLevel="1">
      <c r="A404" s="43" t="s">
        <v>3033</v>
      </c>
      <c r="B404" s="44" t="s">
        <v>10</v>
      </c>
      <c r="C404" s="43">
        <v>5.51</v>
      </c>
      <c r="D404" s="122"/>
    </row>
    <row r="405" spans="1:4" ht="15.75" hidden="1" outlineLevel="1">
      <c r="A405" s="43" t="s">
        <v>3033</v>
      </c>
      <c r="B405" s="44" t="s">
        <v>3260</v>
      </c>
      <c r="C405" s="43">
        <v>5.52</v>
      </c>
      <c r="D405" s="122"/>
    </row>
    <row r="406" spans="1:4" ht="15.75" hidden="1" outlineLevel="1">
      <c r="A406" s="43" t="s">
        <v>3033</v>
      </c>
      <c r="B406" s="44" t="s">
        <v>11</v>
      </c>
      <c r="C406" s="43">
        <v>5.53</v>
      </c>
      <c r="D406" s="122"/>
    </row>
    <row r="407" spans="1:4" ht="15.75" hidden="1" outlineLevel="1">
      <c r="A407" s="43" t="s">
        <v>3033</v>
      </c>
      <c r="B407" s="44" t="s">
        <v>12</v>
      </c>
      <c r="C407" s="43">
        <v>5.69</v>
      </c>
      <c r="D407" s="122"/>
    </row>
    <row r="408" spans="1:4" ht="15.75" hidden="1" outlineLevel="1">
      <c r="A408" s="43" t="s">
        <v>3033</v>
      </c>
      <c r="B408" s="44" t="s">
        <v>13</v>
      </c>
      <c r="C408" s="43">
        <v>5.75</v>
      </c>
      <c r="D408" s="122"/>
    </row>
    <row r="409" spans="1:4" ht="15.75" hidden="1" outlineLevel="1">
      <c r="A409" s="43" t="s">
        <v>3033</v>
      </c>
      <c r="B409" s="44" t="s">
        <v>15</v>
      </c>
      <c r="C409" s="43">
        <v>5.74</v>
      </c>
      <c r="D409" s="122"/>
    </row>
    <row r="410" spans="1:4" ht="15.75" hidden="1" outlineLevel="1">
      <c r="A410" s="43" t="s">
        <v>3033</v>
      </c>
      <c r="B410" s="44" t="s">
        <v>14</v>
      </c>
      <c r="C410" s="45">
        <v>5.7</v>
      </c>
      <c r="D410" s="122"/>
    </row>
    <row r="411" spans="1:4" ht="15.75" hidden="1" outlineLevel="1">
      <c r="A411" s="43" t="s">
        <v>3033</v>
      </c>
      <c r="B411" s="44" t="s">
        <v>128</v>
      </c>
      <c r="C411" s="43">
        <v>5.76</v>
      </c>
      <c r="D411" s="122"/>
    </row>
    <row r="412" spans="1:4" ht="15.75" hidden="1" outlineLevel="1">
      <c r="A412" s="43" t="s">
        <v>3033</v>
      </c>
      <c r="B412" s="44" t="s">
        <v>129</v>
      </c>
      <c r="C412" s="43">
        <v>5.89</v>
      </c>
      <c r="D412" s="121" t="s">
        <v>3258</v>
      </c>
    </row>
    <row r="413" spans="1:4" ht="15.75" hidden="1" outlineLevel="1">
      <c r="A413" s="43" t="s">
        <v>3033</v>
      </c>
      <c r="B413" s="44" t="s">
        <v>1349</v>
      </c>
      <c r="C413" s="43">
        <v>5.109</v>
      </c>
      <c r="D413" s="122"/>
    </row>
    <row r="414" spans="1:4" ht="15.75" hidden="1" outlineLevel="1">
      <c r="A414" s="43" t="s">
        <v>3033</v>
      </c>
      <c r="B414" s="44" t="s">
        <v>1350</v>
      </c>
      <c r="C414" s="43">
        <v>5.1109999999999998</v>
      </c>
      <c r="D414" s="122"/>
    </row>
    <row r="415" spans="1:4" ht="15.75" hidden="1" outlineLevel="1">
      <c r="A415" s="43" t="s">
        <v>3033</v>
      </c>
      <c r="B415" s="44" t="s">
        <v>1352</v>
      </c>
      <c r="C415" s="43">
        <v>5.1120000000000001</v>
      </c>
      <c r="D415" s="122"/>
    </row>
    <row r="416" spans="1:4" ht="15.75" hidden="1" outlineLevel="1">
      <c r="A416" s="43" t="s">
        <v>3033</v>
      </c>
      <c r="B416" s="47" t="s">
        <v>3264</v>
      </c>
      <c r="C416" s="43">
        <v>5.1130000000000004</v>
      </c>
      <c r="D416" s="122"/>
    </row>
    <row r="417" spans="1:4" ht="15.75" hidden="1" outlineLevel="1">
      <c r="A417" s="43" t="s">
        <v>3033</v>
      </c>
      <c r="B417" s="44" t="s">
        <v>17</v>
      </c>
      <c r="C417" s="43">
        <v>5.58</v>
      </c>
      <c r="D417" s="122"/>
    </row>
    <row r="418" spans="1:4" ht="15.75" hidden="1" outlineLevel="1">
      <c r="A418" s="43" t="s">
        <v>3033</v>
      </c>
      <c r="B418" s="44" t="s">
        <v>18</v>
      </c>
      <c r="C418" s="43">
        <v>5.54</v>
      </c>
      <c r="D418" s="122"/>
    </row>
    <row r="419" spans="1:4" ht="15.75" hidden="1" outlineLevel="1">
      <c r="A419" s="43" t="s">
        <v>3033</v>
      </c>
      <c r="B419" s="44" t="s">
        <v>19</v>
      </c>
      <c r="C419" s="43">
        <v>5.55</v>
      </c>
      <c r="D419" s="122"/>
    </row>
    <row r="420" spans="1:4" ht="15.75" hidden="1" outlineLevel="1">
      <c r="A420" s="43" t="s">
        <v>3033</v>
      </c>
      <c r="B420" s="44" t="s">
        <v>20</v>
      </c>
      <c r="C420" s="43">
        <v>5.63</v>
      </c>
      <c r="D420" s="122"/>
    </row>
    <row r="421" spans="1:4" ht="15.75" hidden="1" outlineLevel="1">
      <c r="A421" s="43" t="s">
        <v>3033</v>
      </c>
      <c r="B421" s="44" t="s">
        <v>21</v>
      </c>
      <c r="C421" s="43">
        <v>5.65</v>
      </c>
      <c r="D421" s="122"/>
    </row>
    <row r="422" spans="1:4" ht="15.75" hidden="1" outlineLevel="1">
      <c r="A422" s="43" t="s">
        <v>3033</v>
      </c>
      <c r="B422" s="44" t="s">
        <v>130</v>
      </c>
      <c r="C422" s="43">
        <v>5.66</v>
      </c>
      <c r="D422" s="122"/>
    </row>
    <row r="423" spans="1:4" ht="15.75" hidden="1" outlineLevel="1">
      <c r="A423" s="43" t="s">
        <v>3033</v>
      </c>
      <c r="B423" s="44" t="s">
        <v>22</v>
      </c>
      <c r="C423" s="43">
        <v>5.68</v>
      </c>
      <c r="D423" s="122"/>
    </row>
    <row r="424" spans="1:4" ht="15.75" hidden="1" outlineLevel="1">
      <c r="A424" s="43" t="s">
        <v>3033</v>
      </c>
      <c r="B424" s="44" t="s">
        <v>24</v>
      </c>
      <c r="C424" s="43">
        <v>5.47</v>
      </c>
      <c r="D424" s="122"/>
    </row>
    <row r="425" spans="1:4" ht="15.75" hidden="1" outlineLevel="1">
      <c r="A425" s="43" t="s">
        <v>3033</v>
      </c>
      <c r="B425" s="44" t="s">
        <v>25</v>
      </c>
      <c r="C425" s="43">
        <v>5.48</v>
      </c>
      <c r="D425" s="122"/>
    </row>
    <row r="426" spans="1:4" ht="15.75">
      <c r="A426" s="49" t="s">
        <v>3033</v>
      </c>
      <c r="B426" s="44"/>
      <c r="C426" s="43"/>
      <c r="D426" s="122"/>
    </row>
    <row r="427" spans="1:4" ht="31.5" outlineLevel="1">
      <c r="A427" s="43" t="s">
        <v>3265</v>
      </c>
      <c r="B427" s="44" t="s">
        <v>0</v>
      </c>
      <c r="C427" s="43">
        <v>5.0999999999999996</v>
      </c>
      <c r="D427" s="122"/>
    </row>
    <row r="428" spans="1:4" ht="31.5" outlineLevel="1">
      <c r="A428" s="43" t="s">
        <v>3265</v>
      </c>
      <c r="B428" s="44" t="s">
        <v>1</v>
      </c>
      <c r="C428" s="43">
        <v>5.2</v>
      </c>
      <c r="D428" s="122"/>
    </row>
    <row r="429" spans="1:4" ht="31.5" outlineLevel="1">
      <c r="A429" s="43" t="s">
        <v>3265</v>
      </c>
      <c r="B429" s="44" t="s">
        <v>2</v>
      </c>
      <c r="C429" s="43">
        <v>5.3</v>
      </c>
      <c r="D429" s="122"/>
    </row>
    <row r="430" spans="1:4" ht="31.5" outlineLevel="1">
      <c r="A430" s="43" t="s">
        <v>3265</v>
      </c>
      <c r="B430" s="44" t="s">
        <v>121</v>
      </c>
      <c r="C430" s="43">
        <v>5.6</v>
      </c>
      <c r="D430" s="122"/>
    </row>
    <row r="431" spans="1:4" ht="31.5" outlineLevel="1">
      <c r="A431" s="43" t="s">
        <v>3265</v>
      </c>
      <c r="B431" s="44" t="s">
        <v>3259</v>
      </c>
      <c r="C431" s="45">
        <v>5.0999999999999996</v>
      </c>
      <c r="D431" s="122"/>
    </row>
    <row r="432" spans="1:4" ht="31.5" outlineLevel="1">
      <c r="A432" s="43" t="s">
        <v>3265</v>
      </c>
      <c r="B432" s="44" t="s">
        <v>1283</v>
      </c>
      <c r="C432" s="43">
        <v>5.14</v>
      </c>
      <c r="D432" s="122"/>
    </row>
    <row r="433" spans="1:4" ht="31.5" outlineLevel="1">
      <c r="A433" s="43" t="s">
        <v>3265</v>
      </c>
      <c r="B433" s="44" t="s">
        <v>4</v>
      </c>
      <c r="C433" s="43">
        <v>5.19</v>
      </c>
      <c r="D433" s="122"/>
    </row>
    <row r="434" spans="1:4" ht="31.5" outlineLevel="1">
      <c r="A434" s="43" t="s">
        <v>3265</v>
      </c>
      <c r="B434" s="44" t="s">
        <v>123</v>
      </c>
      <c r="C434" s="43">
        <v>5.24</v>
      </c>
      <c r="D434" s="122"/>
    </row>
    <row r="435" spans="1:4" ht="31.5" outlineLevel="1">
      <c r="A435" s="43" t="s">
        <v>3265</v>
      </c>
      <c r="B435" s="44" t="s">
        <v>5</v>
      </c>
      <c r="C435" s="43">
        <v>5.26</v>
      </c>
      <c r="D435" s="122"/>
    </row>
    <row r="436" spans="1:4" ht="31.5" outlineLevel="1">
      <c r="A436" s="43" t="s">
        <v>3265</v>
      </c>
      <c r="B436" s="44" t="s">
        <v>6</v>
      </c>
      <c r="C436" s="43">
        <v>5.27</v>
      </c>
      <c r="D436" s="122"/>
    </row>
    <row r="437" spans="1:4" ht="31.5" outlineLevel="1">
      <c r="A437" s="43" t="s">
        <v>3265</v>
      </c>
      <c r="B437" s="44" t="s">
        <v>7</v>
      </c>
      <c r="C437" s="43">
        <v>5.28</v>
      </c>
      <c r="D437" s="122"/>
    </row>
    <row r="438" spans="1:4" ht="31.5" outlineLevel="1">
      <c r="A438" s="43" t="s">
        <v>3265</v>
      </c>
      <c r="B438" s="44" t="s">
        <v>131</v>
      </c>
      <c r="C438" s="43">
        <v>5.29</v>
      </c>
      <c r="D438" s="122"/>
    </row>
    <row r="439" spans="1:4" ht="31.5" outlineLevel="1">
      <c r="A439" s="43" t="s">
        <v>3265</v>
      </c>
      <c r="B439" s="44" t="s">
        <v>124</v>
      </c>
      <c r="C439" s="43">
        <v>5.31</v>
      </c>
      <c r="D439" s="122"/>
    </row>
    <row r="440" spans="1:4" ht="31.5" outlineLevel="1">
      <c r="A440" s="43" t="s">
        <v>3265</v>
      </c>
      <c r="B440" s="44" t="s">
        <v>125</v>
      </c>
      <c r="C440" s="43">
        <v>5.36</v>
      </c>
      <c r="D440" s="122"/>
    </row>
    <row r="441" spans="1:4" ht="31.5" outlineLevel="1">
      <c r="A441" s="43" t="s">
        <v>3265</v>
      </c>
      <c r="B441" s="44" t="s">
        <v>1343</v>
      </c>
      <c r="C441" s="43">
        <v>5.37</v>
      </c>
      <c r="D441" s="122"/>
    </row>
    <row r="442" spans="1:4" ht="31.5" outlineLevel="1">
      <c r="A442" s="43" t="s">
        <v>3265</v>
      </c>
      <c r="B442" s="44" t="s">
        <v>11</v>
      </c>
      <c r="C442" s="43">
        <v>5.53</v>
      </c>
      <c r="D442" s="122"/>
    </row>
    <row r="443" spans="1:4" ht="31.5" outlineLevel="1">
      <c r="A443" s="43" t="s">
        <v>3265</v>
      </c>
      <c r="B443" s="44" t="s">
        <v>1349</v>
      </c>
      <c r="C443" s="43">
        <v>5.109</v>
      </c>
      <c r="D443" s="122"/>
    </row>
    <row r="444" spans="1:4" ht="31.5" outlineLevel="1">
      <c r="A444" s="43" t="s">
        <v>3265</v>
      </c>
      <c r="B444" s="44" t="s">
        <v>1350</v>
      </c>
      <c r="C444" s="43">
        <v>5.1109999999999998</v>
      </c>
      <c r="D444" s="122"/>
    </row>
    <row r="445" spans="1:4" ht="31.5" outlineLevel="1">
      <c r="A445" s="43" t="s">
        <v>3265</v>
      </c>
      <c r="B445" s="44" t="s">
        <v>1352</v>
      </c>
      <c r="C445" s="43">
        <v>5.1120000000000001</v>
      </c>
      <c r="D445" s="122"/>
    </row>
    <row r="446" spans="1:4" ht="31.5" outlineLevel="1">
      <c r="A446" s="43" t="s">
        <v>3265</v>
      </c>
      <c r="B446" s="47" t="s">
        <v>3264</v>
      </c>
      <c r="C446" s="43">
        <v>5.1130000000000004</v>
      </c>
      <c r="D446" s="122"/>
    </row>
    <row r="447" spans="1:4" ht="31.5" outlineLevel="1">
      <c r="A447" s="43" t="s">
        <v>3265</v>
      </c>
      <c r="B447" s="44" t="s">
        <v>17</v>
      </c>
      <c r="C447" s="43">
        <v>5.58</v>
      </c>
      <c r="D447" s="122"/>
    </row>
    <row r="448" spans="1:4" ht="31.5" outlineLevel="1">
      <c r="A448" s="43" t="s">
        <v>3265</v>
      </c>
      <c r="B448" s="44" t="s">
        <v>18</v>
      </c>
      <c r="C448" s="43">
        <v>5.54</v>
      </c>
      <c r="D448" s="122"/>
    </row>
    <row r="449" spans="1:4" ht="31.5" outlineLevel="1">
      <c r="A449" s="43" t="s">
        <v>3265</v>
      </c>
      <c r="B449" s="44" t="s">
        <v>19</v>
      </c>
      <c r="C449" s="43">
        <v>5.55</v>
      </c>
      <c r="D449" s="122"/>
    </row>
    <row r="450" spans="1:4" ht="31.5" outlineLevel="1">
      <c r="A450" s="43" t="s">
        <v>3265</v>
      </c>
      <c r="B450" s="44" t="s">
        <v>20</v>
      </c>
      <c r="C450" s="43">
        <v>5.63</v>
      </c>
      <c r="D450" s="122"/>
    </row>
    <row r="451" spans="1:4" ht="31.5" outlineLevel="1">
      <c r="A451" s="43" t="s">
        <v>3265</v>
      </c>
      <c r="B451" s="44" t="s">
        <v>24</v>
      </c>
      <c r="C451" s="43">
        <v>5.47</v>
      </c>
      <c r="D451" s="122"/>
    </row>
    <row r="452" spans="1:4" ht="31.5" outlineLevel="1">
      <c r="A452" s="43" t="s">
        <v>3265</v>
      </c>
      <c r="B452" s="44" t="s">
        <v>25</v>
      </c>
      <c r="C452" s="43">
        <v>5.48</v>
      </c>
      <c r="D452" s="122"/>
    </row>
    <row r="453" spans="1:4" ht="31.5">
      <c r="A453" s="49" t="s">
        <v>3265</v>
      </c>
      <c r="B453" s="44"/>
      <c r="C453" s="43"/>
      <c r="D453" s="122"/>
    </row>
    <row r="454" spans="1:4" ht="15.75" outlineLevel="1">
      <c r="A454" s="43" t="s">
        <v>2849</v>
      </c>
      <c r="B454" s="44" t="s">
        <v>0</v>
      </c>
      <c r="C454" s="43">
        <v>5.0999999999999996</v>
      </c>
      <c r="D454" s="122"/>
    </row>
    <row r="455" spans="1:4" ht="15.75" outlineLevel="1">
      <c r="A455" s="43" t="s">
        <v>2849</v>
      </c>
      <c r="B455" s="44" t="s">
        <v>1</v>
      </c>
      <c r="C455" s="43">
        <v>5.2</v>
      </c>
      <c r="D455" s="122"/>
    </row>
    <row r="456" spans="1:4" ht="15.75" outlineLevel="1">
      <c r="A456" s="43" t="s">
        <v>2849</v>
      </c>
      <c r="B456" s="44" t="s">
        <v>1593</v>
      </c>
      <c r="C456" s="43">
        <v>5.5</v>
      </c>
      <c r="D456" s="122"/>
    </row>
    <row r="457" spans="1:4" ht="15.75" outlineLevel="1">
      <c r="A457" s="43" t="s">
        <v>2849</v>
      </c>
      <c r="B457" s="44" t="s">
        <v>1594</v>
      </c>
      <c r="C457" s="43">
        <v>5.8</v>
      </c>
      <c r="D457" s="121" t="s">
        <v>3258</v>
      </c>
    </row>
    <row r="458" spans="1:4" ht="15.75" outlineLevel="1">
      <c r="A458" s="43" t="s">
        <v>2849</v>
      </c>
      <c r="B458" s="44" t="s">
        <v>1595</v>
      </c>
      <c r="C458" s="43">
        <v>5.12</v>
      </c>
      <c r="D458" s="121" t="s">
        <v>3258</v>
      </c>
    </row>
    <row r="459" spans="1:4" ht="15.75" outlineLevel="1">
      <c r="A459" s="43" t="s">
        <v>2849</v>
      </c>
      <c r="B459" s="44" t="s">
        <v>1596</v>
      </c>
      <c r="C459" s="43">
        <v>5.15</v>
      </c>
      <c r="D459" s="122"/>
    </row>
    <row r="460" spans="1:4" ht="15.75" outlineLevel="1">
      <c r="A460" s="43" t="s">
        <v>2849</v>
      </c>
      <c r="B460" s="44" t="s">
        <v>1597</v>
      </c>
      <c r="C460" s="45">
        <v>5.2</v>
      </c>
      <c r="D460" s="121"/>
    </row>
    <row r="461" spans="1:4" ht="15.75" outlineLevel="1">
      <c r="A461" s="43" t="s">
        <v>2849</v>
      </c>
      <c r="B461" s="44" t="s">
        <v>1598</v>
      </c>
      <c r="C461" s="43">
        <v>5.25</v>
      </c>
      <c r="D461" s="122"/>
    </row>
    <row r="462" spans="1:4" ht="15.75" outlineLevel="1">
      <c r="A462" s="43" t="s">
        <v>2849</v>
      </c>
      <c r="B462" s="44" t="s">
        <v>5</v>
      </c>
      <c r="C462" s="43">
        <v>5.26</v>
      </c>
      <c r="D462" s="122"/>
    </row>
    <row r="463" spans="1:4" ht="15.75" outlineLevel="1">
      <c r="A463" s="43" t="s">
        <v>2849</v>
      </c>
      <c r="B463" s="44" t="s">
        <v>1599</v>
      </c>
      <c r="C463" s="43">
        <v>5.1139999999999999</v>
      </c>
      <c r="D463" s="121" t="s">
        <v>3258</v>
      </c>
    </row>
    <row r="464" spans="1:4" ht="15.75" outlineLevel="1">
      <c r="A464" s="43" t="s">
        <v>2849</v>
      </c>
      <c r="B464" s="44" t="s">
        <v>6</v>
      </c>
      <c r="C464" s="43">
        <v>5.27</v>
      </c>
      <c r="D464" s="122"/>
    </row>
    <row r="465" spans="1:4" ht="15.75" outlineLevel="1">
      <c r="A465" s="43" t="s">
        <v>2849</v>
      </c>
      <c r="B465" s="44" t="s">
        <v>1600</v>
      </c>
      <c r="C465" s="43">
        <v>5.1150000000000002</v>
      </c>
      <c r="D465" s="121" t="s">
        <v>3258</v>
      </c>
    </row>
    <row r="466" spans="1:4" ht="15.75" outlineLevel="1">
      <c r="A466" s="43" t="s">
        <v>2849</v>
      </c>
      <c r="B466" s="44" t="s">
        <v>1601</v>
      </c>
      <c r="C466" s="43">
        <v>5.1159999999999997</v>
      </c>
      <c r="D466" s="121" t="s">
        <v>3258</v>
      </c>
    </row>
    <row r="467" spans="1:4" ht="15.75" outlineLevel="1">
      <c r="A467" s="43" t="s">
        <v>2849</v>
      </c>
      <c r="B467" s="44" t="s">
        <v>7</v>
      </c>
      <c r="C467" s="43">
        <v>5.28</v>
      </c>
      <c r="D467" s="122"/>
    </row>
    <row r="468" spans="1:4" ht="15.75" outlineLevel="1">
      <c r="A468" s="43" t="s">
        <v>2849</v>
      </c>
      <c r="B468" s="44" t="s">
        <v>125</v>
      </c>
      <c r="C468" s="43">
        <v>5.36</v>
      </c>
      <c r="D468" s="122"/>
    </row>
    <row r="469" spans="1:4" ht="15.75" outlineLevel="1">
      <c r="A469" s="43" t="s">
        <v>2849</v>
      </c>
      <c r="B469" s="44" t="s">
        <v>1343</v>
      </c>
      <c r="C469" s="43">
        <v>5.37</v>
      </c>
      <c r="D469" s="122"/>
    </row>
    <row r="470" spans="1:4" ht="15.75" outlineLevel="1">
      <c r="A470" s="43" t="s">
        <v>2849</v>
      </c>
      <c r="B470" s="44" t="s">
        <v>11</v>
      </c>
      <c r="C470" s="43">
        <v>5.53</v>
      </c>
      <c r="D470" s="122"/>
    </row>
    <row r="471" spans="1:4" ht="15.75" outlineLevel="1">
      <c r="A471" s="43" t="s">
        <v>2849</v>
      </c>
      <c r="B471" s="44" t="s">
        <v>1349</v>
      </c>
      <c r="C471" s="43">
        <v>5.109</v>
      </c>
      <c r="D471" s="122"/>
    </row>
    <row r="472" spans="1:4" ht="15.75" outlineLevel="1">
      <c r="A472" s="43" t="s">
        <v>2849</v>
      </c>
      <c r="B472" s="44" t="s">
        <v>1350</v>
      </c>
      <c r="C472" s="43">
        <v>5.1109999999999998</v>
      </c>
      <c r="D472" s="122"/>
    </row>
    <row r="473" spans="1:4" ht="15.75" outlineLevel="1">
      <c r="A473" s="43" t="s">
        <v>2849</v>
      </c>
      <c r="B473" s="44" t="s">
        <v>1352</v>
      </c>
      <c r="C473" s="43">
        <v>5.1120000000000001</v>
      </c>
      <c r="D473" s="122"/>
    </row>
    <row r="474" spans="1:4" ht="15.75" outlineLevel="1">
      <c r="A474" s="43" t="s">
        <v>2849</v>
      </c>
      <c r="B474" s="44" t="s">
        <v>18</v>
      </c>
      <c r="C474" s="43">
        <v>5.54</v>
      </c>
      <c r="D474" s="122"/>
    </row>
    <row r="475" spans="1:4" ht="15.75" outlineLevel="1">
      <c r="A475" s="43" t="s">
        <v>2849</v>
      </c>
      <c r="B475" s="44" t="s">
        <v>1602</v>
      </c>
      <c r="C475" s="43">
        <v>5.61</v>
      </c>
      <c r="D475" s="122"/>
    </row>
    <row r="476" spans="1:4" ht="15.75" outlineLevel="1">
      <c r="A476" s="43" t="s">
        <v>2849</v>
      </c>
      <c r="B476" s="44" t="s">
        <v>20</v>
      </c>
      <c r="C476" s="43">
        <v>5.63</v>
      </c>
      <c r="D476" s="122"/>
    </row>
    <row r="477" spans="1:4" ht="15.75" outlineLevel="1">
      <c r="A477" s="43" t="s">
        <v>2849</v>
      </c>
      <c r="B477" s="44" t="s">
        <v>1603</v>
      </c>
      <c r="C477" s="43">
        <v>5.46</v>
      </c>
      <c r="D477" s="122"/>
    </row>
    <row r="478" spans="1:4" ht="15.75" outlineLevel="1">
      <c r="A478" s="43" t="s">
        <v>2849</v>
      </c>
      <c r="B478" s="44" t="s">
        <v>24</v>
      </c>
      <c r="C478" s="43">
        <v>5.47</v>
      </c>
      <c r="D478" s="122"/>
    </row>
    <row r="479" spans="1:4" ht="15.75" outlineLevel="1">
      <c r="A479" s="43" t="s">
        <v>2849</v>
      </c>
      <c r="B479" s="44" t="s">
        <v>25</v>
      </c>
      <c r="C479" s="43">
        <v>5.48</v>
      </c>
      <c r="D479" s="122"/>
    </row>
    <row r="480" spans="1:4" ht="15.75">
      <c r="A480" s="49" t="s">
        <v>2849</v>
      </c>
      <c r="B480" s="44"/>
      <c r="C480" s="43"/>
      <c r="D480" s="122"/>
    </row>
    <row r="481" spans="1:4" ht="15.75" hidden="1" outlineLevel="1">
      <c r="A481" s="43" t="s">
        <v>3266</v>
      </c>
      <c r="B481" s="44" t="s">
        <v>0</v>
      </c>
      <c r="C481" s="43">
        <v>5.0999999999999996</v>
      </c>
      <c r="D481" s="122"/>
    </row>
    <row r="482" spans="1:4" ht="15.75" hidden="1" outlineLevel="1">
      <c r="A482" s="43" t="s">
        <v>3266</v>
      </c>
      <c r="B482" s="44" t="s">
        <v>1</v>
      </c>
      <c r="C482" s="43">
        <v>5.2</v>
      </c>
      <c r="D482" s="122"/>
    </row>
    <row r="483" spans="1:4" ht="15.75" hidden="1" outlineLevel="1">
      <c r="A483" s="43" t="s">
        <v>3266</v>
      </c>
      <c r="B483" s="44" t="s">
        <v>2</v>
      </c>
      <c r="C483" s="43">
        <v>5.3</v>
      </c>
      <c r="D483" s="122"/>
    </row>
    <row r="484" spans="1:4" ht="15.75" hidden="1" outlineLevel="1">
      <c r="A484" s="43" t="s">
        <v>3266</v>
      </c>
      <c r="B484" s="44" t="s">
        <v>121</v>
      </c>
      <c r="C484" s="43">
        <v>5.6</v>
      </c>
      <c r="D484" s="122"/>
    </row>
    <row r="485" spans="1:4" ht="15.75" hidden="1" outlineLevel="1">
      <c r="A485" s="43" t="s">
        <v>3266</v>
      </c>
      <c r="B485" s="44" t="s">
        <v>3259</v>
      </c>
      <c r="C485" s="45">
        <v>5.0999999999999996</v>
      </c>
      <c r="D485" s="122"/>
    </row>
    <row r="486" spans="1:4" ht="15.75" hidden="1" outlineLevel="1">
      <c r="A486" s="43" t="s">
        <v>3266</v>
      </c>
      <c r="B486" s="44" t="s">
        <v>1283</v>
      </c>
      <c r="C486" s="43">
        <v>5.14</v>
      </c>
      <c r="D486" s="122"/>
    </row>
    <row r="487" spans="1:4" ht="15.75" hidden="1" outlineLevel="1">
      <c r="A487" s="43" t="s">
        <v>3266</v>
      </c>
      <c r="B487" s="44" t="s">
        <v>4</v>
      </c>
      <c r="C487" s="43">
        <v>5.19</v>
      </c>
      <c r="D487" s="122"/>
    </row>
    <row r="488" spans="1:4" ht="15.75" hidden="1" outlineLevel="1">
      <c r="A488" s="43" t="s">
        <v>3266</v>
      </c>
      <c r="B488" s="44" t="s">
        <v>123</v>
      </c>
      <c r="C488" s="43">
        <v>5.24</v>
      </c>
      <c r="D488" s="122"/>
    </row>
    <row r="489" spans="1:4" ht="15.75" hidden="1" outlineLevel="1">
      <c r="A489" s="43" t="s">
        <v>3266</v>
      </c>
      <c r="B489" s="44" t="s">
        <v>6</v>
      </c>
      <c r="C489" s="43">
        <v>5.27</v>
      </c>
      <c r="D489" s="122"/>
    </row>
    <row r="490" spans="1:4" ht="15.75" hidden="1" outlineLevel="1">
      <c r="A490" s="43" t="s">
        <v>3266</v>
      </c>
      <c r="B490" s="44" t="s">
        <v>7</v>
      </c>
      <c r="C490" s="43">
        <v>5.28</v>
      </c>
      <c r="D490" s="122"/>
    </row>
    <row r="491" spans="1:4" ht="15.75" hidden="1" outlineLevel="1">
      <c r="A491" s="43" t="s">
        <v>3266</v>
      </c>
      <c r="B491" s="44" t="s">
        <v>131</v>
      </c>
      <c r="C491" s="43">
        <v>5.29</v>
      </c>
      <c r="D491" s="122"/>
    </row>
    <row r="492" spans="1:4" ht="15.75" hidden="1" outlineLevel="1">
      <c r="A492" s="43" t="s">
        <v>3266</v>
      </c>
      <c r="B492" s="44" t="s">
        <v>1318</v>
      </c>
      <c r="C492" s="43">
        <v>5.34</v>
      </c>
      <c r="D492" s="122"/>
    </row>
    <row r="493" spans="1:4" ht="15.75" hidden="1" outlineLevel="1">
      <c r="A493" s="43" t="s">
        <v>3266</v>
      </c>
      <c r="B493" s="44" t="s">
        <v>124</v>
      </c>
      <c r="C493" s="43">
        <v>5.31</v>
      </c>
      <c r="D493" s="122"/>
    </row>
    <row r="494" spans="1:4" ht="15.75" hidden="1" outlineLevel="1">
      <c r="A494" s="43" t="s">
        <v>3266</v>
      </c>
      <c r="B494" s="44" t="s">
        <v>1319</v>
      </c>
      <c r="C494" s="43">
        <v>5.101</v>
      </c>
      <c r="D494" s="122"/>
    </row>
    <row r="495" spans="1:4" ht="15.75" hidden="1" outlineLevel="1">
      <c r="A495" s="43" t="s">
        <v>3266</v>
      </c>
      <c r="B495" s="44" t="s">
        <v>125</v>
      </c>
      <c r="C495" s="43">
        <v>5.36</v>
      </c>
      <c r="D495" s="122"/>
    </row>
    <row r="496" spans="1:4" ht="15.75" hidden="1" outlineLevel="1">
      <c r="A496" s="43" t="s">
        <v>3266</v>
      </c>
      <c r="B496" s="44" t="s">
        <v>1343</v>
      </c>
      <c r="C496" s="43">
        <v>5.37</v>
      </c>
      <c r="D496" s="122"/>
    </row>
    <row r="497" spans="1:4" ht="15.75" hidden="1" outlineLevel="1">
      <c r="A497" s="43" t="s">
        <v>3266</v>
      </c>
      <c r="B497" s="44" t="s">
        <v>11</v>
      </c>
      <c r="C497" s="43">
        <v>5.53</v>
      </c>
      <c r="D497" s="122"/>
    </row>
    <row r="498" spans="1:4" ht="15.75" hidden="1" outlineLevel="1">
      <c r="A498" s="43" t="s">
        <v>3266</v>
      </c>
      <c r="B498" s="44" t="s">
        <v>1349</v>
      </c>
      <c r="C498" s="43">
        <v>5.109</v>
      </c>
      <c r="D498" s="122"/>
    </row>
    <row r="499" spans="1:4" ht="15.75" hidden="1" outlineLevel="1">
      <c r="A499" s="43" t="s">
        <v>3266</v>
      </c>
      <c r="B499" s="44" t="s">
        <v>1350</v>
      </c>
      <c r="C499" s="43">
        <v>5.1109999999999998</v>
      </c>
      <c r="D499" s="122"/>
    </row>
    <row r="500" spans="1:4" ht="15.75" hidden="1" outlineLevel="1">
      <c r="A500" s="43" t="s">
        <v>3266</v>
      </c>
      <c r="B500" s="44" t="s">
        <v>1352</v>
      </c>
      <c r="C500" s="43">
        <v>5.1120000000000001</v>
      </c>
      <c r="D500" s="122"/>
    </row>
    <row r="501" spans="1:4" ht="15.75" hidden="1" outlineLevel="1">
      <c r="A501" s="43" t="s">
        <v>3266</v>
      </c>
      <c r="B501" s="44" t="s">
        <v>1320</v>
      </c>
      <c r="C501" s="43">
        <v>5.1020000000000003</v>
      </c>
      <c r="D501" s="122"/>
    </row>
    <row r="502" spans="1:4" ht="15.75" hidden="1" outlineLevel="1">
      <c r="A502" s="43" t="s">
        <v>3266</v>
      </c>
      <c r="B502" s="44" t="s">
        <v>1321</v>
      </c>
      <c r="C502" s="46">
        <v>5.0999999999999996</v>
      </c>
      <c r="D502" s="122"/>
    </row>
    <row r="503" spans="1:4" ht="15.75" hidden="1" outlineLevel="1">
      <c r="A503" s="43" t="s">
        <v>3266</v>
      </c>
      <c r="B503" s="44" t="s">
        <v>17</v>
      </c>
      <c r="C503" s="43">
        <v>5.58</v>
      </c>
      <c r="D503" s="122"/>
    </row>
    <row r="504" spans="1:4" ht="15.75" hidden="1" outlineLevel="1">
      <c r="A504" s="43" t="s">
        <v>3266</v>
      </c>
      <c r="B504" s="44" t="s">
        <v>19</v>
      </c>
      <c r="C504" s="43">
        <v>5.55</v>
      </c>
      <c r="D504" s="122"/>
    </row>
    <row r="505" spans="1:4" ht="15.75" hidden="1" outlineLevel="1">
      <c r="A505" s="43" t="s">
        <v>3266</v>
      </c>
      <c r="B505" s="44" t="s">
        <v>18</v>
      </c>
      <c r="C505" s="43">
        <v>5.54</v>
      </c>
      <c r="D505" s="122"/>
    </row>
    <row r="506" spans="1:4" ht="15.75" hidden="1" outlineLevel="1">
      <c r="A506" s="43" t="s">
        <v>3266</v>
      </c>
      <c r="B506" s="44" t="s">
        <v>20</v>
      </c>
      <c r="C506" s="43">
        <v>5.63</v>
      </c>
      <c r="D506" s="122"/>
    </row>
    <row r="507" spans="1:4" ht="15.75" hidden="1" outlineLevel="1">
      <c r="A507" s="43" t="s">
        <v>3266</v>
      </c>
      <c r="B507" s="44" t="s">
        <v>24</v>
      </c>
      <c r="C507" s="43">
        <v>5.47</v>
      </c>
      <c r="D507" s="122"/>
    </row>
    <row r="508" spans="1:4" ht="15.75" hidden="1" outlineLevel="1">
      <c r="A508" s="43" t="s">
        <v>3266</v>
      </c>
      <c r="B508" s="44" t="s">
        <v>25</v>
      </c>
      <c r="C508" s="43">
        <v>5.48</v>
      </c>
      <c r="D508" s="122"/>
    </row>
    <row r="509" spans="1:4" ht="15.75">
      <c r="A509" s="49" t="s">
        <v>3266</v>
      </c>
      <c r="B509" s="44"/>
      <c r="C509" s="43"/>
      <c r="D509" s="122"/>
    </row>
    <row r="510" spans="1:4" ht="15.75" hidden="1" outlineLevel="1">
      <c r="A510" s="43" t="s">
        <v>3049</v>
      </c>
      <c r="B510" s="44" t="s">
        <v>0</v>
      </c>
      <c r="C510" s="43">
        <v>5.0999999999999996</v>
      </c>
      <c r="D510" s="122"/>
    </row>
    <row r="511" spans="1:4" ht="15.75" hidden="1" outlineLevel="1">
      <c r="A511" s="43" t="s">
        <v>3049</v>
      </c>
      <c r="B511" s="44" t="s">
        <v>1</v>
      </c>
      <c r="C511" s="43">
        <v>5.2</v>
      </c>
      <c r="D511" s="122"/>
    </row>
    <row r="512" spans="1:4" ht="15.75" hidden="1" outlineLevel="1">
      <c r="A512" s="43" t="s">
        <v>3049</v>
      </c>
      <c r="B512" s="44" t="s">
        <v>2</v>
      </c>
      <c r="C512" s="43">
        <v>5.3</v>
      </c>
      <c r="D512" s="122"/>
    </row>
    <row r="513" spans="1:4" ht="15.75" hidden="1" outlineLevel="1">
      <c r="A513" s="43" t="s">
        <v>3049</v>
      </c>
      <c r="B513" s="44" t="s">
        <v>121</v>
      </c>
      <c r="C513" s="43">
        <v>5.6</v>
      </c>
      <c r="D513" s="122"/>
    </row>
    <row r="514" spans="1:4" ht="15.75" hidden="1" outlineLevel="1">
      <c r="A514" s="43" t="s">
        <v>3049</v>
      </c>
      <c r="B514" s="44" t="s">
        <v>3259</v>
      </c>
      <c r="C514" s="45">
        <v>5.0999999999999996</v>
      </c>
      <c r="D514" s="122"/>
    </row>
    <row r="515" spans="1:4" ht="15.75" hidden="1" outlineLevel="1">
      <c r="A515" s="43" t="s">
        <v>3049</v>
      </c>
      <c r="B515" s="44" t="s">
        <v>1283</v>
      </c>
      <c r="C515" s="43">
        <v>5.14</v>
      </c>
      <c r="D515" s="122"/>
    </row>
    <row r="516" spans="1:4" ht="15.75" hidden="1" outlineLevel="1">
      <c r="A516" s="43" t="s">
        <v>3049</v>
      </c>
      <c r="B516" s="44" t="s">
        <v>4</v>
      </c>
      <c r="C516" s="43">
        <v>5.19</v>
      </c>
      <c r="D516" s="122"/>
    </row>
    <row r="517" spans="1:4" ht="15.75" hidden="1" outlineLevel="1">
      <c r="A517" s="43" t="s">
        <v>3049</v>
      </c>
      <c r="B517" s="44" t="s">
        <v>123</v>
      </c>
      <c r="C517" s="43">
        <v>5.24</v>
      </c>
      <c r="D517" s="122"/>
    </row>
    <row r="518" spans="1:4" ht="15.75" hidden="1" outlineLevel="1">
      <c r="A518" s="43" t="s">
        <v>3049</v>
      </c>
      <c r="B518" s="44" t="s">
        <v>5</v>
      </c>
      <c r="C518" s="43">
        <v>5.26</v>
      </c>
      <c r="D518" s="122"/>
    </row>
    <row r="519" spans="1:4" ht="15.75" hidden="1" outlineLevel="1">
      <c r="A519" s="43" t="s">
        <v>3049</v>
      </c>
      <c r="B519" s="44" t="s">
        <v>6</v>
      </c>
      <c r="C519" s="43">
        <v>5.27</v>
      </c>
      <c r="D519" s="122"/>
    </row>
    <row r="520" spans="1:4" ht="15.75" hidden="1" outlineLevel="1">
      <c r="A520" s="43" t="s">
        <v>3049</v>
      </c>
      <c r="B520" s="44" t="s">
        <v>7</v>
      </c>
      <c r="C520" s="43">
        <v>5.28</v>
      </c>
      <c r="D520" s="122"/>
    </row>
    <row r="521" spans="1:4" ht="15.75" hidden="1" outlineLevel="1">
      <c r="A521" s="43" t="s">
        <v>3049</v>
      </c>
      <c r="B521" s="44" t="s">
        <v>124</v>
      </c>
      <c r="C521" s="43">
        <v>5.31</v>
      </c>
      <c r="D521" s="122"/>
    </row>
    <row r="522" spans="1:4" ht="15.75" hidden="1" outlineLevel="1">
      <c r="A522" s="43" t="s">
        <v>3049</v>
      </c>
      <c r="B522" s="44" t="s">
        <v>1328</v>
      </c>
      <c r="C522" s="43">
        <v>5.33</v>
      </c>
      <c r="D522" s="122"/>
    </row>
    <row r="523" spans="1:4" ht="15.75" hidden="1" outlineLevel="1">
      <c r="A523" s="43" t="s">
        <v>3049</v>
      </c>
      <c r="B523" s="44" t="s">
        <v>1319</v>
      </c>
      <c r="C523" s="43">
        <v>5.101</v>
      </c>
      <c r="D523" s="122"/>
    </row>
    <row r="524" spans="1:4" ht="15.75" hidden="1" outlineLevel="1">
      <c r="A524" s="43" t="s">
        <v>3049</v>
      </c>
      <c r="B524" s="44" t="s">
        <v>125</v>
      </c>
      <c r="C524" s="43">
        <v>5.36</v>
      </c>
      <c r="D524" s="122"/>
    </row>
    <row r="525" spans="1:4" ht="15.75" hidden="1" outlineLevel="1">
      <c r="A525" s="43" t="s">
        <v>3049</v>
      </c>
      <c r="B525" s="44" t="s">
        <v>1343</v>
      </c>
      <c r="C525" s="43">
        <v>5.37</v>
      </c>
      <c r="D525" s="122"/>
    </row>
    <row r="526" spans="1:4" ht="15.75" hidden="1" outlineLevel="1">
      <c r="A526" s="43" t="s">
        <v>3049</v>
      </c>
      <c r="B526" s="44" t="s">
        <v>11</v>
      </c>
      <c r="C526" s="43">
        <v>5.53</v>
      </c>
      <c r="D526" s="122"/>
    </row>
    <row r="527" spans="1:4" ht="15.75" hidden="1" outlineLevel="1">
      <c r="A527" s="43" t="s">
        <v>3049</v>
      </c>
      <c r="B527" s="44" t="s">
        <v>1349</v>
      </c>
      <c r="C527" s="43">
        <v>5.109</v>
      </c>
      <c r="D527" s="122"/>
    </row>
    <row r="528" spans="1:4" ht="15.75" hidden="1" outlineLevel="1">
      <c r="A528" s="43" t="s">
        <v>3049</v>
      </c>
      <c r="B528" s="44" t="s">
        <v>1350</v>
      </c>
      <c r="C528" s="43">
        <v>5.1109999999999998</v>
      </c>
      <c r="D528" s="122"/>
    </row>
    <row r="529" spans="1:4" ht="15.75" hidden="1" outlineLevel="1">
      <c r="A529" s="43" t="s">
        <v>3049</v>
      </c>
      <c r="B529" s="44" t="s">
        <v>1352</v>
      </c>
      <c r="C529" s="43">
        <v>5.1120000000000001</v>
      </c>
      <c r="D529" s="122"/>
    </row>
    <row r="530" spans="1:4" ht="15.75" hidden="1" outlineLevel="1">
      <c r="A530" s="43" t="s">
        <v>3049</v>
      </c>
      <c r="B530" s="44" t="s">
        <v>1320</v>
      </c>
      <c r="C530" s="43">
        <v>5.1020000000000003</v>
      </c>
      <c r="D530" s="122"/>
    </row>
    <row r="531" spans="1:4" ht="15.75" hidden="1" outlineLevel="1">
      <c r="A531" s="43" t="s">
        <v>3049</v>
      </c>
      <c r="B531" s="44" t="s">
        <v>1321</v>
      </c>
      <c r="C531" s="46">
        <v>5.0999999999999996</v>
      </c>
      <c r="D531" s="122"/>
    </row>
    <row r="532" spans="1:4" ht="15.75" hidden="1" outlineLevel="1">
      <c r="A532" s="43" t="s">
        <v>3049</v>
      </c>
      <c r="B532" s="44" t="s">
        <v>17</v>
      </c>
      <c r="C532" s="43">
        <v>5.58</v>
      </c>
      <c r="D532" s="122"/>
    </row>
    <row r="533" spans="1:4" ht="15.75" hidden="1" outlineLevel="1">
      <c r="A533" s="43" t="s">
        <v>3049</v>
      </c>
      <c r="B533" s="44" t="s">
        <v>19</v>
      </c>
      <c r="C533" s="43">
        <v>5.55</v>
      </c>
      <c r="D533" s="122"/>
    </row>
    <row r="534" spans="1:4" ht="15.75" hidden="1" outlineLevel="1">
      <c r="A534" s="43" t="s">
        <v>3049</v>
      </c>
      <c r="B534" s="44" t="s">
        <v>18</v>
      </c>
      <c r="C534" s="43">
        <v>5.54</v>
      </c>
      <c r="D534" s="122"/>
    </row>
    <row r="535" spans="1:4" ht="15.75" hidden="1" outlineLevel="1">
      <c r="A535" s="43" t="s">
        <v>3049</v>
      </c>
      <c r="B535" s="44" t="s">
        <v>20</v>
      </c>
      <c r="C535" s="43">
        <v>5.63</v>
      </c>
      <c r="D535" s="122"/>
    </row>
    <row r="536" spans="1:4" ht="15.75" hidden="1" outlineLevel="1">
      <c r="A536" s="43" t="s">
        <v>3049</v>
      </c>
      <c r="B536" s="44" t="s">
        <v>24</v>
      </c>
      <c r="C536" s="43">
        <v>5.47</v>
      </c>
      <c r="D536" s="122"/>
    </row>
    <row r="537" spans="1:4" ht="15.75" hidden="1" outlineLevel="1">
      <c r="A537" s="43" t="s">
        <v>3049</v>
      </c>
      <c r="B537" s="44" t="s">
        <v>25</v>
      </c>
      <c r="C537" s="43">
        <v>5.48</v>
      </c>
      <c r="D537" s="122"/>
    </row>
    <row r="538" spans="1:4" ht="15.75">
      <c r="A538" s="49" t="s">
        <v>3049</v>
      </c>
      <c r="B538" s="44"/>
      <c r="C538" s="43"/>
      <c r="D538" s="122"/>
    </row>
    <row r="539" spans="1:4" ht="15.75" hidden="1" outlineLevel="1">
      <c r="A539" s="43" t="s">
        <v>3056</v>
      </c>
      <c r="B539" s="44" t="s">
        <v>0</v>
      </c>
      <c r="C539" s="43">
        <v>5.0999999999999996</v>
      </c>
      <c r="D539" s="122"/>
    </row>
    <row r="540" spans="1:4" ht="15.75" hidden="1" outlineLevel="1">
      <c r="A540" s="43" t="s">
        <v>3056</v>
      </c>
      <c r="B540" s="44" t="s">
        <v>1</v>
      </c>
      <c r="C540" s="43">
        <v>5.2</v>
      </c>
      <c r="D540" s="122"/>
    </row>
    <row r="541" spans="1:4" ht="15.75" hidden="1" outlineLevel="1">
      <c r="A541" s="43" t="s">
        <v>3056</v>
      </c>
      <c r="B541" s="44" t="s">
        <v>5</v>
      </c>
      <c r="C541" s="43">
        <v>5.26</v>
      </c>
      <c r="D541" s="122"/>
    </row>
    <row r="542" spans="1:4" ht="15.75" hidden="1" outlineLevel="1">
      <c r="A542" s="43" t="s">
        <v>3056</v>
      </c>
      <c r="B542" s="44" t="s">
        <v>2048</v>
      </c>
      <c r="C542" s="43">
        <v>5.21</v>
      </c>
      <c r="D542" s="122"/>
    </row>
    <row r="543" spans="1:4" ht="15.75" hidden="1" outlineLevel="1">
      <c r="A543" s="43" t="s">
        <v>3056</v>
      </c>
      <c r="B543" s="44" t="s">
        <v>2049</v>
      </c>
      <c r="C543" s="43">
        <v>5.53</v>
      </c>
      <c r="D543" s="122"/>
    </row>
    <row r="544" spans="1:4" ht="15.75" hidden="1" outlineLevel="1">
      <c r="A544" s="43" t="s">
        <v>3056</v>
      </c>
      <c r="B544" s="44" t="s">
        <v>18</v>
      </c>
      <c r="C544" s="43">
        <v>5.54</v>
      </c>
      <c r="D544" s="122"/>
    </row>
    <row r="545" spans="1:4" ht="15.75" hidden="1" outlineLevel="1">
      <c r="A545" s="43" t="s">
        <v>3056</v>
      </c>
      <c r="B545" s="44" t="s">
        <v>2050</v>
      </c>
      <c r="C545" s="43">
        <v>5.58</v>
      </c>
      <c r="D545" s="122"/>
    </row>
    <row r="546" spans="1:4" ht="15.75" hidden="1" outlineLevel="1">
      <c r="A546" s="43" t="s">
        <v>3056</v>
      </c>
      <c r="B546" s="44" t="s">
        <v>2051</v>
      </c>
      <c r="C546" s="43">
        <v>5.1180000000000003</v>
      </c>
      <c r="D546" s="122"/>
    </row>
    <row r="547" spans="1:4" ht="15.75" hidden="1" outlineLevel="1">
      <c r="A547" s="43" t="s">
        <v>3056</v>
      </c>
      <c r="B547" s="47" t="s">
        <v>2052</v>
      </c>
      <c r="C547" s="43">
        <v>5.47</v>
      </c>
      <c r="D547" s="122"/>
    </row>
    <row r="548" spans="1:4" ht="15.75" hidden="1" outlineLevel="1">
      <c r="A548" s="43" t="s">
        <v>3056</v>
      </c>
      <c r="B548" s="44" t="s">
        <v>2053</v>
      </c>
      <c r="C548" s="43">
        <v>5.48</v>
      </c>
      <c r="D548" s="122"/>
    </row>
    <row r="549" spans="1:4" ht="15.75" hidden="1" outlineLevel="1">
      <c r="A549" s="43" t="s">
        <v>3056</v>
      </c>
      <c r="B549" s="44" t="s">
        <v>2054</v>
      </c>
      <c r="C549" s="43">
        <v>5.21</v>
      </c>
      <c r="D549" s="122"/>
    </row>
    <row r="550" spans="1:4" ht="15.75" hidden="1" outlineLevel="1">
      <c r="A550" s="43" t="s">
        <v>3056</v>
      </c>
      <c r="B550" s="44" t="s">
        <v>2055</v>
      </c>
      <c r="C550" s="43">
        <v>5.53</v>
      </c>
      <c r="D550" s="122"/>
    </row>
    <row r="551" spans="1:4" ht="15.75" hidden="1" outlineLevel="1">
      <c r="A551" s="43" t="s">
        <v>3056</v>
      </c>
      <c r="B551" s="44" t="s">
        <v>18</v>
      </c>
      <c r="C551" s="43">
        <v>5.54</v>
      </c>
      <c r="D551" s="122"/>
    </row>
    <row r="552" spans="1:4" ht="15.75" hidden="1" outlineLevel="1">
      <c r="A552" s="43" t="s">
        <v>3056</v>
      </c>
      <c r="B552" s="44" t="s">
        <v>2056</v>
      </c>
      <c r="C552" s="43">
        <v>5.58</v>
      </c>
      <c r="D552" s="122"/>
    </row>
    <row r="553" spans="1:4" ht="15.75" hidden="1" outlineLevel="1">
      <c r="A553" s="43" t="s">
        <v>3056</v>
      </c>
      <c r="B553" s="44" t="s">
        <v>2057</v>
      </c>
      <c r="C553" s="43">
        <v>5.1180000000000003</v>
      </c>
      <c r="D553" s="122"/>
    </row>
    <row r="554" spans="1:4" ht="15.75" hidden="1" outlineLevel="1">
      <c r="A554" s="43" t="s">
        <v>3056</v>
      </c>
      <c r="B554" s="44" t="s">
        <v>3267</v>
      </c>
      <c r="C554" s="43">
        <v>5.47</v>
      </c>
      <c r="D554" s="122"/>
    </row>
    <row r="555" spans="1:4" ht="15.75" hidden="1" outlineLevel="1">
      <c r="A555" s="43" t="s">
        <v>3056</v>
      </c>
      <c r="B555" s="44" t="s">
        <v>3268</v>
      </c>
      <c r="C555" s="43">
        <v>5.48</v>
      </c>
      <c r="D555" s="122"/>
    </row>
    <row r="556" spans="1:4" ht="15.75" hidden="1" outlineLevel="1">
      <c r="A556" s="43" t="s">
        <v>3056</v>
      </c>
      <c r="B556" s="44" t="s">
        <v>3269</v>
      </c>
      <c r="C556" s="43">
        <v>5.63</v>
      </c>
      <c r="D556" s="122"/>
    </row>
    <row r="557" spans="1:4" ht="15.75" hidden="1" outlineLevel="1">
      <c r="A557" s="43" t="s">
        <v>3056</v>
      </c>
      <c r="B557" s="44" t="s">
        <v>6</v>
      </c>
      <c r="C557" s="43">
        <v>5.27</v>
      </c>
      <c r="D557" s="122"/>
    </row>
    <row r="558" spans="1:4" ht="15.75" hidden="1" outlineLevel="1">
      <c r="A558" s="43" t="s">
        <v>3056</v>
      </c>
      <c r="B558" s="44" t="s">
        <v>7</v>
      </c>
      <c r="C558" s="43">
        <v>5.28</v>
      </c>
      <c r="D558" s="122"/>
    </row>
    <row r="559" spans="1:4" ht="15.75" hidden="1" outlineLevel="1">
      <c r="A559" s="43" t="s">
        <v>3056</v>
      </c>
      <c r="B559" s="44" t="s">
        <v>2061</v>
      </c>
      <c r="C559" s="43">
        <v>5.35</v>
      </c>
      <c r="D559" s="122"/>
    </row>
    <row r="560" spans="1:4" ht="15.75" hidden="1" outlineLevel="1">
      <c r="A560" s="43" t="s">
        <v>3056</v>
      </c>
      <c r="B560" s="44" t="s">
        <v>2062</v>
      </c>
      <c r="C560" s="43">
        <v>5.1189999999999998</v>
      </c>
      <c r="D560" s="122"/>
    </row>
    <row r="561" spans="1:4" ht="15.75" hidden="1" outlineLevel="1">
      <c r="A561" s="43" t="s">
        <v>3056</v>
      </c>
      <c r="B561" s="44" t="s">
        <v>2063</v>
      </c>
      <c r="C561" s="46">
        <v>5.12</v>
      </c>
      <c r="D561" s="122"/>
    </row>
    <row r="562" spans="1:4" ht="15.75" hidden="1" outlineLevel="1">
      <c r="A562" s="43" t="s">
        <v>3056</v>
      </c>
      <c r="B562" s="44" t="s">
        <v>2064</v>
      </c>
      <c r="C562" s="43">
        <v>5.1210000000000004</v>
      </c>
      <c r="D562" s="122"/>
    </row>
    <row r="563" spans="1:4" ht="15.75" hidden="1" outlineLevel="1">
      <c r="A563" s="43" t="s">
        <v>3056</v>
      </c>
      <c r="B563" s="44" t="s">
        <v>125</v>
      </c>
      <c r="C563" s="43">
        <v>5.36</v>
      </c>
      <c r="D563" s="122"/>
    </row>
    <row r="564" spans="1:4" ht="15.75" hidden="1" outlineLevel="1">
      <c r="A564" s="43" t="s">
        <v>3056</v>
      </c>
      <c r="B564" s="44" t="s">
        <v>2065</v>
      </c>
      <c r="C564" s="43">
        <v>5.1219999999999999</v>
      </c>
      <c r="D564" s="122"/>
    </row>
    <row r="565" spans="1:4" ht="15.75" hidden="1" outlineLevel="1">
      <c r="A565" s="43" t="s">
        <v>3056</v>
      </c>
      <c r="B565" s="44" t="s">
        <v>2066</v>
      </c>
      <c r="C565" s="43">
        <v>5.1230000000000002</v>
      </c>
      <c r="D565" s="122"/>
    </row>
    <row r="566" spans="1:4" ht="15.75" hidden="1" outlineLevel="1">
      <c r="A566" s="43" t="s">
        <v>3056</v>
      </c>
      <c r="B566" s="44" t="s">
        <v>2067</v>
      </c>
      <c r="C566" s="43">
        <v>5.1239999999999997</v>
      </c>
      <c r="D566" s="122"/>
    </row>
    <row r="567" spans="1:4" ht="15.75" hidden="1" outlineLevel="1">
      <c r="A567" s="43" t="s">
        <v>3056</v>
      </c>
      <c r="B567" s="44" t="s">
        <v>2068</v>
      </c>
      <c r="C567" s="43">
        <v>5.125</v>
      </c>
      <c r="D567" s="122"/>
    </row>
    <row r="568" spans="1:4" ht="15.75" hidden="1" outlineLevel="1">
      <c r="A568" s="43" t="s">
        <v>3056</v>
      </c>
      <c r="B568" s="44" t="s">
        <v>2069</v>
      </c>
      <c r="C568" s="43">
        <v>5.1260000000000003</v>
      </c>
      <c r="D568" s="122"/>
    </row>
    <row r="569" spans="1:4" ht="15.75" hidden="1" outlineLevel="1">
      <c r="A569" s="43" t="s">
        <v>3056</v>
      </c>
      <c r="B569" s="44" t="s">
        <v>2070</v>
      </c>
      <c r="C569" s="43">
        <v>5.1269999999999998</v>
      </c>
      <c r="D569" s="122"/>
    </row>
    <row r="570" spans="1:4" ht="15.75" hidden="1" outlineLevel="1">
      <c r="A570" s="43" t="s">
        <v>3056</v>
      </c>
      <c r="B570" s="44" t="s">
        <v>127</v>
      </c>
      <c r="C570" s="45">
        <v>5.72</v>
      </c>
      <c r="D570" s="122"/>
    </row>
    <row r="571" spans="1:4" ht="15.75" hidden="1" outlineLevel="1">
      <c r="A571" s="43" t="s">
        <v>3056</v>
      </c>
      <c r="B571" s="44" t="s">
        <v>2071</v>
      </c>
      <c r="C571" s="43">
        <v>5.1280000000000001</v>
      </c>
      <c r="D571" s="122"/>
    </row>
    <row r="572" spans="1:4" ht="15.75" hidden="1" outlineLevel="1">
      <c r="A572" s="43" t="s">
        <v>3056</v>
      </c>
      <c r="B572" s="44" t="s">
        <v>2072</v>
      </c>
      <c r="C572" s="43">
        <v>5.1289999999999996</v>
      </c>
      <c r="D572" s="121" t="s">
        <v>3258</v>
      </c>
    </row>
    <row r="573" spans="1:4" ht="15.75" hidden="1" outlineLevel="1">
      <c r="A573" s="43" t="s">
        <v>3056</v>
      </c>
      <c r="B573" s="44" t="s">
        <v>2073</v>
      </c>
      <c r="C573" s="43">
        <v>5.1310000000000002</v>
      </c>
      <c r="D573" s="122"/>
    </row>
    <row r="574" spans="1:4" ht="15.75" hidden="1" outlineLevel="1">
      <c r="A574" s="43" t="s">
        <v>3056</v>
      </c>
      <c r="B574" s="44" t="s">
        <v>2074</v>
      </c>
      <c r="C574" s="43">
        <v>5.1319999999999997</v>
      </c>
      <c r="D574" s="121" t="s">
        <v>3258</v>
      </c>
    </row>
    <row r="575" spans="1:4" ht="15.75" hidden="1" outlineLevel="1">
      <c r="A575" s="43" t="s">
        <v>3056</v>
      </c>
      <c r="B575" s="44" t="s">
        <v>2075</v>
      </c>
      <c r="C575" s="43">
        <v>5.133</v>
      </c>
      <c r="D575" s="121" t="s">
        <v>3258</v>
      </c>
    </row>
    <row r="576" spans="1:4" ht="15.75" hidden="1" outlineLevel="1">
      <c r="A576" s="43" t="s">
        <v>3056</v>
      </c>
      <c r="B576" s="44" t="s">
        <v>2076</v>
      </c>
      <c r="C576" s="43">
        <v>5.1340000000000003</v>
      </c>
      <c r="D576" s="121" t="s">
        <v>3258</v>
      </c>
    </row>
    <row r="577" spans="1:4" ht="15.75" hidden="1" outlineLevel="1">
      <c r="A577" s="43" t="s">
        <v>3056</v>
      </c>
      <c r="B577" s="44" t="s">
        <v>2077</v>
      </c>
      <c r="C577" s="46">
        <v>5.13</v>
      </c>
      <c r="D577" s="122"/>
    </row>
    <row r="578" spans="1:4" ht="15.75" hidden="1" outlineLevel="1">
      <c r="A578" s="43" t="s">
        <v>3056</v>
      </c>
      <c r="B578" s="44" t="s">
        <v>24</v>
      </c>
      <c r="C578" s="43">
        <v>5.47</v>
      </c>
      <c r="D578" s="122"/>
    </row>
    <row r="579" spans="1:4" ht="15.75" hidden="1" outlineLevel="1">
      <c r="A579" s="43" t="s">
        <v>3056</v>
      </c>
      <c r="B579" s="44" t="s">
        <v>25</v>
      </c>
      <c r="C579" s="43">
        <v>5.48</v>
      </c>
      <c r="D579" s="122"/>
    </row>
    <row r="580" spans="1:4" ht="15.75">
      <c r="A580" s="49" t="s">
        <v>3056</v>
      </c>
      <c r="B580" s="44"/>
      <c r="C580" s="43"/>
      <c r="D580" s="122"/>
    </row>
    <row r="581" spans="1:4" ht="15.75" hidden="1" outlineLevel="1">
      <c r="A581" s="43" t="s">
        <v>3051</v>
      </c>
      <c r="B581" s="44" t="s">
        <v>0</v>
      </c>
      <c r="C581" s="43">
        <v>5.0999999999999996</v>
      </c>
      <c r="D581" s="122"/>
    </row>
    <row r="582" spans="1:4" ht="15.75" hidden="1" outlineLevel="1">
      <c r="A582" s="43" t="s">
        <v>3051</v>
      </c>
      <c r="B582" s="44" t="s">
        <v>1</v>
      </c>
      <c r="C582" s="43">
        <v>5.2</v>
      </c>
      <c r="D582" s="122"/>
    </row>
    <row r="583" spans="1:4" ht="15.75" hidden="1" outlineLevel="1">
      <c r="A583" s="43" t="s">
        <v>3051</v>
      </c>
      <c r="B583" s="44" t="s">
        <v>2112</v>
      </c>
      <c r="C583" s="43">
        <v>5.9</v>
      </c>
      <c r="D583" s="121" t="s">
        <v>3258</v>
      </c>
    </row>
    <row r="584" spans="1:4" ht="15.75" hidden="1" outlineLevel="1">
      <c r="A584" s="43" t="s">
        <v>3051</v>
      </c>
      <c r="B584" s="44" t="s">
        <v>2113</v>
      </c>
      <c r="C584" s="43">
        <v>5.13</v>
      </c>
      <c r="D584" s="121" t="s">
        <v>3258</v>
      </c>
    </row>
    <row r="585" spans="1:4" ht="15.75" hidden="1" outlineLevel="1">
      <c r="A585" s="43" t="s">
        <v>3051</v>
      </c>
      <c r="B585" s="44" t="s">
        <v>2114</v>
      </c>
      <c r="C585" s="43">
        <v>5.16</v>
      </c>
      <c r="D585" s="121" t="s">
        <v>3258</v>
      </c>
    </row>
    <row r="586" spans="1:4" ht="15.75" hidden="1" outlineLevel="1">
      <c r="A586" s="43" t="s">
        <v>3051</v>
      </c>
      <c r="B586" s="44" t="s">
        <v>2115</v>
      </c>
      <c r="C586" s="43">
        <v>5.22</v>
      </c>
      <c r="D586" s="121"/>
    </row>
    <row r="587" spans="1:4" ht="15.75" hidden="1" outlineLevel="1">
      <c r="A587" s="43" t="s">
        <v>3051</v>
      </c>
      <c r="B587" s="44" t="s">
        <v>5</v>
      </c>
      <c r="C587" s="43">
        <v>5.26</v>
      </c>
      <c r="D587" s="122"/>
    </row>
    <row r="588" spans="1:4" ht="15.75" hidden="1" outlineLevel="1">
      <c r="A588" s="43" t="s">
        <v>3051</v>
      </c>
      <c r="B588" s="44" t="s">
        <v>2116</v>
      </c>
      <c r="C588" s="43">
        <v>5.77</v>
      </c>
      <c r="D588" s="122"/>
    </row>
    <row r="589" spans="1:4" ht="15.75" hidden="1" outlineLevel="1">
      <c r="A589" s="43" t="s">
        <v>3051</v>
      </c>
      <c r="B589" s="44" t="s">
        <v>6</v>
      </c>
      <c r="C589" s="43">
        <v>5.27</v>
      </c>
      <c r="D589" s="122"/>
    </row>
    <row r="590" spans="1:4" ht="15.75" hidden="1" outlineLevel="1">
      <c r="A590" s="43" t="s">
        <v>3051</v>
      </c>
      <c r="B590" s="44" t="s">
        <v>7</v>
      </c>
      <c r="C590" s="43">
        <v>5.28</v>
      </c>
      <c r="D590" s="121" t="s">
        <v>3258</v>
      </c>
    </row>
    <row r="591" spans="1:4" ht="15.75" hidden="1" outlineLevel="1">
      <c r="A591" s="43" t="s">
        <v>3051</v>
      </c>
      <c r="B591" s="44" t="s">
        <v>124</v>
      </c>
      <c r="C591" s="43">
        <v>5.31</v>
      </c>
      <c r="D591" s="122"/>
    </row>
    <row r="592" spans="1:4" ht="15.75" hidden="1" outlineLevel="1">
      <c r="A592" s="43" t="s">
        <v>3051</v>
      </c>
      <c r="B592" s="44" t="s">
        <v>125</v>
      </c>
      <c r="C592" s="43">
        <v>5.36</v>
      </c>
      <c r="D592" s="122"/>
    </row>
    <row r="593" spans="1:4" ht="15.75" hidden="1" outlineLevel="1">
      <c r="A593" s="43" t="s">
        <v>3051</v>
      </c>
      <c r="B593" s="44" t="s">
        <v>2117</v>
      </c>
      <c r="C593" s="43">
        <v>5.78</v>
      </c>
      <c r="D593" s="122"/>
    </row>
    <row r="594" spans="1:4" ht="15.75" hidden="1" outlineLevel="1">
      <c r="A594" s="43" t="s">
        <v>3051</v>
      </c>
      <c r="B594" s="44" t="s">
        <v>2118</v>
      </c>
      <c r="C594" s="43">
        <v>5.79</v>
      </c>
      <c r="D594" s="121" t="s">
        <v>3258</v>
      </c>
    </row>
    <row r="595" spans="1:4" ht="15.75" hidden="1" outlineLevel="1">
      <c r="A595" s="43" t="s">
        <v>3051</v>
      </c>
      <c r="B595" s="44" t="s">
        <v>2119</v>
      </c>
      <c r="C595" s="43">
        <v>5.41</v>
      </c>
      <c r="D595" s="122"/>
    </row>
    <row r="596" spans="1:4" ht="15.75" hidden="1" outlineLevel="1">
      <c r="A596" s="43" t="s">
        <v>3051</v>
      </c>
      <c r="B596" s="44" t="s">
        <v>9</v>
      </c>
      <c r="C596" s="43">
        <v>5.49</v>
      </c>
      <c r="D596" s="122"/>
    </row>
    <row r="597" spans="1:4" ht="15.75" hidden="1" outlineLevel="1">
      <c r="A597" s="43" t="s">
        <v>3051</v>
      </c>
      <c r="B597" s="44" t="s">
        <v>10</v>
      </c>
      <c r="C597" s="43">
        <v>5.51</v>
      </c>
      <c r="D597" s="122"/>
    </row>
    <row r="598" spans="1:4" ht="15.75" hidden="1" outlineLevel="1">
      <c r="A598" s="43" t="s">
        <v>3051</v>
      </c>
      <c r="B598" s="44" t="s">
        <v>3270</v>
      </c>
      <c r="C598" s="43">
        <v>5.52</v>
      </c>
      <c r="D598" s="122"/>
    </row>
    <row r="599" spans="1:4" ht="15.75" hidden="1" outlineLevel="1">
      <c r="A599" s="43" t="s">
        <v>3051</v>
      </c>
      <c r="B599" s="44" t="s">
        <v>11</v>
      </c>
      <c r="C599" s="43">
        <v>5.53</v>
      </c>
      <c r="D599" s="122"/>
    </row>
    <row r="600" spans="1:4" ht="15.75" hidden="1" outlineLevel="1">
      <c r="A600" s="43" t="s">
        <v>3051</v>
      </c>
      <c r="B600" s="44" t="s">
        <v>12</v>
      </c>
      <c r="C600" s="43">
        <v>5.69</v>
      </c>
      <c r="D600" s="122"/>
    </row>
    <row r="601" spans="1:4" ht="15.75" hidden="1" outlineLevel="1">
      <c r="A601" s="43" t="s">
        <v>3051</v>
      </c>
      <c r="B601" s="44" t="s">
        <v>2121</v>
      </c>
      <c r="C601" s="43">
        <v>5.71</v>
      </c>
      <c r="D601" s="122"/>
    </row>
    <row r="602" spans="1:4" ht="15.75" hidden="1" outlineLevel="1">
      <c r="A602" s="43" t="s">
        <v>3051</v>
      </c>
      <c r="B602" s="44" t="s">
        <v>14</v>
      </c>
      <c r="C602" s="45">
        <v>5.7</v>
      </c>
      <c r="D602" s="122"/>
    </row>
    <row r="603" spans="1:4" ht="15.75" hidden="1" outlineLevel="1">
      <c r="A603" s="43" t="s">
        <v>3051</v>
      </c>
      <c r="B603" s="44" t="s">
        <v>1344</v>
      </c>
      <c r="C603" s="45">
        <v>5.8</v>
      </c>
      <c r="D603" s="121" t="s">
        <v>3258</v>
      </c>
    </row>
    <row r="604" spans="1:4" ht="15.75" hidden="1" outlineLevel="1">
      <c r="A604" s="43" t="s">
        <v>3051</v>
      </c>
      <c r="B604" s="44" t="s">
        <v>127</v>
      </c>
      <c r="C604" s="45">
        <v>5.72</v>
      </c>
      <c r="D604" s="121" t="s">
        <v>3258</v>
      </c>
    </row>
    <row r="605" spans="1:4" ht="15.75" hidden="1" outlineLevel="1">
      <c r="A605" s="43" t="s">
        <v>3051</v>
      </c>
      <c r="B605" s="44" t="s">
        <v>2122</v>
      </c>
      <c r="C605" s="43">
        <v>5.73</v>
      </c>
      <c r="D605" s="121" t="s">
        <v>3258</v>
      </c>
    </row>
    <row r="606" spans="1:4" ht="15.75" hidden="1" outlineLevel="1">
      <c r="A606" s="43" t="s">
        <v>3051</v>
      </c>
      <c r="B606" s="44" t="s">
        <v>15</v>
      </c>
      <c r="C606" s="43">
        <v>5.74</v>
      </c>
      <c r="D606" s="122"/>
    </row>
    <row r="607" spans="1:4" ht="15.75" hidden="1" outlineLevel="1">
      <c r="A607" s="43" t="s">
        <v>3051</v>
      </c>
      <c r="B607" s="44" t="s">
        <v>13</v>
      </c>
      <c r="C607" s="43">
        <v>5.75</v>
      </c>
      <c r="D607" s="122"/>
    </row>
    <row r="608" spans="1:4" ht="15.75" hidden="1" outlineLevel="1">
      <c r="A608" s="43" t="s">
        <v>3051</v>
      </c>
      <c r="B608" s="44" t="s">
        <v>128</v>
      </c>
      <c r="C608" s="43">
        <v>5.76</v>
      </c>
      <c r="D608" s="122"/>
    </row>
    <row r="609" spans="1:4" ht="15.75" hidden="1" outlineLevel="1">
      <c r="A609" s="43" t="s">
        <v>3051</v>
      </c>
      <c r="B609" s="44" t="s">
        <v>2123</v>
      </c>
      <c r="C609" s="43">
        <v>5.81</v>
      </c>
      <c r="D609" s="121" t="s">
        <v>3258</v>
      </c>
    </row>
    <row r="610" spans="1:4" ht="15.75" hidden="1" outlineLevel="1">
      <c r="A610" s="43" t="s">
        <v>3051</v>
      </c>
      <c r="B610" s="44" t="s">
        <v>2124</v>
      </c>
      <c r="C610" s="43">
        <v>5.82</v>
      </c>
      <c r="D610" s="121" t="s">
        <v>3258</v>
      </c>
    </row>
    <row r="611" spans="1:4" ht="15.75" hidden="1" outlineLevel="1">
      <c r="A611" s="43" t="s">
        <v>3051</v>
      </c>
      <c r="B611" s="44" t="s">
        <v>2125</v>
      </c>
      <c r="C611" s="43">
        <v>5.83</v>
      </c>
      <c r="D611" s="121" t="s">
        <v>3258</v>
      </c>
    </row>
    <row r="612" spans="1:4" ht="15.75" hidden="1" outlineLevel="1">
      <c r="A612" s="43" t="s">
        <v>3051</v>
      </c>
      <c r="B612" s="44" t="s">
        <v>2126</v>
      </c>
      <c r="C612" s="43">
        <v>5.84</v>
      </c>
      <c r="D612" s="122"/>
    </row>
    <row r="613" spans="1:4" ht="15.75" hidden="1" outlineLevel="1">
      <c r="A613" s="43" t="s">
        <v>3051</v>
      </c>
      <c r="B613" s="44" t="s">
        <v>2127</v>
      </c>
      <c r="C613" s="43">
        <v>5.85</v>
      </c>
      <c r="D613" s="121" t="s">
        <v>3258</v>
      </c>
    </row>
    <row r="614" spans="1:4" ht="15.75" hidden="1" outlineLevel="1">
      <c r="A614" s="43" t="s">
        <v>3051</v>
      </c>
      <c r="B614" s="44" t="s">
        <v>2128</v>
      </c>
      <c r="C614" s="43">
        <v>5.86</v>
      </c>
      <c r="D614" s="121" t="s">
        <v>3258</v>
      </c>
    </row>
    <row r="615" spans="1:4" ht="15.75" hidden="1" outlineLevel="1">
      <c r="A615" s="43" t="s">
        <v>3051</v>
      </c>
      <c r="B615" s="44" t="s">
        <v>2129</v>
      </c>
      <c r="C615" s="43">
        <v>5.88</v>
      </c>
      <c r="D615" s="121" t="s">
        <v>3258</v>
      </c>
    </row>
    <row r="616" spans="1:4" ht="15.75" hidden="1" outlineLevel="1">
      <c r="A616" s="43" t="s">
        <v>3051</v>
      </c>
      <c r="B616" s="44" t="s">
        <v>2130</v>
      </c>
      <c r="C616" s="43">
        <v>5.87</v>
      </c>
      <c r="D616" s="122"/>
    </row>
    <row r="617" spans="1:4" ht="15.75" hidden="1" outlineLevel="1">
      <c r="A617" s="43" t="s">
        <v>3051</v>
      </c>
      <c r="B617" s="44" t="s">
        <v>1349</v>
      </c>
      <c r="C617" s="43">
        <v>5.109</v>
      </c>
      <c r="D617" s="122"/>
    </row>
    <row r="618" spans="1:4" ht="15.75" hidden="1" outlineLevel="1">
      <c r="A618" s="43" t="s">
        <v>3051</v>
      </c>
      <c r="B618" s="44" t="s">
        <v>1351</v>
      </c>
      <c r="C618" s="46">
        <v>5.1100000000000003</v>
      </c>
      <c r="D618" s="121" t="s">
        <v>3258</v>
      </c>
    </row>
    <row r="619" spans="1:4" ht="15.75" hidden="1" outlineLevel="1">
      <c r="A619" s="43" t="s">
        <v>3051</v>
      </c>
      <c r="B619" s="44" t="s">
        <v>1350</v>
      </c>
      <c r="C619" s="43">
        <v>5.1109999999999998</v>
      </c>
      <c r="D619" s="122"/>
    </row>
    <row r="620" spans="1:4" ht="15.75" hidden="1" outlineLevel="1">
      <c r="A620" s="43" t="s">
        <v>3051</v>
      </c>
      <c r="B620" s="44" t="s">
        <v>1352</v>
      </c>
      <c r="C620" s="43">
        <v>5.1120000000000001</v>
      </c>
      <c r="D620" s="122"/>
    </row>
    <row r="621" spans="1:4" ht="15.75" hidden="1" outlineLevel="1">
      <c r="A621" s="43" t="s">
        <v>3051</v>
      </c>
      <c r="B621" s="44" t="s">
        <v>3264</v>
      </c>
      <c r="C621" s="43">
        <v>5.1130000000000004</v>
      </c>
      <c r="D621" s="122"/>
    </row>
    <row r="622" spans="1:4" ht="15.75" hidden="1" outlineLevel="1">
      <c r="A622" s="43" t="s">
        <v>3051</v>
      </c>
      <c r="B622" s="44" t="s">
        <v>2131</v>
      </c>
      <c r="C622" s="43">
        <v>5.99</v>
      </c>
      <c r="D622" s="121" t="s">
        <v>3258</v>
      </c>
    </row>
    <row r="623" spans="1:4" ht="15.75" hidden="1" outlineLevel="1">
      <c r="A623" s="43" t="s">
        <v>3051</v>
      </c>
      <c r="B623" s="44" t="s">
        <v>2132</v>
      </c>
      <c r="C623" s="43">
        <v>5.58</v>
      </c>
      <c r="D623" s="121"/>
    </row>
    <row r="624" spans="1:4" ht="15.75" hidden="1" outlineLevel="1">
      <c r="A624" s="43" t="s">
        <v>3051</v>
      </c>
      <c r="B624" s="44" t="s">
        <v>18</v>
      </c>
      <c r="C624" s="43">
        <v>5.54</v>
      </c>
      <c r="D624" s="122"/>
    </row>
    <row r="625" spans="1:4" ht="15.75" hidden="1" outlineLevel="1">
      <c r="A625" s="43" t="s">
        <v>3051</v>
      </c>
      <c r="B625" s="44" t="s">
        <v>2133</v>
      </c>
      <c r="C625" s="43">
        <v>5.56</v>
      </c>
      <c r="D625" s="122"/>
    </row>
    <row r="626" spans="1:4" ht="15.75" hidden="1" outlineLevel="1">
      <c r="A626" s="43" t="s">
        <v>3051</v>
      </c>
      <c r="B626" s="44" t="s">
        <v>20</v>
      </c>
      <c r="C626" s="43">
        <v>5.63</v>
      </c>
      <c r="D626" s="122"/>
    </row>
    <row r="627" spans="1:4" ht="15.75" hidden="1" outlineLevel="1">
      <c r="A627" s="43" t="s">
        <v>3051</v>
      </c>
      <c r="B627" s="44" t="s">
        <v>2134</v>
      </c>
      <c r="C627" s="43">
        <v>5.64</v>
      </c>
      <c r="D627" s="122"/>
    </row>
    <row r="628" spans="1:4" ht="15.75" hidden="1" outlineLevel="1">
      <c r="A628" s="43" t="s">
        <v>3051</v>
      </c>
      <c r="B628" s="44" t="s">
        <v>21</v>
      </c>
      <c r="C628" s="43">
        <v>5.65</v>
      </c>
      <c r="D628" s="122"/>
    </row>
    <row r="629" spans="1:4" ht="15.75" hidden="1" outlineLevel="1">
      <c r="A629" s="43" t="s">
        <v>3051</v>
      </c>
      <c r="B629" s="44" t="s">
        <v>130</v>
      </c>
      <c r="C629" s="43">
        <v>5.66</v>
      </c>
      <c r="D629" s="122"/>
    </row>
    <row r="630" spans="1:4" ht="15.75" hidden="1" outlineLevel="1">
      <c r="A630" s="43" t="s">
        <v>3051</v>
      </c>
      <c r="B630" s="44" t="s">
        <v>129</v>
      </c>
      <c r="C630" s="43">
        <v>5.89</v>
      </c>
      <c r="D630" s="121" t="s">
        <v>3258</v>
      </c>
    </row>
    <row r="631" spans="1:4" ht="15.75" hidden="1" outlineLevel="1">
      <c r="A631" s="43" t="s">
        <v>3051</v>
      </c>
      <c r="B631" s="44" t="s">
        <v>22</v>
      </c>
      <c r="C631" s="43">
        <v>5.68</v>
      </c>
      <c r="D631" s="122"/>
    </row>
    <row r="632" spans="1:4" ht="15.75" hidden="1" outlineLevel="1">
      <c r="A632" s="43" t="s">
        <v>3051</v>
      </c>
      <c r="B632" s="44" t="s">
        <v>24</v>
      </c>
      <c r="C632" s="43">
        <v>5.47</v>
      </c>
      <c r="D632" s="122"/>
    </row>
    <row r="633" spans="1:4" ht="15.75" hidden="1" outlineLevel="1">
      <c r="A633" s="43" t="s">
        <v>3051</v>
      </c>
      <c r="B633" s="44" t="s">
        <v>25</v>
      </c>
      <c r="C633" s="43">
        <v>5.48</v>
      </c>
      <c r="D633" s="122"/>
    </row>
    <row r="634" spans="1:4" ht="15.75">
      <c r="A634" s="49" t="s">
        <v>3051</v>
      </c>
      <c r="B634" s="44"/>
      <c r="C634" s="43"/>
      <c r="D634" s="122"/>
    </row>
    <row r="635" spans="1:4" ht="15.75" hidden="1" outlineLevel="1">
      <c r="A635" s="43" t="s">
        <v>3067</v>
      </c>
      <c r="B635" s="44" t="s">
        <v>0</v>
      </c>
      <c r="C635" s="43">
        <v>5.0999999999999996</v>
      </c>
      <c r="D635" s="122"/>
    </row>
    <row r="636" spans="1:4" ht="15.75" hidden="1" outlineLevel="1">
      <c r="A636" s="43" t="s">
        <v>3067</v>
      </c>
      <c r="B636" s="44" t="s">
        <v>1</v>
      </c>
      <c r="C636" s="43">
        <v>5.2</v>
      </c>
      <c r="D636" s="122"/>
    </row>
    <row r="637" spans="1:4" ht="15.75" hidden="1" outlineLevel="1">
      <c r="A637" s="43" t="s">
        <v>3067</v>
      </c>
      <c r="B637" s="44" t="s">
        <v>2</v>
      </c>
      <c r="C637" s="43">
        <v>5.3</v>
      </c>
      <c r="D637" s="122"/>
    </row>
    <row r="638" spans="1:4" ht="15.75" hidden="1" outlineLevel="1">
      <c r="A638" s="43" t="s">
        <v>3067</v>
      </c>
      <c r="B638" s="44" t="s">
        <v>121</v>
      </c>
      <c r="C638" s="43">
        <v>5.6</v>
      </c>
      <c r="D638" s="122"/>
    </row>
    <row r="639" spans="1:4" ht="15.75" hidden="1" outlineLevel="1">
      <c r="A639" s="43" t="s">
        <v>3067</v>
      </c>
      <c r="B639" s="44" t="s">
        <v>3259</v>
      </c>
      <c r="C639" s="45">
        <v>5.0999999999999996</v>
      </c>
      <c r="D639" s="122"/>
    </row>
    <row r="640" spans="1:4" ht="15.75" hidden="1" outlineLevel="1">
      <c r="A640" s="43" t="s">
        <v>3067</v>
      </c>
      <c r="B640" s="44" t="s">
        <v>1283</v>
      </c>
      <c r="C640" s="43">
        <v>5.14</v>
      </c>
      <c r="D640" s="122"/>
    </row>
    <row r="641" spans="1:4" ht="15.75" hidden="1" outlineLevel="1">
      <c r="A641" s="43" t="s">
        <v>3067</v>
      </c>
      <c r="B641" s="44" t="s">
        <v>4</v>
      </c>
      <c r="C641" s="43">
        <v>5.19</v>
      </c>
      <c r="D641" s="122"/>
    </row>
    <row r="642" spans="1:4" ht="15.75" hidden="1" outlineLevel="1">
      <c r="A642" s="43" t="s">
        <v>3067</v>
      </c>
      <c r="B642" s="44" t="s">
        <v>123</v>
      </c>
      <c r="C642" s="43">
        <v>5.24</v>
      </c>
      <c r="D642" s="122"/>
    </row>
    <row r="643" spans="1:4" ht="15.75" hidden="1" outlineLevel="1">
      <c r="A643" s="43" t="s">
        <v>3067</v>
      </c>
      <c r="B643" s="44" t="s">
        <v>5</v>
      </c>
      <c r="C643" s="43">
        <v>5.26</v>
      </c>
      <c r="D643" s="122"/>
    </row>
    <row r="644" spans="1:4" ht="15.75" hidden="1" outlineLevel="1">
      <c r="A644" s="43" t="s">
        <v>3067</v>
      </c>
      <c r="B644" s="44" t="s">
        <v>6</v>
      </c>
      <c r="C644" s="43">
        <v>5.27</v>
      </c>
      <c r="D644" s="122"/>
    </row>
    <row r="645" spans="1:4" ht="15.75" hidden="1" outlineLevel="1">
      <c r="A645" s="43" t="s">
        <v>3067</v>
      </c>
      <c r="B645" s="44" t="s">
        <v>7</v>
      </c>
      <c r="C645" s="43">
        <v>5.28</v>
      </c>
      <c r="D645" s="122"/>
    </row>
    <row r="646" spans="1:4" ht="15.75" hidden="1" outlineLevel="1">
      <c r="A646" s="43" t="s">
        <v>3067</v>
      </c>
      <c r="B646" s="44" t="s">
        <v>125</v>
      </c>
      <c r="C646" s="43">
        <v>5.36</v>
      </c>
      <c r="D646" s="122"/>
    </row>
    <row r="647" spans="1:4" ht="15.75" hidden="1" outlineLevel="1">
      <c r="A647" s="43" t="s">
        <v>3067</v>
      </c>
      <c r="B647" s="44" t="s">
        <v>1328</v>
      </c>
      <c r="C647" s="43">
        <v>5.33</v>
      </c>
      <c r="D647" s="122"/>
    </row>
    <row r="648" spans="1:4" ht="15.75" hidden="1" outlineLevel="1">
      <c r="A648" s="43" t="s">
        <v>3067</v>
      </c>
      <c r="B648" s="44" t="s">
        <v>1343</v>
      </c>
      <c r="C648" s="43">
        <v>5.37</v>
      </c>
      <c r="D648" s="122"/>
    </row>
    <row r="649" spans="1:4" ht="15.75" hidden="1" outlineLevel="1">
      <c r="A649" s="43" t="s">
        <v>3067</v>
      </c>
      <c r="B649" s="44" t="s">
        <v>9</v>
      </c>
      <c r="C649" s="43">
        <v>5.49</v>
      </c>
      <c r="D649" s="122"/>
    </row>
    <row r="650" spans="1:4" ht="15.75" hidden="1" outlineLevel="1">
      <c r="A650" s="43" t="s">
        <v>3067</v>
      </c>
      <c r="B650" s="44" t="s">
        <v>10</v>
      </c>
      <c r="C650" s="43">
        <v>5.51</v>
      </c>
      <c r="D650" s="122"/>
    </row>
    <row r="651" spans="1:4" ht="15.75" hidden="1" outlineLevel="1">
      <c r="A651" s="43" t="s">
        <v>3067</v>
      </c>
      <c r="B651" s="44" t="s">
        <v>3260</v>
      </c>
      <c r="C651" s="43">
        <v>5.52</v>
      </c>
      <c r="D651" s="122"/>
    </row>
    <row r="652" spans="1:4" ht="15.75" hidden="1" outlineLevel="1">
      <c r="A652" s="43" t="s">
        <v>3067</v>
      </c>
      <c r="B652" s="44" t="s">
        <v>11</v>
      </c>
      <c r="C652" s="43">
        <v>5.53</v>
      </c>
      <c r="D652" s="122"/>
    </row>
    <row r="653" spans="1:4" ht="15.75" hidden="1" outlineLevel="1">
      <c r="A653" s="43" t="s">
        <v>3067</v>
      </c>
      <c r="B653" s="44" t="s">
        <v>12</v>
      </c>
      <c r="C653" s="43">
        <v>5.69</v>
      </c>
      <c r="D653" s="122"/>
    </row>
    <row r="654" spans="1:4" ht="15.75" hidden="1" outlineLevel="1">
      <c r="A654" s="43" t="s">
        <v>3067</v>
      </c>
      <c r="B654" s="44" t="s">
        <v>14</v>
      </c>
      <c r="C654" s="45">
        <v>5.7</v>
      </c>
      <c r="D654" s="122"/>
    </row>
    <row r="655" spans="1:4" ht="15.75" hidden="1" outlineLevel="1">
      <c r="A655" s="43" t="s">
        <v>3067</v>
      </c>
      <c r="B655" s="44" t="s">
        <v>15</v>
      </c>
      <c r="C655" s="43">
        <v>5.74</v>
      </c>
      <c r="D655" s="122"/>
    </row>
    <row r="656" spans="1:4" ht="15.75" hidden="1" outlineLevel="1">
      <c r="A656" s="43" t="s">
        <v>3067</v>
      </c>
      <c r="B656" s="44" t="s">
        <v>1349</v>
      </c>
      <c r="C656" s="43">
        <v>5.109</v>
      </c>
      <c r="D656" s="122"/>
    </row>
    <row r="657" spans="1:4" ht="15.75" hidden="1" outlineLevel="1">
      <c r="A657" s="43" t="s">
        <v>3067</v>
      </c>
      <c r="B657" s="44" t="s">
        <v>1350</v>
      </c>
      <c r="C657" s="43">
        <v>5.1109999999999998</v>
      </c>
      <c r="D657" s="122"/>
    </row>
    <row r="658" spans="1:4" ht="15.75" hidden="1" outlineLevel="1">
      <c r="A658" s="43" t="s">
        <v>3067</v>
      </c>
      <c r="B658" s="44" t="s">
        <v>1352</v>
      </c>
      <c r="C658" s="43">
        <v>5.1120000000000001</v>
      </c>
      <c r="D658" s="122"/>
    </row>
    <row r="659" spans="1:4" ht="15.75" hidden="1" outlineLevel="1">
      <c r="A659" s="43" t="s">
        <v>3067</v>
      </c>
      <c r="B659" s="44" t="s">
        <v>17</v>
      </c>
      <c r="C659" s="43">
        <v>5.58</v>
      </c>
      <c r="D659" s="122"/>
    </row>
    <row r="660" spans="1:4" ht="15.75" hidden="1" outlineLevel="1">
      <c r="A660" s="43" t="s">
        <v>3067</v>
      </c>
      <c r="B660" s="44" t="s">
        <v>18</v>
      </c>
      <c r="C660" s="43">
        <v>5.54</v>
      </c>
      <c r="D660" s="122"/>
    </row>
    <row r="661" spans="1:4" ht="15.75" hidden="1" outlineLevel="1">
      <c r="A661" s="43" t="s">
        <v>3067</v>
      </c>
      <c r="B661" s="44" t="s">
        <v>19</v>
      </c>
      <c r="C661" s="43">
        <v>5.55</v>
      </c>
      <c r="D661" s="122"/>
    </row>
    <row r="662" spans="1:4" ht="15.75" hidden="1" outlineLevel="1">
      <c r="A662" s="43" t="s">
        <v>3067</v>
      </c>
      <c r="B662" s="44" t="s">
        <v>20</v>
      </c>
      <c r="C662" s="43">
        <v>5.63</v>
      </c>
      <c r="D662" s="122"/>
    </row>
    <row r="663" spans="1:4" ht="15.75" hidden="1" outlineLevel="1">
      <c r="A663" s="43" t="s">
        <v>3067</v>
      </c>
      <c r="B663" s="44" t="s">
        <v>24</v>
      </c>
      <c r="C663" s="43">
        <v>5.47</v>
      </c>
      <c r="D663" s="122"/>
    </row>
    <row r="664" spans="1:4" ht="15.75" hidden="1" outlineLevel="1">
      <c r="A664" s="43" t="s">
        <v>3067</v>
      </c>
      <c r="B664" s="44" t="s">
        <v>25</v>
      </c>
      <c r="C664" s="43">
        <v>5.48</v>
      </c>
      <c r="D664" s="122"/>
    </row>
    <row r="665" spans="1:4" ht="15.75">
      <c r="A665" s="49" t="s">
        <v>3067</v>
      </c>
      <c r="B665" s="44"/>
      <c r="C665" s="43"/>
      <c r="D665" s="122"/>
    </row>
    <row r="666" spans="1:4" ht="15.75" hidden="1" outlineLevel="1">
      <c r="A666" s="43" t="s">
        <v>3072</v>
      </c>
      <c r="B666" s="44" t="s">
        <v>0</v>
      </c>
      <c r="C666" s="43">
        <v>5.0999999999999996</v>
      </c>
      <c r="D666" s="122"/>
    </row>
    <row r="667" spans="1:4" ht="15.75" hidden="1" outlineLevel="1">
      <c r="A667" s="43" t="s">
        <v>3072</v>
      </c>
      <c r="B667" s="44" t="s">
        <v>1</v>
      </c>
      <c r="C667" s="43">
        <v>5.2</v>
      </c>
      <c r="D667" s="122"/>
    </row>
    <row r="668" spans="1:4" ht="15.75" hidden="1" outlineLevel="1">
      <c r="A668" s="43" t="s">
        <v>3072</v>
      </c>
      <c r="B668" s="44" t="s">
        <v>2349</v>
      </c>
      <c r="C668" s="43">
        <v>5.4</v>
      </c>
      <c r="D668" s="122"/>
    </row>
    <row r="669" spans="1:4" ht="15.75" hidden="1" outlineLevel="1">
      <c r="A669" s="43" t="s">
        <v>3072</v>
      </c>
      <c r="B669" s="44" t="s">
        <v>2350</v>
      </c>
      <c r="C669" s="43">
        <v>5.7</v>
      </c>
      <c r="D669" s="122"/>
    </row>
    <row r="670" spans="1:4" ht="15.75" hidden="1" outlineLevel="1">
      <c r="A670" s="43" t="s">
        <v>3072</v>
      </c>
      <c r="B670" s="44" t="s">
        <v>2351</v>
      </c>
      <c r="C670" s="43">
        <v>5.1100000000000003</v>
      </c>
      <c r="D670" s="122"/>
    </row>
    <row r="671" spans="1:4" ht="15.75" hidden="1" outlineLevel="1">
      <c r="A671" s="43" t="s">
        <v>3072</v>
      </c>
      <c r="B671" s="44" t="s">
        <v>5</v>
      </c>
      <c r="C671" s="43">
        <v>5.26</v>
      </c>
      <c r="D671" s="122"/>
    </row>
    <row r="672" spans="1:4" ht="15.75" hidden="1" outlineLevel="1">
      <c r="A672" s="43" t="s">
        <v>3072</v>
      </c>
      <c r="B672" s="44" t="s">
        <v>2352</v>
      </c>
      <c r="C672" s="43">
        <v>5.43</v>
      </c>
      <c r="D672" s="122"/>
    </row>
    <row r="673" spans="1:4" ht="15.75" hidden="1" outlineLevel="1">
      <c r="A673" s="43" t="s">
        <v>3072</v>
      </c>
      <c r="B673" s="44" t="s">
        <v>6</v>
      </c>
      <c r="C673" s="43">
        <v>5.27</v>
      </c>
      <c r="D673" s="122"/>
    </row>
    <row r="674" spans="1:4" ht="15.75" hidden="1" outlineLevel="1">
      <c r="A674" s="43" t="s">
        <v>3072</v>
      </c>
      <c r="B674" s="44" t="s">
        <v>7</v>
      </c>
      <c r="C674" s="43">
        <v>5.28</v>
      </c>
      <c r="D674" s="122"/>
    </row>
    <row r="675" spans="1:4" ht="15.75" hidden="1" outlineLevel="1">
      <c r="A675" s="43" t="s">
        <v>3072</v>
      </c>
      <c r="B675" s="44" t="s">
        <v>125</v>
      </c>
      <c r="C675" s="43">
        <v>5.36</v>
      </c>
      <c r="D675" s="122"/>
    </row>
    <row r="676" spans="1:4" ht="15.75" hidden="1" outlineLevel="1">
      <c r="A676" s="43" t="s">
        <v>3072</v>
      </c>
      <c r="B676" s="44" t="s">
        <v>2353</v>
      </c>
      <c r="C676" s="45">
        <v>5.5</v>
      </c>
      <c r="D676" s="122"/>
    </row>
    <row r="677" spans="1:4" ht="15.75" hidden="1" outlineLevel="1">
      <c r="A677" s="43" t="s">
        <v>3072</v>
      </c>
      <c r="B677" s="44" t="s">
        <v>10</v>
      </c>
      <c r="C677" s="43">
        <v>5.51</v>
      </c>
      <c r="D677" s="122"/>
    </row>
    <row r="678" spans="1:4" ht="15.75" hidden="1" outlineLevel="1">
      <c r="A678" s="43" t="s">
        <v>3072</v>
      </c>
      <c r="B678" s="44" t="s">
        <v>11</v>
      </c>
      <c r="C678" s="43">
        <v>5.53</v>
      </c>
      <c r="D678" s="122"/>
    </row>
    <row r="679" spans="1:4" ht="15.75" hidden="1" outlineLevel="1">
      <c r="A679" s="43" t="s">
        <v>3072</v>
      </c>
      <c r="B679" s="44" t="s">
        <v>12</v>
      </c>
      <c r="C679" s="43">
        <v>5.69</v>
      </c>
      <c r="D679" s="122"/>
    </row>
    <row r="680" spans="1:4" ht="15.75" hidden="1" outlineLevel="1">
      <c r="A680" s="43" t="s">
        <v>3072</v>
      </c>
      <c r="B680" s="44" t="s">
        <v>14</v>
      </c>
      <c r="C680" s="45">
        <v>5.7</v>
      </c>
      <c r="D680" s="121" t="s">
        <v>3258</v>
      </c>
    </row>
    <row r="681" spans="1:4" ht="15.75" hidden="1" outlineLevel="1">
      <c r="A681" s="43" t="s">
        <v>3072</v>
      </c>
      <c r="B681" s="44" t="s">
        <v>15</v>
      </c>
      <c r="C681" s="43">
        <v>5.74</v>
      </c>
      <c r="D681" s="122"/>
    </row>
    <row r="682" spans="1:4" ht="15.75" hidden="1" outlineLevel="1">
      <c r="A682" s="43" t="s">
        <v>3072</v>
      </c>
      <c r="B682" s="44" t="s">
        <v>2354</v>
      </c>
      <c r="C682" s="43">
        <v>5.59</v>
      </c>
      <c r="D682" s="122"/>
    </row>
    <row r="683" spans="1:4" ht="15.75" hidden="1" outlineLevel="1">
      <c r="A683" s="43" t="s">
        <v>3072</v>
      </c>
      <c r="B683" s="44" t="s">
        <v>18</v>
      </c>
      <c r="C683" s="43">
        <v>5.54</v>
      </c>
      <c r="D683" s="122"/>
    </row>
    <row r="684" spans="1:4" ht="15.75" hidden="1" outlineLevel="1">
      <c r="A684" s="43" t="s">
        <v>3072</v>
      </c>
      <c r="B684" s="44" t="s">
        <v>2355</v>
      </c>
      <c r="C684" s="43">
        <v>5.57</v>
      </c>
      <c r="D684" s="122"/>
    </row>
    <row r="685" spans="1:4" ht="15.75" hidden="1" outlineLevel="1">
      <c r="A685" s="43" t="s">
        <v>3072</v>
      </c>
      <c r="B685" s="44" t="s">
        <v>20</v>
      </c>
      <c r="C685" s="43">
        <v>5.63</v>
      </c>
      <c r="D685" s="122"/>
    </row>
    <row r="686" spans="1:4" ht="15.75" hidden="1" outlineLevel="1">
      <c r="A686" s="43" t="s">
        <v>3072</v>
      </c>
      <c r="B686" s="44" t="s">
        <v>24</v>
      </c>
      <c r="C686" s="43">
        <v>5.47</v>
      </c>
      <c r="D686" s="122"/>
    </row>
    <row r="687" spans="1:4" ht="15.75" hidden="1" outlineLevel="1">
      <c r="A687" s="43" t="s">
        <v>3072</v>
      </c>
      <c r="B687" s="44" t="s">
        <v>25</v>
      </c>
      <c r="C687" s="43">
        <v>5.48</v>
      </c>
      <c r="D687" s="122"/>
    </row>
    <row r="688" spans="1:4" ht="15.75">
      <c r="A688" s="49" t="s">
        <v>3072</v>
      </c>
      <c r="B688" s="44"/>
      <c r="C688" s="43"/>
      <c r="D688" s="122"/>
    </row>
    <row r="689" spans="1:4" ht="15.75" hidden="1" outlineLevel="1">
      <c r="A689" s="43" t="s">
        <v>3075</v>
      </c>
      <c r="B689" s="44" t="s">
        <v>0</v>
      </c>
      <c r="C689" s="43">
        <v>5.0999999999999996</v>
      </c>
      <c r="D689" s="122"/>
    </row>
    <row r="690" spans="1:4" ht="15.75" hidden="1" outlineLevel="1">
      <c r="A690" s="43" t="s">
        <v>3075</v>
      </c>
      <c r="B690" s="44" t="s">
        <v>1</v>
      </c>
      <c r="C690" s="43">
        <v>5.2</v>
      </c>
      <c r="D690" s="122"/>
    </row>
    <row r="691" spans="1:4" ht="15.75" hidden="1" outlineLevel="1">
      <c r="A691" s="43" t="s">
        <v>3075</v>
      </c>
      <c r="B691" s="44" t="s">
        <v>2360</v>
      </c>
      <c r="C691" s="43">
        <v>5.17</v>
      </c>
      <c r="D691" s="122"/>
    </row>
    <row r="692" spans="1:4" ht="15.75" hidden="1" outlineLevel="1">
      <c r="A692" s="43" t="s">
        <v>3075</v>
      </c>
      <c r="B692" s="44" t="s">
        <v>5</v>
      </c>
      <c r="C692" s="43">
        <v>5.26</v>
      </c>
      <c r="D692" s="122"/>
    </row>
    <row r="693" spans="1:4" ht="15.75" hidden="1" outlineLevel="1">
      <c r="A693" s="43" t="s">
        <v>3075</v>
      </c>
      <c r="B693" s="44" t="s">
        <v>2361</v>
      </c>
      <c r="C693" s="43">
        <v>5.1029999999999998</v>
      </c>
      <c r="D693" s="122"/>
    </row>
    <row r="694" spans="1:4" ht="15.75" hidden="1" outlineLevel="1">
      <c r="A694" s="43" t="s">
        <v>3075</v>
      </c>
      <c r="B694" s="44" t="s">
        <v>125</v>
      </c>
      <c r="C694" s="43">
        <v>5.36</v>
      </c>
      <c r="D694" s="122"/>
    </row>
    <row r="695" spans="1:4" ht="15.75" hidden="1" outlineLevel="1">
      <c r="A695" s="43" t="s">
        <v>3075</v>
      </c>
      <c r="B695" s="44" t="s">
        <v>1343</v>
      </c>
      <c r="C695" s="43">
        <v>5.37</v>
      </c>
      <c r="D695" s="122"/>
    </row>
    <row r="696" spans="1:4" ht="15.75" hidden="1" outlineLevel="1">
      <c r="A696" s="43" t="s">
        <v>3075</v>
      </c>
      <c r="B696" s="44" t="s">
        <v>2362</v>
      </c>
      <c r="C696" s="43">
        <v>5.1040000000000001</v>
      </c>
      <c r="D696" s="122"/>
    </row>
    <row r="697" spans="1:4" ht="15.75" hidden="1" outlineLevel="1">
      <c r="A697" s="43" t="s">
        <v>3075</v>
      </c>
      <c r="B697" s="44" t="s">
        <v>2363</v>
      </c>
      <c r="C697" s="43">
        <v>5.1050000000000004</v>
      </c>
      <c r="D697" s="122"/>
    </row>
    <row r="698" spans="1:4" ht="15.75" hidden="1" outlineLevel="1">
      <c r="A698" s="43" t="s">
        <v>3075</v>
      </c>
      <c r="B698" s="44" t="s">
        <v>2364</v>
      </c>
      <c r="C698" s="43">
        <v>5.1059999999999999</v>
      </c>
      <c r="D698" s="122"/>
    </row>
    <row r="699" spans="1:4" ht="15.75" hidden="1" outlineLevel="1">
      <c r="A699" s="43" t="s">
        <v>3075</v>
      </c>
      <c r="B699" s="44" t="s">
        <v>2365</v>
      </c>
      <c r="C699" s="43">
        <v>5.1070000000000002</v>
      </c>
      <c r="D699" s="122"/>
    </row>
    <row r="700" spans="1:4" ht="15.75" hidden="1" outlineLevel="1">
      <c r="A700" s="43" t="s">
        <v>3075</v>
      </c>
      <c r="B700" s="44" t="s">
        <v>2928</v>
      </c>
      <c r="C700" s="43">
        <v>5.1079999999999997</v>
      </c>
      <c r="D700" s="121" t="s">
        <v>3258</v>
      </c>
    </row>
    <row r="701" spans="1:4" ht="15.75" hidden="1" outlineLevel="1">
      <c r="A701" s="43" t="s">
        <v>3075</v>
      </c>
      <c r="B701" s="44" t="s">
        <v>1349</v>
      </c>
      <c r="C701" s="43">
        <v>5.109</v>
      </c>
      <c r="D701" s="122"/>
    </row>
    <row r="702" spans="1:4" ht="15.75" hidden="1" outlineLevel="1">
      <c r="A702" s="43" t="s">
        <v>3075</v>
      </c>
      <c r="B702" s="44" t="s">
        <v>1351</v>
      </c>
      <c r="C702" s="46">
        <v>5.1100000000000003</v>
      </c>
      <c r="D702" s="121" t="s">
        <v>3258</v>
      </c>
    </row>
    <row r="703" spans="1:4" ht="15.75" hidden="1" outlineLevel="1">
      <c r="A703" s="43" t="s">
        <v>3075</v>
      </c>
      <c r="B703" s="44" t="s">
        <v>1350</v>
      </c>
      <c r="C703" s="43">
        <v>5.1109999999999998</v>
      </c>
      <c r="D703" s="122"/>
    </row>
    <row r="704" spans="1:4" ht="15.75" hidden="1" outlineLevel="1">
      <c r="A704" s="43" t="s">
        <v>3075</v>
      </c>
      <c r="B704" s="44" t="s">
        <v>1352</v>
      </c>
      <c r="C704" s="43">
        <v>5.1120000000000001</v>
      </c>
      <c r="D704" s="122"/>
    </row>
    <row r="705" spans="1:4" ht="15.75" hidden="1" outlineLevel="1">
      <c r="A705" s="43" t="s">
        <v>3075</v>
      </c>
      <c r="B705" s="44" t="s">
        <v>11</v>
      </c>
      <c r="C705" s="43">
        <v>5.53</v>
      </c>
      <c r="D705" s="122"/>
    </row>
    <row r="706" spans="1:4" ht="15.75" hidden="1" outlineLevel="1">
      <c r="A706" s="43" t="s">
        <v>3075</v>
      </c>
      <c r="B706" s="44" t="s">
        <v>2134</v>
      </c>
      <c r="C706" s="43">
        <v>5.64</v>
      </c>
      <c r="D706" s="122"/>
    </row>
    <row r="707" spans="1:4" ht="15.75" hidden="1" outlineLevel="1">
      <c r="A707" s="43" t="s">
        <v>3075</v>
      </c>
      <c r="B707" s="44" t="s">
        <v>20</v>
      </c>
      <c r="C707" s="43">
        <v>5.63</v>
      </c>
      <c r="D707" s="122"/>
    </row>
    <row r="708" spans="1:4" ht="15.75" hidden="1" outlineLevel="1">
      <c r="A708" s="43" t="s">
        <v>3075</v>
      </c>
      <c r="B708" s="44" t="s">
        <v>21</v>
      </c>
      <c r="C708" s="43">
        <v>5.65</v>
      </c>
      <c r="D708" s="122"/>
    </row>
    <row r="709" spans="1:4" ht="15.75" hidden="1" outlineLevel="1">
      <c r="A709" s="43" t="s">
        <v>3075</v>
      </c>
      <c r="B709" s="44" t="s">
        <v>130</v>
      </c>
      <c r="C709" s="43">
        <v>5.66</v>
      </c>
      <c r="D709" s="122"/>
    </row>
    <row r="710" spans="1:4" ht="15.75" hidden="1" outlineLevel="1">
      <c r="A710" s="43" t="s">
        <v>3075</v>
      </c>
      <c r="B710" s="44" t="s">
        <v>22</v>
      </c>
      <c r="C710" s="43">
        <v>5.68</v>
      </c>
      <c r="D710" s="122"/>
    </row>
    <row r="711" spans="1:4" ht="15.75" hidden="1" outlineLevel="1">
      <c r="A711" s="43" t="s">
        <v>3075</v>
      </c>
      <c r="B711" s="44" t="s">
        <v>24</v>
      </c>
      <c r="C711" s="43">
        <v>5.47</v>
      </c>
      <c r="D711" s="122"/>
    </row>
    <row r="712" spans="1:4" ht="15.75" hidden="1" outlineLevel="1">
      <c r="A712" s="43" t="s">
        <v>3075</v>
      </c>
      <c r="B712" s="44" t="s">
        <v>25</v>
      </c>
      <c r="C712" s="43">
        <v>5.48</v>
      </c>
      <c r="D712" s="122"/>
    </row>
    <row r="713" spans="1:4" ht="15.75">
      <c r="A713" s="49" t="s">
        <v>3075</v>
      </c>
      <c r="B713" s="44"/>
      <c r="C713" s="43"/>
      <c r="D713" s="122"/>
    </row>
    <row r="714" spans="1:4" ht="15.75" hidden="1" outlineLevel="1">
      <c r="A714" s="43" t="s">
        <v>3271</v>
      </c>
      <c r="B714" s="44" t="s">
        <v>0</v>
      </c>
      <c r="C714" s="43">
        <v>5.0999999999999996</v>
      </c>
      <c r="D714" s="122"/>
    </row>
    <row r="715" spans="1:4" ht="15.75" hidden="1" outlineLevel="1">
      <c r="A715" s="43" t="s">
        <v>3271</v>
      </c>
      <c r="B715" s="44" t="s">
        <v>1</v>
      </c>
      <c r="C715" s="43">
        <v>5.2</v>
      </c>
      <c r="D715" s="122"/>
    </row>
    <row r="716" spans="1:4" ht="15.75" hidden="1" outlineLevel="1">
      <c r="A716" s="43" t="s">
        <v>3271</v>
      </c>
      <c r="B716" s="44" t="s">
        <v>2</v>
      </c>
      <c r="C716" s="43">
        <v>5.3</v>
      </c>
      <c r="D716" s="122"/>
    </row>
    <row r="717" spans="1:4" ht="15.75" hidden="1" outlineLevel="1">
      <c r="A717" s="43" t="s">
        <v>3271</v>
      </c>
      <c r="B717" s="44" t="s">
        <v>121</v>
      </c>
      <c r="C717" s="43">
        <v>5.6</v>
      </c>
      <c r="D717" s="122"/>
    </row>
    <row r="718" spans="1:4" ht="15.75" hidden="1" outlineLevel="1">
      <c r="A718" s="43" t="s">
        <v>3271</v>
      </c>
      <c r="B718" s="44" t="s">
        <v>3259</v>
      </c>
      <c r="C718" s="45">
        <v>5.0999999999999996</v>
      </c>
      <c r="D718" s="122"/>
    </row>
    <row r="719" spans="1:4" ht="15.75" hidden="1" outlineLevel="1">
      <c r="A719" s="43" t="s">
        <v>3271</v>
      </c>
      <c r="B719" s="44" t="s">
        <v>1283</v>
      </c>
      <c r="C719" s="43">
        <v>5.14</v>
      </c>
      <c r="D719" s="122"/>
    </row>
    <row r="720" spans="1:4" ht="15.75" hidden="1" outlineLevel="1">
      <c r="A720" s="43" t="s">
        <v>3271</v>
      </c>
      <c r="B720" s="44" t="s">
        <v>4</v>
      </c>
      <c r="C720" s="43">
        <v>5.19</v>
      </c>
      <c r="D720" s="122"/>
    </row>
    <row r="721" spans="1:4" ht="15.75" hidden="1" outlineLevel="1">
      <c r="A721" s="43" t="s">
        <v>3271</v>
      </c>
      <c r="B721" s="44" t="s">
        <v>123</v>
      </c>
      <c r="C721" s="43">
        <v>5.24</v>
      </c>
      <c r="D721" s="122"/>
    </row>
    <row r="722" spans="1:4" ht="15.75" hidden="1" outlineLevel="1">
      <c r="A722" s="43" t="s">
        <v>3271</v>
      </c>
      <c r="B722" s="44" t="s">
        <v>5</v>
      </c>
      <c r="C722" s="43">
        <v>5.26</v>
      </c>
      <c r="D722" s="122"/>
    </row>
    <row r="723" spans="1:4" ht="15.75" hidden="1" outlineLevel="1">
      <c r="A723" s="43" t="s">
        <v>3271</v>
      </c>
      <c r="B723" s="44" t="s">
        <v>6</v>
      </c>
      <c r="C723" s="43">
        <v>5.27</v>
      </c>
      <c r="D723" s="122"/>
    </row>
    <row r="724" spans="1:4" ht="15.75" hidden="1" outlineLevel="1">
      <c r="A724" s="43" t="s">
        <v>3271</v>
      </c>
      <c r="B724" s="44" t="s">
        <v>7</v>
      </c>
      <c r="C724" s="43">
        <v>5.28</v>
      </c>
      <c r="D724" s="122"/>
    </row>
    <row r="725" spans="1:4" ht="15.75" hidden="1" outlineLevel="1">
      <c r="A725" s="43" t="s">
        <v>3271</v>
      </c>
      <c r="B725" s="44" t="s">
        <v>124</v>
      </c>
      <c r="C725" s="43">
        <v>5.31</v>
      </c>
      <c r="D725" s="122"/>
    </row>
    <row r="726" spans="1:4" ht="15.75" hidden="1" outlineLevel="1">
      <c r="A726" s="43" t="s">
        <v>3271</v>
      </c>
      <c r="B726" s="44" t="s">
        <v>125</v>
      </c>
      <c r="C726" s="43">
        <v>5.36</v>
      </c>
      <c r="D726" s="122"/>
    </row>
    <row r="727" spans="1:4" ht="15.75" hidden="1" outlineLevel="1">
      <c r="A727" s="43" t="s">
        <v>3271</v>
      </c>
      <c r="B727" s="44" t="s">
        <v>11</v>
      </c>
      <c r="C727" s="43">
        <v>5.53</v>
      </c>
      <c r="D727" s="122"/>
    </row>
    <row r="728" spans="1:4" ht="15.75" hidden="1" outlineLevel="1">
      <c r="A728" s="43" t="s">
        <v>3271</v>
      </c>
      <c r="B728" s="44" t="s">
        <v>1349</v>
      </c>
      <c r="C728" s="43">
        <v>5.109</v>
      </c>
      <c r="D728" s="122"/>
    </row>
    <row r="729" spans="1:4" ht="15.75" hidden="1" outlineLevel="1">
      <c r="A729" s="43" t="s">
        <v>3271</v>
      </c>
      <c r="B729" s="44" t="s">
        <v>1350</v>
      </c>
      <c r="C729" s="43">
        <v>5.1109999999999998</v>
      </c>
      <c r="D729" s="122"/>
    </row>
    <row r="730" spans="1:4" ht="15.75" hidden="1" outlineLevel="1">
      <c r="A730" s="43" t="s">
        <v>3271</v>
      </c>
      <c r="B730" s="44" t="s">
        <v>1352</v>
      </c>
      <c r="C730" s="43">
        <v>5.1120000000000001</v>
      </c>
      <c r="D730" s="122"/>
    </row>
    <row r="731" spans="1:4" ht="15.75" hidden="1" outlineLevel="1">
      <c r="A731" s="43" t="s">
        <v>3271</v>
      </c>
      <c r="B731" s="44" t="s">
        <v>3264</v>
      </c>
      <c r="C731" s="43">
        <v>5.1130000000000004</v>
      </c>
      <c r="D731" s="122"/>
    </row>
    <row r="732" spans="1:4" ht="15.75" hidden="1" outlineLevel="1">
      <c r="A732" s="43" t="s">
        <v>3271</v>
      </c>
      <c r="B732" s="44" t="s">
        <v>2368</v>
      </c>
      <c r="C732" s="43">
        <v>5.117</v>
      </c>
      <c r="D732" s="122"/>
    </row>
    <row r="733" spans="1:4" ht="15.75" hidden="1" outlineLevel="1">
      <c r="A733" s="43" t="s">
        <v>3271</v>
      </c>
      <c r="B733" s="44" t="s">
        <v>2369</v>
      </c>
      <c r="C733" s="43">
        <v>5.67</v>
      </c>
      <c r="D733" s="122"/>
    </row>
    <row r="734" spans="1:4" ht="15.75" hidden="1" outlineLevel="1">
      <c r="A734" s="43" t="s">
        <v>3271</v>
      </c>
      <c r="B734" s="44" t="s">
        <v>20</v>
      </c>
      <c r="C734" s="43">
        <v>5.63</v>
      </c>
      <c r="D734" s="122"/>
    </row>
    <row r="735" spans="1:4" ht="15.75" hidden="1" outlineLevel="1">
      <c r="A735" s="43" t="s">
        <v>3271</v>
      </c>
      <c r="B735" s="44" t="s">
        <v>24</v>
      </c>
      <c r="C735" s="43">
        <v>5.47</v>
      </c>
      <c r="D735" s="122"/>
    </row>
    <row r="736" spans="1:4" ht="15.75" hidden="1" outlineLevel="1">
      <c r="A736" s="43" t="s">
        <v>3271</v>
      </c>
      <c r="B736" s="44" t="s">
        <v>25</v>
      </c>
      <c r="C736" s="43">
        <v>5.48</v>
      </c>
      <c r="D736" s="122"/>
    </row>
    <row r="737" spans="1:4" ht="15.75">
      <c r="A737" s="49" t="s">
        <v>3272</v>
      </c>
      <c r="B737" s="44"/>
      <c r="C737" s="43"/>
      <c r="D737" s="122"/>
    </row>
    <row r="738" spans="1:4" ht="15.75" hidden="1" outlineLevel="1">
      <c r="A738" s="43" t="s">
        <v>3077</v>
      </c>
      <c r="B738" s="44" t="s">
        <v>0</v>
      </c>
      <c r="C738" s="43">
        <v>5.0999999999999996</v>
      </c>
      <c r="D738" s="122"/>
    </row>
    <row r="739" spans="1:4" ht="15.75" hidden="1" outlineLevel="1">
      <c r="A739" s="43" t="s">
        <v>3077</v>
      </c>
      <c r="B739" s="44" t="s">
        <v>1</v>
      </c>
      <c r="C739" s="43">
        <v>5.2</v>
      </c>
      <c r="D739" s="122"/>
    </row>
    <row r="740" spans="1:4" ht="15.75" hidden="1" outlineLevel="1">
      <c r="A740" s="43" t="s">
        <v>3077</v>
      </c>
      <c r="B740" s="44" t="s">
        <v>2370</v>
      </c>
      <c r="C740" s="43">
        <v>5.18</v>
      </c>
      <c r="D740" s="122"/>
    </row>
    <row r="741" spans="1:4" ht="15.75" hidden="1" outlineLevel="1">
      <c r="A741" s="43" t="s">
        <v>3077</v>
      </c>
      <c r="B741" s="44" t="s">
        <v>2371</v>
      </c>
      <c r="C741" s="43">
        <v>5.23</v>
      </c>
      <c r="D741" s="122"/>
    </row>
    <row r="742" spans="1:4" ht="15.75" hidden="1" outlineLevel="1">
      <c r="A742" s="43" t="s">
        <v>3077</v>
      </c>
      <c r="B742" s="44" t="s">
        <v>5</v>
      </c>
      <c r="C742" s="43">
        <v>5.26</v>
      </c>
      <c r="D742" s="122"/>
    </row>
    <row r="743" spans="1:4" ht="15.75" hidden="1" outlineLevel="1">
      <c r="A743" s="43" t="s">
        <v>3077</v>
      </c>
      <c r="B743" s="44" t="s">
        <v>6</v>
      </c>
      <c r="C743" s="43">
        <v>5.27</v>
      </c>
      <c r="D743" s="122"/>
    </row>
    <row r="744" spans="1:4" ht="15.75" hidden="1" outlineLevel="1">
      <c r="A744" s="43" t="s">
        <v>3077</v>
      </c>
      <c r="B744" s="44" t="s">
        <v>7</v>
      </c>
      <c r="C744" s="43">
        <v>5.28</v>
      </c>
      <c r="D744" s="122"/>
    </row>
    <row r="745" spans="1:4" ht="15.75" hidden="1" outlineLevel="1">
      <c r="A745" s="43" t="s">
        <v>3077</v>
      </c>
      <c r="B745" s="44" t="s">
        <v>125</v>
      </c>
      <c r="C745" s="43">
        <v>5.36</v>
      </c>
      <c r="D745" s="122"/>
    </row>
    <row r="746" spans="1:4" ht="15.75" hidden="1" outlineLevel="1">
      <c r="A746" s="43" t="s">
        <v>3077</v>
      </c>
      <c r="B746" s="44" t="s">
        <v>2372</v>
      </c>
      <c r="C746" s="43">
        <v>5.44</v>
      </c>
      <c r="D746" s="122"/>
    </row>
    <row r="747" spans="1:4" ht="15.75" hidden="1" outlineLevel="1">
      <c r="A747" s="43" t="s">
        <v>3077</v>
      </c>
      <c r="B747" s="44" t="s">
        <v>11</v>
      </c>
      <c r="C747" s="43">
        <v>5.53</v>
      </c>
      <c r="D747" s="122"/>
    </row>
    <row r="748" spans="1:4" ht="15.75" hidden="1" outlineLevel="1">
      <c r="A748" s="43" t="s">
        <v>3077</v>
      </c>
      <c r="B748" s="44" t="s">
        <v>1352</v>
      </c>
      <c r="C748" s="43">
        <v>5.1120000000000001</v>
      </c>
      <c r="D748" s="122"/>
    </row>
    <row r="749" spans="1:4" ht="15.75" hidden="1" outlineLevel="1">
      <c r="A749" s="43" t="s">
        <v>3077</v>
      </c>
      <c r="B749" s="44" t="s">
        <v>2354</v>
      </c>
      <c r="C749" s="43">
        <v>5.59</v>
      </c>
      <c r="D749" s="122"/>
    </row>
    <row r="750" spans="1:4" ht="15.75" hidden="1" outlineLevel="1">
      <c r="A750" s="43" t="s">
        <v>3077</v>
      </c>
      <c r="B750" s="44" t="s">
        <v>18</v>
      </c>
      <c r="C750" s="43">
        <v>5.54</v>
      </c>
      <c r="D750" s="122"/>
    </row>
    <row r="751" spans="1:4" ht="15.75" hidden="1" outlineLevel="1">
      <c r="A751" s="43" t="s">
        <v>3077</v>
      </c>
      <c r="B751" s="44" t="s">
        <v>20</v>
      </c>
      <c r="C751" s="43">
        <v>5.63</v>
      </c>
      <c r="D751" s="122"/>
    </row>
    <row r="752" spans="1:4" ht="15.75" hidden="1" outlineLevel="1">
      <c r="A752" s="43" t="s">
        <v>3077</v>
      </c>
      <c r="B752" s="44" t="s">
        <v>21</v>
      </c>
      <c r="C752" s="43">
        <v>5.65</v>
      </c>
      <c r="D752" s="122"/>
    </row>
    <row r="753" spans="1:4" ht="15.75" hidden="1" outlineLevel="1">
      <c r="A753" s="43" t="s">
        <v>3077</v>
      </c>
      <c r="B753" s="44" t="s">
        <v>22</v>
      </c>
      <c r="C753" s="43">
        <v>5.68</v>
      </c>
      <c r="D753" s="122"/>
    </row>
    <row r="754" spans="1:4" ht="15.75" hidden="1" outlineLevel="1">
      <c r="A754" s="43" t="s">
        <v>3077</v>
      </c>
      <c r="B754" s="44" t="s">
        <v>24</v>
      </c>
      <c r="C754" s="43">
        <v>5.47</v>
      </c>
      <c r="D754" s="122"/>
    </row>
    <row r="755" spans="1:4" ht="15.75" hidden="1" outlineLevel="1">
      <c r="A755" s="43" t="s">
        <v>3077</v>
      </c>
      <c r="B755" s="44" t="s">
        <v>25</v>
      </c>
      <c r="C755" s="43">
        <v>5.48</v>
      </c>
      <c r="D755" s="122"/>
    </row>
    <row r="756" spans="1:4" ht="15.75">
      <c r="A756" s="49" t="s">
        <v>3077</v>
      </c>
      <c r="B756" s="44"/>
      <c r="C756" s="43"/>
      <c r="D756" s="122"/>
    </row>
    <row r="757" spans="1:4" ht="15.75" hidden="1" outlineLevel="1">
      <c r="A757" s="43" t="s">
        <v>3273</v>
      </c>
      <c r="B757" s="44" t="s">
        <v>0</v>
      </c>
      <c r="C757" s="43">
        <v>5.0999999999999996</v>
      </c>
      <c r="D757" s="122"/>
    </row>
    <row r="758" spans="1:4" ht="15.75" hidden="1" outlineLevel="1">
      <c r="A758" s="43" t="s">
        <v>3273</v>
      </c>
      <c r="B758" s="44" t="s">
        <v>1</v>
      </c>
      <c r="C758" s="43">
        <v>5.2</v>
      </c>
      <c r="D758" s="122"/>
    </row>
    <row r="759" spans="1:4" ht="15.75" hidden="1" outlineLevel="1">
      <c r="A759" s="43" t="s">
        <v>3273</v>
      </c>
      <c r="B759" s="44" t="s">
        <v>2112</v>
      </c>
      <c r="C759" s="43">
        <v>5.9</v>
      </c>
      <c r="D759" s="121" t="s">
        <v>3258</v>
      </c>
    </row>
    <row r="760" spans="1:4" ht="15.75" hidden="1" outlineLevel="1">
      <c r="A760" s="43" t="s">
        <v>3273</v>
      </c>
      <c r="B760" s="44" t="s">
        <v>2113</v>
      </c>
      <c r="C760" s="43">
        <v>5.13</v>
      </c>
      <c r="D760" s="122"/>
    </row>
    <row r="761" spans="1:4" ht="15.75" hidden="1" outlineLevel="1">
      <c r="A761" s="43" t="s">
        <v>3273</v>
      </c>
      <c r="B761" s="44" t="s">
        <v>2114</v>
      </c>
      <c r="C761" s="43">
        <v>5.16</v>
      </c>
      <c r="D761" s="121" t="s">
        <v>3258</v>
      </c>
    </row>
    <row r="762" spans="1:4" ht="15.75" hidden="1" outlineLevel="1">
      <c r="A762" s="43" t="s">
        <v>3273</v>
      </c>
      <c r="B762" s="44" t="s">
        <v>2115</v>
      </c>
      <c r="C762" s="43">
        <v>5.22</v>
      </c>
      <c r="D762" s="121"/>
    </row>
    <row r="763" spans="1:4" ht="15.75" hidden="1" outlineLevel="1">
      <c r="A763" s="43" t="s">
        <v>3273</v>
      </c>
      <c r="B763" s="44" t="s">
        <v>2387</v>
      </c>
      <c r="C763" s="43">
        <v>5.42</v>
      </c>
      <c r="D763" s="122"/>
    </row>
    <row r="764" spans="1:4" ht="15.75" hidden="1" outlineLevel="1">
      <c r="A764" s="43" t="s">
        <v>3273</v>
      </c>
      <c r="B764" s="44" t="s">
        <v>6</v>
      </c>
      <c r="C764" s="43">
        <v>5.27</v>
      </c>
      <c r="D764" s="122"/>
    </row>
    <row r="765" spans="1:4" ht="15.75" hidden="1" outlineLevel="1">
      <c r="A765" s="43" t="s">
        <v>3273</v>
      </c>
      <c r="B765" s="44" t="s">
        <v>7</v>
      </c>
      <c r="C765" s="43">
        <v>5.28</v>
      </c>
      <c r="D765" s="121" t="s">
        <v>3258</v>
      </c>
    </row>
    <row r="766" spans="1:4" ht="15.75" hidden="1" outlineLevel="1">
      <c r="A766" s="43" t="s">
        <v>3273</v>
      </c>
      <c r="B766" s="44" t="s">
        <v>125</v>
      </c>
      <c r="C766" s="43">
        <v>5.36</v>
      </c>
      <c r="D766" s="122"/>
    </row>
    <row r="767" spans="1:4" ht="15.75" hidden="1" outlineLevel="1">
      <c r="A767" s="43" t="s">
        <v>3273</v>
      </c>
      <c r="B767" s="44" t="s">
        <v>9</v>
      </c>
      <c r="C767" s="43">
        <v>5.49</v>
      </c>
      <c r="D767" s="122"/>
    </row>
    <row r="768" spans="1:4" ht="15.75" hidden="1" outlineLevel="1">
      <c r="A768" s="43" t="s">
        <v>3273</v>
      </c>
      <c r="B768" s="44" t="s">
        <v>10</v>
      </c>
      <c r="C768" s="43">
        <v>5.51</v>
      </c>
      <c r="D768" s="122"/>
    </row>
    <row r="769" spans="1:4" ht="15.75" hidden="1" outlineLevel="1">
      <c r="A769" s="43" t="s">
        <v>3273</v>
      </c>
      <c r="B769" s="44" t="s">
        <v>3270</v>
      </c>
      <c r="C769" s="43">
        <v>5.52</v>
      </c>
      <c r="D769" s="122"/>
    </row>
    <row r="770" spans="1:4" ht="15.75" hidden="1" outlineLevel="1">
      <c r="A770" s="43" t="s">
        <v>3273</v>
      </c>
      <c r="B770" s="44" t="s">
        <v>11</v>
      </c>
      <c r="C770" s="43">
        <v>5.53</v>
      </c>
      <c r="D770" s="122"/>
    </row>
    <row r="771" spans="1:4" ht="15.75" hidden="1" outlineLevel="1">
      <c r="A771" s="43" t="s">
        <v>3273</v>
      </c>
      <c r="B771" s="44" t="s">
        <v>18</v>
      </c>
      <c r="C771" s="43">
        <v>5.54</v>
      </c>
      <c r="D771" s="122"/>
    </row>
    <row r="772" spans="1:4" ht="15.75" hidden="1" outlineLevel="1">
      <c r="A772" s="43" t="s">
        <v>3273</v>
      </c>
      <c r="B772" s="44" t="s">
        <v>14</v>
      </c>
      <c r="C772" s="45">
        <v>5.7</v>
      </c>
      <c r="D772" s="122"/>
    </row>
    <row r="773" spans="1:4" ht="15.75" hidden="1" outlineLevel="1">
      <c r="A773" s="43" t="s">
        <v>3273</v>
      </c>
      <c r="B773" s="44" t="s">
        <v>2121</v>
      </c>
      <c r="C773" s="43">
        <v>5.71</v>
      </c>
      <c r="D773" s="122"/>
    </row>
    <row r="774" spans="1:4" ht="15.75" hidden="1" outlineLevel="1">
      <c r="A774" s="43" t="s">
        <v>3273</v>
      </c>
      <c r="B774" s="44" t="s">
        <v>2388</v>
      </c>
      <c r="C774" s="45">
        <v>5.9</v>
      </c>
      <c r="D774" s="122"/>
    </row>
    <row r="775" spans="1:4" ht="15.75" hidden="1" outlineLevel="1">
      <c r="A775" s="43" t="s">
        <v>3273</v>
      </c>
      <c r="B775" s="44" t="s">
        <v>2389</v>
      </c>
      <c r="C775" s="43">
        <v>5.91</v>
      </c>
      <c r="D775" s="122"/>
    </row>
    <row r="776" spans="1:4" ht="15.75" hidden="1" outlineLevel="1">
      <c r="A776" s="43" t="s">
        <v>3273</v>
      </c>
      <c r="B776" s="44" t="s">
        <v>2390</v>
      </c>
      <c r="C776" s="43">
        <v>5.97</v>
      </c>
      <c r="D776" s="122"/>
    </row>
    <row r="777" spans="1:4" ht="15.75">
      <c r="A777" s="49" t="s">
        <v>3273</v>
      </c>
      <c r="B777" s="44"/>
      <c r="C777" s="43"/>
      <c r="D777" s="122"/>
    </row>
    <row r="778" spans="1:4" ht="31.5" hidden="1" outlineLevel="1">
      <c r="A778" s="43" t="s">
        <v>3111</v>
      </c>
      <c r="B778" s="44" t="s">
        <v>0</v>
      </c>
      <c r="C778" s="43">
        <v>5.0999999999999996</v>
      </c>
      <c r="D778" s="122"/>
    </row>
    <row r="779" spans="1:4" ht="31.5" hidden="1" outlineLevel="1">
      <c r="A779" s="43" t="s">
        <v>3111</v>
      </c>
      <c r="B779" s="44" t="s">
        <v>1</v>
      </c>
      <c r="C779" s="43">
        <v>5.2</v>
      </c>
      <c r="D779" s="122"/>
    </row>
    <row r="780" spans="1:4" ht="31.5" hidden="1" outlineLevel="1">
      <c r="A780" s="43" t="s">
        <v>3111</v>
      </c>
      <c r="B780" s="44" t="s">
        <v>5</v>
      </c>
      <c r="C780" s="43">
        <v>5.26</v>
      </c>
      <c r="D780" s="122"/>
    </row>
    <row r="781" spans="1:4" ht="31.5" hidden="1" outlineLevel="1">
      <c r="A781" s="43" t="s">
        <v>3111</v>
      </c>
      <c r="B781" s="44" t="s">
        <v>1593</v>
      </c>
      <c r="C781" s="43">
        <v>5.5</v>
      </c>
      <c r="D781" s="122"/>
    </row>
    <row r="782" spans="1:4" ht="31.5" hidden="1" outlineLevel="1">
      <c r="A782" s="43" t="s">
        <v>3111</v>
      </c>
      <c r="B782" s="44" t="s">
        <v>1594</v>
      </c>
      <c r="C782" s="43">
        <v>5.8</v>
      </c>
      <c r="D782" s="121" t="s">
        <v>3258</v>
      </c>
    </row>
    <row r="783" spans="1:4" ht="31.5" hidden="1" outlineLevel="1">
      <c r="A783" s="43" t="s">
        <v>3111</v>
      </c>
      <c r="B783" s="44" t="s">
        <v>1595</v>
      </c>
      <c r="C783" s="43">
        <v>5.12</v>
      </c>
      <c r="D783" s="43"/>
    </row>
    <row r="784" spans="1:4" ht="31.5" hidden="1" outlineLevel="1">
      <c r="A784" s="43" t="s">
        <v>3111</v>
      </c>
      <c r="B784" s="44" t="s">
        <v>1596</v>
      </c>
      <c r="C784" s="43">
        <v>5.15</v>
      </c>
      <c r="D784" s="43"/>
    </row>
    <row r="785" spans="1:4" ht="31.5" hidden="1" outlineLevel="1">
      <c r="A785" s="43" t="s">
        <v>3111</v>
      </c>
      <c r="B785" s="44" t="s">
        <v>1597</v>
      </c>
      <c r="C785" s="45">
        <v>5.2</v>
      </c>
      <c r="D785" s="121"/>
    </row>
    <row r="786" spans="1:4" ht="31.5" hidden="1" outlineLevel="1">
      <c r="A786" s="43" t="s">
        <v>3111</v>
      </c>
      <c r="B786" s="44" t="s">
        <v>1598</v>
      </c>
      <c r="C786" s="43">
        <v>5.25</v>
      </c>
      <c r="D786" s="43"/>
    </row>
    <row r="787" spans="1:4" ht="31.5" hidden="1" outlineLevel="1">
      <c r="A787" s="43" t="s">
        <v>3111</v>
      </c>
      <c r="B787" s="44" t="s">
        <v>11</v>
      </c>
      <c r="C787" s="43">
        <v>5.53</v>
      </c>
      <c r="D787" s="43"/>
    </row>
    <row r="788" spans="1:4" ht="31.5" hidden="1" outlineLevel="1">
      <c r="A788" s="43" t="s">
        <v>3111</v>
      </c>
      <c r="B788" s="44" t="s">
        <v>2391</v>
      </c>
      <c r="C788" s="45">
        <v>5.4</v>
      </c>
      <c r="D788" s="43"/>
    </row>
    <row r="789" spans="1:4" ht="31.5" hidden="1" outlineLevel="1">
      <c r="A789" s="43" t="s">
        <v>3111</v>
      </c>
      <c r="B789" s="44" t="s">
        <v>2392</v>
      </c>
      <c r="C789" s="43">
        <v>5.92</v>
      </c>
      <c r="D789" s="43"/>
    </row>
    <row r="790" spans="1:4" ht="31.5" hidden="1" outlineLevel="1">
      <c r="A790" s="43" t="s">
        <v>3111</v>
      </c>
      <c r="B790" s="44" t="s">
        <v>2393</v>
      </c>
      <c r="C790" s="43">
        <v>5.93</v>
      </c>
      <c r="D790" s="43"/>
    </row>
    <row r="791" spans="1:4" ht="31.5" hidden="1" outlineLevel="1">
      <c r="A791" s="43" t="s">
        <v>3111</v>
      </c>
      <c r="B791" s="44" t="s">
        <v>2394</v>
      </c>
      <c r="C791" s="43">
        <v>5.94</v>
      </c>
      <c r="D791" s="43"/>
    </row>
    <row r="792" spans="1:4" ht="31.5" hidden="1" outlineLevel="1">
      <c r="A792" s="43" t="s">
        <v>3111</v>
      </c>
      <c r="B792" s="44" t="s">
        <v>2395</v>
      </c>
      <c r="C792" s="43">
        <v>5.95</v>
      </c>
      <c r="D792" s="43"/>
    </row>
    <row r="793" spans="1:4" ht="31.5" hidden="1" outlineLevel="1">
      <c r="A793" s="43" t="s">
        <v>3111</v>
      </c>
      <c r="B793" s="44" t="s">
        <v>2396</v>
      </c>
      <c r="C793" s="43">
        <v>5.98</v>
      </c>
      <c r="D793" s="43"/>
    </row>
    <row r="794" spans="1:4" ht="31.5" hidden="1" outlineLevel="1">
      <c r="A794" s="43" t="s">
        <v>3111</v>
      </c>
      <c r="B794" s="44" t="s">
        <v>2397</v>
      </c>
      <c r="C794" s="43">
        <v>5.96</v>
      </c>
      <c r="D794" s="43"/>
    </row>
    <row r="795" spans="1:4" ht="31.5">
      <c r="A795" s="49" t="s">
        <v>3111</v>
      </c>
      <c r="B795" s="44"/>
      <c r="C795" s="43"/>
      <c r="D795" s="4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4" t="s">
        <v>3134</v>
      </c>
    </row>
    <row r="3" spans="1:2">
      <c r="A3" t="s">
        <v>3135</v>
      </c>
      <c r="B3" t="s">
        <v>3136</v>
      </c>
    </row>
    <row r="4" spans="1:2">
      <c r="A4" t="s">
        <v>3137</v>
      </c>
      <c r="B4" t="s">
        <v>3138</v>
      </c>
    </row>
    <row r="5" spans="1:2">
      <c r="A5" t="s">
        <v>3139</v>
      </c>
      <c r="B5" t="s">
        <v>3140</v>
      </c>
    </row>
    <row r="6" spans="1:2">
      <c r="A6" t="s">
        <v>3141</v>
      </c>
      <c r="B6" t="s">
        <v>3142</v>
      </c>
    </row>
    <row r="7" spans="1:2">
      <c r="A7" t="s">
        <v>3143</v>
      </c>
      <c r="B7" t="s">
        <v>3144</v>
      </c>
    </row>
    <row r="8" spans="1:2">
      <c r="A8" t="s">
        <v>3145</v>
      </c>
      <c r="B8" t="s">
        <v>3146</v>
      </c>
    </row>
    <row r="10" spans="1:2" ht="15">
      <c r="A10" s="24" t="s">
        <v>3147</v>
      </c>
    </row>
    <row r="11" spans="1:2">
      <c r="A11" t="s">
        <v>3148</v>
      </c>
    </row>
    <row r="12" spans="1:2">
      <c r="A12" t="s">
        <v>3149</v>
      </c>
      <c r="B12" t="s">
        <v>3150</v>
      </c>
    </row>
    <row r="14" spans="1:2">
      <c r="A14" s="35"/>
    </row>
    <row r="15" spans="1:2" ht="15">
      <c r="A15" s="24" t="s">
        <v>3151</v>
      </c>
    </row>
    <row r="16" spans="1:2">
      <c r="A16" s="33" t="s">
        <v>3152</v>
      </c>
    </row>
    <row r="17" spans="1:2">
      <c r="A17" s="33" t="s">
        <v>3153</v>
      </c>
    </row>
    <row r="18" spans="1:2">
      <c r="A18" s="33" t="s">
        <v>3154</v>
      </c>
    </row>
    <row r="19" spans="1:2">
      <c r="A19" s="33" t="s">
        <v>3155</v>
      </c>
    </row>
    <row r="21" spans="1:2" ht="15">
      <c r="A21" s="34" t="s">
        <v>3156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4" t="s">
        <v>3157</v>
      </c>
      <c r="B34" s="24" t="s">
        <v>134</v>
      </c>
    </row>
    <row r="35" spans="1:2">
      <c r="A35" s="143" t="s">
        <v>3158</v>
      </c>
      <c r="B35" s="144">
        <v>520023185</v>
      </c>
    </row>
    <row r="36" spans="1:2">
      <c r="A36" s="145" t="s">
        <v>3159</v>
      </c>
      <c r="B36" s="144">
        <v>520024647</v>
      </c>
    </row>
    <row r="37" spans="1:2">
      <c r="A37" s="145" t="s">
        <v>3160</v>
      </c>
      <c r="B37" s="144">
        <v>520004896</v>
      </c>
    </row>
    <row r="38" spans="1:2">
      <c r="A38" s="145" t="s">
        <v>3161</v>
      </c>
      <c r="B38" s="144">
        <v>520042540</v>
      </c>
    </row>
    <row r="39" spans="1:2">
      <c r="A39" s="145" t="s">
        <v>3162</v>
      </c>
      <c r="B39" s="144">
        <v>520021916</v>
      </c>
    </row>
    <row r="40" spans="1:2">
      <c r="A40" s="145" t="s">
        <v>3163</v>
      </c>
      <c r="B40" s="146">
        <v>510015951</v>
      </c>
    </row>
    <row r="41" spans="1:2">
      <c r="A41" s="145" t="s">
        <v>3164</v>
      </c>
      <c r="B41" s="146">
        <v>510888985</v>
      </c>
    </row>
    <row r="42" spans="1:2">
      <c r="A42" s="145" t="s">
        <v>3165</v>
      </c>
      <c r="B42" s="146">
        <v>520042177</v>
      </c>
    </row>
    <row r="43" spans="1:2">
      <c r="A43" s="145" t="s">
        <v>3166</v>
      </c>
      <c r="B43" s="145">
        <v>520031030</v>
      </c>
    </row>
    <row r="44" spans="1:2">
      <c r="A44" s="145" t="s">
        <v>3167</v>
      </c>
      <c r="B44" s="145">
        <v>520030677</v>
      </c>
    </row>
    <row r="45" spans="1:2">
      <c r="A45" s="145" t="s">
        <v>3168</v>
      </c>
      <c r="B45" s="145">
        <v>513879189</v>
      </c>
    </row>
    <row r="46" spans="1:2">
      <c r="A46" s="145" t="s">
        <v>3169</v>
      </c>
      <c r="B46" s="146">
        <v>520027848</v>
      </c>
    </row>
    <row r="47" spans="1:2">
      <c r="A47" s="145" t="s">
        <v>3170</v>
      </c>
      <c r="B47" s="146">
        <v>570003152</v>
      </c>
    </row>
    <row r="48" spans="1:2">
      <c r="A48" s="145" t="s">
        <v>3171</v>
      </c>
      <c r="B48" s="145">
        <v>513910703</v>
      </c>
    </row>
    <row r="49" spans="1:2">
      <c r="A49" s="145" t="s">
        <v>3172</v>
      </c>
      <c r="B49" s="146">
        <v>512304882</v>
      </c>
    </row>
    <row r="50" spans="1:2">
      <c r="A50" s="145" t="s">
        <v>3173</v>
      </c>
      <c r="B50" s="146">
        <v>512310509</v>
      </c>
    </row>
    <row r="51" spans="1:2">
      <c r="A51" s="145" t="s">
        <v>3174</v>
      </c>
      <c r="B51" s="146">
        <v>512904608</v>
      </c>
    </row>
    <row r="52" spans="1:2">
      <c r="A52" s="145" t="s">
        <v>3175</v>
      </c>
      <c r="B52" s="146">
        <v>500500376</v>
      </c>
    </row>
    <row r="53" spans="1:2">
      <c r="A53" s="145" t="s">
        <v>3176</v>
      </c>
      <c r="B53" s="146">
        <v>520044025</v>
      </c>
    </row>
    <row r="54" spans="1:2">
      <c r="A54" s="145" t="s">
        <v>3177</v>
      </c>
      <c r="B54" s="146">
        <v>513136895</v>
      </c>
    </row>
    <row r="55" spans="1:2">
      <c r="A55" s="145" t="s">
        <v>3178</v>
      </c>
      <c r="B55" s="146">
        <v>520004078</v>
      </c>
    </row>
    <row r="56" spans="1:2">
      <c r="A56" s="145" t="s">
        <v>3179</v>
      </c>
      <c r="B56" s="146">
        <v>515761625</v>
      </c>
    </row>
    <row r="57" spans="1:2">
      <c r="A57" s="145" t="s">
        <v>3180</v>
      </c>
      <c r="B57" s="146">
        <v>515764868</v>
      </c>
    </row>
    <row r="58" spans="1:2">
      <c r="A58" s="145" t="s">
        <v>3181</v>
      </c>
      <c r="B58" s="147">
        <v>515859379</v>
      </c>
    </row>
    <row r="59" spans="1:2">
      <c r="A59" s="145" t="s">
        <v>3182</v>
      </c>
      <c r="B59" s="146">
        <v>516687407</v>
      </c>
    </row>
    <row r="60" spans="1:2">
      <c r="A60" s="145" t="s">
        <v>3183</v>
      </c>
      <c r="B60" s="146">
        <v>516885639</v>
      </c>
    </row>
    <row r="61" spans="1:2">
      <c r="A61" s="145" t="s">
        <v>3184</v>
      </c>
      <c r="B61" s="145">
        <v>570009449</v>
      </c>
    </row>
    <row r="62" spans="1:2">
      <c r="A62" s="145" t="s">
        <v>3185</v>
      </c>
      <c r="B62" s="146">
        <v>520027954</v>
      </c>
    </row>
    <row r="63" spans="1:2">
      <c r="A63" s="145" t="s">
        <v>3186</v>
      </c>
      <c r="B63" s="146">
        <v>512362914</v>
      </c>
    </row>
    <row r="64" spans="1:2">
      <c r="A64" s="145" t="s">
        <v>3187</v>
      </c>
      <c r="B64" s="146">
        <v>511880460</v>
      </c>
    </row>
    <row r="65" spans="1:2">
      <c r="A65" s="145" t="s">
        <v>3188</v>
      </c>
      <c r="B65" s="145">
        <v>511033060</v>
      </c>
    </row>
    <row r="66" spans="1:2">
      <c r="A66" s="145" t="s">
        <v>3189</v>
      </c>
      <c r="B66" s="145">
        <v>570005850</v>
      </c>
    </row>
    <row r="67" spans="1:2">
      <c r="A67" s="145" t="s">
        <v>3190</v>
      </c>
      <c r="B67" s="146">
        <v>510694821</v>
      </c>
    </row>
    <row r="68" spans="1:2">
      <c r="A68" s="145" t="s">
        <v>3191</v>
      </c>
      <c r="B68" s="145">
        <v>520027624</v>
      </c>
    </row>
    <row r="69" spans="1:2">
      <c r="A69" s="145" t="s">
        <v>3192</v>
      </c>
      <c r="B69" s="146">
        <v>520027715</v>
      </c>
    </row>
    <row r="70" spans="1:2">
      <c r="A70" s="145" t="s">
        <v>3193</v>
      </c>
      <c r="B70" s="146">
        <v>520028861</v>
      </c>
    </row>
    <row r="71" spans="1:2">
      <c r="A71" s="145" t="s">
        <v>3194</v>
      </c>
      <c r="B71" s="146">
        <v>520029620</v>
      </c>
    </row>
    <row r="72" spans="1:2">
      <c r="A72" s="145" t="s">
        <v>3195</v>
      </c>
      <c r="B72" s="146">
        <v>520030743</v>
      </c>
    </row>
    <row r="73" spans="1:2">
      <c r="A73" s="145" t="s">
        <v>3196</v>
      </c>
      <c r="B73" s="146">
        <v>520030198</v>
      </c>
    </row>
    <row r="74" spans="1:2">
      <c r="A74" s="145" t="s">
        <v>3197</v>
      </c>
      <c r="B74" s="146">
        <v>520042631</v>
      </c>
    </row>
    <row r="75" spans="1:2">
      <c r="A75" s="145" t="s">
        <v>3198</v>
      </c>
      <c r="B75" s="146">
        <v>520030941</v>
      </c>
    </row>
    <row r="76" spans="1:2">
      <c r="A76" s="145" t="s">
        <v>3199</v>
      </c>
      <c r="B76" s="146">
        <v>520032269</v>
      </c>
    </row>
    <row r="77" spans="1:2">
      <c r="A77" s="145" t="s">
        <v>3200</v>
      </c>
      <c r="B77" s="145">
        <v>510806870</v>
      </c>
    </row>
    <row r="78" spans="1:2">
      <c r="A78" s="145" t="s">
        <v>3201</v>
      </c>
      <c r="B78" s="145">
        <v>520031824</v>
      </c>
    </row>
    <row r="79" spans="1:2">
      <c r="A79" s="145" t="s">
        <v>3202</v>
      </c>
      <c r="B79" s="146">
        <v>510927536</v>
      </c>
    </row>
    <row r="80" spans="1:2">
      <c r="A80" s="145" t="s">
        <v>3203</v>
      </c>
      <c r="B80" s="146">
        <v>510930654</v>
      </c>
    </row>
    <row r="81" spans="1:2">
      <c r="A81" s="145" t="s">
        <v>3204</v>
      </c>
      <c r="B81" s="145">
        <v>510930670</v>
      </c>
    </row>
    <row r="82" spans="1:2">
      <c r="A82" s="145" t="s">
        <v>3205</v>
      </c>
      <c r="B82" s="146">
        <v>520034968</v>
      </c>
    </row>
    <row r="83" spans="1:2">
      <c r="A83" s="145" t="s">
        <v>3206</v>
      </c>
      <c r="B83" s="146">
        <v>520024985</v>
      </c>
    </row>
    <row r="84" spans="1:2">
      <c r="A84" s="145" t="s">
        <v>3207</v>
      </c>
      <c r="B84" s="145">
        <v>520030990</v>
      </c>
    </row>
    <row r="85" spans="1:2">
      <c r="A85" s="145" t="s">
        <v>3208</v>
      </c>
      <c r="B85" s="146">
        <v>520042615</v>
      </c>
    </row>
    <row r="86" spans="1:2">
      <c r="A86" s="145" t="s">
        <v>3209</v>
      </c>
      <c r="B86" s="146">
        <v>520042607</v>
      </c>
    </row>
    <row r="87" spans="1:2">
      <c r="A87" s="145" t="s">
        <v>3210</v>
      </c>
      <c r="B87" s="146">
        <v>520019688</v>
      </c>
    </row>
    <row r="88" spans="1:2">
      <c r="A88" s="145" t="s">
        <v>3211</v>
      </c>
      <c r="B88" s="146">
        <v>570014928</v>
      </c>
    </row>
    <row r="89" spans="1:2">
      <c r="A89" s="145" t="s">
        <v>3212</v>
      </c>
      <c r="B89" s="146">
        <v>510960586</v>
      </c>
    </row>
    <row r="90" spans="1:2">
      <c r="A90" s="145" t="s">
        <v>3213</v>
      </c>
      <c r="B90" s="145">
        <v>520042581</v>
      </c>
    </row>
    <row r="91" spans="1:2">
      <c r="A91" s="145" t="s">
        <v>3214</v>
      </c>
      <c r="B91" s="146">
        <v>570005959</v>
      </c>
    </row>
    <row r="92" spans="1:2">
      <c r="A92" s="145" t="s">
        <v>3215</v>
      </c>
      <c r="B92" s="146">
        <v>570002618</v>
      </c>
    </row>
    <row r="93" spans="1:2">
      <c r="A93" s="145" t="s">
        <v>3216</v>
      </c>
      <c r="B93" s="146">
        <v>511789190</v>
      </c>
    </row>
    <row r="94" spans="1:2">
      <c r="A94" s="145" t="s">
        <v>3217</v>
      </c>
      <c r="B94" s="146">
        <v>520022518</v>
      </c>
    </row>
    <row r="95" spans="1:2">
      <c r="A95" s="145" t="s">
        <v>3218</v>
      </c>
      <c r="B95" s="146">
        <v>520031659</v>
      </c>
    </row>
    <row r="96" spans="1:2">
      <c r="A96" s="145" t="s">
        <v>3219</v>
      </c>
      <c r="B96" s="146">
        <v>570007476</v>
      </c>
    </row>
    <row r="97" spans="1:2">
      <c r="A97" s="145" t="s">
        <v>3220</v>
      </c>
      <c r="B97" s="146">
        <v>570009852</v>
      </c>
    </row>
    <row r="98" spans="1:2">
      <c r="A98" s="145" t="s">
        <v>3221</v>
      </c>
      <c r="B98" s="146">
        <v>510800402</v>
      </c>
    </row>
    <row r="99" spans="1:2">
      <c r="A99" s="145" t="s">
        <v>3222</v>
      </c>
      <c r="B99" s="146">
        <v>510773922</v>
      </c>
    </row>
    <row r="100" spans="1:2">
      <c r="A100" s="145" t="s">
        <v>3223</v>
      </c>
      <c r="B100" s="146">
        <v>512008335</v>
      </c>
    </row>
    <row r="101" spans="1:2">
      <c r="A101" s="145" t="s">
        <v>3224</v>
      </c>
      <c r="B101" s="146">
        <v>510142789</v>
      </c>
    </row>
    <row r="102" spans="1:2">
      <c r="A102" s="145" t="s">
        <v>3225</v>
      </c>
      <c r="B102" s="146">
        <v>520028556</v>
      </c>
    </row>
    <row r="103" spans="1:2">
      <c r="A103" s="145" t="s">
        <v>3226</v>
      </c>
      <c r="B103" s="146">
        <v>520030693</v>
      </c>
    </row>
    <row r="104" spans="1:2">
      <c r="A104" s="145" t="s">
        <v>3227</v>
      </c>
      <c r="B104" s="146">
        <v>520042573</v>
      </c>
    </row>
    <row r="105" spans="1:2">
      <c r="A105" s="145" t="s">
        <v>3228</v>
      </c>
      <c r="B105" s="146">
        <v>511423048</v>
      </c>
    </row>
    <row r="106" spans="1:2">
      <c r="A106" s="145" t="s">
        <v>3229</v>
      </c>
      <c r="B106" s="146">
        <v>570011767</v>
      </c>
    </row>
    <row r="107" spans="1:2">
      <c r="A107" s="145" t="s">
        <v>3230</v>
      </c>
      <c r="B107" s="146">
        <v>512065202</v>
      </c>
    </row>
    <row r="108" spans="1:2">
      <c r="A108" s="145" t="s">
        <v>3231</v>
      </c>
      <c r="B108" s="146">
        <v>512711409</v>
      </c>
    </row>
    <row r="109" spans="1:2">
      <c r="A109" s="145" t="s">
        <v>3232</v>
      </c>
      <c r="B109" s="146">
        <v>520005497</v>
      </c>
    </row>
    <row r="110" spans="1:2">
      <c r="A110" s="145" t="s">
        <v>3233</v>
      </c>
      <c r="B110" s="146">
        <v>570024109</v>
      </c>
    </row>
    <row r="111" spans="1:2">
      <c r="A111" s="145" t="s">
        <v>3234</v>
      </c>
      <c r="B111" s="146">
        <v>520020447</v>
      </c>
    </row>
    <row r="112" spans="1:2">
      <c r="A112" s="145" t="s">
        <v>3235</v>
      </c>
      <c r="B112" s="146">
        <v>520023094</v>
      </c>
    </row>
    <row r="113" spans="1:2">
      <c r="A113" s="145" t="s">
        <v>3236</v>
      </c>
      <c r="B113" s="146">
        <v>520028812</v>
      </c>
    </row>
    <row r="114" spans="1:2">
      <c r="A114" s="145" t="s">
        <v>3237</v>
      </c>
      <c r="B114" s="146">
        <v>520022963</v>
      </c>
    </row>
    <row r="115" spans="1:2">
      <c r="A115" s="145" t="s">
        <v>3238</v>
      </c>
      <c r="B115" s="146">
        <v>520027251</v>
      </c>
    </row>
    <row r="116" spans="1:2">
      <c r="A116" s="145" t="s">
        <v>3239</v>
      </c>
      <c r="B116" s="146">
        <v>520028390</v>
      </c>
    </row>
    <row r="117" spans="1:2">
      <c r="A117" s="145" t="s">
        <v>3240</v>
      </c>
      <c r="B117" s="146">
        <v>513026484</v>
      </c>
    </row>
    <row r="118" spans="1:2">
      <c r="A118" s="145" t="s">
        <v>3241</v>
      </c>
      <c r="B118" s="146">
        <v>513173393</v>
      </c>
    </row>
    <row r="119" spans="1:2">
      <c r="A119" s="145" t="s">
        <v>3242</v>
      </c>
      <c r="B119" s="146">
        <v>513452003</v>
      </c>
    </row>
    <row r="120" spans="1:2">
      <c r="A120" s="145" t="s">
        <v>3243</v>
      </c>
      <c r="B120" s="146">
        <v>513611509</v>
      </c>
    </row>
    <row r="121" spans="1:2">
      <c r="A121" s="145" t="s">
        <v>3244</v>
      </c>
      <c r="B121" s="146">
        <v>513621110</v>
      </c>
    </row>
    <row r="122" spans="1:2">
      <c r="A122" s="145" t="s">
        <v>3245</v>
      </c>
      <c r="B122" s="145">
        <v>512244146</v>
      </c>
    </row>
    <row r="123" spans="1:2">
      <c r="A123" s="145" t="s">
        <v>3246</v>
      </c>
      <c r="B123" s="146">
        <v>512237744</v>
      </c>
    </row>
    <row r="124" spans="1:2">
      <c r="A124" s="145" t="s">
        <v>3247</v>
      </c>
      <c r="B124" s="146">
        <v>512267592</v>
      </c>
    </row>
    <row r="125" spans="1:2">
      <c r="A125" s="145" t="s">
        <v>3248</v>
      </c>
      <c r="B125" s="146">
        <v>514767490</v>
      </c>
    </row>
    <row r="126" spans="1:2">
      <c r="A126" s="145" t="s">
        <v>3249</v>
      </c>
      <c r="B126" s="146">
        <v>514956465</v>
      </c>
    </row>
    <row r="127" spans="1:2">
      <c r="A127" s="145" t="s">
        <v>3250</v>
      </c>
      <c r="B127" s="146">
        <v>512245812</v>
      </c>
    </row>
    <row r="128" spans="1:2">
      <c r="A128" s="145" t="s">
        <v>3251</v>
      </c>
      <c r="B128" s="146">
        <v>515447035</v>
      </c>
    </row>
    <row r="129" spans="1:2">
      <c r="A129" s="145" t="s">
        <v>3252</v>
      </c>
      <c r="B129" s="146">
        <v>516463635</v>
      </c>
    </row>
    <row r="130" spans="1:2">
      <c r="A130" s="145" t="s">
        <v>3253</v>
      </c>
      <c r="B130" s="146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2025-11-30T08:22:35Z</dcterms:modified>
</cp:coreProperties>
</file>